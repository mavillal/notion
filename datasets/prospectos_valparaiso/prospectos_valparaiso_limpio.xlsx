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Base_limpia" sheetId="2" state="visible" r:id="rId4"/>
    <sheet name="Prospectos" sheetId="3" state="visible" r:id="rId5"/>
    <sheet name="Revisar_descartados" sheetId="4" state="visible" r:id="rId6"/>
    <sheet name="Diccionario" sheetId="5" state="visible" r:id="rId7"/>
    <sheet name="Log_limpieza" sheetId="6" state="visible" r:id="rId8"/>
  </sheets>
  <definedNames>
    <definedName function="false" hidden="true" localSheetId="1" name="_xlnm._FilterDatabase" vbProcedure="false">Base_limpia!$A$1:$AD$196</definedName>
    <definedName function="false" hidden="true" localSheetId="4" name="_xlnm._FilterDatabase" vbProcedure="false">Diccionario!$A$1:$B$19</definedName>
    <definedName function="false" hidden="true" localSheetId="5" name="_xlnm._FilterDatabase" vbProcedure="false">Log_limpieza!$A$1:$C$11</definedName>
    <definedName function="false" hidden="true" localSheetId="2" name="_xlnm._FilterDatabase" vbProcedure="false">Prospectos!$A$1:$O$171</definedName>
    <definedName function="false" hidden="true" localSheetId="3" name="_xlnm._FilterDatabase" vbProcedure="false">Revisar_descartados!$A$1:$H$26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<sst xmlns="http://schemas.openxmlformats.org/spreadsheetml/2006/main" count="5926" uniqueCount="1650">
  <si>
    <t xml:space="preserve">Base de prospectos B2B – Valparaíso / San Antonio / Casablanca / Curacaví</t>
  </si>
  <si>
    <t xml:space="preserve">Fuente: 22 exportaciones de Google Maps (mapsscraper.ai, plan gratuito) del 05-10-2026. Totales calculados con fórmulas sobre la hoja Base_limpia.</t>
  </si>
  <si>
    <t xml:space="preserve">Indicador</t>
  </si>
  <si>
    <t xml:space="preserve">Valor</t>
  </si>
  <si>
    <t xml:space="preserve">Filas brutas (sin pies de página)</t>
  </si>
  <si>
    <t xml:space="preserve">Dato fijo: 344 filas leídas − 48 filas de pie de página del scraper</t>
  </si>
  <si>
    <t xml:space="preserve">Empresas únicas</t>
  </si>
  <si>
    <t xml:space="preserve">Con teléfono</t>
  </si>
  <si>
    <t xml:space="preserve">Con web propia</t>
  </si>
  <si>
    <t xml:space="preserve">Score de completitud promedio</t>
  </si>
  <si>
    <t xml:space="preserve">Relevancia</t>
  </si>
  <si>
    <t xml:space="preserve">Empresas</t>
  </si>
  <si>
    <t xml:space="preserve">% del total</t>
  </si>
  <si>
    <t xml:space="preserve">Alta</t>
  </si>
  <si>
    <t xml:space="preserve">Media</t>
  </si>
  <si>
    <t xml:space="preserve">Baja</t>
  </si>
  <si>
    <t xml:space="preserve">Descartar</t>
  </si>
  <si>
    <t xml:space="preserve">Segmento</t>
  </si>
  <si>
    <t xml:space="preserve">Total</t>
  </si>
  <si>
    <t xml:space="preserve">Score promedio</t>
  </si>
  <si>
    <t xml:space="preserve">Transporte de carga</t>
  </si>
  <si>
    <t xml:space="preserve">Maquinaria / Industrial</t>
  </si>
  <si>
    <t xml:space="preserve">Logística / Almacenaje</t>
  </si>
  <si>
    <t xml:space="preserve">Frío / Alimentos</t>
  </si>
  <si>
    <t xml:space="preserve">Otros / Servicios empresariales</t>
  </si>
  <si>
    <t xml:space="preserve">Vitivinícola / Agrícola</t>
  </si>
  <si>
    <t xml:space="preserve">Portuario / Contenedores</t>
  </si>
  <si>
    <t xml:space="preserve">Química / Energía</t>
  </si>
  <si>
    <t xml:space="preserve">Comuna</t>
  </si>
  <si>
    <t xml:space="preserve">San Antonio</t>
  </si>
  <si>
    <t xml:space="preserve">Viña del Mar</t>
  </si>
  <si>
    <t xml:space="preserve">Valparaíso</t>
  </si>
  <si>
    <t xml:space="preserve">Casablanca</t>
  </si>
  <si>
    <t xml:space="preserve">Curacaví</t>
  </si>
  <si>
    <t xml:space="preserve">Concón</t>
  </si>
  <si>
    <t xml:space="preserve">Cartagena</t>
  </si>
  <si>
    <t xml:space="preserve">Pudahuel</t>
  </si>
  <si>
    <t xml:space="preserve">Quilpué</t>
  </si>
  <si>
    <t xml:space="preserve">Quillota</t>
  </si>
  <si>
    <t xml:space="preserve">Santiago</t>
  </si>
  <si>
    <t xml:space="preserve">San Bernardo</t>
  </si>
  <si>
    <t xml:space="preserve">Lampa</t>
  </si>
  <si>
    <t xml:space="preserve">Quintero</t>
  </si>
  <si>
    <t xml:space="preserve">Buin</t>
  </si>
  <si>
    <t xml:space="preserve">La Cisterna</t>
  </si>
  <si>
    <t xml:space="preserve">Las Condes</t>
  </si>
  <si>
    <t xml:space="preserve">Pedro Aguirre Cerda</t>
  </si>
  <si>
    <t xml:space="preserve">Villa Alemana</t>
  </si>
  <si>
    <t xml:space="preserve">Algarrobo</t>
  </si>
  <si>
    <t xml:space="preserve">Place_Id</t>
  </si>
  <si>
    <t xml:space="preserve">Empresa</t>
  </si>
  <si>
    <t xml:space="preserve">Nombre_original</t>
  </si>
  <si>
    <t xml:space="preserve">Grupo_empresa</t>
  </si>
  <si>
    <t xml:space="preserve">N_sedes_grupo</t>
  </si>
  <si>
    <t xml:space="preserve">Motivo_relevancia</t>
  </si>
  <si>
    <t xml:space="preserve">Score_completitud</t>
  </si>
  <si>
    <t xml:space="preserve">Telefono</t>
  </si>
  <si>
    <t xml:space="preserve">Tipo_telefono</t>
  </si>
  <si>
    <t xml:space="preserve">Sitio_web</t>
  </si>
  <si>
    <t xml:space="preserve">Dominio</t>
  </si>
  <si>
    <t xml:space="preserve">Web_propia</t>
  </si>
  <si>
    <t xml:space="preserve">Region</t>
  </si>
  <si>
    <t xml:space="preserve">Codigo_postal</t>
  </si>
  <si>
    <t xml:space="preserve">Direccion</t>
  </si>
  <si>
    <t xml:space="preserve">Precision_direccion</t>
  </si>
  <si>
    <t xml:space="preserve">Latitud</t>
  </si>
  <si>
    <t xml:space="preserve">Longitud</t>
  </si>
  <si>
    <t xml:space="preserve">Categoria_principal</t>
  </si>
  <si>
    <t xml:space="preserve">Categorias</t>
  </si>
  <si>
    <t xml:space="preserve">N_resenas</t>
  </si>
  <si>
    <t xml:space="preserve">Rating</t>
  </si>
  <si>
    <t xml:space="preserve">Horario</t>
  </si>
  <si>
    <t xml:space="preserve">Google_Maps_URL</t>
  </si>
  <si>
    <t xml:space="preserve">Busquedas_origen</t>
  </si>
  <si>
    <t xml:space="preserve">N_apariciones</t>
  </si>
  <si>
    <t xml:space="preserve">Flags_calidad</t>
  </si>
  <si>
    <t xml:space="preserve">ChIJZ4iHJyfPYpYR_t_bNE6g844</t>
  </si>
  <si>
    <t xml:space="preserve">Viña Casas del Bosque</t>
  </si>
  <si>
    <t xml:space="preserve">Viña de gran escala (enoturismo + producción)</t>
  </si>
  <si>
    <t xml:space="preserve">+56 2 2480 6941</t>
  </si>
  <si>
    <t xml:space="preserve">Fijo</t>
  </si>
  <si>
    <t xml:space="preserve">http://casasdelbosque.cl/</t>
  </si>
  <si>
    <t xml:space="preserve">casasdelbosque.cl</t>
  </si>
  <si>
    <t xml:space="preserve">Sí</t>
  </si>
  <si>
    <t xml:space="preserve">Ex Fundo Santa Rosa - Hijuela Nº 2, Casablanca, Valparaíso</t>
  </si>
  <si>
    <t xml:space="preserve">Con número</t>
  </si>
  <si>
    <t xml:space="preserve">Bodega</t>
  </si>
  <si>
    <t xml:space="preserve">Bodega, Recinto para eventos, Restaurante, Atracción turística, Tienda de vinos</t>
  </si>
  <si>
    <t xml:space="preserve">lunes:10 am–5:30 pm | martes:10 am–5:30 pm | miércoles:10 am–5:30 pm | jueves:10 am–5:30 pm | viernes:10 am–5:30 pm | sábado:10 am–6 pm | domingo:10 am–6 pm</t>
  </si>
  <si>
    <t xml:space="preserve">https://www.google.com/maps?cid=10300753030481174526</t>
  </si>
  <si>
    <t xml:space="preserve">Bodegas, Valparaíso - Chile; Viña*, Casablanca, Chile</t>
  </si>
  <si>
    <t xml:space="preserve">ChIJU5_yCuBuYpYRLQPLGWUBG6s</t>
  </si>
  <si>
    <t xml:space="preserve">Casa Viñamar</t>
  </si>
  <si>
    <t xml:space="preserve">Empresa industrial/logística en zona objetivo con canal de contacto</t>
  </si>
  <si>
    <t xml:space="preserve">+56 9 8242 3349</t>
  </si>
  <si>
    <t xml:space="preserve">Móvil</t>
  </si>
  <si>
    <t xml:space="preserve">https://vsptwinegroup.com/tours-and-events/es/holidays/vinamar/</t>
  </si>
  <si>
    <t xml:space="preserve">vsptwinegroup.com</t>
  </si>
  <si>
    <t xml:space="preserve">Ruta 68, km 72, Casablanca, Valparaíso</t>
  </si>
  <si>
    <t xml:space="preserve">Viñedo</t>
  </si>
  <si>
    <t xml:space="preserve">Viñedo, Restaurante, Atracción turística, Tienda de vinos</t>
  </si>
  <si>
    <t xml:space="preserve">lunes:10 am–5:30 pm | martes:10 am–5:30 pm | miércoles:10 am–5:30 pm | jueves:10 am–5:30 pm | viernes:10 am–5:30 pm | sábado:10 am–5:30 pm | domingo:10 am–5:30 pm</t>
  </si>
  <si>
    <t xml:space="preserve">https://www.google.com/maps?cid=12329449938592924461</t>
  </si>
  <si>
    <t xml:space="preserve">Viña*, Casablanca, Chile</t>
  </si>
  <si>
    <t xml:space="preserve">ChIJU-puoGdmYpYRlseXs0fRl0E</t>
  </si>
  <si>
    <t xml:space="preserve">Viña Indómita</t>
  </si>
  <si>
    <t xml:space="preserve">+56 32 215 3902</t>
  </si>
  <si>
    <t xml:space="preserve">http://www.indomita.cl/</t>
  </si>
  <si>
    <t xml:space="preserve">indomita.cl</t>
  </si>
  <si>
    <t xml:space="preserve">Ruta 68, Casablanca, Valparaíso</t>
  </si>
  <si>
    <t xml:space="preserve">Viñedo, Tienda de vinos</t>
  </si>
  <si>
    <t xml:space="preserve">lunes:10 am–4:30 pm | martes:10 am–5:30 pm | miércoles:10 am–5:30 pm | jueves:10 am–5:30 pm | viernes:10 am–5:30 pm | sábado:Cerrado | domingo:Cerrado</t>
  </si>
  <si>
    <t xml:space="preserve">https://www.google.com/maps?cid=4726476439834576790</t>
  </si>
  <si>
    <t xml:space="preserve">ChIJTwDjYuQ4YpYRQ807Bo5Ehvg</t>
  </si>
  <si>
    <t xml:space="preserve">STI – San Antonio Terminal Internacional</t>
  </si>
  <si>
    <t xml:space="preserve">.</t>
  </si>
  <si>
    <t xml:space="preserve">+56 35 220 1600</t>
  </si>
  <si>
    <t xml:space="preserve">http://www.stiport.com/</t>
  </si>
  <si>
    <t xml:space="preserve">stiport.com</t>
  </si>
  <si>
    <t xml:space="preserve">Bernardo O'Higgins Riquelme 2263, San Antonio, Valparaíso</t>
  </si>
  <si>
    <t xml:space="preserve">Empresa portuaria</t>
  </si>
  <si>
    <t xml:space="preserve">Empresa portuaria, Proveedor de contenedores</t>
  </si>
  <si>
    <t xml:space="preserve">lunes:8:30 am–6 pm | martes:8:30 am–6 pm | miércoles:8:30 am–6 pm | jueves:8:30 am–6 pm | viernes:8:30 am–6 pm | sábado:8:30 am–6 pm | domingo:8:30 am–6 pm</t>
  </si>
  <si>
    <t xml:space="preserve">https://www.google.com/maps?cid=17908076345065983299</t>
  </si>
  <si>
    <t xml:space="preserve">Empresa, San Antonio, Chile</t>
  </si>
  <si>
    <t xml:space="preserve">nombre_corregido</t>
  </si>
  <si>
    <t xml:space="preserve">ChIJNwHdaVlHYpYR6J0IpChNBgo</t>
  </si>
  <si>
    <t xml:space="preserve">Seaport</t>
  </si>
  <si>
    <t xml:space="preserve">+56 35 220 1500</t>
  </si>
  <si>
    <t xml:space="preserve">http://www.seaport.cl/</t>
  </si>
  <si>
    <t xml:space="preserve">seaport.cl</t>
  </si>
  <si>
    <t xml:space="preserve">2660000</t>
  </si>
  <si>
    <t xml:space="preserve">Ruta G86, Aguas Buenas N° 6729, Cruce a Cartagena, 2660000 San Antonio, Valparaíso</t>
  </si>
  <si>
    <t xml:space="preserve">Terminal de contenedores</t>
  </si>
  <si>
    <t xml:space="preserve">lunes:9 am–5 pm | martes:9 am–5 pm | miércoles:9 am–5 pm | jueves:9 am–5 pm | viernes:9 am–5 pm | sábado:9:30–11:30 am | domingo:Cerrado</t>
  </si>
  <si>
    <t xml:space="preserve">https://www.google.com/maps?cid=722349627185602024</t>
  </si>
  <si>
    <t xml:space="preserve">ChIJCTijh51vYpYRgdNHBt8McYg</t>
  </si>
  <si>
    <t xml:space="preserve">Bodegas RE</t>
  </si>
  <si>
    <t xml:space="preserve">+56 9 9345 9114</t>
  </si>
  <si>
    <t xml:space="preserve">http://www.bodegasre.cl/</t>
  </si>
  <si>
    <t xml:space="preserve">bodegasre.cl</t>
  </si>
  <si>
    <t xml:space="preserve">F-850 1380, Casablanca, Valparaíso</t>
  </si>
  <si>
    <t xml:space="preserve">Bodega, Atracción turística</t>
  </si>
  <si>
    <t xml:space="preserve">lunes:10 am–6 pm | martes:10 am–6 pm | miércoles:10 am–6 pm | jueves:10 am–6 pm | viernes:10 am–6 pm | sábado:10 am–6 pm | domingo:11 am–5 pm</t>
  </si>
  <si>
    <t xml:space="preserve">https://www.google.com/maps?cid=9831653613549114241</t>
  </si>
  <si>
    <t xml:space="preserve">Bodegas, Valparaíso - Chile</t>
  </si>
  <si>
    <t xml:space="preserve">ChIJwfWdZmE4YpYRWcnQ83BNQSg</t>
  </si>
  <si>
    <t xml:space="preserve">Puerto Columbo San Antonio</t>
  </si>
  <si>
    <t xml:space="preserve">+56 35 220 3701</t>
  </si>
  <si>
    <t xml:space="preserve">http://www.puertocolumbo.com/</t>
  </si>
  <si>
    <t xml:space="preserve">puertocolumbo.com</t>
  </si>
  <si>
    <t xml:space="preserve">Ruta Nacional 78, Barrio Industrial # 2375, San Antonio, Valparaíso</t>
  </si>
  <si>
    <t xml:space="preserve">Oficinas de empresa</t>
  </si>
  <si>
    <t xml:space="preserve">lunes:8:30 am–6 pm | martes:8:30 am–6 pm | miércoles:8:30 am–6 pm | jueves:8:30 am–6 pm | viernes:8:30 am–6 pm | sábado:8:30 am–12:45 pm | domingo:Cerrado</t>
  </si>
  <si>
    <t xml:space="preserve">https://www.google.com/maps?cid=2900684782525532505</t>
  </si>
  <si>
    <t xml:space="preserve">ChIJqf97jz91YpYR3MnNt5Ur0aQ</t>
  </si>
  <si>
    <t xml:space="preserve">Terminal y Servicios Logísticos Las Cadenas Ltda.</t>
  </si>
  <si>
    <t xml:space="preserve">+56 9 6122 2911</t>
  </si>
  <si>
    <t xml:space="preserve">http://www.tlogisticolascadenas.cl/</t>
  </si>
  <si>
    <t xml:space="preserve">tlogisticolascadenas.cl</t>
  </si>
  <si>
    <t xml:space="preserve">2821, Placilla, Cerro El Altar, Valparaíso</t>
  </si>
  <si>
    <t xml:space="preserve">Gran superficie</t>
  </si>
  <si>
    <t xml:space="preserve">lunes:8 am–11 pm | martes:8 am–11 pm | miércoles:8 am–11 pm | jueves:8 am–11 pm | viernes:8 am–11 pm | sábado:8 am–5 pm | domingo:Cerrado</t>
  </si>
  <si>
    <t xml:space="preserve">https://www.google.com/maps?cid=11876321614386547164</t>
  </si>
  <si>
    <t xml:space="preserve">Servicios logísticos, Valparaiso - Chile; Servicios logísticos, Valparaiso, Chile</t>
  </si>
  <si>
    <t xml:space="preserve">ChIJaQpqAFI4YpYRZfGI7BTASjw</t>
  </si>
  <si>
    <t xml:space="preserve">Ferretería Industrial METALMAR</t>
  </si>
  <si>
    <t xml:space="preserve">+56 35 237 5110</t>
  </si>
  <si>
    <t xml:space="preserve">http://www.metalmarchile.cl/</t>
  </si>
  <si>
    <t xml:space="preserve">metalmarchile.cl</t>
  </si>
  <si>
    <t xml:space="preserve">2663592</t>
  </si>
  <si>
    <t xml:space="preserve">Barros Luco 3058, 2663592 San Antonio, Valparaíso</t>
  </si>
  <si>
    <t xml:space="preserve">Ferretería</t>
  </si>
  <si>
    <t xml:space="preserve">Ferretería, Centro comercial</t>
  </si>
  <si>
    <t xml:space="preserve">lunes:9 am–5 pm | martes:9 am–5 pm | miércoles:9 am–5 pm | jueves:9 am–5 pm | viernes:9 am–5 pm | sábado:9:30 am–1:30 pm | domingo:Cerrado</t>
  </si>
  <si>
    <t xml:space="preserve">https://www.google.com/maps?cid=4344495986652541285</t>
  </si>
  <si>
    <t xml:space="preserve">Maquinaria industrial, San Antonio -Chile; Maquinaria industrial, San Antonio, Chile</t>
  </si>
  <si>
    <t xml:space="preserve">ChIJDVf_dxPciZYRdQiz4oh22k4</t>
  </si>
  <si>
    <t xml:space="preserve">Tranvial</t>
  </si>
  <si>
    <t xml:space="preserve">+56 600 006 0060</t>
  </si>
  <si>
    <t xml:space="preserve">600 (call center)</t>
  </si>
  <si>
    <t xml:space="preserve">https://www.tranvial.com/</t>
  </si>
  <si>
    <t xml:space="preserve">tranvial.com</t>
  </si>
  <si>
    <t xml:space="preserve">Edificio Reitz III - C. Limache 3437, Viña del Mar, Valparaíso</t>
  </si>
  <si>
    <t xml:space="preserve">Servicio de transporte</t>
  </si>
  <si>
    <t xml:space="preserve">Servicio de transporte, Servicio de lanzadera, Servicio de logística, Servicio de transporte refrigerado, Empresa de transporte por camión</t>
  </si>
  <si>
    <t xml:space="preserve">lunes:Abierto las 24 horas | martes:Abierto las 24 horas | miércoles:Abierto las 24 horas | jueves:Abierto las 24 horas | viernes:Abierto las 24 horas | sábado:Abierto las 24 horas | domingo:Abierto las 24 horas</t>
  </si>
  <si>
    <t xml:space="preserve">https://www.google.com/maps?cid=5681984210172315765</t>
  </si>
  <si>
    <t xml:space="preserve">Empresa, Viña del Mar, Chile; Transporte de carga, Viña del Mar, Chile</t>
  </si>
  <si>
    <t xml:space="preserve">ChIJWdtkvBNvYpYRnhth1EiS96g</t>
  </si>
  <si>
    <t xml:space="preserve">Calca</t>
  </si>
  <si>
    <t xml:space="preserve">+56 32 274 1652</t>
  </si>
  <si>
    <t xml:space="preserve">http://www.calca.cl/</t>
  </si>
  <si>
    <t xml:space="preserve">calca.cl</t>
  </si>
  <si>
    <t xml:space="preserve">2480505</t>
  </si>
  <si>
    <t xml:space="preserve">Av. Portales 90, 2480505 Casablanca, Valparaíso</t>
  </si>
  <si>
    <t xml:space="preserve">Comercio</t>
  </si>
  <si>
    <t xml:space="preserve">lunes:9 am–2 pm | martes:9 am–2 pm | miércoles:9 am–2 pm | jueves:9 am–2 pm | viernes:9 am–2 pm | sábado:9 am–12:30 pm | domingo:Cerrado</t>
  </si>
  <si>
    <t xml:space="preserve">https://www.google.com/maps?cid=12175360959117859742</t>
  </si>
  <si>
    <t xml:space="preserve">ChIJIxwuEtNvYpYRa8XHXQiKrXA</t>
  </si>
  <si>
    <t xml:space="preserve">Emergent Cold LatAm</t>
  </si>
  <si>
    <t xml:space="preserve">+56 600 656 0030</t>
  </si>
  <si>
    <t xml:space="preserve">https://emergentcoldlatam.com/</t>
  </si>
  <si>
    <t xml:space="preserve">emergentcoldlatam.com</t>
  </si>
  <si>
    <t xml:space="preserve">F-852 4621, Lo Vásquez, Casablanca, Valparaíso</t>
  </si>
  <si>
    <t xml:space="preserve">Servicio de logística</t>
  </si>
  <si>
    <t xml:space="preserve">https://www.google.com/maps?cid=8119297471756617067</t>
  </si>
  <si>
    <t xml:space="preserve">Frigoríficos, Casablanca, Chile</t>
  </si>
  <si>
    <t xml:space="preserve">ChIJt8G2SvLeiZYR9dWQP36S5DU</t>
  </si>
  <si>
    <t xml:space="preserve">Empresas Demaria S.A.</t>
  </si>
  <si>
    <t xml:space="preserve">+56 32 226 7000</t>
  </si>
  <si>
    <t xml:space="preserve">https://demaria.cl/</t>
  </si>
  <si>
    <t xml:space="preserve">demaria.cl</t>
  </si>
  <si>
    <t xml:space="preserve">2562126</t>
  </si>
  <si>
    <t xml:space="preserve">C. Limache 3535, 2562126 Viña del Mar, Valparaíso</t>
  </si>
  <si>
    <t xml:space="preserve">lunes:9 am–6 pm | martes:9 am–6 pm | miércoles:9 am–6 pm | jueves:9 am–6 pm | viernes:9 am–6 pm | sábado:Cerrado | domingo:Cerrado</t>
  </si>
  <si>
    <t xml:space="preserve">https://www.google.com/maps?cid=3883389849630201333</t>
  </si>
  <si>
    <t xml:space="preserve">Empresa, Viña del Mar, Chile</t>
  </si>
  <si>
    <t xml:space="preserve">ChIJ9ckcCEfhiZYReWhuBcEBD7A</t>
  </si>
  <si>
    <t xml:space="preserve">Egido Empresas</t>
  </si>
  <si>
    <t xml:space="preserve">+56 9 7450 5347</t>
  </si>
  <si>
    <t xml:space="preserve">http://www.egido.cl/</t>
  </si>
  <si>
    <t xml:space="preserve">egido.cl</t>
  </si>
  <si>
    <t xml:space="preserve">Camino La Pólvora 4, La Polvora, Valparaíso</t>
  </si>
  <si>
    <t xml:space="preserve">Empresa de transporte por camión</t>
  </si>
  <si>
    <t xml:space="preserve">Empresa de transporte por camión, Servicio de grúa, Tienda general, Almacén</t>
  </si>
  <si>
    <t xml:space="preserve">lunes:8 am–10 pm | martes:8 am–10 pm | miércoles:8 am–10 pm | jueves:8 am–10 pm | viernes:8 am–10 pm | sábado:8 am–2 pm | domingo:Cerrado</t>
  </si>
  <si>
    <t xml:space="preserve">https://www.google.com/maps?cid=12686360603857414265</t>
  </si>
  <si>
    <t xml:space="preserve">Transporte de carga, Valparaiso, Chile</t>
  </si>
  <si>
    <t xml:space="preserve">ChIJJ9ygp2l1YpYRz2k8P5b3_-E</t>
  </si>
  <si>
    <t xml:space="preserve">SERVIEX Ltda</t>
  </si>
  <si>
    <t xml:space="preserve">+56 9 4173 7193</t>
  </si>
  <si>
    <t xml:space="preserve">https://serviexltda.cl/</t>
  </si>
  <si>
    <t xml:space="preserve">serviexltda.cl</t>
  </si>
  <si>
    <t xml:space="preserve">2340000</t>
  </si>
  <si>
    <t xml:space="preserve">Undécima Avenida 1730, Pc 384 Placilla, 2340000 Valparaíso</t>
  </si>
  <si>
    <t xml:space="preserve">Servicio de logística, Tienda general, Asesor en comercio internacional, Almacén, Bodega</t>
  </si>
  <si>
    <t xml:space="preserve">https://www.google.com/maps?cid=16285007002273081807</t>
  </si>
  <si>
    <t xml:space="preserve">Servicios logísticos, Valparaiso - Chile</t>
  </si>
  <si>
    <t xml:space="preserve">ChIJAXDu37PgiZYRZHTn5UC-ITM</t>
  </si>
  <si>
    <t xml:space="preserve">Frigorífico Víctor Mancilla y Cía Ltda.</t>
  </si>
  <si>
    <t xml:space="preserve">+56 32 262 7464</t>
  </si>
  <si>
    <t xml:space="preserve">http://www.pesqueramancilla.cl/</t>
  </si>
  <si>
    <t xml:space="preserve">pesqueramancilla.cl</t>
  </si>
  <si>
    <t xml:space="preserve">2391272</t>
  </si>
  <si>
    <t xml:space="preserve">R. Philippi 195, 2391272 Valparaíso</t>
  </si>
  <si>
    <t xml:space="preserve">lunes:9 am–5 pm | martes:9 am–5 pm | miércoles:9 am–5 pm | jueves:9 am–5 pm | viernes:9 am–5 pm | sábado:9:30 am–1 pm | domingo:Cerrado</t>
  </si>
  <si>
    <t xml:space="preserve">https://www.google.com/maps?cid=3684435156110111844</t>
  </si>
  <si>
    <t xml:space="preserve">Frigoríficos, Casablanca, Chile; Frigoríficos, V Región, Chile</t>
  </si>
  <si>
    <t xml:space="preserve">ChIJ66xAzl9HYpYR7X2_s30nfzo</t>
  </si>
  <si>
    <t xml:space="preserve">SL TRANSPORTE LTDA</t>
  </si>
  <si>
    <t xml:space="preserve">+56 9 4008 8368</t>
  </si>
  <si>
    <t xml:space="preserve">http://www.sltransporte.cl/</t>
  </si>
  <si>
    <t xml:space="preserve">sltransporte.cl</t>
  </si>
  <si>
    <t xml:space="preserve">Los Eucaliptus, Av. Aguas Buenas 597, 2660000 San Antonio, Valparaíso</t>
  </si>
  <si>
    <t xml:space="preserve">Empresa de transporte por camión, Servicio de logística</t>
  </si>
  <si>
    <t xml:space="preserve">lunes:8:30 am–8 pm | martes:8:30 am–8 pm | miércoles:8:30 am–8 pm | jueves:8:30 am–8 pm | viernes:8:30 am–8 pm | sábado:8:30 am–3 pm | domingo:Cerrado</t>
  </si>
  <si>
    <t xml:space="preserve">https://www.google.com/maps?cid=4215131197082140141</t>
  </si>
  <si>
    <t xml:space="preserve">Logística en San Antonio, Chile; Servicios logísticos, San Antonio, Chile; Transporte de carga, San Antonio, Chile</t>
  </si>
  <si>
    <t xml:space="preserve">ChIJ9bP4ZR9HYpYRf9Ne0tjkdas</t>
  </si>
  <si>
    <t xml:space="preserve">FRIGORIFICO FRIOMOR S.A</t>
  </si>
  <si>
    <t xml:space="preserve">+56 9 9619 6628</t>
  </si>
  <si>
    <t xml:space="preserve">http://www.friomor.cl/</t>
  </si>
  <si>
    <t xml:space="preserve">friomor.cl</t>
  </si>
  <si>
    <t xml:space="preserve">Las Majadas Lote 2 y 3 s/n, Cartagena, San Antonio, Cartagena, Valparaíso</t>
  </si>
  <si>
    <t xml:space="preserve">Almacén</t>
  </si>
  <si>
    <t xml:space="preserve">Almacén, Instalación de almacenamiento en frío</t>
  </si>
  <si>
    <t xml:space="preserve">lunes:8 am–6 pm | martes:8 am–6 pm | miércoles:8 am–6 pm | jueves:8 am–6 pm | viernes:8 am–6 pm | sábado:9 am–12 pm | domingo:Cerrado</t>
  </si>
  <si>
    <t xml:space="preserve">https://www.google.com/maps?cid=12355032772654322559</t>
  </si>
  <si>
    <t xml:space="preserve">ChIJOdzSlWTciZYRIK3x7MPWBs8</t>
  </si>
  <si>
    <t xml:space="preserve">OSKUPACK</t>
  </si>
  <si>
    <t xml:space="preserve">+56 9 9822 4595</t>
  </si>
  <si>
    <t xml:space="preserve">https://oskupack.cl/</t>
  </si>
  <si>
    <t xml:space="preserve">oskupack.cl</t>
  </si>
  <si>
    <t xml:space="preserve">2520000</t>
  </si>
  <si>
    <t xml:space="preserve">Camino Lajarilla 744, 2520000 Viña del Mar, Valparaíso</t>
  </si>
  <si>
    <t xml:space="preserve">Empresa de embalaje</t>
  </si>
  <si>
    <t xml:space="preserve">Empresa de embalaje, Empresa de fabricación de plástico</t>
  </si>
  <si>
    <t xml:space="preserve">lunes:9 am–5:30 pm | martes:9 am–5:30 pm | miércoles:9 am–5:30 pm | jueves:9 am–5:30 pm | viernes:9 am–5:30 pm | sábado:Cerrado | domingo:Cerrado</t>
  </si>
  <si>
    <t xml:space="preserve">https://www.google.com/maps?cid=14917846952693574944</t>
  </si>
  <si>
    <t xml:space="preserve">ChIJDZauyu_ciZYRzf5sek8mtt8</t>
  </si>
  <si>
    <t xml:space="preserve">INDUSTRIAL COSTA SPA</t>
  </si>
  <si>
    <t xml:space="preserve">+56 9 8888 4772</t>
  </si>
  <si>
    <t xml:space="preserve">http://industrialcostaspa.com/</t>
  </si>
  <si>
    <t xml:space="preserve">industrialcostaspa.com</t>
  </si>
  <si>
    <t xml:space="preserve">Camino internacional 5465 Galpón F3, 1, Viña del Mar, Valparaíso</t>
  </si>
  <si>
    <t xml:space="preserve">Taller de maquinaria</t>
  </si>
  <si>
    <t xml:space="preserve">Taller de maquinaria, Ingeniero mecánico, Empresa de construcciones metálicas, Servicio de reparación</t>
  </si>
  <si>
    <t xml:space="preserve">lunes:8 am–5:30 pm | martes:8 am–5:30 pm | miércoles:8 am–5:30 pm | jueves:8 am–5:30 pm | viernes:8 am–4:30 pm | sábado:Cerrado | domingo:Cerrado</t>
  </si>
  <si>
    <t xml:space="preserve">https://www.google.com/maps?cid=16120114039017504461</t>
  </si>
  <si>
    <t xml:space="preserve">Empresa, Viña del Mar, Chile; Maquinaria industrial, Viña del Mar-Chile</t>
  </si>
  <si>
    <t xml:space="preserve">ChIJh8dGG8PgiZYR9GB0wf0-N5s</t>
  </si>
  <si>
    <t xml:space="preserve">ROLIMAQ - VENTUS</t>
  </si>
  <si>
    <t xml:space="preserve">+56 9 5908 1452</t>
  </si>
  <si>
    <t xml:space="preserve">http://www.rolimaq.cl/</t>
  </si>
  <si>
    <t xml:space="preserve">rolimaq.cl</t>
  </si>
  <si>
    <t xml:space="preserve">5 ORIENTE 608 VIÑA DEL MAR, Av. Colón 2877, Valparaíso, Viña del Mar, Valparaíso</t>
  </si>
  <si>
    <t xml:space="preserve">Empresa de suministros industriales</t>
  </si>
  <si>
    <t xml:space="preserve">https://www.google.com/maps?cid=11184477459191193844</t>
  </si>
  <si>
    <t xml:space="preserve">Maquinaria industrial, Viña del Mar-Chile</t>
  </si>
  <si>
    <t xml:space="preserve">ChIJe4q_Blp1YpYRjtN4sW_ahZs</t>
  </si>
  <si>
    <t xml:space="preserve">Delfrio Frigorífico de Valparaiso S.A.</t>
  </si>
  <si>
    <t xml:space="preserve">+56 32 229 1166</t>
  </si>
  <si>
    <t xml:space="preserve">http://www.delfrio.cl/</t>
  </si>
  <si>
    <t xml:space="preserve">delfrio.cl</t>
  </si>
  <si>
    <t xml:space="preserve">Ruta 68 1240, Placilla, Valparaíso</t>
  </si>
  <si>
    <t xml:space="preserve">Servicios de empresa a empresa</t>
  </si>
  <si>
    <t xml:space="preserve">lunes:8:30 am–5:30 pm | martes:8:30 am–5:30 pm | miércoles:8:30 am–5:30 pm | jueves:8:30 am–5:30 pm | viernes:8:30 am–5:30 pm | sábado:Cerrado | domingo:Cerrado</t>
  </si>
  <si>
    <t xml:space="preserve">https://www.google.com/maps?cid=11206603421035058062</t>
  </si>
  <si>
    <t xml:space="preserve">ChIJ2UzWJj45YpYRxzMGbrKQI58</t>
  </si>
  <si>
    <t xml:space="preserve">Distribuidor Autorizado Stihl San Antonio AGROMAR</t>
  </si>
  <si>
    <t xml:space="preserve">+56 9 8814 2767</t>
  </si>
  <si>
    <t xml:space="preserve">https://redstihl.cl/productos/aceite-de-mezcla-premium-stihl-1l/</t>
  </si>
  <si>
    <t xml:space="preserve">redstihl.cl</t>
  </si>
  <si>
    <t xml:space="preserve">2660750</t>
  </si>
  <si>
    <t xml:space="preserve">Av. Chile 402, 2660750 San Antonio, Valparaíso</t>
  </si>
  <si>
    <t xml:space="preserve">Cuarto de herramientas</t>
  </si>
  <si>
    <t xml:space="preserve">lunes:9 am–1:30 pm | martes:9 am–1:30 pm | miércoles:9 am–1:30 pm | jueves:9 am–1:30 pm | viernes:9 am–1:30 pm | sábado:Cerrado | domingo:Cerrado</t>
  </si>
  <si>
    <t xml:space="preserve">https://www.google.com/maps?cid=11467168172239893447</t>
  </si>
  <si>
    <t xml:space="preserve">ChIJyU3YuwZHYpYR-gzSQD783YI</t>
  </si>
  <si>
    <t xml:space="preserve">Logistica el Cardal LOGEC, Malvilla</t>
  </si>
  <si>
    <t xml:space="preserve">+56 9 5534 0864</t>
  </si>
  <si>
    <t xml:space="preserve">http://www.logec.cl/</t>
  </si>
  <si>
    <t xml:space="preserve">logec.cl</t>
  </si>
  <si>
    <t xml:space="preserve">Camino Malvilla 1378, Ruta G974, San Antonio, Valparaíso</t>
  </si>
  <si>
    <t xml:space="preserve">Almacén, Oficinas de empresa</t>
  </si>
  <si>
    <t xml:space="preserve">lunes:8 am–1 pm | martes:8 am–1 pm | miércoles:8 am–1 pm | jueves:8 am–1 pm | viernes:8 am–1 pm | sábado:Cerrado | domingo:Cerrado</t>
  </si>
  <si>
    <t xml:space="preserve">https://www.google.com/maps?cid=9429970539089366266</t>
  </si>
  <si>
    <t xml:space="preserve">Bodegas y almacenaje, San Antonio; Logística en San Antonio, Chile</t>
  </si>
  <si>
    <t xml:space="preserve">ChIJK-5LjLLZiZYRavnzJYEFO28</t>
  </si>
  <si>
    <t xml:space="preserve">Mibodega</t>
  </si>
  <si>
    <t xml:space="preserve">+56 9 3391 9144</t>
  </si>
  <si>
    <t xml:space="preserve">https://mibodega.cl/</t>
  </si>
  <si>
    <t xml:space="preserve">mibodega.cl</t>
  </si>
  <si>
    <t xml:space="preserve">2430000</t>
  </si>
  <si>
    <t xml:space="preserve">Baquedano 1475, 2430000 Quilpué, Valparaíso</t>
  </si>
  <si>
    <t xml:space="preserve">https://www.google.com/maps?cid=8015006014081595754</t>
  </si>
  <si>
    <t xml:space="preserve">ChIJ1d4Y2OXdiZYRXhgUpPYHODY</t>
  </si>
  <si>
    <t xml:space="preserve">Empresas Tuxpan</t>
  </si>
  <si>
    <t xml:space="preserve">+56 32 268 0906</t>
  </si>
  <si>
    <t xml:space="preserve">http://www.tuxpan.com/</t>
  </si>
  <si>
    <t xml:space="preserve">tuxpan.com</t>
  </si>
  <si>
    <t xml:space="preserve">2520696</t>
  </si>
  <si>
    <t xml:space="preserve">7 Nte. 360, 2520696 Viña del Mar, Valparaíso</t>
  </si>
  <si>
    <t xml:space="preserve">lunes:9 am–1 pm | martes:9 am–1 pm | miércoles:9 am–1 pm | jueves:9 am–1 pm | viernes:9 am–1 pm | sábado:Cerrado | domingo:Cerrado</t>
  </si>
  <si>
    <t xml:space="preserve">https://www.google.com/maps?cid=3906881432640034910</t>
  </si>
  <si>
    <t xml:space="preserve">ChIJ_VAVpefeiZYR4lFQkH6LgZU</t>
  </si>
  <si>
    <t xml:space="preserve">VIRGINIA - Empresas Demaria S.A.</t>
  </si>
  <si>
    <t xml:space="preserve">http://www.virginia.cl/</t>
  </si>
  <si>
    <t xml:space="preserve">virginia.cl</t>
  </si>
  <si>
    <t xml:space="preserve">Proveedor de productos de limpieza</t>
  </si>
  <si>
    <t xml:space="preserve">lunes:8 am–6 pm | martes:8 am–6 pm | miércoles:8 am–6 pm | jueves:8 am–6 pm | viernes:8 am–6 pm | sábado:Cerrado | domingo:Cerrado</t>
  </si>
  <si>
    <t xml:space="preserve">https://www.google.com/maps?cid=10773045159350260194</t>
  </si>
  <si>
    <t xml:space="preserve">ChIJi5H3-nXbiZYRReEyOV_Qz3Y</t>
  </si>
  <si>
    <t xml:space="preserve">Bodegas Mauco</t>
  </si>
  <si>
    <t xml:space="preserve">Bodegas Mauco | Arriendo MiniBodegas | Galpones | Concón Viña del Mar Valparaíso Quilpué Quillota</t>
  </si>
  <si>
    <t xml:space="preserve">+56 9 9779 1746</t>
  </si>
  <si>
    <t xml:space="preserve">http://www.bodegasmauco.cl/</t>
  </si>
  <si>
    <t xml:space="preserve">bodegasmauco.cl</t>
  </si>
  <si>
    <t xml:space="preserve">2260000</t>
  </si>
  <si>
    <t xml:space="preserve">RUTA f 360 KM1 Quillota, 2260000 Valparaíso, Quillota, Valparaíso</t>
  </si>
  <si>
    <t xml:space="preserve">https://www.google.com/maps?cid=8561290524054708549</t>
  </si>
  <si>
    <t xml:space="preserve">ChIJzeDAEPY5YpYRU7mFPUjuCbM</t>
  </si>
  <si>
    <t xml:space="preserve">Puerto San Antonio</t>
  </si>
  <si>
    <t xml:space="preserve">PUERTO SAN ANTONIO</t>
  </si>
  <si>
    <t xml:space="preserve">+56 35 258 6000</t>
  </si>
  <si>
    <t xml:space="preserve">https://puertosanantonio.com/</t>
  </si>
  <si>
    <t xml:space="preserve">puertosanantonio.com</t>
  </si>
  <si>
    <t xml:space="preserve">Antonio Núñez de Fonseca 1552, 2660000 San Antonio, Valparaíso</t>
  </si>
  <si>
    <t xml:space="preserve">https://www.google.com/maps?cid=12901104601616726355</t>
  </si>
  <si>
    <t xml:space="preserve">sin_horario</t>
  </si>
  <si>
    <t xml:space="preserve">ChIJz5AzAYY4YpYReXQuinPOZSI</t>
  </si>
  <si>
    <t xml:space="preserve">D&amp;C San Antonio, patio principal</t>
  </si>
  <si>
    <t xml:space="preserve">+56 32 251 3302</t>
  </si>
  <si>
    <t xml:space="preserve">http://www.dycsa.cl/</t>
  </si>
  <si>
    <t xml:space="preserve">dycsa.cl</t>
  </si>
  <si>
    <t xml:space="preserve">Ruta G 94 F Nuevo Acceso al Puerto 3559 Barrio Industrial San Antonio, San Antonio, Valparaíso</t>
  </si>
  <si>
    <t xml:space="preserve">Servicio de contenedores</t>
  </si>
  <si>
    <t xml:space="preserve">Servicio de contenedores, Proveedor de contenedores</t>
  </si>
  <si>
    <t xml:space="preserve">lunes:8:30 am–9 pm | martes:8:30 am–9 pm | miércoles:8:30 am–9 pm | jueves:8:30 am–9 pm | viernes:8:30 am–9 pm | sábado:8:30 am–3 pm | domingo:Cerrado</t>
  </si>
  <si>
    <t xml:space="preserve">https://www.google.com/maps?cid=2478614165572187257</t>
  </si>
  <si>
    <t xml:space="preserve">Maquinaria industrial, San Antonio, Chile</t>
  </si>
  <si>
    <t xml:space="preserve">ChIJsyA89Q9HYpYRmf5pd7-I9Lc</t>
  </si>
  <si>
    <t xml:space="preserve">Maersk Logistics and Service Chile SpA</t>
  </si>
  <si>
    <t xml:space="preserve">+56 35 220 2700</t>
  </si>
  <si>
    <t xml:space="preserve">http://www.maersk.com/</t>
  </si>
  <si>
    <t xml:space="preserve">maersk.com</t>
  </si>
  <si>
    <t xml:space="preserve">Avenida Las Factorías 8150, San Antonio, Valparaíso</t>
  </si>
  <si>
    <t xml:space="preserve">lunes:8 am–10 pm | martes:8 am–10 pm | miércoles:8 am–10 pm | jueves:8 am–10 pm | viernes:8 am–10 pm | sábado:8 am–6 pm | domingo:Cerrado</t>
  </si>
  <si>
    <t xml:space="preserve">https://www.google.com/maps?cid=13255369959181778585</t>
  </si>
  <si>
    <t xml:space="preserve">Empresa, San Antonio, Chile; Logística en San Antonio, Chile</t>
  </si>
  <si>
    <t xml:space="preserve">ChIJm3jkdoluYpYRGRGsx282Lfk</t>
  </si>
  <si>
    <t xml:space="preserve">Kingston Family Vineyards</t>
  </si>
  <si>
    <t xml:space="preserve">+56 32 332 0150</t>
  </si>
  <si>
    <t xml:space="preserve">http://www.kingstonvineyards.com/</t>
  </si>
  <si>
    <t xml:space="preserve">kingstonvineyards.com</t>
  </si>
  <si>
    <t xml:space="preserve">Hijuela El Maitén S/N, Casablanca, Valparaíso</t>
  </si>
  <si>
    <t xml:space="preserve">Sin número</t>
  </si>
  <si>
    <t xml:space="preserve">Bodega, Atracción turística, Viñedo</t>
  </si>
  <si>
    <t xml:space="preserve">lunes:10 am–6 pm | martes:10 am–6 pm | miércoles:10 am–6 pm | jueves:10 am–6 pm | viernes:10 am–6 pm | sábado:10 am–6 pm | domingo:10 am–6 pm</t>
  </si>
  <si>
    <t xml:space="preserve">https://www.google.com/maps?cid=17955067143115247897</t>
  </si>
  <si>
    <t xml:space="preserve">direccion_imprecisa</t>
  </si>
  <si>
    <t xml:space="preserve">ChIJlbjaulVHYpYRQbbSWmVsH2A</t>
  </si>
  <si>
    <t xml:space="preserve">TLS Terminal Logistico San Antonio LTDA.</t>
  </si>
  <si>
    <t xml:space="preserve">+56 35 245 0146</t>
  </si>
  <si>
    <t xml:space="preserve">http://www.tls.cl/</t>
  </si>
  <si>
    <t xml:space="preserve">tls.cl</t>
  </si>
  <si>
    <t xml:space="preserve">Camino antiguo a Santiago SN, Cartagena, Valparaíso</t>
  </si>
  <si>
    <t xml:space="preserve">Servicio de contenedores, Servicios de empresa a empresa</t>
  </si>
  <si>
    <t xml:space="preserve">lunes:7 am–11 pm | martes:7 am–11 pm | miércoles:7 am–11 pm | jueves:7 am–11 pm | viernes:7 am–11 pm | sábado:7 am–11 pm | domingo:Cerrado</t>
  </si>
  <si>
    <t xml:space="preserve">https://www.google.com/maps?cid=6926373934490367553</t>
  </si>
  <si>
    <t xml:space="preserve">Logística en San Antonio, Chile</t>
  </si>
  <si>
    <t xml:space="preserve">ChIJe1d2vUZHYpYR1Qtvf2Vs_o0</t>
  </si>
  <si>
    <t xml:space="preserve">Transportes Olivares</t>
  </si>
  <si>
    <t xml:space="preserve">+56 9 9637 6297</t>
  </si>
  <si>
    <t xml:space="preserve">http://www.transportesolivares.cl/</t>
  </si>
  <si>
    <t xml:space="preserve">transportesolivares.cl</t>
  </si>
  <si>
    <t xml:space="preserve">2660885</t>
  </si>
  <si>
    <t xml:space="preserve">José Miguel Carrera Verdugo 830, of.6, 2660885 San Antonio, Valparaíso</t>
  </si>
  <si>
    <t xml:space="preserve">lunes:9 am–7 pm | martes:9 am–7 pm | miércoles:9 am–7 pm | jueves:9 am–7 pm | viernes:9 am–6 pm | sábado:Cerrado | domingo:Cerrado</t>
  </si>
  <si>
    <t xml:space="preserve">https://www.google.com/maps?cid=10231734586617826261</t>
  </si>
  <si>
    <t xml:space="preserve">Transporte de carga, San Antonio, Chile</t>
  </si>
  <si>
    <t xml:space="preserve">ChIJKRr43uLdiZYROrcftBGiDMI</t>
  </si>
  <si>
    <t xml:space="preserve">TopMachine</t>
  </si>
  <si>
    <t xml:space="preserve">+56 9 9222 6713</t>
  </si>
  <si>
    <t xml:space="preserve">http://www.topmachine.cl/</t>
  </si>
  <si>
    <t xml:space="preserve">topmachine.cl</t>
  </si>
  <si>
    <t xml:space="preserve">1 - Calle Viana 837 Local 1, Viña del Mar, Valparaíso</t>
  </si>
  <si>
    <t xml:space="preserve">lunes:9 am–2 pm | martes:9 am–2 pm | miércoles:9 am–2 pm | jueves:9 am–2 pm | viernes:9 am–2 pm | sábado:Cerrado | domingo:Cerrado</t>
  </si>
  <si>
    <t xml:space="preserve">https://www.google.com/maps?cid=13982729139998668602</t>
  </si>
  <si>
    <t xml:space="preserve">ChIJyU-2Vd05YpYRTY3Hjq0as3w</t>
  </si>
  <si>
    <t xml:space="preserve">Forza Industrial</t>
  </si>
  <si>
    <t xml:space="preserve">Forza Industrial I HERRAMIENTAS I GENERADORES I SOLDADORAS I COMPRESORES I HIDROLAVADORAS I MOTOR ESTACIONARIOS</t>
  </si>
  <si>
    <t xml:space="preserve">+56 9 6629 5814</t>
  </si>
  <si>
    <t xml:space="preserve">https://www.forzaindustrial.cl/</t>
  </si>
  <si>
    <t xml:space="preserve">forzaindustrial.cl</t>
  </si>
  <si>
    <t xml:space="preserve">Av. Chile 55, Loc B, 2660000 Llolleo, San Antonio, Valparaíso</t>
  </si>
  <si>
    <t xml:space="preserve">Tienda de herramientas y troqueles</t>
  </si>
  <si>
    <t xml:space="preserve">Tienda de herramientas y troqueles, Taller de maquinaria</t>
  </si>
  <si>
    <t xml:space="preserve">https://www.google.com/maps?cid=8985555014261378381</t>
  </si>
  <si>
    <t xml:space="preserve">ChIJCa2d-6vhiZYRdD4ps24G0NE</t>
  </si>
  <si>
    <t xml:space="preserve">Comercializadora de Carnes Gutiérrez y Gutiérrez</t>
  </si>
  <si>
    <t xml:space="preserve">+56 32 221 3124</t>
  </si>
  <si>
    <t xml:space="preserve">https://www.carnesag.cl/</t>
  </si>
  <si>
    <t xml:space="preserve">carnesag.cl</t>
  </si>
  <si>
    <t xml:space="preserve">2340168</t>
  </si>
  <si>
    <t xml:space="preserve">Juana Ross 155, 2340168 Valparaíso</t>
  </si>
  <si>
    <t xml:space="preserve">Proveedor mayorista de alimentos</t>
  </si>
  <si>
    <t xml:space="preserve">lunes:8 am–2 pm | martes:8 am–2 pm | miércoles:8 am–2 pm | jueves:8 am–2 pm | viernes:8 am–2 pm | sábado:Cerrado | domingo:Cerrado</t>
  </si>
  <si>
    <t xml:space="preserve">https://www.google.com/maps?cid=15118591021604748916</t>
  </si>
  <si>
    <t xml:space="preserve">Frigoríficos, V Región, Chile</t>
  </si>
  <si>
    <t xml:space="preserve">ChIJiX4WM4veiZYRsQ5pBIXFnuw</t>
  </si>
  <si>
    <t xml:space="preserve">CER Chile</t>
  </si>
  <si>
    <t xml:space="preserve">+56 9 9745 4023</t>
  </si>
  <si>
    <t xml:space="preserve">http://www.cer-chile.cl/</t>
  </si>
  <si>
    <t xml:space="preserve">cer-chile.cl</t>
  </si>
  <si>
    <t xml:space="preserve">C. Limache 3437, Ofi 520, Viña del Mar, Valparaíso</t>
  </si>
  <si>
    <t xml:space="preserve">https://www.google.com/maps?cid=17050282414366592689</t>
  </si>
  <si>
    <t xml:space="preserve">ChIJf-0CUiw5YpYRlKtqkW09qxo</t>
  </si>
  <si>
    <t xml:space="preserve">2662776</t>
  </si>
  <si>
    <t xml:space="preserve">Barros Luco 1814, 6, 2662776 Barrancas, San Antonio, Valparaíso</t>
  </si>
  <si>
    <t xml:space="preserve">lunes:9 am–6:30 pm | martes:9 am–6:30 pm | miércoles:9 am–6:30 pm | jueves:9 am–6:30 pm | viernes:9 am–6:30 pm | sábado:Cerrado | domingo:Cerrado</t>
  </si>
  <si>
    <t xml:space="preserve">https://www.google.com/maps?cid=1921697206804065172</t>
  </si>
  <si>
    <t xml:space="preserve">ChIJ_3c7OSnhiZYRXn7zp_cMfCk</t>
  </si>
  <si>
    <t xml:space="preserve">Compañía de Servicios Aduaneros y Transportes SPA</t>
  </si>
  <si>
    <t xml:space="preserve">+56 9 6434 9141</t>
  </si>
  <si>
    <t xml:space="preserve">http://www.transporteinternacional.cl/</t>
  </si>
  <si>
    <t xml:space="preserve">transporteinternacional.cl</t>
  </si>
  <si>
    <t xml:space="preserve">2361897</t>
  </si>
  <si>
    <t xml:space="preserve">Esmeralda 1074, 2361897 Valparaíso</t>
  </si>
  <si>
    <t xml:space="preserve">https://www.google.com/maps?cid=2989278510481374814</t>
  </si>
  <si>
    <t xml:space="preserve">Servicios logísticos, Valparaiso - Chile; Servicios logísticos, Valparaiso, Chile; Transporte de carga, Valparaiso, Chile</t>
  </si>
  <si>
    <t xml:space="preserve">ChIJ61VU6z91YpYRVoOEYZGHclU</t>
  </si>
  <si>
    <t xml:space="preserve">Imperio Transportes</t>
  </si>
  <si>
    <t xml:space="preserve">+56 9 8157 1998</t>
  </si>
  <si>
    <t xml:space="preserve">http://www.imperiotransportes.com/</t>
  </si>
  <si>
    <t xml:space="preserve">imperiotransportes.com</t>
  </si>
  <si>
    <t xml:space="preserve">Cerro El Altar 2821, Valparaíso</t>
  </si>
  <si>
    <t xml:space="preserve">Empresa de transporte por camión, Servicio de transporte</t>
  </si>
  <si>
    <t xml:space="preserve">https://www.google.com/maps?cid=6157132699044971350</t>
  </si>
  <si>
    <t xml:space="preserve">ChIJC75NpkZ1YpYRsnJ5GyZX4SA</t>
  </si>
  <si>
    <t xml:space="preserve">THM Transporte Humberto Morales</t>
  </si>
  <si>
    <t xml:space="preserve">+56 32 213 1200</t>
  </si>
  <si>
    <t xml:space="preserve">http://www.thm.cl/</t>
  </si>
  <si>
    <t xml:space="preserve">thm.cl</t>
  </si>
  <si>
    <t xml:space="preserve">0002222</t>
  </si>
  <si>
    <t xml:space="preserve">Novena Avenida 2225, 0002222 Valparaíso</t>
  </si>
  <si>
    <t xml:space="preserve">https://www.google.com/maps?cid=2369270700154909362</t>
  </si>
  <si>
    <t xml:space="preserve">ChIJPUVdtVt1YpYRe4HinK-elOk</t>
  </si>
  <si>
    <t xml:space="preserve">Bodegas Kochifas</t>
  </si>
  <si>
    <t xml:space="preserve">+56 9 8901 8446</t>
  </si>
  <si>
    <t xml:space="preserve">http://www.bodegaskochifas.cl/</t>
  </si>
  <si>
    <t xml:space="preserve">bodegaskochifas.cl</t>
  </si>
  <si>
    <t xml:space="preserve">Fundo los Perales - Cuesta Balmaceda, Cam. La Pólvora, 2340000 Valparaíso</t>
  </si>
  <si>
    <t xml:space="preserve">lunes:9 am–6 pm | martes:9 am–6 pm | miércoles:9 am–6 pm | jueves:9 am–6 pm | viernes:9 am–6 pm | sábado:9 am–5 pm | domingo:Cerrado</t>
  </si>
  <si>
    <t xml:space="preserve">https://www.google.com/maps?cid=16831252184478941563</t>
  </si>
  <si>
    <t xml:space="preserve">ChIJ-c9_U_DdiZYRsg96-XJm3W4</t>
  </si>
  <si>
    <t xml:space="preserve">Endopack Chile</t>
  </si>
  <si>
    <t xml:space="preserve">+56 9 8797 0197</t>
  </si>
  <si>
    <t xml:space="preserve">http://www.endopackchile.cl/</t>
  </si>
  <si>
    <t xml:space="preserve">endopackchile.cl</t>
  </si>
  <si>
    <t xml:space="preserve">Etchevers 185, Loc 67-A, 2520000 Viña del Mar, Valparaíso</t>
  </si>
  <si>
    <t xml:space="preserve">lunes:9:30 am–2:30 pm | martes:9:30 am–2:30 pm | miércoles:9:30 am–2:30 pm | jueves:9:30 am–2:30 pm | viernes:9:30 am–2:30 pm | sábado:10 am–2:30 pm | domingo:Cerrado</t>
  </si>
  <si>
    <t xml:space="preserve">https://www.google.com/maps?cid=7988653958022959026</t>
  </si>
  <si>
    <t xml:space="preserve">ChIJR1CGMfk4YpYRsM7SwWbQDqA</t>
  </si>
  <si>
    <t xml:space="preserve">Maersk Chile</t>
  </si>
  <si>
    <t xml:space="preserve">+56 35 221 1289</t>
  </si>
  <si>
    <t xml:space="preserve">https://www.maersk.com/</t>
  </si>
  <si>
    <t xml:space="preserve">2662756</t>
  </si>
  <si>
    <t xml:space="preserve">Barros Luco 1613, P 12 San Antoni, 2662756 San Antonio, Valparaíso</t>
  </si>
  <si>
    <t xml:space="preserve">Servicios de empresa a empresa, Empresa</t>
  </si>
  <si>
    <t xml:space="preserve">https://www.google.com/maps?cid=11533384835499478704</t>
  </si>
  <si>
    <t xml:space="preserve">ChIJy5pXI-7eiZYRB3ovfXTOXo4</t>
  </si>
  <si>
    <t xml:space="preserve">Reno Chile SA</t>
  </si>
  <si>
    <t xml:space="preserve">+56 2 2460 1000</t>
  </si>
  <si>
    <t xml:space="preserve">http://www.reno.cl/</t>
  </si>
  <si>
    <t xml:space="preserve">reno.cl</t>
  </si>
  <si>
    <t xml:space="preserve">C. Limache 3730, Viña del Mar, Valparaíso</t>
  </si>
  <si>
    <t xml:space="preserve">Planta química</t>
  </si>
  <si>
    <t xml:space="preserve">https://www.google.com/maps?cid=10258864000908360199</t>
  </si>
  <si>
    <t xml:space="preserve">ChIJoc6Vucp1YpYRAWniB2Mxz8I</t>
  </si>
  <si>
    <t xml:space="preserve">TFL TRANSPORTES</t>
  </si>
  <si>
    <t xml:space="preserve">+56 9 9879 8720</t>
  </si>
  <si>
    <t xml:space="preserve">http://www.tfltransportes.cl/</t>
  </si>
  <si>
    <t xml:space="preserve">tfltransportes.cl</t>
  </si>
  <si>
    <t xml:space="preserve">3100000</t>
  </si>
  <si>
    <t xml:space="preserve">NOVENA AVENIDA 2315 PLACILLA, ORIENTE, 3100000 Valparaíso</t>
  </si>
  <si>
    <t xml:space="preserve">https://www.google.com/maps?cid=14037492864940927233</t>
  </si>
  <si>
    <t xml:space="preserve">ChIJnTvDu1Q4YpYRSFPQap_n-68</t>
  </si>
  <si>
    <t xml:space="preserve">HGT Extraportuarios S.A.</t>
  </si>
  <si>
    <t xml:space="preserve">+56 32 232 4200</t>
  </si>
  <si>
    <t xml:space="preserve">http://www.aep.cl/</t>
  </si>
  <si>
    <t xml:space="preserve">aep.cl</t>
  </si>
  <si>
    <t xml:space="preserve">Pablo Neruda 289, Barrancas, San Antonio, Valparaíso</t>
  </si>
  <si>
    <t xml:space="preserve">https://www.google.com/maps?cid=12680983847669617480</t>
  </si>
  <si>
    <t xml:space="preserve">ChIJiYtgwP_hiZYRODe7AjkNryc</t>
  </si>
  <si>
    <t xml:space="preserve">Transportes TRG</t>
  </si>
  <si>
    <t xml:space="preserve">+56 32 276 8062</t>
  </si>
  <si>
    <t xml:space="preserve">http://www.trg.cl/</t>
  </si>
  <si>
    <t xml:space="preserve">trg.cl</t>
  </si>
  <si>
    <t xml:space="preserve">Camino Antiguo S/N Esquina La Pólvora, Valparaíso</t>
  </si>
  <si>
    <t xml:space="preserve">Solo comuna</t>
  </si>
  <si>
    <t xml:space="preserve">lunes:9 am–7 pm | martes:9 am–7 pm | miércoles:9 am–7 pm | jueves:9 am–7 pm | viernes:9 am–7 pm | sábado:9 am–1:30 pm | domingo:Cerrado</t>
  </si>
  <si>
    <t xml:space="preserve">https://www.google.com/maps?cid=2859518826913675064</t>
  </si>
  <si>
    <t xml:space="preserve">ChIJb1_j0XbeiZYRcM2JlVTgF2Q</t>
  </si>
  <si>
    <t xml:space="preserve">Servicemaq Ltda</t>
  </si>
  <si>
    <t xml:space="preserve">+56 9 6544 1511</t>
  </si>
  <si>
    <t xml:space="preserve">http://www.servicemaq.cl/servicios</t>
  </si>
  <si>
    <t xml:space="preserve">servicemaq.cl</t>
  </si>
  <si>
    <t xml:space="preserve">Cancha 106, 2520000 Viña del Mar, Valparaíso</t>
  </si>
  <si>
    <t xml:space="preserve">Proveedor de maquinaria de construcción</t>
  </si>
  <si>
    <t xml:space="preserve">https://www.google.com/maps?cid=7212479982147849584</t>
  </si>
  <si>
    <t xml:space="preserve">ChIJESF5OeXgiZYRylgHi9rPRyc</t>
  </si>
  <si>
    <t xml:space="preserve">Mger Industrial Ltda</t>
  </si>
  <si>
    <t xml:space="preserve">+56 9 6206 0733</t>
  </si>
  <si>
    <t xml:space="preserve">http://www.mger.cl/</t>
  </si>
  <si>
    <t xml:space="preserve">mger.cl</t>
  </si>
  <si>
    <t xml:space="preserve">Camino lajarilla 744 bodega 3A, Viña del Mar, Valparaíso</t>
  </si>
  <si>
    <t xml:space="preserve">https://www.google.com/maps?cid=2830459428367980746</t>
  </si>
  <si>
    <t xml:space="preserve">ChIJe1rznE04YpYR_akn6Hkop-k</t>
  </si>
  <si>
    <t xml:space="preserve">Transportes CaboVerde</t>
  </si>
  <si>
    <t xml:space="preserve">+56 9 8297 9433</t>
  </si>
  <si>
    <t xml:space="preserve">http://www.transportescaboverde.cl/</t>
  </si>
  <si>
    <t xml:space="preserve">transportescaboverde.cl</t>
  </si>
  <si>
    <t xml:space="preserve">2660897</t>
  </si>
  <si>
    <t xml:space="preserve">San Pedro 2130, 2660897 San Antonio, Valparaíso</t>
  </si>
  <si>
    <t xml:space="preserve">lunes:8 am–8 pm | martes:8 am–8 pm | miércoles:8 am–8 pm | jueves:8 am–8 pm | viernes:8 am–8 pm | sábado:8 am–8 pm | domingo:8 am–8 pm</t>
  </si>
  <si>
    <t xml:space="preserve">https://www.google.com/maps?cid=16836470235998956029</t>
  </si>
  <si>
    <t xml:space="preserve">ChIJ9QouB5_fiZYRvyARZGumRSg</t>
  </si>
  <si>
    <t xml:space="preserve">Maquintec</t>
  </si>
  <si>
    <t xml:space="preserve">+56 9 3545 4670</t>
  </si>
  <si>
    <t xml:space="preserve">https://maquintec.cl/</t>
  </si>
  <si>
    <t xml:space="preserve">maquintec.cl</t>
  </si>
  <si>
    <t xml:space="preserve">Agua Santa 2455, Viña del Mar, Valparaíso</t>
  </si>
  <si>
    <t xml:space="preserve">Oficinas de empresa, Alquiler de maquinaria y equipos industriales, Cuarto de herramientas</t>
  </si>
  <si>
    <t xml:space="preserve">lunes:8:30 am–6 pm | martes:8:30 am–6:30 pm | miércoles:8:30 am–6:30 pm | jueves:8:30 am–6:30 pm | viernes:8:30 am–6:30 pm | sábado:Cerrado | domingo:Cerrado</t>
  </si>
  <si>
    <t xml:space="preserve">https://www.google.com/maps?cid=2901908515080708287</t>
  </si>
  <si>
    <t xml:space="preserve">ChIJ02c5Wzc4YpYRMihqhMsnUzs</t>
  </si>
  <si>
    <t xml:space="preserve">ICA Transportes</t>
  </si>
  <si>
    <t xml:space="preserve">+56 35 228 0179</t>
  </si>
  <si>
    <t xml:space="preserve">http://www.icatransportes.cl/</t>
  </si>
  <si>
    <t xml:space="preserve">icatransportes.cl</t>
  </si>
  <si>
    <t xml:space="preserve">2661191</t>
  </si>
  <si>
    <t xml:space="preserve">El Paico 1202, 2661191 San Antonio, Valparaíso</t>
  </si>
  <si>
    <t xml:space="preserve">lunes:8:30 am–6 pm | martes:8:30 am–6 pm | miércoles:8:30 am–6 pm | jueves:8:30 am–6 pm | viernes:8:30 am–6 pm | sábado:8:30 am–6 pm | domingo:Cerrado</t>
  </si>
  <si>
    <t xml:space="preserve">https://www.google.com/maps?cid=4274804226358126642</t>
  </si>
  <si>
    <t xml:space="preserve">ChIJj0oIbl3ciZYRvbfTjTSSrr4</t>
  </si>
  <si>
    <t xml:space="preserve">Empresas Carozzi Planta Reñaca</t>
  </si>
  <si>
    <t xml:space="preserve">+56 32 227 6000</t>
  </si>
  <si>
    <t xml:space="preserve">No</t>
  </si>
  <si>
    <t xml:space="preserve">Cam. Internacional 2825, Viña del Mar, Valparaíso</t>
  </si>
  <si>
    <t xml:space="preserve">lunes:8 am–4 pm | martes:8 am–4 pm | miércoles:8 am–4 pm | jueves:8 am–4 pm | viernes:8 am–4 pm | sábado:8 am–4 pm | domingo:Cerrado</t>
  </si>
  <si>
    <t xml:space="preserve">https://www.google.com/maps?cid=13740080267569379261</t>
  </si>
  <si>
    <t xml:space="preserve">sin_web_propia</t>
  </si>
  <si>
    <t xml:space="preserve">ChIJOy_3Mv85YpYRlEDRDZPxJkE</t>
  </si>
  <si>
    <t xml:space="preserve">AGUNSA EXTRAPORTUARIO - AEXSA</t>
  </si>
  <si>
    <t xml:space="preserve">+56 35 245 6800</t>
  </si>
  <si>
    <t xml:space="preserve">http://www.aexsa.cl/</t>
  </si>
  <si>
    <t xml:space="preserve">aexsa.cl</t>
  </si>
  <si>
    <t xml:space="preserve">San Antonio, Valparaíso</t>
  </si>
  <si>
    <t xml:space="preserve">lunes:9 am–9 pm | martes:9 am–9 pm | miércoles:9 am–9 pm | jueves:9 am–9 pm | viernes:9 am–9 pm | sábado:9 am–3 pm | domingo:Cerrado</t>
  </si>
  <si>
    <t xml:space="preserve">https://www.google.com/maps?cid=4694705275474624660</t>
  </si>
  <si>
    <t xml:space="preserve">Bodegas y almacenaje, San Antonio</t>
  </si>
  <si>
    <t xml:space="preserve">ChIJb6g1Zfg4YpYRNUoyyQOwvLk</t>
  </si>
  <si>
    <t xml:space="preserve">Ferretería Antofagasta</t>
  </si>
  <si>
    <t xml:space="preserve">+56 9 9744 6775</t>
  </si>
  <si>
    <t xml:space="preserve">https://wa.me/56997446775</t>
  </si>
  <si>
    <t xml:space="preserve">wa.me</t>
  </si>
  <si>
    <t xml:space="preserve">2662798</t>
  </si>
  <si>
    <t xml:space="preserve">Antofagasta 214, 2662798 San Antonio, Valparaíso</t>
  </si>
  <si>
    <t xml:space="preserve">Tienda de herramientas</t>
  </si>
  <si>
    <t xml:space="preserve">Tienda de herramientas, Mercado de materiales de construcción, Establecimiento de venta de madera, Proveedor de metales, Proveedor de madera</t>
  </si>
  <si>
    <t xml:space="preserve">lunes:9 am–2 pm | martes:9 am–2 pm | miércoles:9 am–2 pm | jueves:9 am–2 pm | viernes:9 am–2 pm | sábado:9:30 am–1:30 pm | domingo:Cerrado</t>
  </si>
  <si>
    <t xml:space="preserve">https://www.google.com/maps?cid=13383765722945178165</t>
  </si>
  <si>
    <t xml:space="preserve">ChIJm4tO6kDgiZYR5A_SLU9biVg</t>
  </si>
  <si>
    <t xml:space="preserve">Altos del Puerto</t>
  </si>
  <si>
    <t xml:space="preserve">+56 9 7748 2466</t>
  </si>
  <si>
    <t xml:space="preserve">http://www.altosdelpuerto.cl/</t>
  </si>
  <si>
    <t xml:space="preserve">altosdelpuerto.cl</t>
  </si>
  <si>
    <t xml:space="preserve">Camino La Pólvora 106, Valparaíso</t>
  </si>
  <si>
    <t xml:space="preserve">https://www.google.com/maps?cid=6379730742776303588</t>
  </si>
  <si>
    <t xml:space="preserve">ChIJXYWy60bDiZYRE1elK25TwIU</t>
  </si>
  <si>
    <t xml:space="preserve">BASF Concón</t>
  </si>
  <si>
    <t xml:space="preserve">+56 32 226 7500</t>
  </si>
  <si>
    <t xml:space="preserve">http://www.basf.cl/</t>
  </si>
  <si>
    <t xml:space="preserve">basf.cl</t>
  </si>
  <si>
    <t xml:space="preserve">Quintero, Valparaíso</t>
  </si>
  <si>
    <t xml:space="preserve">lunes:8 am–6 pm | martes:8 am–6 pm | miércoles:8 am–6 pm | jueves:8 am–6 pm | viernes:8 am–6 pm | sábado:8 am–6 pm | domingo:Cerrado</t>
  </si>
  <si>
    <t xml:space="preserve">https://www.google.com/maps?cid=9637794935216625427</t>
  </si>
  <si>
    <t xml:space="preserve">Procesos Químicos, Concón - Chile</t>
  </si>
  <si>
    <t xml:space="preserve">ChIJWU61uN85YpYR12pGP1ryJdU</t>
  </si>
  <si>
    <t xml:space="preserve">MAKK SpA</t>
  </si>
  <si>
    <t xml:space="preserve">+56 9 4749 7378</t>
  </si>
  <si>
    <t xml:space="preserve">http://www.makk.cl/</t>
  </si>
  <si>
    <t xml:space="preserve">makk.cl</t>
  </si>
  <si>
    <t xml:space="preserve">2662936</t>
  </si>
  <si>
    <t xml:space="preserve">Republica 1937, 2662936 Barrancas, San Antonio, Valparaíso</t>
  </si>
  <si>
    <t xml:space="preserve">Servicio de alquiler de herramientas</t>
  </si>
  <si>
    <t xml:space="preserve">lunes:8:30 am–1:30 pm | martes:8:30 am–1:30 pm | miércoles:8:30 am–1:30 pm | jueves:8:30 am–1:30 pm | viernes:8:30 am–1:30 pm | sábado:Cerrado | domingo:Cerrado</t>
  </si>
  <si>
    <t xml:space="preserve">https://www.google.com/maps?cid=15358948573639502551</t>
  </si>
  <si>
    <t xml:space="preserve">Maquinaria (archivo)</t>
  </si>
  <si>
    <t xml:space="preserve">sin_resenas</t>
  </si>
  <si>
    <t xml:space="preserve">ChIJifX48385YpYRzRgugRuarwo</t>
  </si>
  <si>
    <t xml:space="preserve">Inversiones Kanin Ltda</t>
  </si>
  <si>
    <t xml:space="preserve">+56 9 7900 5720</t>
  </si>
  <si>
    <t xml:space="preserve">https://www.kanin.cl/</t>
  </si>
  <si>
    <t xml:space="preserve">kanin.cl</t>
  </si>
  <si>
    <t xml:space="preserve">Divina Providencia 2105, Depto 1, 2660000 San Antonio, Valparaíso</t>
  </si>
  <si>
    <t xml:space="preserve">Empresa de movimiento de tierras</t>
  </si>
  <si>
    <t xml:space="preserve">Empresa de movimiento de tierras, Empresa de recogida de escombros</t>
  </si>
  <si>
    <t xml:space="preserve">lunes:8 am–6 pm | martes:8 am–6 pm | miércoles:8 am–6 pm | jueves:8 am–6 pm | viernes:8 am–6 pm | sábado:8 am–2 pm | domingo:Cerrado</t>
  </si>
  <si>
    <t xml:space="preserve">https://www.google.com/maps?cid=770003504225720525</t>
  </si>
  <si>
    <t xml:space="preserve">ChIJqXTam6TdiZYRpFJgmTXNuNc</t>
  </si>
  <si>
    <t xml:space="preserve">Intermarine Services Group</t>
  </si>
  <si>
    <t xml:space="preserve">+56 9 3263 5175</t>
  </si>
  <si>
    <t xml:space="preserve">https://www.intermarineservices.cl/</t>
  </si>
  <si>
    <t xml:space="preserve">intermarineservices.cl</t>
  </si>
  <si>
    <t xml:space="preserve">2 Ote. 124, Of. 205, 2520000 Viña del Mar, Valparaíso</t>
  </si>
  <si>
    <t xml:space="preserve">https://www.google.com/maps?cid=15544399743959454372</t>
  </si>
  <si>
    <t xml:space="preserve">Manufactura (archivo)</t>
  </si>
  <si>
    <t xml:space="preserve">ChIJz3X5dcjdiZYRaBFIjWu_Yio</t>
  </si>
  <si>
    <t xml:space="preserve">A1 Maquinarias</t>
  </si>
  <si>
    <t xml:space="preserve">+56 9 5283 4355</t>
  </si>
  <si>
    <t xml:space="preserve">https://a1maquinarias.cl/</t>
  </si>
  <si>
    <t xml:space="preserve">a1maquinarias.cl</t>
  </si>
  <si>
    <t xml:space="preserve">2500000</t>
  </si>
  <si>
    <t xml:space="preserve">1 Pte 18, Ofi C1, 2500000 Viña del Mar, Valparaíso</t>
  </si>
  <si>
    <t xml:space="preserve">Empresa de suministros industriales, Servicio de alquiler de equipos para la construcción, Proveedor de maquinaria de construcción, Concesionario de maquinaria de construcción, Servicio de alquiler de maquinaria para construcción, Taller de maquinaria, Equipo para minería</t>
  </si>
  <si>
    <t xml:space="preserve">lunes:8 am–7 pm | martes:8 am–7 pm | miércoles:8 am–7 pm | jueves:8 am–7 pm | viernes:8 am–7 pm | sábado:9 am–3 pm | domingo:Cerrado</t>
  </si>
  <si>
    <t xml:space="preserve">https://www.google.com/maps?cid=3054213965963333992</t>
  </si>
  <si>
    <t xml:space="preserve">ChIJxZqFMMHdiZYRUrvlkQLBz_E</t>
  </si>
  <si>
    <t xml:space="preserve">Acemar Chile Ltda</t>
  </si>
  <si>
    <t xml:space="preserve">+56 32 336 6411</t>
  </si>
  <si>
    <t xml:space="preserve">http://www.acemarchile.cl/conctactenos/</t>
  </si>
  <si>
    <t xml:space="preserve">acemarchile.cl</t>
  </si>
  <si>
    <t xml:space="preserve">2552387</t>
  </si>
  <si>
    <t xml:space="preserve">Raul Toro 144 Achupallas, 2552387 Viña del Mar, Valparaíso</t>
  </si>
  <si>
    <t xml:space="preserve">https://www.google.com/maps?cid=17424357700101585746</t>
  </si>
  <si>
    <t xml:space="preserve">ChIJjy3J5FPdiZYRBc9bfd1p9mU</t>
  </si>
  <si>
    <t xml:space="preserve">Vidangossy Maquinaria</t>
  </si>
  <si>
    <t xml:space="preserve">+56 9 8731 9307</t>
  </si>
  <si>
    <t xml:space="preserve">https://vidangossymaquinaria.com/</t>
  </si>
  <si>
    <t xml:space="preserve">vidangossymaquinaria.com</t>
  </si>
  <si>
    <t xml:space="preserve">2510000</t>
  </si>
  <si>
    <t xml:space="preserve">Av. Concón Reñaca 4000, Ofi 203, 2510000 Concón, Valparaíso</t>
  </si>
  <si>
    <t xml:space="preserve">Proveedor de equipos para fábricas</t>
  </si>
  <si>
    <t xml:space="preserve">lunes:8 am–6 pm | martes:8 am–6 pm | miércoles:8 am–6 pm | jueves:8 am–6 pm | viernes:8 am–6 pm | sábado:8 am–2:30 pm | domingo:Cerrado</t>
  </si>
  <si>
    <t xml:space="preserve">https://www.google.com/maps?cid=7347176242113400581</t>
  </si>
  <si>
    <t xml:space="preserve">ChIJlfcyVCnhiZYRMOrr-s2b2H4</t>
  </si>
  <si>
    <t xml:space="preserve">Locargo Transporte y Logística</t>
  </si>
  <si>
    <t xml:space="preserve">+56 9 7698 9476</t>
  </si>
  <si>
    <t xml:space="preserve">https://www.locargo.cl/</t>
  </si>
  <si>
    <t xml:space="preserve">locargo.cl</t>
  </si>
  <si>
    <t xml:space="preserve">Esmeralda 973, Ofi 502, 2340000 Valparaíso</t>
  </si>
  <si>
    <t xml:space="preserve">Servicio de envíos</t>
  </si>
  <si>
    <t xml:space="preserve">Servicio de envíos, Servicio de transporte</t>
  </si>
  <si>
    <t xml:space="preserve">lunes:9 am–5 pm | martes:9 am–5 pm | miércoles:9 am–5 pm | jueves:9 am–5 pm | viernes:9 am–5 pm | sábado:Cerrado | domingo:Cerrado</t>
  </si>
  <si>
    <t xml:space="preserve">https://www.google.com/maps?cid=9140226752728787504</t>
  </si>
  <si>
    <t xml:space="preserve">Servicios logísticos (archivo)</t>
  </si>
  <si>
    <t xml:space="preserve">ChIJV-1YbsLhiZYR2zSaai1uM90</t>
  </si>
  <si>
    <t xml:space="preserve">Compañía de Servicios Integrales de Transportes y Aduaneros SPA</t>
  </si>
  <si>
    <t xml:space="preserve">+56 9 5144 2374</t>
  </si>
  <si>
    <t xml:space="preserve">http://www.ncsita.com/</t>
  </si>
  <si>
    <t xml:space="preserve">ncsita.com</t>
  </si>
  <si>
    <t xml:space="preserve">Prat 814, Ofi 503, 2340000 Valparaíso</t>
  </si>
  <si>
    <t xml:space="preserve">lunes:9 am–5 pm | martes:9 am–5 pm | miércoles:9 am–5 pm | jueves:9 am–5 pm | viernes:9 am–5 pm | sábado:9 am–1 pm | domingo:Cerrado</t>
  </si>
  <si>
    <t xml:space="preserve">https://www.google.com/maps?cid=15939204647535391963</t>
  </si>
  <si>
    <t xml:space="preserve">ChIJEV5ikqrfiZYRCpoBgwrOzIg</t>
  </si>
  <si>
    <t xml:space="preserve">Transportes Marcelo Sepúlveda</t>
  </si>
  <si>
    <t xml:space="preserve">+56 9 7621 6002</t>
  </si>
  <si>
    <t xml:space="preserve">Av. Valdivia 212, 2520000 Viña del Mar, Valparaíso</t>
  </si>
  <si>
    <t xml:space="preserve">Servicio de mudanzas</t>
  </si>
  <si>
    <t xml:space="preserve">https://www.google.com/maps?cid=9857480228950088202</t>
  </si>
  <si>
    <t xml:space="preserve">Transporte de carga, Viña del Mar, Chile</t>
  </si>
  <si>
    <t xml:space="preserve">ChIJmyBh1N7eiZYRyymKwdg5rDE</t>
  </si>
  <si>
    <t xml:space="preserve">Química Passol S.A.</t>
  </si>
  <si>
    <t xml:space="preserve">Sin teléfono</t>
  </si>
  <si>
    <t xml:space="preserve">https://www.passol.cl/</t>
  </si>
  <si>
    <t xml:space="preserve">passol.cl</t>
  </si>
  <si>
    <t xml:space="preserve">2520651</t>
  </si>
  <si>
    <t xml:space="preserve">C. Limache 4225, 2520651 Viña del Mar, Valparaíso</t>
  </si>
  <si>
    <t xml:space="preserve">Pintura</t>
  </si>
  <si>
    <t xml:space="preserve">Pintura, Planta química, Fabricante de pinturas</t>
  </si>
  <si>
    <t xml:space="preserve">https://www.google.com/maps?cid=3579299406975478219</t>
  </si>
  <si>
    <t xml:space="preserve">Procesos Químicos, Concón - Chile; Procesos Químicos, Quilpué - Chile</t>
  </si>
  <si>
    <t xml:space="preserve">sin_telefono</t>
  </si>
  <si>
    <t xml:space="preserve">ChIJbUqcgGhHYpYR4oA0XCFrz5U</t>
  </si>
  <si>
    <t xml:space="preserve">Transportes Nuevo Mundo</t>
  </si>
  <si>
    <t xml:space="preserve">https://www.transportesnm.cl/</t>
  </si>
  <si>
    <t xml:space="preserve">transportesnm.cl</t>
  </si>
  <si>
    <t xml:space="preserve">Las Acacias 176, San Antonio, Valparaíso</t>
  </si>
  <si>
    <t xml:space="preserve">https://www.google.com/maps?cid=10794964622855405794</t>
  </si>
  <si>
    <t xml:space="preserve">ChIJ92VVPmPeiZYR3eeshGAjn1c</t>
  </si>
  <si>
    <t xml:space="preserve">Transportes Artisa</t>
  </si>
  <si>
    <t xml:space="preserve">+56 32 218 7550</t>
  </si>
  <si>
    <t xml:space="preserve">1 Nte. 2461, Viña del Mar, Valparaíso</t>
  </si>
  <si>
    <t xml:space="preserve">lunes:8:30 am–6:30 pm | martes:8:30 am–6:30 pm | miércoles:8:30 am–6:30 pm | jueves:8:30 am–6:30 pm | viernes:8:30 am–6:30 pm | sábado:Cerrado | domingo:Cerrado</t>
  </si>
  <si>
    <t xml:space="preserve">https://www.google.com/maps?cid=6313804100046481373</t>
  </si>
  <si>
    <t xml:space="preserve">ChIJPdCNnvPeiZYRfZ4JSCREMc0</t>
  </si>
  <si>
    <t xml:space="preserve">Starken Viña Central Carga</t>
  </si>
  <si>
    <t xml:space="preserve">https://www.starken.cl/</t>
  </si>
  <si>
    <t xml:space="preserve">starken.cl</t>
  </si>
  <si>
    <t xml:space="preserve">2562231</t>
  </si>
  <si>
    <t xml:space="preserve">bodega 13 - C. Limache N°3400, 2562231 Viña del Mar, Valparaíso</t>
  </si>
  <si>
    <t xml:space="preserve">Empresa de transporte por camión, Oficina de correos, Servicio de mensajería</t>
  </si>
  <si>
    <t xml:space="preserve">lunes:9 am–6:30 pm | martes:9 am–6:30 pm | miércoles:9 am–6:30 pm | jueves:9 am–6:30 pm | viernes:9 am–6:30 pm | sábado:9 am–1 pm | domingo:Cerrado</t>
  </si>
  <si>
    <t xml:space="preserve">https://www.google.com/maps?cid=14785673974252150397</t>
  </si>
  <si>
    <t xml:space="preserve">ChIJY6NavVM4YpYRWIju5KJpa_s</t>
  </si>
  <si>
    <t xml:space="preserve">Sitrans San Antonio Bajo</t>
  </si>
  <si>
    <t xml:space="preserve">+56 35 236 2100</t>
  </si>
  <si>
    <t xml:space="preserve">Bernardo O'Higgins Riquelme 2767, San Antonio, Valparaíso</t>
  </si>
  <si>
    <t xml:space="preserve">https://www.google.com/maps?cid=18116690074374408280</t>
  </si>
  <si>
    <t xml:space="preserve">sin_web_propia, sin_horario</t>
  </si>
  <si>
    <t xml:space="preserve">ChIJpbVg4eE4YpYRX7eoEeXZFj8</t>
  </si>
  <si>
    <t xml:space="preserve">Puerto Panul S.A.</t>
  </si>
  <si>
    <t xml:space="preserve">http://www.puertopanul.cl/</t>
  </si>
  <si>
    <t xml:space="preserve">puertopanul.cl</t>
  </si>
  <si>
    <t xml:space="preserve">Antonio Núñez de Fonseca 440, San Antonio, Valparaíso</t>
  </si>
  <si>
    <t xml:space="preserve">https://www.google.com/maps?cid=4546060451744102239</t>
  </si>
  <si>
    <t xml:space="preserve">sin_telefono, sin_horario</t>
  </si>
  <si>
    <t xml:space="preserve">ChIJ8daEza05YpYRk_rvwpVriEo</t>
  </si>
  <si>
    <t xml:space="preserve">Nodo Logistico</t>
  </si>
  <si>
    <t xml:space="preserve">+56 9 6655 2831</t>
  </si>
  <si>
    <t xml:space="preserve">La Playa 34, San Antonio, Valparaíso</t>
  </si>
  <si>
    <t xml:space="preserve">lunes:8 am–12 pm | martes:8 am–12 pm | miércoles:8 am–12 pm | jueves:8 am–12 pm | viernes:8 am–12 pm | sábado:8 am–12 pm | domingo:Cerrado</t>
  </si>
  <si>
    <t xml:space="preserve">https://www.google.com/maps?cid=5370660846604122771</t>
  </si>
  <si>
    <t xml:space="preserve">Logística en San Antonio, Chile; Servicios logísticos, San Antonio, Chile</t>
  </si>
  <si>
    <t xml:space="preserve">ChIJ99HLpsw5YpYROURRiPBmqH8</t>
  </si>
  <si>
    <t xml:space="preserve">Planta San Antonio</t>
  </si>
  <si>
    <t xml:space="preserve">https://unacem.cl/</t>
  </si>
  <si>
    <t xml:space="preserve">unacem.cl</t>
  </si>
  <si>
    <t xml:space="preserve">Ruta G-56, Acceso al puerto 2549, 2660000 San Antonio, Valparaíso</t>
  </si>
  <si>
    <t xml:space="preserve">lunes:9 am–7 pm | martes:9 am–7 pm | miércoles:9 am–7 pm | jueves:9 am–7 pm | viernes:9 am–7 pm | sábado:Cerrado | domingo:Cerrado</t>
  </si>
  <si>
    <t xml:space="preserve">https://www.google.com/maps?cid=9198715422169449529</t>
  </si>
  <si>
    <t xml:space="preserve">ChIJlQkmhwQ5YpYRgmHcuSt6us4</t>
  </si>
  <si>
    <t xml:space="preserve">COSEDUCAM S.A.</t>
  </si>
  <si>
    <t xml:space="preserve">+56 35 221 2005</t>
  </si>
  <si>
    <t xml:space="preserve">J.L Sanfuentes A 1137, 2660000 San Antonio, Valparaíso</t>
  </si>
  <si>
    <t xml:space="preserve">Servicio de gestión de residuos</t>
  </si>
  <si>
    <t xml:space="preserve">Servicio de gestión de residuos, Servicio de mensajería</t>
  </si>
  <si>
    <t xml:space="preserve">https://www.google.com/maps?cid=14896353045701747074</t>
  </si>
  <si>
    <t xml:space="preserve">Servicios logísticos, San Antonio, Chile</t>
  </si>
  <si>
    <t xml:space="preserve">ChIJV1hlfx_fiZYRKocrpicu9DA</t>
  </si>
  <si>
    <t xml:space="preserve">Aerzen Chile S.P.A.</t>
  </si>
  <si>
    <t xml:space="preserve">Aerzen Chile S.P.A. | Compresores, Sopladores y Turbosopladores</t>
  </si>
  <si>
    <t xml:space="preserve">https://www.aerzen.com/chile</t>
  </si>
  <si>
    <t xml:space="preserve">aerzen.com</t>
  </si>
  <si>
    <t xml:space="preserve">C. Limache 3116, 2562231 Viña del Mar, Valparaíso</t>
  </si>
  <si>
    <t xml:space="preserve">https://www.google.com/maps?cid=3527495155964413738</t>
  </si>
  <si>
    <t xml:space="preserve">sin_telefono, nombre_corregido</t>
  </si>
  <si>
    <t xml:space="preserve">ChIJC5D3jvt1YpYRHn3LpOFzMvM</t>
  </si>
  <si>
    <t xml:space="preserve">Rentas Valfrio Limitada</t>
  </si>
  <si>
    <t xml:space="preserve">Ruta 68 N° 1173 (Ex 1240) Placilla, 2340000 Valparaíso</t>
  </si>
  <si>
    <t xml:space="preserve">Instalación de almacenamiento en frío</t>
  </si>
  <si>
    <t xml:space="preserve">lunes:8:30 am–6 pm | martes:8:30 am–6 pm | miércoles:8:30 am–6 pm | jueves:8:30 am–6 pm | viernes:8:30 am–6 pm | sábado:Cerrado | domingo:Cerrado</t>
  </si>
  <si>
    <t xml:space="preserve">https://www.google.com/maps?cid=17524196513021656350</t>
  </si>
  <si>
    <t xml:space="preserve">ChIJj4m39ujNiZYRtDG8zj3SEtM</t>
  </si>
  <si>
    <t xml:space="preserve">Frigorífico Lihuen</t>
  </si>
  <si>
    <t xml:space="preserve">https://holdinglihuen.cl/</t>
  </si>
  <si>
    <t xml:space="preserve">holdinglihuen.cl</t>
  </si>
  <si>
    <t xml:space="preserve">C. Herboso 64, B, 2260000 Quillota, Valparaíso</t>
  </si>
  <si>
    <t xml:space="preserve">Instalación de almacenamiento en frío, Carnicería, Planta de refrigeración</t>
  </si>
  <si>
    <t xml:space="preserve">lunes:8 am–4 pm | martes:8 am–4 pm | miércoles:8 am–4 pm | jueves:8 am–4 pm | viernes:8 am–4 pm | sábado:Cerrado | domingo:Cerrado</t>
  </si>
  <si>
    <t xml:space="preserve">https://www.google.com/maps?cid=15209450054486864308</t>
  </si>
  <si>
    <t xml:space="preserve">ChIJsZaZBKs5YpYR9Sxi3a6NM80</t>
  </si>
  <si>
    <t xml:space="preserve">Frulog</t>
  </si>
  <si>
    <t xml:space="preserve">https://www.frulog.cl/</t>
  </si>
  <si>
    <t xml:space="preserve">frulog.cl</t>
  </si>
  <si>
    <t xml:space="preserve">Sanfuentes 2096, 2660000 Valparaíso, San Antonio, Valparaíso</t>
  </si>
  <si>
    <t xml:space="preserve">https://www.google.com/maps?cid=14786317783765495029</t>
  </si>
  <si>
    <t xml:space="preserve">ChIJiUFHU2vhiZYRWvc28PYYr6s</t>
  </si>
  <si>
    <t xml:space="preserve">Transportes GyC Valparaíso</t>
  </si>
  <si>
    <t xml:space="preserve">+56 9 8213 9767</t>
  </si>
  <si>
    <t xml:space="preserve">pasaje el peumo - El Criquet, casa 34, 2340000 Valparaíso</t>
  </si>
  <si>
    <t xml:space="preserve">lunes:8:30 am–7:30 pm | martes:8:30 am–7:30 pm | miércoles:8:30 am–7:30 pm | jueves:8:30 am–7:30 pm | viernes:8:30 am–7:30 pm | sábado:8:30 am–7:30 pm | domingo:Cerrado</t>
  </si>
  <si>
    <t xml:space="preserve">https://www.google.com/maps?cid=12371134150281197402</t>
  </si>
  <si>
    <t xml:space="preserve">ChIJ5YqMzEN1YpYR7h4l2h5j-r4</t>
  </si>
  <si>
    <t xml:space="preserve">Transporte Carreño &amp; Carreño spa</t>
  </si>
  <si>
    <t xml:space="preserve">+56 9 5051 6100</t>
  </si>
  <si>
    <t xml:space="preserve">2350, Valparaíso</t>
  </si>
  <si>
    <t xml:space="preserve">https://www.google.com/maps?cid=13761420595544006382</t>
  </si>
  <si>
    <t xml:space="preserve">ChIJ8VGIq1rfiZYRa-LT7rucytM</t>
  </si>
  <si>
    <t xml:space="preserve">Cifuentes Zúñiga Transportes y Servicios Ltda.</t>
  </si>
  <si>
    <t xml:space="preserve">+56 9 7995 7860</t>
  </si>
  <si>
    <t xml:space="preserve">2570023</t>
  </si>
  <si>
    <t xml:space="preserve">Jackson 900 Magenta 6 depto 62, 2570023 Valparaíso, Viña del Mar, Valparaíso</t>
  </si>
  <si>
    <t xml:space="preserve">https://www.google.com/maps?cid=15261182618278027883</t>
  </si>
  <si>
    <t xml:space="preserve">ChIJnxpS6XLZiZYRqqr6OyHPPq8</t>
  </si>
  <si>
    <t xml:space="preserve">Transportes Arichile</t>
  </si>
  <si>
    <t xml:space="preserve">+56 9 6350 5920</t>
  </si>
  <si>
    <t xml:space="preserve">http://transportesarichile.negocio.site/</t>
  </si>
  <si>
    <t xml:space="preserve">negocio.site</t>
  </si>
  <si>
    <t xml:space="preserve">6medio oriente 280 viña del mar Quilpué, 2430000 Valparaíso, Viña del Mar, Valparaíso</t>
  </si>
  <si>
    <t xml:space="preserve">https://www.google.com/maps?cid=12627758146840603306</t>
  </si>
  <si>
    <t xml:space="preserve">ChIJxUddSq05YpYRYcTsx00HSrc</t>
  </si>
  <si>
    <t xml:space="preserve">Sociedad De Servicios Portuarios Y Logistica Margomz Ltda.</t>
  </si>
  <si>
    <t xml:space="preserve">+56 35 228 2862</t>
  </si>
  <si>
    <t xml:space="preserve">2660916</t>
  </si>
  <si>
    <t xml:space="preserve">La Playa 382, 2660916 San Antonio, Valparaíso</t>
  </si>
  <si>
    <t xml:space="preserve">lunes:8:30 am–6 pm | martes:8:30 am–6 pm | miércoles:8:30 am–6 pm | jueves:8:30 am–6 pm | viernes:8:30 am–6 pm | sábado:9 am–12 pm | domingo:Cerrado</t>
  </si>
  <si>
    <t xml:space="preserve">https://www.google.com/maps?cid=13207376887865459809</t>
  </si>
  <si>
    <t xml:space="preserve">ChIJL_cOP8HgiZYRhClm-WLb-t4</t>
  </si>
  <si>
    <t xml:space="preserve">Frigorifico Fiordosur Sa</t>
  </si>
  <si>
    <t xml:space="preserve">+56 32 262 4922</t>
  </si>
  <si>
    <t xml:space="preserve">http://www.fiordosur.cl/</t>
  </si>
  <si>
    <t xml:space="preserve">fiordosur.cl</t>
  </si>
  <si>
    <t xml:space="preserve">2350789</t>
  </si>
  <si>
    <t xml:space="preserve">Filippo Lippi 325, 2350789 Valparaíso</t>
  </si>
  <si>
    <t xml:space="preserve">Mayorista de marisco</t>
  </si>
  <si>
    <t xml:space="preserve">https://www.google.com/maps?cid=16067395838735165828</t>
  </si>
  <si>
    <t xml:space="preserve">15-Records-Frigorífic-202610052352.csv</t>
  </si>
  <si>
    <t xml:space="preserve">sin_resenas, sin_horario</t>
  </si>
  <si>
    <t xml:space="preserve">ChIJpwq6n0jhiZYRWGcPNDqj3yM</t>
  </si>
  <si>
    <t xml:space="preserve">Leschaco (Chile) S A Valparaíso Office</t>
  </si>
  <si>
    <t xml:space="preserve">+56 2 2731 3000</t>
  </si>
  <si>
    <t xml:space="preserve">https://www.leschaco.com/en/start.html#</t>
  </si>
  <si>
    <t xml:space="preserve">leschaco.com</t>
  </si>
  <si>
    <t xml:space="preserve">2361801</t>
  </si>
  <si>
    <t xml:space="preserve">Cochrane 639, Piso 5 Oficina 51, 2361801 Valparaíso</t>
  </si>
  <si>
    <t xml:space="preserve">https://www.google.com/maps?cid=2584964181510809432</t>
  </si>
  <si>
    <t xml:space="preserve">ChIJy_QpgOHdiZYRdK8_AKyvnxg</t>
  </si>
  <si>
    <t xml:space="preserve">Arca Transportes</t>
  </si>
  <si>
    <t xml:space="preserve">+56 9 9739 5119</t>
  </si>
  <si>
    <t xml:space="preserve">1 Nte. 461, Of. 703, 2520000 Viña del Mar, Valparaíso</t>
  </si>
  <si>
    <t xml:space="preserve">Servicio de lanzadera</t>
  </si>
  <si>
    <t xml:space="preserve">Servicio de lanzadera, Servicio de transporte</t>
  </si>
  <si>
    <t xml:space="preserve">https://www.google.com/maps?cid=1774329931480674164</t>
  </si>
  <si>
    <t xml:space="preserve">ChIJ515SM3HeiZYREvkg6nTs7Xk</t>
  </si>
  <si>
    <t xml:space="preserve">Tecnomak Viña del mar</t>
  </si>
  <si>
    <t xml:space="preserve">+56 32 254 5700</t>
  </si>
  <si>
    <t xml:space="preserve">2581437</t>
  </si>
  <si>
    <t xml:space="preserve">Cancha 175, 2581437 Viña del Mar, Valparaíso</t>
  </si>
  <si>
    <t xml:space="preserve">Tienda de materiales para la construcción</t>
  </si>
  <si>
    <t xml:space="preserve">Tienda de materiales para la construcción, Proveedor de maquinaria de construcción, Tienda de herramientas, Tienda de suministros para soldadura</t>
  </si>
  <si>
    <t xml:space="preserve">https://www.google.com/maps?cid=8785938434958096658</t>
  </si>
  <si>
    <t xml:space="preserve">ChIJ2SGqqQlHYpYR8xsjIE0ayIU</t>
  </si>
  <si>
    <t xml:space="preserve">Transportes Pia Ltda.</t>
  </si>
  <si>
    <t xml:space="preserve">+56 9 6617 2505</t>
  </si>
  <si>
    <t xml:space="preserve">Unnamed Road, San Antonio, Valparaíso</t>
  </si>
  <si>
    <t xml:space="preserve">Camino sin nombre</t>
  </si>
  <si>
    <t xml:space="preserve">lunes:8:30 am–10 pm | martes:8:30 am–10 pm | miércoles:8:30 am–10 pm | jueves:8:30 am–10 pm | viernes:8:30 am–10 pm | sábado:8:30 am–8 pm | domingo:Cerrado</t>
  </si>
  <si>
    <t xml:space="preserve">https://www.google.com/maps?cid=9639983920940522483</t>
  </si>
  <si>
    <t xml:space="preserve">sin_web_propia, direccion_imprecisa</t>
  </si>
  <si>
    <t xml:space="preserve">ChIJz2_QrEg4YpYR5D9to0vRTyY</t>
  </si>
  <si>
    <t xml:space="preserve">Maquinas Cubillos</t>
  </si>
  <si>
    <t xml:space="preserve">+56 35 228 2570</t>
  </si>
  <si>
    <t xml:space="preserve">2660214</t>
  </si>
  <si>
    <t xml:space="preserve">Av. Chile 300-390, 2660214 San Antonio, Valparaíso</t>
  </si>
  <si>
    <t xml:space="preserve">Centro comercial</t>
  </si>
  <si>
    <t xml:space="preserve">lunes:9:30 am–2 pm | martes:9:30 am–2 pm | miércoles:9:30 am–2 pm | jueves:9:30 am–2 pm | viernes:9:30 am–2 pm | sábado:11 am–2 pm | domingo:Cerrado</t>
  </si>
  <si>
    <t xml:space="preserve">https://www.google.com/maps?cid=2760655219396001764</t>
  </si>
  <si>
    <t xml:space="preserve">ChIJTdxlcH45YpYRqXCPf_DrVHg</t>
  </si>
  <si>
    <t xml:space="preserve">Consorcio</t>
  </si>
  <si>
    <t xml:space="preserve">+56 9 5419 1869</t>
  </si>
  <si>
    <t xml:space="preserve">lunes:8 am–10 pm | martes:8 am–10 pm | miércoles:8 am–10 pm | jueves:8 am–10 pm | viernes:8 am–10 pm | sábado:8 am–3 pm | domingo:Cerrado</t>
  </si>
  <si>
    <t xml:space="preserve">https://www.google.com/maps?cid=8670814600759832745</t>
  </si>
  <si>
    <t xml:space="preserve">ChIJbQcujPn1YpYR9FC9B0IAVx0</t>
  </si>
  <si>
    <t xml:space="preserve">Agrícola Randu</t>
  </si>
  <si>
    <t xml:space="preserve">http://www.randu.cl/</t>
  </si>
  <si>
    <t xml:space="preserve">randu.cl</t>
  </si>
  <si>
    <t xml:space="preserve">Metropolitana</t>
  </si>
  <si>
    <t xml:space="preserve">Unnamed Road, Curacaví, Región Metropolitana</t>
  </si>
  <si>
    <t xml:space="preserve">Mayorista de productos agrícolas</t>
  </si>
  <si>
    <t xml:space="preserve">https://www.google.com/maps?cid=2114158833671426292</t>
  </si>
  <si>
    <t xml:space="preserve">Agricola, Curacavi, Chile</t>
  </si>
  <si>
    <t xml:space="preserve">sin_telefono, direccion_imprecisa</t>
  </si>
  <si>
    <t xml:space="preserve">ChIJp80lM0B1YpYRpDUbl55TMCs</t>
  </si>
  <si>
    <t xml:space="preserve">SAMEX Valparaíso</t>
  </si>
  <si>
    <t xml:space="preserve">https://www.samex.cl/</t>
  </si>
  <si>
    <t xml:space="preserve">samex.cl</t>
  </si>
  <si>
    <t xml:space="preserve">Décima Avenida 2450, 2340000 Valparaíso</t>
  </si>
  <si>
    <t xml:space="preserve">lunes:9 am–6 pm | martes:9 am–6 pm | miércoles:9 am–6 pm | jueves:9 am–6 pm | viernes:9 am–5 pm | sábado:Cerrado | domingo:Cerrado</t>
  </si>
  <si>
    <t xml:space="preserve">https://www.google.com/maps?cid=3112079283118093732</t>
  </si>
  <si>
    <t xml:space="preserve">Servicios logísticos, Valparaiso, Chile; Transporte de carga, Valparaiso, Chile</t>
  </si>
  <si>
    <t xml:space="preserve">ChIJN5uIq9vhiZYRv1Rm-xYqkTI</t>
  </si>
  <si>
    <t xml:space="preserve">Logistica Transpiscis Limitada</t>
  </si>
  <si>
    <t xml:space="preserve">http://web.inverzal.cl/tpweb/</t>
  </si>
  <si>
    <t xml:space="preserve">inverzal.cl</t>
  </si>
  <si>
    <t xml:space="preserve">Camino Antiguo A Santiago 390, Valparaíso</t>
  </si>
  <si>
    <t xml:space="preserve">https://www.google.com/maps?cid=3643739851714876607</t>
  </si>
  <si>
    <t xml:space="preserve">ChIJmzxMXuE4YpYRS8zm2l0ded8</t>
  </si>
  <si>
    <t xml:space="preserve">http://www.puertosanantonio.com/</t>
  </si>
  <si>
    <t xml:space="preserve">2663160</t>
  </si>
  <si>
    <t xml:space="preserve">P.º El Mar, 2663160 San Antonio, Valparaíso</t>
  </si>
  <si>
    <t xml:space="preserve">https://www.google.com/maps?cid=16102934231581641803</t>
  </si>
  <si>
    <t xml:space="preserve">sin_telefono, direccion_imprecisa, sin_horario</t>
  </si>
  <si>
    <t xml:space="preserve">ChIJ6RqogdBHYpYR0HLSPNkGQ3U</t>
  </si>
  <si>
    <t xml:space="preserve">Transportes Alher Logística</t>
  </si>
  <si>
    <t xml:space="preserve">http://logisticaalher.cl/</t>
  </si>
  <si>
    <t xml:space="preserve">logisticaalher.cl</t>
  </si>
  <si>
    <t xml:space="preserve">https://www.google.com/maps?cid=8449604855975277264</t>
  </si>
  <si>
    <t xml:space="preserve">Logística en San Antonio, Chile; Transporte de carga, San Antonio, Chile</t>
  </si>
  <si>
    <t xml:space="preserve">ChIJoycOF4LdiZYRohriXV5SPRg</t>
  </si>
  <si>
    <t xml:space="preserve">Fletes y mudanzas - Nano transportes</t>
  </si>
  <si>
    <t xml:space="preserve">+56 9 9323 4839</t>
  </si>
  <si>
    <t xml:space="preserve">6444444</t>
  </si>
  <si>
    <t xml:space="preserve">Sta. Inés 1665, 6444444 Viña del Mar, Valparaíso</t>
  </si>
  <si>
    <t xml:space="preserve">https://www.google.com/maps?cid=1746642795745122978</t>
  </si>
  <si>
    <t xml:space="preserve">ChIJbTnzdFY4YpYR7UKZ5iQBaOE</t>
  </si>
  <si>
    <t xml:space="preserve">Soldseind Chile</t>
  </si>
  <si>
    <t xml:space="preserve">+56 35 229 1945</t>
  </si>
  <si>
    <t xml:space="preserve">2662766</t>
  </si>
  <si>
    <t xml:space="preserve">Tres Sur 39, 2662766 San Antonio, Valparaíso</t>
  </si>
  <si>
    <t xml:space="preserve">Tienda de suministros para soldadura</t>
  </si>
  <si>
    <t xml:space="preserve">Tienda de suministros para soldadura, Asesor, Tienda de herramientas</t>
  </si>
  <si>
    <t xml:space="preserve">https://www.google.com/maps?cid=16242233314110948077</t>
  </si>
  <si>
    <t xml:space="preserve">ChIJq8mGoAh1YpYRKjGCz7YFILI</t>
  </si>
  <si>
    <t xml:space="preserve">Bodegas GPF</t>
  </si>
  <si>
    <t xml:space="preserve">https://www.bodegasgpf.cl/</t>
  </si>
  <si>
    <t xml:space="preserve">bodegasgpf.cl</t>
  </si>
  <si>
    <t xml:space="preserve">Av. Bernardo O'Higgins 194, 3100000 Valparaíso</t>
  </si>
  <si>
    <t xml:space="preserve">https://www.google.com/maps?cid=12835265220729516330</t>
  </si>
  <si>
    <t xml:space="preserve">ChIJCZ_DB1k5YpYR4ivJ-JNlpmc</t>
  </si>
  <si>
    <t xml:space="preserve">EPSA San Antonio</t>
  </si>
  <si>
    <t xml:space="preserve">+56 35 258 6162</t>
  </si>
  <si>
    <t xml:space="preserve">Antonio Núñez de Fonseca 1552, 2660000 Valparaíso, San Antonio, Valparaíso</t>
  </si>
  <si>
    <t xml:space="preserve">https://www.google.com/maps?cid=7468768718249077730</t>
  </si>
  <si>
    <t xml:space="preserve">ChIJ___PGyzhiZYRBzB6CVWZdsw</t>
  </si>
  <si>
    <t xml:space="preserve">Ser-Log Servicios Logísticos</t>
  </si>
  <si>
    <t xml:space="preserve">+56 32 259 7693</t>
  </si>
  <si>
    <t xml:space="preserve">Prat 856, 908, Valparaíso</t>
  </si>
  <si>
    <t xml:space="preserve">https://www.google.com/maps?cid=14733131821499428871</t>
  </si>
  <si>
    <t xml:space="preserve">ChIJkbbFgBHciZYRG8BAcMs3Ais</t>
  </si>
  <si>
    <t xml:space="preserve">Luis S. Poblete Transporte de Carga Por C</t>
  </si>
  <si>
    <t xml:space="preserve">+56 32 287 3962</t>
  </si>
  <si>
    <t xml:space="preserve">2550507</t>
  </si>
  <si>
    <t xml:space="preserve">Las Rompientes 420, 2550507 Viña del Mar, Valparaíso</t>
  </si>
  <si>
    <t xml:space="preserve">https://www.google.com/maps?cid=3099100840485503003</t>
  </si>
  <si>
    <t xml:space="preserve">ChIJP6CLe8b0YpYR3dBHtXY1_8c</t>
  </si>
  <si>
    <t xml:space="preserve">Agricola Montero Hermanos Limitada</t>
  </si>
  <si>
    <t xml:space="preserve">+56 2 2732 3796</t>
  </si>
  <si>
    <t xml:space="preserve">Lolenco 6, Curacavi, Curacaví, Región Metropolitana</t>
  </si>
  <si>
    <t xml:space="preserve">https://www.google.com/maps?cid=14411296116572672221</t>
  </si>
  <si>
    <t xml:space="preserve">sin_web_propia, sin_horario, sin_categoria</t>
  </si>
  <si>
    <t xml:space="preserve">ChIJMQxXwjbDiZYRnoR07SdKJN4</t>
  </si>
  <si>
    <t xml:space="preserve">ENAP Aconcagua</t>
  </si>
  <si>
    <t xml:space="preserve">+56 32 265 0200</t>
  </si>
  <si>
    <t xml:space="preserve">Cam. Internacional Antiguo 198, Concón, Valparaíso</t>
  </si>
  <si>
    <t xml:space="preserve">Refinería de petróleo</t>
  </si>
  <si>
    <t xml:space="preserve">https://www.google.com/maps?cid=16007000510929601694</t>
  </si>
  <si>
    <t xml:space="preserve">ChIJy-W8OP84YpYRnxy-ONlS0cY</t>
  </si>
  <si>
    <t xml:space="preserve">Maquinaria y Transportes Entheos</t>
  </si>
  <si>
    <t xml:space="preserve">+56 35 229 2043</t>
  </si>
  <si>
    <t xml:space="preserve">Angamos 1830, San Antonio, Valparaíso</t>
  </si>
  <si>
    <t xml:space="preserve">Proveedor de máquinas de metal</t>
  </si>
  <si>
    <t xml:space="preserve">lunes:8 am–7 pm | martes:8 am–7 pm | miércoles:8 am–7 pm | jueves:8 am–7 pm | viernes:8 am–7 pm | sábado:8 am–7 pm | domingo:Cerrado</t>
  </si>
  <si>
    <t xml:space="preserve">https://www.google.com/maps?cid=14326322982555622559</t>
  </si>
  <si>
    <t xml:space="preserve">sin_web_propia, sin_resenas</t>
  </si>
  <si>
    <t xml:space="preserve">ChIJFV48d85QzQkRNpJ2aAYtPMQ</t>
  </si>
  <si>
    <t xml:space="preserve">Kazmaier, Fabricación y Montaje Industrial</t>
  </si>
  <si>
    <t xml:space="preserve">+56 9 6106 9299</t>
  </si>
  <si>
    <t xml:space="preserve">https://www.instagram.com/_kazmaier_</t>
  </si>
  <si>
    <t xml:space="preserve">instagram.com</t>
  </si>
  <si>
    <t xml:space="preserve">2663139</t>
  </si>
  <si>
    <t xml:space="preserve">Estribor 1043, 2663139 San Antonio, Valparaíso</t>
  </si>
  <si>
    <t xml:space="preserve">Contratista general</t>
  </si>
  <si>
    <t xml:space="preserve">lunes:8:30 am–6 pm | martes:8:30 am–6 pm | miércoles:8:30 am–6 pm | jueves:8:30 am–6 pm | viernes:8:30 am–6 pm | sábado:8:30 am–12 pm | domingo:Cerrado</t>
  </si>
  <si>
    <t xml:space="preserve">https://www.google.com/maps?cid=14140226435582169654</t>
  </si>
  <si>
    <t xml:space="preserve">15-Records-Frigorífic-202610052352.csv; Maquinaria (archivo)</t>
  </si>
  <si>
    <t xml:space="preserve">ChIJg-BufpjFYpYRLLG_haeWOlI</t>
  </si>
  <si>
    <t xml:space="preserve">Vilpin Chile S.p.A.</t>
  </si>
  <si>
    <t xml:space="preserve">+56 9 3331 5131</t>
  </si>
  <si>
    <t xml:space="preserve">https://g.page/r/CSyxv4WnljpSEBI/review</t>
  </si>
  <si>
    <t xml:space="preserve">g.page</t>
  </si>
  <si>
    <t xml:space="preserve">2660531</t>
  </si>
  <si>
    <t xml:space="preserve">Alcalde Olegario Henríquez Escalante 430, 2660531 San Antonio, Valparaíso</t>
  </si>
  <si>
    <t xml:space="preserve">Proveedor de sistemas de protección contra incendios</t>
  </si>
  <si>
    <t xml:space="preserve">Proveedor de sistemas de protección contra incendios, Fábrica de maquinaria agrícola, Asesor de protección contra incendios, Equipo para minería, Proveedor de bombas, Servicio de guardias de seguridad, Proveedor de bombas de agua</t>
  </si>
  <si>
    <t xml:space="preserve">lunes:9 am–5 pm | martes:9 am–5 pm | miércoles:9 am–5 pm | jueves:9 am–5 pm | viernes:9 am–5 pm | sábado:9 am–5 pm | domingo:9 am–5 pm</t>
  </si>
  <si>
    <t xml:space="preserve">https://www.google.com/maps?cid=5925213906006946092</t>
  </si>
  <si>
    <t xml:space="preserve">ChIJ8deorxXhiZYRy7G_tgkJWXE</t>
  </si>
  <si>
    <t xml:space="preserve">Transportes Cristian Alfredo Arriagada Briones.EIRL</t>
  </si>
  <si>
    <t xml:space="preserve">+56 9 8910 8104</t>
  </si>
  <si>
    <t xml:space="preserve">2372066</t>
  </si>
  <si>
    <t xml:space="preserve">Cerca de Av. Cardenal Samoré 601, 2372066, 3100000 Placilla, Valparaíso</t>
  </si>
  <si>
    <t xml:space="preserve">lunes:Abierto las 24 horas | martes:Abierto las 24 horas | miércoles:Abierto las 24 horas | jueves:Abierto las 24 horas | viernes:Abierto las 24 horas | sábado:8 am–2 pm | domingo:Cerrado</t>
  </si>
  <si>
    <t xml:space="preserve">https://www.google.com/maps?cid=8167569336538477003</t>
  </si>
  <si>
    <t xml:space="preserve">Transporte (archivo)</t>
  </si>
  <si>
    <t xml:space="preserve">ChIJBTw-J13diZYRFlC8yrVn3QI</t>
  </si>
  <si>
    <t xml:space="preserve">Grua transporte HC spa</t>
  </si>
  <si>
    <t xml:space="preserve">+56 9 6360 0777</t>
  </si>
  <si>
    <t xml:space="preserve">Villanelo 180, Ofi 1405, 2340000 Viña del Mar, Valparaíso</t>
  </si>
  <si>
    <t xml:space="preserve">https://www.google.com/maps?cid=206435188416991254</t>
  </si>
  <si>
    <t xml:space="preserve">ChIJ6fzmpsXdiZYRHBieyM-Dk78</t>
  </si>
  <si>
    <t xml:space="preserve">LOGISTICACHILE</t>
  </si>
  <si>
    <t xml:space="preserve">LOGISTICACHILE | MUDANZAS VIÑA DEL MAR</t>
  </si>
  <si>
    <t xml:space="preserve">http://www.logisticachile.com/</t>
  </si>
  <si>
    <t xml:space="preserve">logisticachile.com</t>
  </si>
  <si>
    <t xml:space="preserve">2521124</t>
  </si>
  <si>
    <t xml:space="preserve">5 Ote. 223, 2521124 Viña del Mar, Valparaíso</t>
  </si>
  <si>
    <t xml:space="preserve">https://www.google.com/maps?cid=13804522211267975196</t>
  </si>
  <si>
    <t xml:space="preserve">sin_telefono, sin_resenas, nombre_corregido</t>
  </si>
  <si>
    <t xml:space="preserve">ChIJN3-EdtvdiZYRGonjaW43UEo</t>
  </si>
  <si>
    <t xml:space="preserve">transporte de personas y carga H&amp;K</t>
  </si>
  <si>
    <t xml:space="preserve">+56 9 4616 7078</t>
  </si>
  <si>
    <t xml:space="preserve">AV MAR DE CHILE CASA 10 GLORIAS NAVALES Viña del Mar, 2340000 Valparaíso, Viña del Mar, Valparaíso</t>
  </si>
  <si>
    <t xml:space="preserve">lunes:Abierto las 24 horas | martes:Abierto las 24 horas | miércoles:Abierto las 24 horas | jueves:Abierto las 24 horas | viernes:Abierto las 24 horas | sábado:Cerrado | domingo:Cerrado</t>
  </si>
  <si>
    <t xml:space="preserve">https://www.google.com/maps?cid=5354840904305969434</t>
  </si>
  <si>
    <t xml:space="preserve">ChIJzWve6fjzYpYR8GA0KJ84EMg</t>
  </si>
  <si>
    <t xml:space="preserve">Agricola san Alberto</t>
  </si>
  <si>
    <t xml:space="preserve">+56 9 3523 8863</t>
  </si>
  <si>
    <t xml:space="preserve">9630000</t>
  </si>
  <si>
    <t xml:space="preserve">Ruta 68 km 35, 9630000 Curacavi, Curacaví, Región Metropolitana</t>
  </si>
  <si>
    <t xml:space="preserve">lunes:8 am–6 pm | martes:8 am–6 pm | miércoles:8 am–6 pm | jueves:8 am–6 pm | viernes:8 am–6 pm | sábado:8 am–12 pm | domingo:Cerrado</t>
  </si>
  <si>
    <t xml:space="preserve">https://www.google.com/maps?cid=14416084663438434544</t>
  </si>
  <si>
    <t xml:space="preserve">15-Records-Viña_,-Cas-202610052354.csv</t>
  </si>
  <si>
    <t xml:space="preserve">sin_web_propia, sin_resenas, sin_categoria</t>
  </si>
  <si>
    <t xml:space="preserve">ChIJWVsyIZT1YpYRIUVCF2M6PbE</t>
  </si>
  <si>
    <t xml:space="preserve">Fundo Tierra Vida</t>
  </si>
  <si>
    <t xml:space="preserve">+56 9 9162 9739</t>
  </si>
  <si>
    <t xml:space="preserve">Ruta 68 5, km 32, 9630000 Curacavi, Curacaví, Región Metropolitana</t>
  </si>
  <si>
    <t xml:space="preserve">https://www.google.com/maps?cid=12771428315558987041</t>
  </si>
  <si>
    <t xml:space="preserve">ChIJcbil0OM5YpYRKUfD5_UUsQc</t>
  </si>
  <si>
    <t xml:space="preserve">Transporte y Logistica SAI Limitada</t>
  </si>
  <si>
    <t xml:space="preserve">+56 9 8469 9795</t>
  </si>
  <si>
    <t xml:space="preserve">Blanco Encalada 840, Ofi 406, 2660000 Valparaíso, San Antonio, Valparaíso</t>
  </si>
  <si>
    <t xml:space="preserve">lunes:Abierto las 24 horas | martes:Abierto las 24 horas | miércoles:Abierto las 24 horas | jueves:Abierto las 24 horas | viernes:Abierto las 24 horas | sábado:Abierto las 24 horas | domingo:Cerrado</t>
  </si>
  <si>
    <t xml:space="preserve">https://www.google.com/maps?cid=554247275531159337</t>
  </si>
  <si>
    <t xml:space="preserve">ChIJCX0-BSQ5YpYRW64JWH8_rho</t>
  </si>
  <si>
    <t xml:space="preserve">SB Servicios logísticos portuarios y construcción</t>
  </si>
  <si>
    <t xml:space="preserve">+56 9 4459 3419</t>
  </si>
  <si>
    <t xml:space="preserve">Pje. Guillermo Alvaréz 1238, 2660000 Valparaíso, San Antonio, Valparaíso</t>
  </si>
  <si>
    <t xml:space="preserve">Empresa constructora</t>
  </si>
  <si>
    <t xml:space="preserve">Empresa constructora, Empresa portuaria</t>
  </si>
  <si>
    <t xml:space="preserve">https://www.google.com/maps?cid=1922543907104206427</t>
  </si>
  <si>
    <t xml:space="preserve">ChIJ1XBc-XdHYpYRRwjpCw_Pw28</t>
  </si>
  <si>
    <t xml:space="preserve">Medlog San Antonio</t>
  </si>
  <si>
    <t xml:space="preserve">+56 2 2763 9500</t>
  </si>
  <si>
    <t xml:space="preserve">Cartagena, Valparaíso</t>
  </si>
  <si>
    <t xml:space="preserve">lunes:8:30 am–10 pm | martes:8:30 am–10 pm | miércoles:8:30 am–10 pm | jueves:8:30 am–10 pm | viernes:8:30 am–10 pm | sábado:8:30 am–6 pm | domingo:Cerrado</t>
  </si>
  <si>
    <t xml:space="preserve">https://www.google.com/maps?cid=8053508222199859271</t>
  </si>
  <si>
    <t xml:space="preserve">ChIJ82soV6rfiZYRmwBD7gDfFQg</t>
  </si>
  <si>
    <t xml:space="preserve">Evercrisp Viña del Mar</t>
  </si>
  <si>
    <t xml:space="preserve">https://www.mercantil.com/empresa/evercrisp-sa/vina-del-mar/300025545/esp/</t>
  </si>
  <si>
    <t xml:space="preserve">mercantil.com</t>
  </si>
  <si>
    <t xml:space="preserve">2562130</t>
  </si>
  <si>
    <t xml:space="preserve">C. Limache 3985, 2562130 Viña del Mar, Valparaíso</t>
  </si>
  <si>
    <t xml:space="preserve">https://www.google.com/maps?cid=582616921904709787</t>
  </si>
  <si>
    <t xml:space="preserve">ChIJRXEYdC7DiZYRIEobL7Czgeg</t>
  </si>
  <si>
    <t xml:space="preserve">Proyectos Industriales Minprocad Limitada</t>
  </si>
  <si>
    <t xml:space="preserve">+56 32 248 1564</t>
  </si>
  <si>
    <t xml:space="preserve">2510497</t>
  </si>
  <si>
    <t xml:space="preserve">Vergara 876, 2510497 Concón, Valparaíso</t>
  </si>
  <si>
    <t xml:space="preserve">Asesor en ingeniería</t>
  </si>
  <si>
    <t xml:space="preserve">https://www.google.com/maps?cid=16753869658080889376</t>
  </si>
  <si>
    <t xml:space="preserve">ChIJDWw-7Cb1YpYRYj2PRI1W1l4</t>
  </si>
  <si>
    <t xml:space="preserve">Ingenieria Maquinaria Y Construccion Ltda</t>
  </si>
  <si>
    <t xml:space="preserve">+56 2 2835 1405</t>
  </si>
  <si>
    <t xml:space="preserve">Curacavi, Curacaví, Región Metropolitana</t>
  </si>
  <si>
    <t xml:space="preserve">https://www.google.com/maps?cid=6833744649321921890</t>
  </si>
  <si>
    <t xml:space="preserve">Maquinaria industrial, San Antonio -Chile</t>
  </si>
  <si>
    <t xml:space="preserve">sin_web_propia, direccion_imprecisa, sin_horario, sin_categoria</t>
  </si>
  <si>
    <t xml:space="preserve">ChIJ1U5LBcZ1YpYRJoInepOi-_Q</t>
  </si>
  <si>
    <t xml:space="preserve">Bodegas Ya!</t>
  </si>
  <si>
    <t xml:space="preserve">+56 9 7476 1767</t>
  </si>
  <si>
    <t xml:space="preserve">Valparaíso CL, Valparaíso, Novena Avenida 2020, 2340000 Placilla, Valparaíso</t>
  </si>
  <si>
    <t xml:space="preserve">https://www.google.com/maps?cid=17652881918702092838</t>
  </si>
  <si>
    <t xml:space="preserve">Bodegas (archivo)</t>
  </si>
  <si>
    <t xml:space="preserve">sin_web_propia, sin_resenas, sin_horario</t>
  </si>
  <si>
    <t xml:space="preserve">ChIJz8JSwGA4YpYRoC8f3BCoA0o</t>
  </si>
  <si>
    <t xml:space="preserve">Agility Logistics Chile S.A.</t>
  </si>
  <si>
    <t xml:space="preserve">+56 35 220 3713</t>
  </si>
  <si>
    <t xml:space="preserve">Ruta Nacional 78 # 2375, Of.7, Barrio Industrial, San Antonio, Valparaíso</t>
  </si>
  <si>
    <t xml:space="preserve">https://www.google.com/maps?cid=5333291174102773664</t>
  </si>
  <si>
    <t xml:space="preserve">15-Records-Logística--202610052332.csv; Servicios logísticos (archivo)</t>
  </si>
  <si>
    <t xml:space="preserve">ChIJ-xmCltfgiZYRsuGywxU-Seo</t>
  </si>
  <si>
    <t xml:space="preserve">Transporte Logistica Y Comercio Ltda</t>
  </si>
  <si>
    <t xml:space="preserve">+56 32 218 2080</t>
  </si>
  <si>
    <t xml:space="preserve">Blanco 1791, 2340000 Valparaíso</t>
  </si>
  <si>
    <t xml:space="preserve">https://www.google.com/maps?cid=16882092941373530546</t>
  </si>
  <si>
    <t xml:space="preserve">ChIJLzRhs_A5YpYR2taYxUcjOHw</t>
  </si>
  <si>
    <t xml:space="preserve">Transportes Núñez - Hijo</t>
  </si>
  <si>
    <t xml:space="preserve">+56 9 4701 8121</t>
  </si>
  <si>
    <t xml:space="preserve">Parcela el bosque - fundó potrerillos, 2660000 San Antonio, Valparaíso</t>
  </si>
  <si>
    <t xml:space="preserve">https://www.google.com/maps?cid=8950943050563639002</t>
  </si>
  <si>
    <t xml:space="preserve">sin_web_propia, direccion_imprecisa, sin_resenas</t>
  </si>
  <si>
    <t xml:space="preserve">ChIJIek60zndiZYRZ1WlXBBWMZ8</t>
  </si>
  <si>
    <t xml:space="preserve">transportista cargo cl</t>
  </si>
  <si>
    <t xml:space="preserve">+56 9 2763 8200</t>
  </si>
  <si>
    <t xml:space="preserve">Viña de Mar, 2520000 Valparaíso, Viña del Mar, Valparaíso</t>
  </si>
  <si>
    <t xml:space="preserve">Servicio de transporte con acompañante</t>
  </si>
  <si>
    <t xml:space="preserve">lunes:8 am–3:30 pm | martes:8 am–3:30 pm | miércoles:8 am–3:30 pm | jueves:8 am–3:30 pm | viernes:8 am–3:30 pm | sábado:9:30 am–12:30 pm | domingo:Cerrado</t>
  </si>
  <si>
    <t xml:space="preserve">https://www.google.com/maps?cid=11471044354163168615</t>
  </si>
  <si>
    <t xml:space="preserve">ChIJ620lfBHFYpYR84GPjn8GxmY</t>
  </si>
  <si>
    <t xml:space="preserve">ACO Maquinarias</t>
  </si>
  <si>
    <t xml:space="preserve">ACO Maquinarias / Equipos de taller, Compresores</t>
  </si>
  <si>
    <t xml:space="preserve">Fuera de la zona objetivo (Región de Valparaíso / Curacaví)</t>
  </si>
  <si>
    <t xml:space="preserve">+56 2 2472 4300</t>
  </si>
  <si>
    <t xml:space="preserve">http://www.aco.cl/</t>
  </si>
  <si>
    <t xml:space="preserve">aco.cl</t>
  </si>
  <si>
    <t xml:space="preserve">8360186</t>
  </si>
  <si>
    <t xml:space="preserve">Av. Manuel Antonio Matta 1300, 8360186 Santiago, Región Metropolitana</t>
  </si>
  <si>
    <t xml:space="preserve">Taller de maquinaria, Proveedor de herramientas neumáticas, Tienda de herramientas y troqueles, Fabricante de herramientas, Cuarto de herramientas</t>
  </si>
  <si>
    <t xml:space="preserve">https://www.google.com/maps?cid=7405613782179742195</t>
  </si>
  <si>
    <t xml:space="preserve">ChIJkbm7kGPcYpYRY4V7CTuu1Eg</t>
  </si>
  <si>
    <t xml:space="preserve">Transportes Casablanca</t>
  </si>
  <si>
    <t xml:space="preserve">+56 2 2611 0170</t>
  </si>
  <si>
    <t xml:space="preserve">http://www.tcasablanca.cl/</t>
  </si>
  <si>
    <t xml:space="preserve">tcasablanca.cl</t>
  </si>
  <si>
    <t xml:space="preserve">Av. Las Acacias 1601, San Bernardo, Región Metropolitana</t>
  </si>
  <si>
    <t xml:space="preserve">lunes:9 am–6:30 pm | martes:9 am–6:30 pm | miércoles:9 am–6:30 pm | jueves:9 am–6:30 pm | viernes:9 am–3:30 pm | sábado:Cerrado | domingo:Cerrado</t>
  </si>
  <si>
    <t xml:space="preserve">https://www.google.com/maps?cid=5248011034378863971</t>
  </si>
  <si>
    <t xml:space="preserve">ChIJk07if-_EYpYRUhfH4dGjQck</t>
  </si>
  <si>
    <t xml:space="preserve">Frigorífico Santiago</t>
  </si>
  <si>
    <t xml:space="preserve">+56 2 2562 8400</t>
  </si>
  <si>
    <t xml:space="preserve">http://www.frigorificosantiago.cl/</t>
  </si>
  <si>
    <t xml:space="preserve">frigorificosantiago.cl</t>
  </si>
  <si>
    <t xml:space="preserve">9160336</t>
  </si>
  <si>
    <t xml:space="preserve">San Francisco de Borja 1045, 9160336 Santiago, Estación Central, Región Metropolitana</t>
  </si>
  <si>
    <t xml:space="preserve">Instalación de almacenamiento en frío, Carnicería</t>
  </si>
  <si>
    <t xml:space="preserve">lunes:8 am–8 pm | martes:8 am–8 pm | miércoles:8 am–8 pm | jueves:8 am–8 pm | viernes:8 am–8 pm | sábado:Cerrado | domingo:Cerrado</t>
  </si>
  <si>
    <t xml:space="preserve">https://www.google.com/maps?cid=14502052396941121362</t>
  </si>
  <si>
    <t xml:space="preserve">ChIJyyDRE98jY5YRJK1Y4FBTNHk</t>
  </si>
  <si>
    <t xml:space="preserve">FrigoBuin - Frigorífico Buin Ltda.</t>
  </si>
  <si>
    <t xml:space="preserve">+56 2 2520 9100</t>
  </si>
  <si>
    <t xml:space="preserve">https://www.frigobuin.cl/</t>
  </si>
  <si>
    <t xml:space="preserve">frigobuin.cl</t>
  </si>
  <si>
    <t xml:space="preserve">Ruta Panamericana Sur Km. 38, Parcela 15, Buin, Región Metropolitana</t>
  </si>
  <si>
    <t xml:space="preserve">Instalación de almacenamiento en frío, Servicio de logística</t>
  </si>
  <si>
    <t xml:space="preserve">lunes:8:30 am–5 pm | martes:8 am–5 pm | miércoles:8 am–5 pm | jueves:8 am–5 pm | viernes:8 am–5 pm | sábado:8–10:30 am | domingo:Cerrado</t>
  </si>
  <si>
    <t xml:space="preserve">https://www.google.com/maps?cid=8733697184204631332</t>
  </si>
  <si>
    <t xml:space="preserve">ChIJ95w7Wz7BYpYR0rlfcowMGKo</t>
  </si>
  <si>
    <t xml:space="preserve">Motormaq S.A.</t>
  </si>
  <si>
    <t xml:space="preserve">+56 9 7622 2147</t>
  </si>
  <si>
    <t xml:space="preserve">http://www.motormaq.cl/</t>
  </si>
  <si>
    <t xml:space="preserve">motormaq.cl</t>
  </si>
  <si>
    <t xml:space="preserve">Enea - Río Palena 9686, Pudahuel, Región Metropolitana</t>
  </si>
  <si>
    <t xml:space="preserve">Fabricante de repuestos para maquinaria</t>
  </si>
  <si>
    <t xml:space="preserve">lunes:8 am–5:45 pm | martes:8 am–5:45 pm | miércoles:8 am–5:45 pm | jueves:8 am–5:45 pm | viernes:8 am–4 pm | sábado:Cerrado | domingo:Cerrado</t>
  </si>
  <si>
    <t xml:space="preserve">https://www.google.com/maps?cid=12256560183242635730</t>
  </si>
  <si>
    <t xml:space="preserve">ChIJ5x6wbDWVYpYRGOFGUbZbD2I</t>
  </si>
  <si>
    <t xml:space="preserve">Frigorífico COOL&amp;GO</t>
  </si>
  <si>
    <t xml:space="preserve">+56 9 8807 6298</t>
  </si>
  <si>
    <t xml:space="preserve">https://coolandgo.cl/</t>
  </si>
  <si>
    <t xml:space="preserve">coolandgo.cl</t>
  </si>
  <si>
    <t xml:space="preserve">Parque Industrial Miraflores - Camino Lampa, Las Parcelas 18, S/N, Lampa, Región Metropolitana</t>
  </si>
  <si>
    <t xml:space="preserve">Instalación de almacenamiento en frío, Tienda de alimentación</t>
  </si>
  <si>
    <t xml:space="preserve">lunes:8 am–5 pm | martes:8 am–5 pm | miércoles:8 am–5 pm | jueves:8 am–5 pm | viernes:8 am–5 pm | sábado:8 am–12 pm | domingo:Cerrado</t>
  </si>
  <si>
    <t xml:space="preserve">https://www.google.com/maps?cid=7065967178973372696</t>
  </si>
  <si>
    <t xml:space="preserve">ChIJtw0xCXjpYpYRmbk7ZpMZ1YY</t>
  </si>
  <si>
    <t xml:space="preserve">Friosan</t>
  </si>
  <si>
    <t xml:space="preserve">+56 9 2849 3839</t>
  </si>
  <si>
    <t xml:space="preserve">http://www.friosan.cl/</t>
  </si>
  <si>
    <t xml:space="preserve">friosan.cl</t>
  </si>
  <si>
    <t xml:space="preserve">9020000</t>
  </si>
  <si>
    <t xml:space="preserve">EX- San Pablo Antiguo, Las Mercedes 14212 Pudahuel, 9020000 Pudahuel, Región Metropolitana</t>
  </si>
  <si>
    <t xml:space="preserve">lunes:8 am–5:30 pm | martes:8 am–5:30 pm | miércoles:8 am–5:30 pm | jueves:8 am–5:30 pm | viernes:8 am–5:30 pm | sábado:Cerrado | domingo:Cerrado</t>
  </si>
  <si>
    <t xml:space="preserve">https://www.google.com/maps?cid=9715699891987790233</t>
  </si>
  <si>
    <t xml:space="preserve">ChIJVfuzF-vbYpYRjrf-2LoaX2w</t>
  </si>
  <si>
    <t xml:space="preserve">Frigorifico Camer Ltda.</t>
  </si>
  <si>
    <t xml:space="preserve">+56 2 2589 5600</t>
  </si>
  <si>
    <t xml:space="preserve">https://www.valledor.cl/</t>
  </si>
  <si>
    <t xml:space="preserve">valledor.cl</t>
  </si>
  <si>
    <t xml:space="preserve">8020629</t>
  </si>
  <si>
    <t xml:space="preserve">Av. Ochagavia 12301, 8020629 San Bernardo, Región Metropolitana</t>
  </si>
  <si>
    <t xml:space="preserve">Matadero</t>
  </si>
  <si>
    <t xml:space="preserve">lunes:8 am–5 pm | martes:8 am–5 pm | miércoles:8 am–5 pm | jueves:8 am–5 pm | viernes:8 am–5 pm | sábado:Cerrado | domingo:Cerrado</t>
  </si>
  <si>
    <t xml:space="preserve">https://www.google.com/maps?cid=7808989668690540430</t>
  </si>
  <si>
    <t xml:space="preserve">ChIJ6ePwLsXBYpYRUquFi_OBYhE</t>
  </si>
  <si>
    <t xml:space="preserve">Yanmaq Chile</t>
  </si>
  <si>
    <t xml:space="preserve">+56 9 6531 5200</t>
  </si>
  <si>
    <t xml:space="preserve">http://www.yanmaq.cl/</t>
  </si>
  <si>
    <t xml:space="preserve">yanmaq.cl</t>
  </si>
  <si>
    <t xml:space="preserve">Américo Vespucio 1383 - Rio Palena 9686, Santiago, 9020000 Pudahuel, Región Metropolitana</t>
  </si>
  <si>
    <t xml:space="preserve">https://www.google.com/maps?cid=1252706529380248402</t>
  </si>
  <si>
    <t xml:space="preserve">ChIJN-O2dBvbYpYRuGy26zdpNxQ</t>
  </si>
  <si>
    <t xml:space="preserve">Frigorifico Sur Sa</t>
  </si>
  <si>
    <t xml:space="preserve">+56 2 2527 9346</t>
  </si>
  <si>
    <t xml:space="preserve">http://www.frigorificosur.cl/</t>
  </si>
  <si>
    <t xml:space="preserve">frigorificosur.cl</t>
  </si>
  <si>
    <t xml:space="preserve">7970336</t>
  </si>
  <si>
    <t xml:space="preserve">Av. José Joaquín Prieto 8220, 7970336 La Cisterna, Región Metropolitana</t>
  </si>
  <si>
    <t xml:space="preserve">https://www.google.com/maps?cid=1456748693376363704</t>
  </si>
  <si>
    <t xml:space="preserve">ChIJX1txnDz1YpYR0t5CpgJcmnk</t>
  </si>
  <si>
    <t xml:space="preserve">CALCA Curacaví</t>
  </si>
  <si>
    <t xml:space="preserve">Sucursal de Calca (insumos agrícolas); categoría Google dudosa</t>
  </si>
  <si>
    <t xml:space="preserve">+56 2 2835 1131</t>
  </si>
  <si>
    <t xml:space="preserve">Ambrosio O'Higgins 2119, Curacavi, Curacaví, Región Metropolitana</t>
  </si>
  <si>
    <t xml:space="preserve">Farmacia</t>
  </si>
  <si>
    <t xml:space="preserve">lunes:9 am–2 pm | martes:9 am–2 pm | miércoles:9 am–2 pm | jueves:9 am–2 pm | viernes:9 am–2 pm | sábado:9 am–2:30 pm | domingo:Cerrado</t>
  </si>
  <si>
    <t xml:space="preserve">https://www.google.com/maps?cid=8762417191451811538</t>
  </si>
  <si>
    <t xml:space="preserve">Agricola, Curacavi, Chile; Calca</t>
  </si>
  <si>
    <t xml:space="preserve">ChIJU_zszVzJYpYRVeIURRmNsiI</t>
  </si>
  <si>
    <t xml:space="preserve">Frigoríficos Hook Chile (Oficina Principal)</t>
  </si>
  <si>
    <t xml:space="preserve">+56 2 2605 7490</t>
  </si>
  <si>
    <t xml:space="preserve">http://www.hookchile.cl/</t>
  </si>
  <si>
    <t xml:space="preserve">hookchile.cl</t>
  </si>
  <si>
    <t xml:space="preserve">7550100</t>
  </si>
  <si>
    <t xml:space="preserve">Av. El Bosque Nte. 211, 7550100 Santiago, Las Condes, Región Metropolitana</t>
  </si>
  <si>
    <t xml:space="preserve">lunes:9 am–5 pm | martes:9 am–5 pm | miércoles:9 am–5 pm | jueves:9 am–5 pm | viernes:9 am–2 pm | sábado:Cerrado | domingo:Cerrado</t>
  </si>
  <si>
    <t xml:space="preserve">https://www.google.com/maps?cid=2500215882816741973</t>
  </si>
  <si>
    <t xml:space="preserve">ChIJ_ai6yQbbYpYRrZYkyDrdz6U</t>
  </si>
  <si>
    <t xml:space="preserve">MAQUINARIAS Y CONSTRUCCIONES VIDAL, SANTIAGO</t>
  </si>
  <si>
    <t xml:space="preserve">+56 9 6606 8918</t>
  </si>
  <si>
    <t xml:space="preserve">https://maquinariasvidal.cl/</t>
  </si>
  <si>
    <t xml:space="preserve">maquinariasvidal.cl</t>
  </si>
  <si>
    <t xml:space="preserve">8490382</t>
  </si>
  <si>
    <t xml:space="preserve">Las Margaritas 2861, 8490382 Pedro Aguirre Cerda, Región Metropolitana</t>
  </si>
  <si>
    <t xml:space="preserve">lunes:8 am–1 pm | martes:8 am–1 pm | miércoles:8 am–1 pm | jueves:8 am–1 pm | viernes:2 am–1 am | sábado:8–9:30 am | domingo:Cerrado</t>
  </si>
  <si>
    <t xml:space="preserve">https://www.google.com/maps?cid=11948011580972897965</t>
  </si>
  <si>
    <t xml:space="preserve">ChIJGSrxi9XhiZYRkAP30DTpfC8</t>
  </si>
  <si>
    <t xml:space="preserve">Fletes y Transportes Castro</t>
  </si>
  <si>
    <t xml:space="preserve">Sin dirección: verificar ubicación</t>
  </si>
  <si>
    <t xml:space="preserve">+56 9 3421 8869</t>
  </si>
  <si>
    <t xml:space="preserve">http://www.fletesytrasportescastro.cl/</t>
  </si>
  <si>
    <t xml:space="preserve">fletesytrasportescastro.cl</t>
  </si>
  <si>
    <t xml:space="preserve">Sin dirección</t>
  </si>
  <si>
    <t xml:space="preserve">Empresa de transporte por camión, Departamento local de transporte, Establecimiento de servicios, Servicio de mudanzas, Servicio de transporte</t>
  </si>
  <si>
    <t xml:space="preserve">lunes:8:30 am–7 pm | martes:8:30 am–7:30 pm | miércoles:8:30 am–7:30 pm | jueves:8:30 am–7:30 pm | viernes:8:30 am–7:30 pm | sábado:9 am–6 pm | domingo:9 am–5 pm</t>
  </si>
  <si>
    <t xml:space="preserve">https://www.google.com/maps?cid=3421866229948154768</t>
  </si>
  <si>
    <t xml:space="preserve">ChIJG6SX7AxcdWsRzYryDrrOuGM</t>
  </si>
  <si>
    <t xml:space="preserve">TransAlvarez spa</t>
  </si>
  <si>
    <t xml:space="preserve">+56 9 9593 6240</t>
  </si>
  <si>
    <t xml:space="preserve">https://transalvarez.com/</t>
  </si>
  <si>
    <t xml:space="preserve">transalvarez.com</t>
  </si>
  <si>
    <t xml:space="preserve">Empresa de transporte por camión, Establecimiento de servicios</t>
  </si>
  <si>
    <t xml:space="preserve">lunes:8 am–5:30 pm | martes:8 am–5:30 pm | miércoles:8 am–5:30 pm | jueves:8 am–5:30 pm | viernes:8 am–5 pm | sábado:8 am–12 pm | domingo:Cerrado</t>
  </si>
  <si>
    <t xml:space="preserve">https://www.google.com/maps?cid=7185720503979641549</t>
  </si>
  <si>
    <t xml:space="preserve">direccion_imprecisa, sin_resenas</t>
  </si>
  <si>
    <t xml:space="preserve">ChIJJ6SAWGq_YpYRLhuhGpbGieU</t>
  </si>
  <si>
    <t xml:space="preserve">Frigorífico Costa Del Pacífico</t>
  </si>
  <si>
    <t xml:space="preserve">Sta. Isabel 918-1192, Lampa, Región Metropolitana</t>
  </si>
  <si>
    <t xml:space="preserve">lunes:9 am–6 pm | martes:9 am–6 pm | miércoles:9 am–6 pm | jueves:9 am–6 pm | viernes:9 am–6 pm | sábado:10:30 am–2:30 pm | domingo:Cerrado</t>
  </si>
  <si>
    <t xml:space="preserve">https://www.google.com/maps?cid=16539969454489017134</t>
  </si>
  <si>
    <t xml:space="preserve">sin_telefono, sin_web_propia</t>
  </si>
  <si>
    <t xml:space="preserve">ChIJCa-YYsE5YpYR521scr0-aZY</t>
  </si>
  <si>
    <t xml:space="preserve">SAAM Logistics</t>
  </si>
  <si>
    <t xml:space="preserve">Sin teléfono ni web propia: requiere investigación</t>
  </si>
  <si>
    <t xml:space="preserve">Pablo Neruda 345, Barrancas, San Antonio, Valparaíso</t>
  </si>
  <si>
    <t xml:space="preserve">https://www.google.com/maps?cid=10838262961633258983</t>
  </si>
  <si>
    <t xml:space="preserve">Bodegas y almacenaje, San Antonio; Logística en San Antonio, Chile; Servicios logísticos, San Antonio, Chile</t>
  </si>
  <si>
    <t xml:space="preserve">ChIJ1berjUw4YpYRsqmkvJKmnnE</t>
  </si>
  <si>
    <t xml:space="preserve">Litoral Central S A</t>
  </si>
  <si>
    <t xml:space="preserve">2661045</t>
  </si>
  <si>
    <t xml:space="preserve">Fernández Concha 110, 2661045 San Antonio, Valparaíso</t>
  </si>
  <si>
    <t xml:space="preserve">https://www.google.com/maps?cid=8187164321766484402</t>
  </si>
  <si>
    <t xml:space="preserve">sin_telefono, sin_web_propia, sin_horario</t>
  </si>
  <si>
    <t xml:space="preserve">ChIJ-QZqa5JZImgRHBJezbc3GZU</t>
  </si>
  <si>
    <t xml:space="preserve">Camiones Boock</t>
  </si>
  <si>
    <t xml:space="preserve">+56 9 9338 1042</t>
  </si>
  <si>
    <t xml:space="preserve">lunes:6 pm–3 am | martes:6 pm–3 am | miércoles:6 pm–3 am | jueves:6 pm–3 am | viernes:6–11:30 pm | sábado:Abierto las 24 horas | domingo:Abierto las 24 horas</t>
  </si>
  <si>
    <t xml:space="preserve">https://www.google.com/maps?cid=10743679648633066012</t>
  </si>
  <si>
    <t xml:space="preserve">ChIJeUl3Olw4YpYRPJjPBIaD8n4</t>
  </si>
  <si>
    <t xml:space="preserve">Intermodal AGUNSA</t>
  </si>
  <si>
    <t xml:space="preserve">lunes:8 am–11 pm | martes:8 am–11 pm | miércoles:8 am–11 pm | jueves:8 am–11 pm | viernes:8 am–11 pm | sábado:8 am–11 pm | domingo:Cerrado</t>
  </si>
  <si>
    <t xml:space="preserve">https://www.google.com/maps?cid=9147518404772468796</t>
  </si>
  <si>
    <t xml:space="preserve">sin_telefono, sin_web_propia, direccion_imprecisa</t>
  </si>
  <si>
    <t xml:space="preserve">ChIJPbn4-s3miZYRwyIE3TMAW5g</t>
  </si>
  <si>
    <t xml:space="preserve">Central de Abastecimiento</t>
  </si>
  <si>
    <t xml:space="preserve">Veintiuno de Mayo 99, Valparaíso</t>
  </si>
  <si>
    <t xml:space="preserve">https://www.google.com/maps?cid=10978368739397083843</t>
  </si>
  <si>
    <t xml:space="preserve">ChIJeTr2nQVHYpYRH-TUWU-Q928</t>
  </si>
  <si>
    <t xml:space="preserve">SOCIEDAD SERVIRED PORT SAN ANTONIO</t>
  </si>
  <si>
    <t xml:space="preserve">Av. Las Factorías 7835, San Antonio, Valparaíso</t>
  </si>
  <si>
    <t xml:space="preserve">https://www.google.com/maps?cid=8068075927941473311</t>
  </si>
  <si>
    <t xml:space="preserve">ChIJnYDEQQBHYpYRnZtvwhS_rsA</t>
  </si>
  <si>
    <t xml:space="preserve">BODEGASAI</t>
  </si>
  <si>
    <t xml:space="preserve">CG82+93, San Antonio, Valparaíso</t>
  </si>
  <si>
    <t xml:space="preserve">Plus Code (aprox.)</t>
  </si>
  <si>
    <t xml:space="preserve">lunes:8:30 am–8 pm | martes:8:30 am–8 pm | miércoles:8:30 am–8 pm | jueves:8:30 am–8 pm | viernes:8:30 am–8 pm | sábado:8:30 am–2 pm | domingo:Cerrado</t>
  </si>
  <si>
    <t xml:space="preserve">https://www.google.com/maps?cid=13884244797112163229</t>
  </si>
  <si>
    <t xml:space="preserve">ChIJu3Nn4Po4YpYRvYTymQaZlmU</t>
  </si>
  <si>
    <t xml:space="preserve">All Logistica Limitada</t>
  </si>
  <si>
    <t xml:space="preserve">2661332</t>
  </si>
  <si>
    <t xml:space="preserve">Blanco Encalada 840, 2661332 San Antonio, Valparaíso</t>
  </si>
  <si>
    <t xml:space="preserve">https://www.google.com/maps?cid=7320206497968981181</t>
  </si>
  <si>
    <t xml:space="preserve">ChIJzdCMJgDhiZYRIXOLI_MyO_4</t>
  </si>
  <si>
    <t xml:space="preserve">Transporte y Logística R&amp;B SPA</t>
  </si>
  <si>
    <t xml:space="preserve">Camino Público - F-728 665, San Roque, Valparaíso</t>
  </si>
  <si>
    <t xml:space="preserve">https://www.google.com/maps?cid=18319291929114407713</t>
  </si>
  <si>
    <t xml:space="preserve">ChIJC_2ww9zdiZYR09Loow9VByo</t>
  </si>
  <si>
    <t xml:space="preserve">Transportes Y Logistica Guido Reyes Rios Eirl</t>
  </si>
  <si>
    <t xml:space="preserve">2531035</t>
  </si>
  <si>
    <t xml:space="preserve">10 - 1/2 Nte. 1075, 2531035 Viña del Mar, Valparaíso</t>
  </si>
  <si>
    <t xml:space="preserve">https://www.google.com/maps?cid=3028482800092762835</t>
  </si>
  <si>
    <t xml:space="preserve">ChIJOaCbC_Y4YpYRS2wwL3M2fU8</t>
  </si>
  <si>
    <t xml:space="preserve">E &amp; C Servicios Logisticos Limitada</t>
  </si>
  <si>
    <t xml:space="preserve">Samuel García Huidobro 891, San Antonio, Valparaíso</t>
  </si>
  <si>
    <t xml:space="preserve">https://www.google.com/maps?cid=5727794169425980491</t>
  </si>
  <si>
    <t xml:space="preserve">sin_telefono, sin_web_propia, sin_horario, sin_categoria</t>
  </si>
  <si>
    <t xml:space="preserve">ChIJQ96yMYg4YpYRYjQWU09G1mw</t>
  </si>
  <si>
    <t xml:space="preserve">Sitrans San Antonio ALTO</t>
  </si>
  <si>
    <t xml:space="preserve">lunes:8:30 am–10 pm | martes:8:30 am–10 pm | miércoles:8:30 am–10 pm | jueves:8:30 am–10 pm | viernes:8:30 am–10 pm | sábado:8:30 am–5 pm | domingo:Cerrado</t>
  </si>
  <si>
    <t xml:space="preserve">https://www.google.com/maps?cid=7842533107622622306</t>
  </si>
  <si>
    <t xml:space="preserve">Empresa, San Antonio, Chile; Servicios logísticos, San Antonio, Chile; Transporte de carga, San Antonio, Chile</t>
  </si>
  <si>
    <t xml:space="preserve">ChIJC9b7ZFs5YpYRRq5pGWqykjE</t>
  </si>
  <si>
    <t xml:space="preserve">PUERTO CENTRAL</t>
  </si>
  <si>
    <t xml:space="preserve">https://www.google.com/maps?cid=3572113623220858438</t>
  </si>
  <si>
    <t xml:space="preserve">ChIJhROgCwY5YpYRSVQMi0jZa0k</t>
  </si>
  <si>
    <t xml:space="preserve">Ricer Logistics</t>
  </si>
  <si>
    <t xml:space="preserve">https://ricerlogistics.ueniweb.com/?utm_campaign=gmb</t>
  </si>
  <si>
    <t xml:space="preserve">ricerlogistics.ueniweb.com</t>
  </si>
  <si>
    <t xml:space="preserve">A Armando Pino S 1125, 2660000 Valparaíso, San Antonio, Valparaíso</t>
  </si>
  <si>
    <t xml:space="preserve">lunes:9 am–8 pm | martes:9 am–8 pm | miércoles:9 am–8 pm | jueves:9 am–8 pm | viernes:9 am–8 pm | sábado:9 am–8 pm | domingo:9 am–8 pm</t>
  </si>
  <si>
    <t xml:space="preserve">https://www.google.com/maps?cid=5290561092870493257</t>
  </si>
  <si>
    <t xml:space="preserve">15-Records-Logística--202610052332.csv</t>
  </si>
  <si>
    <t xml:space="preserve">sin_telefono, sin_web_propia, sin_resenas</t>
  </si>
  <si>
    <t xml:space="preserve">ChIJr_GtTgDhiZYRPEz1EflX-B8</t>
  </si>
  <si>
    <t xml:space="preserve">Transportes y Logística HR/TB</t>
  </si>
  <si>
    <t xml:space="preserve">Ruta F 718, Lago Peñuelas, Valparaíso</t>
  </si>
  <si>
    <t xml:space="preserve">https://www.google.com/maps?cid=2303687936659770428</t>
  </si>
  <si>
    <t xml:space="preserve">Servicios logísticos (archivo); Transporte (archivo)</t>
  </si>
  <si>
    <t xml:space="preserve">ChIJ06bBqrLfiZYRNNxP0Fy2cZk</t>
  </si>
  <si>
    <t xml:space="preserve">Transporte mil horizonte spa</t>
  </si>
  <si>
    <t xml:space="preserve">Calle arica paradero 2, Nva Aurora, 2520000 Valparaíso, Viña del Mar, Valparaíso</t>
  </si>
  <si>
    <t xml:space="preserve">https://www.google.com/maps?cid=11056819069919419444</t>
  </si>
  <si>
    <t xml:space="preserve">ChIJ7-l8bfdvYpYRglx5C77tHc8</t>
  </si>
  <si>
    <t xml:space="preserve">Viña Casablanca</t>
  </si>
  <si>
    <t xml:space="preserve">Casablanca, Valparaíso</t>
  </si>
  <si>
    <t xml:space="preserve">https://www.google.com/maps?cid=14924346140667763842</t>
  </si>
  <si>
    <t xml:space="preserve">sin_telefono, sin_web_propia, direccion_imprecisa, sin_horario</t>
  </si>
  <si>
    <t xml:space="preserve">ChIJR12_ddzzYpYR-FSol12qnZM</t>
  </si>
  <si>
    <t xml:space="preserve">Agricola Santa Sara S.A</t>
  </si>
  <si>
    <t xml:space="preserve">Tienda de productos agrícolas</t>
  </si>
  <si>
    <t xml:space="preserve">https://www.google.com/maps?cid=10636845213872051448</t>
  </si>
  <si>
    <t xml:space="preserve">ChIJO0ZU5vc3YpYRR-b1Rfl9QyA</t>
  </si>
  <si>
    <t xml:space="preserve">Gamamaquinarias</t>
  </si>
  <si>
    <t xml:space="preserve">San Juan 2767, 2660000 San Juan de Llolleo, San Antonio, Valparaíso</t>
  </si>
  <si>
    <t xml:space="preserve">Proveedor de máquinas de metal, Servicio de transporte</t>
  </si>
  <si>
    <t xml:space="preserve">https://www.google.com/maps?cid=2324840342227379783</t>
  </si>
  <si>
    <t xml:space="preserve">ChIJA1WrdgDhiZYRFTIbJgz5-4g</t>
  </si>
  <si>
    <t xml:space="preserve">BULLTRACKS SPA</t>
  </si>
  <si>
    <t xml:space="preserve">WC68+QJ, La Polvora, Valparaíso</t>
  </si>
  <si>
    <t xml:space="preserve">https://www.google.com/maps?cid=9870756838886814229</t>
  </si>
  <si>
    <t xml:space="preserve">ChIJtZiRIdr0YpYR3q4FuWDgezQ</t>
  </si>
  <si>
    <t xml:space="preserve">Agricola Inversiones Y Turismo Cerro Viejo Limitada</t>
  </si>
  <si>
    <t xml:space="preserve">Ambrosio O'Higgins 1140, Curacavi, Curacaví, Región Metropolitana</t>
  </si>
  <si>
    <t xml:space="preserve">Servicio agrícola</t>
  </si>
  <si>
    <t xml:space="preserve">https://www.google.com/maps?cid=3781863018133303006</t>
  </si>
  <si>
    <t xml:space="preserve">ChIJGS5QJ7DXiZYReZ8qW44wowU</t>
  </si>
  <si>
    <t xml:space="preserve">Molker Quimica De Procesos Sa</t>
  </si>
  <si>
    <t xml:space="preserve">2470497</t>
  </si>
  <si>
    <t xml:space="preserve">Los Andes 825, 2470497 Villa Alemana, Valparaíso</t>
  </si>
  <si>
    <t xml:space="preserve">https://www.google.com/maps?cid=406221779366485881</t>
  </si>
  <si>
    <t xml:space="preserve">sin_telefono, sin_web_propia, sin_resenas, sin_horario, sin_categoria</t>
  </si>
  <si>
    <t xml:space="preserve">ChIJMRZbDAA5YpYRGImUEgehuWk</t>
  </si>
  <si>
    <t xml:space="preserve">Transportes Angelica María Moya Silva EIRL</t>
  </si>
  <si>
    <t xml:space="preserve">Cam. Antiguo A Santiago 2861, parcela 34, San Antonio, Valparaíso</t>
  </si>
  <si>
    <t xml:space="preserve">https://www.google.com/maps?cid=7618297296422471960</t>
  </si>
  <si>
    <t xml:space="preserve">sin_telefono, sin_web_propia, sin_resenas, sin_horario</t>
  </si>
  <si>
    <t xml:space="preserve">ChIJ3ySPjLE5YpYRWROLoPJi8Ds</t>
  </si>
  <si>
    <t xml:space="preserve">SOPESA San Antonio</t>
  </si>
  <si>
    <t xml:space="preserve">Empresa de aguas minerales</t>
  </si>
  <si>
    <t xml:space="preserve">https://www.google.com/maps?cid=4319060836863382361</t>
  </si>
  <si>
    <t xml:space="preserve">ChIJtadcaQA5YpYRn-PFooO1Mys</t>
  </si>
  <si>
    <t xml:space="preserve">BODEGA 103 SAAM</t>
  </si>
  <si>
    <t xml:space="preserve">Pablo Neruda, San Antonio, Valparaíso</t>
  </si>
  <si>
    <t xml:space="preserve">https://www.google.com/maps?cid=3113031344419365791</t>
  </si>
  <si>
    <t xml:space="preserve">sin_telefono, sin_web_propia, direccion_imprecisa, sin_resenas, sin_horario</t>
  </si>
  <si>
    <t xml:space="preserve">ChIJL-bsQgBHYpYRQbaghANeWe4</t>
  </si>
  <si>
    <t xml:space="preserve">Bodega Full- Logistic - San Antonio</t>
  </si>
  <si>
    <t xml:space="preserve">CCHM+XV, San Antonio, Valparaíso</t>
  </si>
  <si>
    <t xml:space="preserve">https://www.google.com/maps?cid=17174862023157134913</t>
  </si>
  <si>
    <t xml:space="preserve">ChIJ7Y1REAA5YpYRtoB6QWWMsvc</t>
  </si>
  <si>
    <t xml:space="preserve">Transportes Tapia</t>
  </si>
  <si>
    <t xml:space="preserve">9CW4+C9, San Antonio, Valparaíso</t>
  </si>
  <si>
    <t xml:space="preserve">https://www.google.com/maps?cid=17848482639740829878</t>
  </si>
  <si>
    <t xml:space="preserve">ChIJTwxhiMj0YpYRtqr4f1C02zI</t>
  </si>
  <si>
    <t xml:space="preserve">COOPERATIVA AGRICOLA</t>
  </si>
  <si>
    <t xml:space="preserve">https://www.google.com/maps?cid=3664720979633416886</t>
  </si>
  <si>
    <t xml:space="preserve">sin_telefono, sin_web_propia, direccion_imprecisa, sin_resenas, sin_horario, sin_categoria</t>
  </si>
  <si>
    <t xml:space="preserve">ChIJfwGsD8j0YpYRScQEUHMEnao</t>
  </si>
  <si>
    <t xml:space="preserve">Vivero Las Higueras</t>
  </si>
  <si>
    <t xml:space="preserve">Negocio minorista / no industrial (Centro de jardinería)</t>
  </si>
  <si>
    <t xml:space="preserve">+56 9 4592 5759</t>
  </si>
  <si>
    <t xml:space="preserve">http://viverolashigueras.cl/</t>
  </si>
  <si>
    <t xml:space="preserve">viverolashigueras.cl</t>
  </si>
  <si>
    <t xml:space="preserve">Ambrosio O'Higgins 2159, 9630000 Curacavi, Curacaví, Región Metropolitana</t>
  </si>
  <si>
    <t xml:space="preserve">Centro de jardinería</t>
  </si>
  <si>
    <t xml:space="preserve">Centro de jardinería, Jardín, Vivero</t>
  </si>
  <si>
    <t xml:space="preserve">lunes:9 am–6 pm | martes:9 am–6 pm | miércoles:9 am–6 pm | jueves:9 am–6 pm | viernes:9 am–6 pm | sábado:9 am–6 pm | domingo:10 am–6 pm</t>
  </si>
  <si>
    <t xml:space="preserve">https://www.google.com/maps?cid=12293987451101561929</t>
  </si>
  <si>
    <t xml:space="preserve">ChIJ5Ve3UBPhiZYRZlMVaxrN7RA</t>
  </si>
  <si>
    <t xml:space="preserve">Equipos Gastronomicos Rorland</t>
  </si>
  <si>
    <t xml:space="preserve">Comercio minorista de equipos gastronómicos</t>
  </si>
  <si>
    <t xml:space="preserve">+56 32 225 3651</t>
  </si>
  <si>
    <t xml:space="preserve">http://maquinariasrorland.cl/</t>
  </si>
  <si>
    <t xml:space="preserve">maquinariasrorland.cl</t>
  </si>
  <si>
    <t xml:space="preserve">2363026</t>
  </si>
  <si>
    <t xml:space="preserve">Independencia 2377, 2363026 Valparaíso</t>
  </si>
  <si>
    <t xml:space="preserve">lunes:9 am–6 pm | martes:9 am–6 pm | miércoles:9 am–6 pm | jueves:9 am–6 pm | viernes:9 am–6 pm | sábado:10 am–2 pm | domingo:Cerrado</t>
  </si>
  <si>
    <t xml:space="preserve">https://www.google.com/maps?cid=1219856587436675942</t>
  </si>
  <si>
    <t xml:space="preserve">ChIJQRkCEK_ZiZYRk6Y_apEPQ-0</t>
  </si>
  <si>
    <t xml:space="preserve">Corralosorno Quilpué</t>
  </si>
  <si>
    <t xml:space="preserve">Frigorificio de Osorno .S.A Sala de ventas Quilpué</t>
  </si>
  <si>
    <t xml:space="preserve">Negocio minorista / no industrial (Carnicería)</t>
  </si>
  <si>
    <t xml:space="preserve">+56 9 3414 8336</t>
  </si>
  <si>
    <t xml:space="preserve">https://www.corralosorno.cl/</t>
  </si>
  <si>
    <t xml:space="preserve">corralosorno.cl</t>
  </si>
  <si>
    <t xml:space="preserve">2420468</t>
  </si>
  <si>
    <t xml:space="preserve">Av. Industrial 1750, 2420468 Quilpué, Valparaíso</t>
  </si>
  <si>
    <t xml:space="preserve">Carnicería</t>
  </si>
  <si>
    <t xml:space="preserve">lunes:10 am–5:20 pm | martes:9:30 am–5:20 pm | miércoles:9:30 am–5:20 pm | jueves:9:30 am–5:20 pm | viernes:9:30 am–5:20 pm | sábado:9:30 am–1:45 pm | domingo:Cerrado</t>
  </si>
  <si>
    <t xml:space="preserve">https://www.google.com/maps?cid=17096525727655765651</t>
  </si>
  <si>
    <t xml:space="preserve">ChIJl3ODEeY4YpYRQhTe5P_j9zk</t>
  </si>
  <si>
    <t xml:space="preserve">Escuela Industrial San Antonio</t>
  </si>
  <si>
    <t xml:space="preserve">Negocio minorista / no industrial (Escuela secundaria de formación profesional)</t>
  </si>
  <si>
    <t xml:space="preserve">+56 35 229 1641</t>
  </si>
  <si>
    <t xml:space="preserve">https://www.eisasanantonio.cl/</t>
  </si>
  <si>
    <t xml:space="preserve">eisasanantonio.cl</t>
  </si>
  <si>
    <t xml:space="preserve">2661311</t>
  </si>
  <si>
    <t xml:space="preserve">Centenario 278, 2661311 San Antonio, Valparaíso</t>
  </si>
  <si>
    <t xml:space="preserve">Escuela secundaria de formación profesional</t>
  </si>
  <si>
    <t xml:space="preserve">lunes:7 am–5:30 pm | martes:7 am–5:30 pm | miércoles:7 am–5:30 pm | jueves:7 am–5:30 pm | viernes:7:30 am–5 pm | sábado:Abierto las 24 horas | domingo:Abierto las 24 horas</t>
  </si>
  <si>
    <t xml:space="preserve">https://www.google.com/maps?cid=4177057867605349442</t>
  </si>
  <si>
    <t xml:space="preserve">ChIJy_QpgOHdiZYRFEYggAnnQlk</t>
  </si>
  <si>
    <t xml:space="preserve">Centro de Negocios Viña</t>
  </si>
  <si>
    <t xml:space="preserve">Negocio minorista / no industrial (Alquiler de oficinas virtuales)</t>
  </si>
  <si>
    <t xml:space="preserve">+56 32 320 5459</t>
  </si>
  <si>
    <t xml:space="preserve">https://centrodenegociosvina.cl/web/</t>
  </si>
  <si>
    <t xml:space="preserve">centrodenegociosvina.cl</t>
  </si>
  <si>
    <t xml:space="preserve">2520307</t>
  </si>
  <si>
    <t xml:space="preserve">1 Nte. 461, Ofi N°703, 2520307 Viña del Mar, Valparaíso</t>
  </si>
  <si>
    <t xml:space="preserve">Alquiler de oficinas virtuales</t>
  </si>
  <si>
    <t xml:space="preserve">https://www.google.com/maps?cid=6431957245828810260</t>
  </si>
  <si>
    <t xml:space="preserve">ChIJH74pB9HdiZYRTE7ucF90ZDI</t>
  </si>
  <si>
    <t xml:space="preserve">Centro de Negocios Sercotec Viña del Mar</t>
  </si>
  <si>
    <t xml:space="preserve">Negocio minorista / no industrial (Consultora de administración empresarial)</t>
  </si>
  <si>
    <t xml:space="preserve">+56 9 8536 1466</t>
  </si>
  <si>
    <t xml:space="preserve">https://www.sercotec.cl/centros-de-negocios/centro-de-negocios-sercotec-vina-del-mar/</t>
  </si>
  <si>
    <t xml:space="preserve">sercotec.cl</t>
  </si>
  <si>
    <t xml:space="preserve">2531034</t>
  </si>
  <si>
    <t xml:space="preserve">10 Nte 1059, 2531034 Viña del Mar, Valparaíso</t>
  </si>
  <si>
    <t xml:space="preserve">Consultora de administración empresarial</t>
  </si>
  <si>
    <t xml:space="preserve">https://www.google.com/maps?cid=3631155152832843340</t>
  </si>
  <si>
    <t xml:space="preserve">ChIJ90J-Dq_ZiZYRJYCWlHX8aqI</t>
  </si>
  <si>
    <t xml:space="preserve">http://www.frigosorno.com/</t>
  </si>
  <si>
    <t xml:space="preserve">frigosorno.com</t>
  </si>
  <si>
    <t xml:space="preserve">Carnicería, Establecimiento de servicios, Supermercado</t>
  </si>
  <si>
    <t xml:space="preserve">lunes:9:30 am–6 pm | martes:9:30 am–6 pm | miércoles:9:30 am–6 pm | jueves:9:30 am–6 pm | viernes:9:30 am–6 pm | sábado:9:30 am–2 pm | domingo:Cerrado</t>
  </si>
  <si>
    <t xml:space="preserve">https://www.google.com/maps?cid=11703444163609919525</t>
  </si>
  <si>
    <t xml:space="preserve">ChIJcazObm5vYpYRxxo6SfD7Fg0</t>
  </si>
  <si>
    <t xml:space="preserve">Casablanca chile Vinamar</t>
  </si>
  <si>
    <t xml:space="preserve">Negocio minorista / no industrial (Restaurante)</t>
  </si>
  <si>
    <t xml:space="preserve">+56 32 275 4300</t>
  </si>
  <si>
    <t xml:space="preserve">http://www.vinamar.cl/</t>
  </si>
  <si>
    <t xml:space="preserve">vinamar.cl</t>
  </si>
  <si>
    <t xml:space="preserve">Santiago - Valparaíso, Casablanca, Valparaíso</t>
  </si>
  <si>
    <t xml:space="preserve">Restaurante</t>
  </si>
  <si>
    <t xml:space="preserve">https://www.google.com/maps?cid=943218181419965127</t>
  </si>
  <si>
    <t xml:space="preserve">direccion_imprecisa, sin_horario</t>
  </si>
  <si>
    <t xml:space="preserve">ChIJ10Re7FjFYpYRleRBwLYhwxc</t>
  </si>
  <si>
    <t xml:space="preserve">La Industrial Outlet</t>
  </si>
  <si>
    <t xml:space="preserve">Ferretería minorista</t>
  </si>
  <si>
    <t xml:space="preserve">+56 9 8900 4831</t>
  </si>
  <si>
    <t xml:space="preserve">https://www.laindustrialoutlet.cl/</t>
  </si>
  <si>
    <t xml:space="preserve">laindustrialoutlet.cl</t>
  </si>
  <si>
    <t xml:space="preserve">2530970</t>
  </si>
  <si>
    <t xml:space="preserve">San Antonio 1280, Loc 18, 2530970 Viña del Mar, Valparaíso</t>
  </si>
  <si>
    <t xml:space="preserve">lunes:11 am–5 pm | martes:11 am–5 pm | miércoles:11 am–5 pm | jueves:11 am–5 pm | viernes:11 am–4 pm | sábado:11 am–2 pm | domingo:Cerrado</t>
  </si>
  <si>
    <t xml:space="preserve">https://www.google.com/maps?cid=1712249352124228757</t>
  </si>
  <si>
    <t xml:space="preserve">ChIJYwCC1cTgiZYR7gEd-zgJve4</t>
  </si>
  <si>
    <t xml:space="preserve">Bodega El Granero</t>
  </si>
  <si>
    <t xml:space="preserve">Negocio minorista / no industrial (Tienda de alimentos para animales)</t>
  </si>
  <si>
    <t xml:space="preserve">+56 32 222 9968</t>
  </si>
  <si>
    <t xml:space="preserve">Chacabuco 2726, Chacabuco 2780, 2340000 Valparaíso</t>
  </si>
  <si>
    <t xml:space="preserve">Tienda de alimentos para animales</t>
  </si>
  <si>
    <t xml:space="preserve">lunes:8:30 am–6 pm | martes:8:30 am–6 pm | miércoles:8:30 am–6 pm | jueves:8:30 am–6 pm | viernes:8:30 am–6 pm | sábado:8:30 am–4 pm | domingo:Cerrado</t>
  </si>
  <si>
    <t xml:space="preserve">https://www.google.com/maps?cid=17202916291960963566</t>
  </si>
  <si>
    <t xml:space="preserve">ChIJPTQXJizhiZYReFcKz1a_fww</t>
  </si>
  <si>
    <t xml:space="preserve">BODEGA URRIOLA</t>
  </si>
  <si>
    <t xml:space="preserve">Negocio minorista / no industrial (Tienda de bebidas alcohólicas)</t>
  </si>
  <si>
    <t xml:space="preserve">+56 9 3698 0027</t>
  </si>
  <si>
    <t xml:space="preserve">https://www.instagram.com/bodegaurriola/</t>
  </si>
  <si>
    <t xml:space="preserve">2370654</t>
  </si>
  <si>
    <t xml:space="preserve">Urriola 393, 2370654 Valparaíso</t>
  </si>
  <si>
    <t xml:space="preserve">Tienda de bebidas alcohólicas</t>
  </si>
  <si>
    <t xml:space="preserve">Tienda de bebidas alcohólicas, Delicatessen, Tienda de vinos</t>
  </si>
  <si>
    <t xml:space="preserve">lunes:2–10 pm | martes:2–10 pm | miércoles:2–10 pm | jueves:2 pm–12 am | viernes:2 pm–1 am | sábado:2 pm–1 am | domingo:2–11 pm</t>
  </si>
  <si>
    <t xml:space="preserve">https://www.google.com/maps?cid=900648830059042680</t>
  </si>
  <si>
    <t xml:space="preserve">ChIJzyU_1sTgiZYR1ZLC3ZxUkmI</t>
  </si>
  <si>
    <t xml:space="preserve">Bodega Chacabuco</t>
  </si>
  <si>
    <t xml:space="preserve">Negocio minorista / no industrial (Tienda de alimentación)</t>
  </si>
  <si>
    <t xml:space="preserve">+56 32 211 6704</t>
  </si>
  <si>
    <t xml:space="preserve">2340103</t>
  </si>
  <si>
    <t xml:space="preserve">Chacabuco 2748, 2340103 Valparaíso</t>
  </si>
  <si>
    <t xml:space="preserve">Tienda de alimentación</t>
  </si>
  <si>
    <t xml:space="preserve">lunes:9 am–8:30 pm | martes:9 am–8:30 pm | miércoles:9 am–8:30 pm | jueves:9 am–8:30 pm | viernes:9 am–8:30 pm | sábado:9 am–8:30 pm | domingo:9 am–2 pm</t>
  </si>
  <si>
    <t xml:space="preserve">https://www.google.com/maps?cid=7102832595028841173</t>
  </si>
  <si>
    <t xml:space="preserve">ChIJY3n15AFvYpYRjwJdoDgiA8s</t>
  </si>
  <si>
    <t xml:space="preserve">Carniceria Nacional</t>
  </si>
  <si>
    <t xml:space="preserve">+56 9 4526 4464</t>
  </si>
  <si>
    <t xml:space="preserve">Sta. Luisa 980, Casablanca, Valparaíso</t>
  </si>
  <si>
    <t xml:space="preserve">lunes:Cerrado | martes:10 am–2:30 pm | miércoles:10 am–2:30 pm | jueves:10 am–2:30 pm | viernes:10 am–2:30 pm | sábado:10 am–2:30 pm | domingo:10 am–2:30 pm</t>
  </si>
  <si>
    <t xml:space="preserve">https://www.google.com/maps?cid=14628573641233465999</t>
  </si>
  <si>
    <t xml:space="preserve">ChIJR0kqTxvzYpYRCjHiDOhwBbY</t>
  </si>
  <si>
    <t xml:space="preserve">Agricom</t>
  </si>
  <si>
    <t xml:space="preserve">Negocio minorista / no industrial (Frutería)</t>
  </si>
  <si>
    <t xml:space="preserve">+56 9 9133 3721</t>
  </si>
  <si>
    <t xml:space="preserve">Frutería</t>
  </si>
  <si>
    <t xml:space="preserve">lunes:8 am–6:30 pm | martes:8 am–6:30 pm | miércoles:8 am–6:30 pm | jueves:8 am–6:30 pm | viernes:8 am–6:30 pm | sábado:Cerrado | domingo:Cerrado</t>
  </si>
  <si>
    <t xml:space="preserve">https://www.google.com/maps?cid=13116013631737311498</t>
  </si>
  <si>
    <t xml:space="preserve">ChIJPeaIqmtvYpYR0wUeyC-ML2E</t>
  </si>
  <si>
    <t xml:space="preserve">Carnicería Carnes Casablanca</t>
  </si>
  <si>
    <t xml:space="preserve">+56 9 9689 5670</t>
  </si>
  <si>
    <t xml:space="preserve">2480427</t>
  </si>
  <si>
    <t xml:space="preserve">Av. Portales 771, 2480427 Casablanca, Valparaíso</t>
  </si>
  <si>
    <t xml:space="preserve">lunes:9:30 am–9 pm | martes:9:30 am–9 pm | miércoles:9:30 am–9 pm | jueves:9:30 am–9 pm | viernes:9:30 am–9 pm | sábado:9:30 am–9 pm | domingo:9:30 am–3 pm</t>
  </si>
  <si>
    <t xml:space="preserve">https://www.google.com/maps?cid=7002970082433172947</t>
  </si>
  <si>
    <t xml:space="preserve">ChIJ-7RV2MTgiZYR9pQ0VFEwv_g</t>
  </si>
  <si>
    <t xml:space="preserve">Bodega el Campo</t>
  </si>
  <si>
    <t xml:space="preserve">Comercio minorista</t>
  </si>
  <si>
    <t xml:space="preserve">Chacabuco 2780, 2340103 Valparaíso</t>
  </si>
  <si>
    <t xml:space="preserve">lunes:8:30 am–6 pm | martes:8:30 am–6 pm | miércoles:8:30 am–6 pm | jueves:8:30 am–6 pm | viernes:8:30 am–6 pm | sábado:8:30 am–2:30 pm | domingo:Cerrado</t>
  </si>
  <si>
    <t xml:space="preserve">https://www.google.com/maps?cid=17924098167821079798</t>
  </si>
  <si>
    <t xml:space="preserve">ChIJ9f4ptIERYpYRX_E98F6Md4o</t>
  </si>
  <si>
    <t xml:space="preserve">Foco Alimentos Spa</t>
  </si>
  <si>
    <t xml:space="preserve">+56 9 9904 0482</t>
  </si>
  <si>
    <t xml:space="preserve">2710000</t>
  </si>
  <si>
    <t xml:space="preserve">El Boldo 366, Loc 2 y 3, 2710000 Algarrobo, Valparaíso</t>
  </si>
  <si>
    <t xml:space="preserve">lunes:10 am–7:30 pm | martes:10 am–7:30 pm | miércoles:10 am–7:30 pm | jueves:10 am–7:30 pm | viernes:10 am–7:30 pm | sábado:10 am–7:30 pm | domingo:10 am–3 pm</t>
  </si>
  <si>
    <t xml:space="preserve">https://www.google.com/maps?cid=9977597838848029023</t>
  </si>
  <si>
    <t xml:space="preserve">ChIJrc3o_uXdiZYRcLvsJUGlV1k</t>
  </si>
  <si>
    <t xml:space="preserve">Terminal de Buses De Viña Del Mar</t>
  </si>
  <si>
    <t xml:space="preserve">Negocio minorista / no industrial (Empresa de autobuses)</t>
  </si>
  <si>
    <t xml:space="preserve">https://www.rodoviario.cl/</t>
  </si>
  <si>
    <t xml:space="preserve">rodoviario.cl</t>
  </si>
  <si>
    <t xml:space="preserve">2520479</t>
  </si>
  <si>
    <t xml:space="preserve">Av. Valparaíso 1055, 2520479 Viña del Mar, Valparaíso</t>
  </si>
  <si>
    <t xml:space="preserve">Empresa de autobuses</t>
  </si>
  <si>
    <t xml:space="preserve">https://www.google.com/maps?cid=6437795891577142128</t>
  </si>
  <si>
    <t xml:space="preserve">ChIJD3nbLdLmiZYRlOh3_Zl_ahc</t>
  </si>
  <si>
    <t xml:space="preserve">Centro De Abastecimiento De La Armada</t>
  </si>
  <si>
    <t xml:space="preserve">Institución militar, no prospecto comercial</t>
  </si>
  <si>
    <t xml:space="preserve">Antonio Varas 348, Valparaíso</t>
  </si>
  <si>
    <t xml:space="preserve">lunes:8:30 am–5 pm | martes:8:30 am–5 pm | miércoles:8:30 am–5 pm | jueves:8:30 am–5 pm | viernes:8:30 am–5 pm | sábado:Cerrado | domingo:Cerrado</t>
  </si>
  <si>
    <t xml:space="preserve">https://www.google.com/maps?cid=1687301309762889876</t>
  </si>
  <si>
    <t xml:space="preserve">ChIJhcoDU7zPr5URqicJZDqRYP8</t>
  </si>
  <si>
    <t xml:space="preserve">Frigorífico Casa Blanca S.A.</t>
  </si>
  <si>
    <t xml:space="preserve">Empresa en Uruguay (homónimo de Casablanca, Chile)</t>
  </si>
  <si>
    <t xml:space="preserve">+59847242627</t>
  </si>
  <si>
    <t xml:space="preserve">Extranjero</t>
  </si>
  <si>
    <t xml:space="preserve">http://www.fricasa.com.uy/</t>
  </si>
  <si>
    <t xml:space="preserve">fricasa.com.uy</t>
  </si>
  <si>
    <t xml:space="preserve">Uruguay (fuera de Chile)</t>
  </si>
  <si>
    <t xml:space="preserve">60000 Casablanca, Departamento de Paysandú, Uruguay</t>
  </si>
  <si>
    <t xml:space="preserve">Fabricante de alimentos</t>
  </si>
  <si>
    <t xml:space="preserve">https://www.google.com/maps?cid=18401867757408298922</t>
  </si>
  <si>
    <t xml:space="preserve">ChIJERYtHD3hiZYR6znoSrTGXEI</t>
  </si>
  <si>
    <t xml:space="preserve">Bodega Simón Bolívar</t>
  </si>
  <si>
    <t xml:space="preserve">Edificio histórico (ficha Wikipedia), no es empresa</t>
  </si>
  <si>
    <t xml:space="preserve">https://es.m.wikipedia.org/wiki/Bodega_Sim%C3%B3n_Bol%C3%ADvar</t>
  </si>
  <si>
    <t xml:space="preserve">es.m.wikipedia.org</t>
  </si>
  <si>
    <t xml:space="preserve">Av. Federico Errázuriz, Valparaíso</t>
  </si>
  <si>
    <t xml:space="preserve">https://www.google.com/maps?cid=4781915382013770219</t>
  </si>
  <si>
    <t xml:space="preserve">ChIJPzyYKgA5YpYR-3KnWrl2CpU</t>
  </si>
  <si>
    <t xml:space="preserve">San Antonio Port - Chile</t>
  </si>
  <si>
    <t xml:space="preserve">Duplicado de Puerto San Antonio sin datos</t>
  </si>
  <si>
    <t xml:space="preserve">https://www.google.com/maps?cid=10739526799880319739</t>
  </si>
  <si>
    <t xml:space="preserve">ChIJ75ejIQA5YpYRwcyTZitDwqg</t>
  </si>
  <si>
    <t xml:space="preserve">Transporte de carga por carretera</t>
  </si>
  <si>
    <t xml:space="preserve">Ficha genérica sin empresa identificable</t>
  </si>
  <si>
    <t xml:space="preserve">Avenida 23 de Noviembre, San Antonio, Valparaíso</t>
  </si>
  <si>
    <t xml:space="preserve">https://www.google.com/maps?cid=12160355797537377473</t>
  </si>
  <si>
    <t xml:space="preserve">ChIJQ3oX5_7DiZYRE2N-EKzeKew</t>
  </si>
  <si>
    <t xml:space="preserve">portería ENAP</t>
  </si>
  <si>
    <t xml:space="preserve">Portería de ENAP Aconcagua (duplicado)</t>
  </si>
  <si>
    <t xml:space="preserve">Av. Principal 300-398, Concón, Valparaíso</t>
  </si>
  <si>
    <t xml:space="preserve">Distribuidor de productos químicos industriales</t>
  </si>
  <si>
    <t xml:space="preserve">https://www.google.com/maps?cid=17017377497588589331</t>
  </si>
  <si>
    <t xml:space="preserve">Procesos químicos (archivo)</t>
  </si>
  <si>
    <t xml:space="preserve">ChIJTcFuV904YpYRlpBxys18uZw</t>
  </si>
  <si>
    <t xml:space="preserve">Las Bodegas</t>
  </si>
  <si>
    <t xml:space="preserve">Ficha genérica sin datos</t>
  </si>
  <si>
    <t xml:space="preserve">https://www.google.com/maps?cid=11293194763914809494</t>
  </si>
  <si>
    <t xml:space="preserve">Campo</t>
  </si>
  <si>
    <t xml:space="preserve">Descripción</t>
  </si>
  <si>
    <t xml:space="preserve">ID único de Google Maps; clave de deduplicación</t>
  </si>
  <si>
    <t xml:space="preserve">Nombre limpio (sin relleno SEO)</t>
  </si>
  <si>
    <t xml:space="preserve">Nombre tal cual en Google Maps</t>
  </si>
  <si>
    <t xml:space="preserve">Empresa matriz cuando varias fichas comparten dominio web o teléfono</t>
  </si>
  <si>
    <t xml:space="preserve">Nº de fichas del mismo grupo</t>
  </si>
  <si>
    <t xml:space="preserve">Rubro asignado por reglas sobre categorías de Google, nombre y búsqueda de origen</t>
  </si>
  <si>
    <t xml:space="preserve">Alta: industrial/logística en zona objetivo con contacto · Media: falta contacto o fuera de zona · Baja: minorista/no industrial · Descartar: no es empresa, duplicado o fuera de Chile</t>
  </si>
  <si>
    <t xml:space="preserve">Regla que asignó la relevancia</t>
  </si>
  <si>
    <t xml:space="preserve">0–100: teléfono 25 · web propia 25 · dirección con número 15 (aprox. 5) · reseñas ≥50:15, ≥10:10, ≥1:5 · rating ≥4: 10 · horario 10</t>
  </si>
  <si>
    <t xml:space="preserve">Formato internacional +56</t>
  </si>
  <si>
    <t xml:space="preserve">Móvil / Fijo / 600 / Extranjero / Sin teléfono</t>
  </si>
  <si>
    <t xml:space="preserve">No si el "sitio" es Instagram, WhatsApp, g.page, Wikipedia, negocio.site o ueniweb</t>
  </si>
  <si>
    <t xml:space="preserve">Comuna / Region / Codigo_postal</t>
  </si>
  <si>
    <t xml:space="preserve">Extraídos de la dirección completa</t>
  </si>
  <si>
    <t xml:space="preserve">Con número / Sin número / Camino sin nombre / Plus Code / Solo comuna / Sin dirección</t>
  </si>
  <si>
    <t xml:space="preserve">Búsquedas de Google Maps en que apareció la empresa</t>
  </si>
  <si>
    <t xml:space="preserve">Veces que la empresa apareció en las 22 exportaciones</t>
  </si>
  <si>
    <t xml:space="preserve">Problemas pendientes de cada ficha</t>
  </si>
  <si>
    <t xml:space="preserve">Columnas eliminadas</t>
  </si>
  <si>
    <t xml:space="preserve">Email y Social Medias (bloqueados por plan gratuito), Claimed (siempre false), Price (1 valor), Phones, Review URL, Featured Image, Cid</t>
  </si>
  <si>
    <t xml:space="preserve">Paso</t>
  </si>
  <si>
    <t xml:space="preserve">Filas afectadas</t>
  </si>
  <si>
    <t xml:space="preserve">Detalle</t>
  </si>
  <si>
    <t xml:space="preserve">Carga</t>
  </si>
  <si>
    <t xml:space="preserve">24 CSV (se ignoran 22 archivos basura __MACOSX/._*)</t>
  </si>
  <si>
    <t xml:space="preserve">Eliminar pie de página del scraper</t>
  </si>
  <si>
    <t xml:space="preserve">Filas "Map Lead Scraper exports only 15 records..." / "This data was exported from..."</t>
  </si>
  <si>
    <t xml:space="preserve">Deduplicar por Place Id</t>
  </si>
  <si>
    <t xml:space="preserve">296 filas → 195 empresas únicas (las búsquedas de origen se conservan agregadas)</t>
  </si>
  <si>
    <t xml:space="preserve">Eliminar columnas sin información</t>
  </si>
  <si>
    <t xml:space="preserve">Email y Social Medias = "visible after upgrade" en 100%; Claimed = false en 100%; Price con 1 solo valor</t>
  </si>
  <si>
    <t xml:space="preserve">Eliminar columnas redundantes</t>
  </si>
  <si>
    <t xml:space="preserve">Phones (≈Phone), Review URL (derivable del Place Id), Featured Image (URL temporal), Cid (incluido en Google Maps URL)</t>
  </si>
  <si>
    <t xml:space="preserve">Normalizar nombre</t>
  </si>
  <si>
    <t xml:space="preserve">Recorte de nombres con relleno SEO ("X I HERRAMIENTAS I ...", "X | Arriendo ..."); "." → STI (según dominio stiport.com). Original en Nombre_original</t>
  </si>
  <si>
    <t xml:space="preserve">Normalizar teléfono a formato internacional</t>
  </si>
  <si>
    <t xml:space="preserve">Se toma la versión +56 de "Phones"; se clasifica móvil/fijo/600</t>
  </si>
  <si>
    <t xml:space="preserve">Marcar sitios no propios</t>
  </si>
  <si>
    <t xml:space="preserve">Instagram, WhatsApp, g.page, Wikipedia, negocio.site, ueniweb no cuentan como web corporativa</t>
  </si>
  <si>
    <t xml:space="preserve">Parsear dirección</t>
  </si>
  <si>
    <t xml:space="preserve">Extracción de comuna, región, código postal y nivel de precisión (Plus Code, camino sin nombre, solo comuna)</t>
  </si>
  <si>
    <t xml:space="preserve">Agrupar sedes de una misma empresa</t>
  </si>
  <si>
    <t xml:space="preserve">8 grupos detectados por dominio web o teléfono compartido (no se borran: son sedes distintas)</t>
  </si>
</sst>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1"/>
      <color rgb="FFFFFFFF"/>
      <name val="Arial"/>
      <family val="0"/>
      <charset val="1"/>
    </font>
    <font>
      <sz val="10"/>
      <name val="Arial"/>
      <family val="0"/>
      <charset val="1"/>
    </font>
    <font>
      <sz val="10"/>
      <color rgb="FF0000FF"/>
      <name val="Arial"/>
      <family val="0"/>
      <charset val="1"/>
    </font>
    <font>
      <sz val="10"/>
      <color rgb="FF000000"/>
      <name val="Arial"/>
      <family val="0"/>
      <charset val="1"/>
    </font>
  </fonts>
  <fills count="3">
    <fill>
      <patternFill patternType="none"/>
    </fill>
    <fill>
      <patternFill patternType="gray125"/>
    </fill>
    <fill>
      <patternFill patternType="solid">
        <fgColor rgb="FF1A2A4A"/>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A2A4A"/>
          <bgColor rgb="FF000000"/>
        </patternFill>
      </fill>
    </dxf>
    <dxf>
      <fill>
        <patternFill patternType="solid">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ill>
        <patternFill>
          <bgColor rgb="FFD9EAD3"/>
        </patternFill>
      </fill>
    </dxf>
    <dxf>
      <fill>
        <patternFill>
          <bgColor rgb="FFFFF2CC"/>
        </patternFill>
      </fill>
    </dxf>
    <dxf>
      <fill>
        <patternFill>
          <bgColor rgb="FFF4CCCC"/>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A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v>296</v>
      </c>
      <c r="C5" s="2" t="s">
        <v>5</v>
      </c>
    </row>
    <row r="6" customFormat="false" ht="15" hidden="false" customHeight="false" outlineLevel="0" collapsed="false">
      <c r="A6" s="4" t="s">
        <v>6</v>
      </c>
      <c r="B6" s="6" t="n">
        <f aca="false">COUNTA(Base_limpia!$A$2:$A$196)</f>
        <v>195</v>
      </c>
    </row>
    <row r="7" customFormat="false" ht="15" hidden="false" customHeight="false" outlineLevel="0" collapsed="false">
      <c r="A7" s="4" t="s">
        <v>7</v>
      </c>
      <c r="B7" s="6" t="n">
        <f aca="false">COUNTIF(Base_limpia!$J$2:$J$196,"+*")</f>
        <v>144</v>
      </c>
    </row>
    <row r="8" customFormat="false" ht="15" hidden="false" customHeight="false" outlineLevel="0" collapsed="false">
      <c r="A8" s="4" t="s">
        <v>8</v>
      </c>
      <c r="B8" s="6" t="n">
        <f aca="false">COUNTIF(Base_limpia!$N$2:$N$196,"Sí")</f>
        <v>109</v>
      </c>
    </row>
    <row r="9" customFormat="false" ht="15" hidden="false" customHeight="false" outlineLevel="0" collapsed="false">
      <c r="A9" s="4" t="s">
        <v>9</v>
      </c>
      <c r="B9" s="6" t="n">
        <f aca="false">ROUND(AVERAGE(Base_limpia!$I$2:$I$196),1)</f>
        <v>66.7</v>
      </c>
    </row>
    <row r="11" customFormat="false" ht="15" hidden="false" customHeight="false" outlineLevel="0" collapsed="false">
      <c r="A11" s="3" t="s">
        <v>10</v>
      </c>
      <c r="B11" s="3" t="s">
        <v>11</v>
      </c>
      <c r="C11" s="3" t="s">
        <v>12</v>
      </c>
    </row>
    <row r="12" customFormat="false" ht="15" hidden="false" customHeight="false" outlineLevel="0" collapsed="false">
      <c r="A12" s="4" t="s">
        <v>13</v>
      </c>
      <c r="B12" s="4" t="n">
        <f aca="false">COUNTIF(Base_limpia!$G$2:$G$196,A12)</f>
        <v>126</v>
      </c>
      <c r="C12" s="7" t="n">
        <f aca="false">B12/$B$6</f>
        <v>0.646153846153846</v>
      </c>
    </row>
    <row r="13" customFormat="false" ht="15" hidden="false" customHeight="false" outlineLevel="0" collapsed="false">
      <c r="A13" s="4" t="s">
        <v>14</v>
      </c>
      <c r="B13" s="4" t="n">
        <f aca="false">COUNTIF(Base_limpia!$G$2:$G$196,A13)</f>
        <v>44</v>
      </c>
      <c r="C13" s="7" t="n">
        <f aca="false">B13/$B$6</f>
        <v>0.225641025641026</v>
      </c>
    </row>
    <row r="14" customFormat="false" ht="15" hidden="false" customHeight="false" outlineLevel="0" collapsed="false">
      <c r="A14" s="4" t="s">
        <v>15</v>
      </c>
      <c r="B14" s="4" t="n">
        <f aca="false">COUNTIF(Base_limpia!$G$2:$G$196,A14)</f>
        <v>19</v>
      </c>
      <c r="C14" s="7" t="n">
        <f aca="false">B14/$B$6</f>
        <v>0.0974358974358974</v>
      </c>
    </row>
    <row r="15" customFormat="false" ht="15" hidden="false" customHeight="false" outlineLevel="0" collapsed="false">
      <c r="A15" s="4" t="s">
        <v>16</v>
      </c>
      <c r="B15" s="4" t="n">
        <f aca="false">COUNTIF(Base_limpia!$G$2:$G$196,A15)</f>
        <v>6</v>
      </c>
      <c r="C15" s="7" t="n">
        <f aca="false">B15/$B$6</f>
        <v>0.0307692307692308</v>
      </c>
    </row>
    <row r="17" customFormat="false" ht="15" hidden="false" customHeight="false" outlineLevel="0" collapsed="false">
      <c r="A17" s="3" t="s">
        <v>17</v>
      </c>
      <c r="B17" s="3" t="s">
        <v>18</v>
      </c>
      <c r="C17" s="3" t="s">
        <v>13</v>
      </c>
      <c r="D17" s="3" t="s">
        <v>14</v>
      </c>
      <c r="E17" s="3" t="s">
        <v>19</v>
      </c>
    </row>
    <row r="18" customFormat="false" ht="15" hidden="false" customHeight="false" outlineLevel="0" collapsed="false">
      <c r="A18" s="4" t="s">
        <v>20</v>
      </c>
      <c r="B18" s="4" t="n">
        <f aca="false">COUNTIF(Base_limpia!$F$2:$F$196,A18)</f>
        <v>57</v>
      </c>
      <c r="C18" s="4" t="n">
        <f aca="false">COUNTIFS(Base_limpia!$F$2:$F$196,A18,Base_limpia!$G$2:$G$196,"Alta")</f>
        <v>39</v>
      </c>
      <c r="D18" s="4" t="n">
        <f aca="false">COUNTIFS(Base_limpia!$F$2:$F$196,A18,Base_limpia!$G$2:$G$196,"Media")</f>
        <v>16</v>
      </c>
      <c r="E18" s="4" t="n">
        <f aca="false">IFERROR(ROUND(AVERAGEIF(Base_limpia!$F$2:$F$196,A18,Base_limpia!$I$2:$I$196),1),0)</f>
        <v>57.5</v>
      </c>
    </row>
    <row r="19" customFormat="false" ht="15" hidden="false" customHeight="false" outlineLevel="0" collapsed="false">
      <c r="A19" s="4" t="s">
        <v>21</v>
      </c>
      <c r="B19" s="4" t="n">
        <f aca="false">COUNTIF(Base_limpia!$F$2:$F$196,A19)</f>
        <v>34</v>
      </c>
      <c r="C19" s="4" t="n">
        <f aca="false">COUNTIFS(Base_limpia!$F$2:$F$196,A19,Base_limpia!$G$2:$G$196,"Alta")</f>
        <v>26</v>
      </c>
      <c r="D19" s="4" t="n">
        <f aca="false">COUNTIFS(Base_limpia!$F$2:$F$196,A19,Base_limpia!$G$2:$G$196,"Media")</f>
        <v>5</v>
      </c>
      <c r="E19" s="4" t="n">
        <f aca="false">IFERROR(ROUND(AVERAGEIF(Base_limpia!$F$2:$F$196,A19,Base_limpia!$I$2:$I$196),1),0)</f>
        <v>78.2</v>
      </c>
    </row>
    <row r="20" customFormat="false" ht="15" hidden="false" customHeight="false" outlineLevel="0" collapsed="false">
      <c r="A20" s="4" t="s">
        <v>22</v>
      </c>
      <c r="B20" s="4" t="n">
        <f aca="false">COUNTIF(Base_limpia!$F$2:$F$196,A20)</f>
        <v>30</v>
      </c>
      <c r="C20" s="4" t="n">
        <f aca="false">COUNTIFS(Base_limpia!$F$2:$F$196,A20,Base_limpia!$G$2:$G$196,"Alta")</f>
        <v>17</v>
      </c>
      <c r="D20" s="4" t="n">
        <f aca="false">COUNTIFS(Base_limpia!$F$2:$F$196,A20,Base_limpia!$G$2:$G$196,"Media")</f>
        <v>8</v>
      </c>
      <c r="E20" s="4" t="n">
        <f aca="false">IFERROR(ROUND(AVERAGEIF(Base_limpia!$F$2:$F$196,A20,Base_limpia!$I$2:$I$196),1),0)</f>
        <v>54.2</v>
      </c>
    </row>
    <row r="21" customFormat="false" ht="15" hidden="false" customHeight="false" outlineLevel="0" collapsed="false">
      <c r="A21" s="4" t="s">
        <v>23</v>
      </c>
      <c r="B21" s="4" t="n">
        <f aca="false">COUNTIF(Base_limpia!$F$2:$F$196,A21)</f>
        <v>22</v>
      </c>
      <c r="C21" s="4" t="n">
        <f aca="false">COUNTIFS(Base_limpia!$F$2:$F$196,A21,Base_limpia!$G$2:$G$196,"Alta")</f>
        <v>7</v>
      </c>
      <c r="D21" s="4" t="n">
        <f aca="false">COUNTIFS(Base_limpia!$F$2:$F$196,A21,Base_limpia!$G$2:$G$196,"Media")</f>
        <v>8</v>
      </c>
      <c r="E21" s="4" t="n">
        <f aca="false">IFERROR(ROUND(AVERAGEIF(Base_limpia!$F$2:$F$196,A21,Base_limpia!$I$2:$I$196),1),0)</f>
        <v>83.9</v>
      </c>
    </row>
    <row r="22" customFormat="false" ht="15" hidden="false" customHeight="false" outlineLevel="0" collapsed="false">
      <c r="A22" s="4" t="s">
        <v>24</v>
      </c>
      <c r="B22" s="4" t="n">
        <f aca="false">COUNTIF(Base_limpia!$F$2:$F$196,A22)</f>
        <v>20</v>
      </c>
      <c r="C22" s="4" t="n">
        <f aca="false">COUNTIFS(Base_limpia!$F$2:$F$196,A22,Base_limpia!$G$2:$G$196,"Alta")</f>
        <v>14</v>
      </c>
      <c r="D22" s="4" t="n">
        <f aca="false">COUNTIFS(Base_limpia!$F$2:$F$196,A22,Base_limpia!$G$2:$G$196,"Media")</f>
        <v>3</v>
      </c>
      <c r="E22" s="4" t="n">
        <f aca="false">IFERROR(ROUND(AVERAGEIF(Base_limpia!$F$2:$F$196,A22,Base_limpia!$I$2:$I$196),1),0)</f>
        <v>67.5</v>
      </c>
    </row>
    <row r="23" customFormat="false" ht="15" hidden="false" customHeight="false" outlineLevel="0" collapsed="false">
      <c r="A23" s="4" t="s">
        <v>25</v>
      </c>
      <c r="B23" s="4" t="n">
        <f aca="false">COUNTIF(Base_limpia!$F$2:$F$196,A23)</f>
        <v>15</v>
      </c>
      <c r="C23" s="4" t="n">
        <f aca="false">COUNTIFS(Base_limpia!$F$2:$F$196,A23,Base_limpia!$G$2:$G$196,"Alta")</f>
        <v>8</v>
      </c>
      <c r="D23" s="4" t="n">
        <f aca="false">COUNTIFS(Base_limpia!$F$2:$F$196,A23,Base_limpia!$G$2:$G$196,"Media")</f>
        <v>4</v>
      </c>
      <c r="E23" s="4" t="n">
        <f aca="false">IFERROR(ROUND(AVERAGEIF(Base_limpia!$F$2:$F$196,A23,Base_limpia!$I$2:$I$196),1),0)</f>
        <v>69.7</v>
      </c>
    </row>
    <row r="24" customFormat="false" ht="15" hidden="false" customHeight="false" outlineLevel="0" collapsed="false">
      <c r="A24" s="4" t="s">
        <v>26</v>
      </c>
      <c r="B24" s="4" t="n">
        <f aca="false">COUNTIF(Base_limpia!$F$2:$F$196,A24)</f>
        <v>12</v>
      </c>
      <c r="C24" s="4" t="n">
        <f aca="false">COUNTIFS(Base_limpia!$F$2:$F$196,A24,Base_limpia!$G$2:$G$196,"Alta")</f>
        <v>11</v>
      </c>
      <c r="D24" s="4" t="n">
        <f aca="false">COUNTIFS(Base_limpia!$F$2:$F$196,A24,Base_limpia!$G$2:$G$196,"Media")</f>
        <v>0</v>
      </c>
      <c r="E24" s="4" t="n">
        <f aca="false">IFERROR(ROUND(AVERAGEIF(Base_limpia!$F$2:$F$196,A24,Base_limpia!$I$2:$I$196),1),0)</f>
        <v>75</v>
      </c>
    </row>
    <row r="25" customFormat="false" ht="15" hidden="false" customHeight="false" outlineLevel="0" collapsed="false">
      <c r="A25" s="4" t="s">
        <v>27</v>
      </c>
      <c r="B25" s="4" t="n">
        <f aca="false">COUNTIF(Base_limpia!$F$2:$F$196,A25)</f>
        <v>5</v>
      </c>
      <c r="C25" s="4" t="n">
        <f aca="false">COUNTIFS(Base_limpia!$F$2:$F$196,A25,Base_limpia!$G$2:$G$196,"Alta")</f>
        <v>4</v>
      </c>
      <c r="D25" s="4" t="n">
        <f aca="false">COUNTIFS(Base_limpia!$F$2:$F$196,A25,Base_limpia!$G$2:$G$196,"Media")</f>
        <v>0</v>
      </c>
      <c r="E25" s="4" t="n">
        <f aca="false">IFERROR(ROUND(AVERAGEIF(Base_limpia!$F$2:$F$196,A25,Base_limpia!$I$2:$I$196),1),0)</f>
        <v>59</v>
      </c>
    </row>
    <row r="27" customFormat="false" ht="15" hidden="false" customHeight="false" outlineLevel="0" collapsed="false">
      <c r="A27" s="3" t="s">
        <v>28</v>
      </c>
      <c r="B27" s="3" t="s">
        <v>18</v>
      </c>
      <c r="C27" s="3" t="s">
        <v>13</v>
      </c>
    </row>
    <row r="28" customFormat="false" ht="15" hidden="false" customHeight="false" outlineLevel="0" collapsed="false">
      <c r="A28" s="4" t="s">
        <v>29</v>
      </c>
      <c r="B28" s="4" t="n">
        <f aca="false">COUNTIF(Base_limpia!$O$2:$O$196,A28)</f>
        <v>63</v>
      </c>
      <c r="C28" s="4" t="n">
        <f aca="false">COUNTIFS(Base_limpia!$O$2:$O$196,A28,Base_limpia!$G$2:$G$196,"Alta")</f>
        <v>43</v>
      </c>
    </row>
    <row r="29" customFormat="false" ht="15" hidden="false" customHeight="false" outlineLevel="0" collapsed="false">
      <c r="A29" s="4" t="s">
        <v>30</v>
      </c>
      <c r="B29" s="4" t="n">
        <f aca="false">COUNTIF(Base_limpia!$O$2:$O$196,A29)</f>
        <v>40</v>
      </c>
      <c r="C29" s="4" t="n">
        <f aca="false">COUNTIFS(Base_limpia!$O$2:$O$196,A29,Base_limpia!$G$2:$G$196,"Alta")</f>
        <v>34</v>
      </c>
    </row>
    <row r="30" customFormat="false" ht="15" hidden="false" customHeight="false" outlineLevel="0" collapsed="false">
      <c r="A30" s="4" t="s">
        <v>31</v>
      </c>
      <c r="B30" s="4" t="n">
        <f aca="false">COUNTIF(Base_limpia!$O$2:$O$196,A30)</f>
        <v>38</v>
      </c>
      <c r="C30" s="4" t="n">
        <f aca="false">COUNTIFS(Base_limpia!$O$2:$O$196,A30,Base_limpia!$G$2:$G$196,"Alta")</f>
        <v>27</v>
      </c>
    </row>
    <row r="31" customFormat="false" ht="15" hidden="false" customHeight="false" outlineLevel="0" collapsed="false">
      <c r="A31" s="4" t="s">
        <v>32</v>
      </c>
      <c r="B31" s="4" t="n">
        <f aca="false">COUNTIF(Base_limpia!$O$2:$O$196,A31)</f>
        <v>12</v>
      </c>
      <c r="C31" s="4" t="n">
        <f aca="false">COUNTIFS(Base_limpia!$O$2:$O$196,A31,Base_limpia!$G$2:$G$196,"Alta")</f>
        <v>7</v>
      </c>
    </row>
    <row r="32" customFormat="false" ht="15" hidden="false" customHeight="false" outlineLevel="0" collapsed="false">
      <c r="A32" s="4" t="s">
        <v>33</v>
      </c>
      <c r="B32" s="4" t="n">
        <f aca="false">COUNTIF(Base_limpia!$O$2:$O$196,A32)</f>
        <v>11</v>
      </c>
      <c r="C32" s="4" t="n">
        <f aca="false">COUNTIFS(Base_limpia!$O$2:$O$196,A32,Base_limpia!$G$2:$G$196,"Alta")</f>
        <v>5</v>
      </c>
    </row>
    <row r="33" customFormat="false" ht="15" hidden="false" customHeight="false" outlineLevel="0" collapsed="false">
      <c r="A33" s="4" t="s">
        <v>34</v>
      </c>
      <c r="B33" s="4" t="n">
        <f aca="false">COUNTIF(Base_limpia!$O$2:$O$196,A33)</f>
        <v>4</v>
      </c>
      <c r="C33" s="4" t="n">
        <f aca="false">COUNTIFS(Base_limpia!$O$2:$O$196,A33,Base_limpia!$G$2:$G$196,"Alta")</f>
        <v>3</v>
      </c>
    </row>
    <row r="34" customFormat="false" ht="15" hidden="false" customHeight="false" outlineLevel="0" collapsed="false">
      <c r="A34" s="4" t="s">
        <v>35</v>
      </c>
      <c r="B34" s="4" t="n">
        <f aca="false">COUNTIF(Base_limpia!$O$2:$O$196,A34)</f>
        <v>3</v>
      </c>
      <c r="C34" s="4" t="n">
        <f aca="false">COUNTIFS(Base_limpia!$O$2:$O$196,A34,Base_limpia!$G$2:$G$196,"Alta")</f>
        <v>3</v>
      </c>
    </row>
    <row r="35" customFormat="false" ht="15" hidden="false" customHeight="false" outlineLevel="0" collapsed="false">
      <c r="A35" s="4" t="s">
        <v>36</v>
      </c>
      <c r="B35" s="4" t="n">
        <f aca="false">COUNTIF(Base_limpia!$O$2:$O$196,A35)</f>
        <v>3</v>
      </c>
      <c r="C35" s="4" t="n">
        <f aca="false">COUNTIFS(Base_limpia!$O$2:$O$196,A35,Base_limpia!$G$2:$G$196,"Alta")</f>
        <v>0</v>
      </c>
    </row>
    <row r="36" customFormat="false" ht="15" hidden="false" customHeight="false" outlineLevel="0" collapsed="false">
      <c r="A36" s="4" t="s">
        <v>37</v>
      </c>
      <c r="B36" s="4" t="n">
        <f aca="false">COUNTIF(Base_limpia!$O$2:$O$196,A36)</f>
        <v>2</v>
      </c>
      <c r="C36" s="4" t="n">
        <f aca="false">COUNTIFS(Base_limpia!$O$2:$O$196,A36,Base_limpia!$G$2:$G$196,"Alta")</f>
        <v>1</v>
      </c>
    </row>
    <row r="37" customFormat="false" ht="15" hidden="false" customHeight="false" outlineLevel="0" collapsed="false">
      <c r="A37" s="4" t="s">
        <v>38</v>
      </c>
      <c r="B37" s="4" t="n">
        <f aca="false">COUNTIF(Base_limpia!$O$2:$O$196,A37)</f>
        <v>2</v>
      </c>
      <c r="C37" s="4" t="n">
        <f aca="false">COUNTIFS(Base_limpia!$O$2:$O$196,A37,Base_limpia!$G$2:$G$196,"Alta")</f>
        <v>2</v>
      </c>
    </row>
    <row r="38" customFormat="false" ht="15" hidden="false" customHeight="false" outlineLevel="0" collapsed="false">
      <c r="A38" s="4" t="s">
        <v>39</v>
      </c>
      <c r="B38" s="4" t="n">
        <f aca="false">COUNTIF(Base_limpia!$O$2:$O$196,A38)</f>
        <v>2</v>
      </c>
      <c r="C38" s="4" t="n">
        <f aca="false">COUNTIFS(Base_limpia!$O$2:$O$196,A38,Base_limpia!$G$2:$G$196,"Alta")</f>
        <v>0</v>
      </c>
    </row>
    <row r="39" customFormat="false" ht="15" hidden="false" customHeight="false" outlineLevel="0" collapsed="false">
      <c r="A39" s="4" t="s">
        <v>40</v>
      </c>
      <c r="B39" s="4" t="n">
        <f aca="false">COUNTIF(Base_limpia!$O$2:$O$196,A39)</f>
        <v>2</v>
      </c>
      <c r="C39" s="4" t="n">
        <f aca="false">COUNTIFS(Base_limpia!$O$2:$O$196,A39,Base_limpia!$G$2:$G$196,"Alta")</f>
        <v>0</v>
      </c>
    </row>
    <row r="40" customFormat="false" ht="15" hidden="false" customHeight="false" outlineLevel="0" collapsed="false">
      <c r="A40" s="4" t="s">
        <v>41</v>
      </c>
      <c r="B40" s="4" t="n">
        <f aca="false">COUNTIF(Base_limpia!$O$2:$O$196,A40)</f>
        <v>2</v>
      </c>
      <c r="C40" s="4" t="n">
        <f aca="false">COUNTIFS(Base_limpia!$O$2:$O$196,A40,Base_limpia!$G$2:$G$196,"Alta")</f>
        <v>0</v>
      </c>
    </row>
    <row r="41" customFormat="false" ht="15" hidden="false" customHeight="false" outlineLevel="0" collapsed="false">
      <c r="A41" s="4" t="s">
        <v>42</v>
      </c>
      <c r="B41" s="4" t="n">
        <f aca="false">COUNTIF(Base_limpia!$O$2:$O$196,A41)</f>
        <v>1</v>
      </c>
      <c r="C41" s="4" t="n">
        <f aca="false">COUNTIFS(Base_limpia!$O$2:$O$196,A41,Base_limpia!$G$2:$G$196,"Alta")</f>
        <v>1</v>
      </c>
    </row>
    <row r="42" customFormat="false" ht="15" hidden="false" customHeight="false" outlineLevel="0" collapsed="false">
      <c r="A42" s="4" t="s">
        <v>43</v>
      </c>
      <c r="B42" s="4" t="n">
        <f aca="false">COUNTIF(Base_limpia!$O$2:$O$196,A42)</f>
        <v>1</v>
      </c>
      <c r="C42" s="4" t="n">
        <f aca="false">COUNTIFS(Base_limpia!$O$2:$O$196,A42,Base_limpia!$G$2:$G$196,"Alta")</f>
        <v>0</v>
      </c>
    </row>
    <row r="43" customFormat="false" ht="15" hidden="false" customHeight="false" outlineLevel="0" collapsed="false">
      <c r="A43" s="4" t="s">
        <v>44</v>
      </c>
      <c r="B43" s="4" t="n">
        <f aca="false">COUNTIF(Base_limpia!$O$2:$O$196,A43)</f>
        <v>1</v>
      </c>
      <c r="C43" s="4" t="n">
        <f aca="false">COUNTIFS(Base_limpia!$O$2:$O$196,A43,Base_limpia!$G$2:$G$196,"Alta")</f>
        <v>0</v>
      </c>
    </row>
    <row r="44" customFormat="false" ht="15" hidden="false" customHeight="false" outlineLevel="0" collapsed="false">
      <c r="A44" s="4" t="s">
        <v>45</v>
      </c>
      <c r="B44" s="4" t="n">
        <f aca="false">COUNTIF(Base_limpia!$O$2:$O$196,A44)</f>
        <v>1</v>
      </c>
      <c r="C44" s="4" t="n">
        <f aca="false">COUNTIFS(Base_limpia!$O$2:$O$196,A44,Base_limpia!$G$2:$G$196,"Alta")</f>
        <v>0</v>
      </c>
    </row>
    <row r="45" customFormat="false" ht="15" hidden="false" customHeight="false" outlineLevel="0" collapsed="false">
      <c r="A45" s="4" t="s">
        <v>46</v>
      </c>
      <c r="B45" s="4" t="n">
        <f aca="false">COUNTIF(Base_limpia!$O$2:$O$196,A45)</f>
        <v>1</v>
      </c>
      <c r="C45" s="4" t="n">
        <f aca="false">COUNTIFS(Base_limpia!$O$2:$O$196,A45,Base_limpia!$G$2:$G$196,"Alta")</f>
        <v>0</v>
      </c>
    </row>
    <row r="46" customFormat="false" ht="15" hidden="false" customHeight="false" outlineLevel="0" collapsed="false">
      <c r="A46" s="4" t="s">
        <v>47</v>
      </c>
      <c r="B46" s="4" t="n">
        <f aca="false">COUNTIF(Base_limpia!$O$2:$O$196,A46)</f>
        <v>1</v>
      </c>
      <c r="C46" s="4" t="n">
        <f aca="false">COUNTIFS(Base_limpia!$O$2:$O$196,A46,Base_limpia!$G$2:$G$196,"Alta")</f>
        <v>0</v>
      </c>
    </row>
    <row r="47" customFormat="false" ht="15" hidden="false" customHeight="false" outlineLevel="0" collapsed="false">
      <c r="A47" s="4" t="s">
        <v>48</v>
      </c>
      <c r="B47" s="4" t="n">
        <f aca="false">COUNTIF(Base_limpia!$O$2:$O$196,A47)</f>
        <v>1</v>
      </c>
      <c r="C47" s="4" t="n">
        <f aca="false">COUNTIFS(Base_limpia!$O$2:$O$196,A47,Base_limpia!$G$2:$G$196,"Alta")</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9"/>
    <col collapsed="false" customWidth="true" hidden="false" outlineLevel="0" max="4" min="2" style="0" width="45"/>
    <col collapsed="false" customWidth="true" hidden="false" outlineLevel="0" max="5" min="5" style="0" width="15"/>
    <col collapsed="false" customWidth="true" hidden="false" outlineLevel="0" max="6" min="6" style="0" width="33"/>
    <col collapsed="false" customWidth="true" hidden="false" outlineLevel="0" max="7" min="7" style="0" width="12"/>
    <col collapsed="false" customWidth="true" hidden="false" outlineLevel="0" max="8" min="8" style="0" width="45"/>
    <col collapsed="false" customWidth="true" hidden="false" outlineLevel="0" max="9" min="9" style="0" width="19"/>
    <col collapsed="false" customWidth="true" hidden="false" outlineLevel="0" max="10" min="10" style="0" width="18"/>
    <col collapsed="false" customWidth="true" hidden="false" outlineLevel="0" max="11" min="11" style="0" width="19"/>
    <col collapsed="false" customWidth="true" hidden="false" outlineLevel="0" max="12" min="12" style="0" width="45"/>
    <col collapsed="false" customWidth="true" hidden="false" outlineLevel="0" max="13" min="13" style="0" width="28"/>
    <col collapsed="false" customWidth="true" hidden="false" outlineLevel="0" max="14" min="14" style="0" width="12"/>
    <col collapsed="false" customWidth="true" hidden="false" outlineLevel="0" max="15" min="15" style="0" width="21"/>
    <col collapsed="false" customWidth="true" hidden="false" outlineLevel="0" max="16" min="16" style="0" width="26"/>
    <col collapsed="false" customWidth="true" hidden="false" outlineLevel="0" max="17" min="17" style="0" width="15"/>
    <col collapsed="false" customWidth="true" hidden="false" outlineLevel="0" max="18" min="18" style="0" width="45"/>
    <col collapsed="false" customWidth="true" hidden="false" outlineLevel="0" max="19" min="19" style="0" width="21"/>
    <col collapsed="false" customWidth="true" hidden="false" outlineLevel="0" max="21" min="20" style="0" width="12"/>
    <col collapsed="false" customWidth="true" hidden="false" outlineLevel="0" max="23" min="22" style="0" width="45"/>
    <col collapsed="false" customWidth="true" hidden="false" outlineLevel="0" max="24" min="24" style="0" width="11"/>
    <col collapsed="false" customWidth="true" hidden="false" outlineLevel="0" max="25" min="25" style="0" width="10"/>
    <col collapsed="false" customWidth="true" hidden="false" outlineLevel="0" max="28" min="26" style="0" width="45"/>
    <col collapsed="false" customWidth="true" hidden="false" outlineLevel="0" max="29" min="29" style="0" width="15"/>
    <col collapsed="false" customWidth="true" hidden="false" outlineLevel="0" max="30" min="30" style="0" width="45"/>
  </cols>
  <sheetData>
    <row r="1" customFormat="false" ht="30" hidden="false" customHeight="true" outlineLevel="0" collapsed="false">
      <c r="A1" s="8" t="s">
        <v>49</v>
      </c>
      <c r="B1" s="8" t="s">
        <v>50</v>
      </c>
      <c r="C1" s="8" t="s">
        <v>51</v>
      </c>
      <c r="D1" s="8" t="s">
        <v>52</v>
      </c>
      <c r="E1" s="8" t="s">
        <v>53</v>
      </c>
      <c r="F1" s="8" t="s">
        <v>17</v>
      </c>
      <c r="G1" s="8" t="s">
        <v>10</v>
      </c>
      <c r="H1" s="8" t="s">
        <v>54</v>
      </c>
      <c r="I1" s="8" t="s">
        <v>55</v>
      </c>
      <c r="J1" s="8" t="s">
        <v>56</v>
      </c>
      <c r="K1" s="8" t="s">
        <v>57</v>
      </c>
      <c r="L1" s="8" t="s">
        <v>58</v>
      </c>
      <c r="M1" s="8" t="s">
        <v>59</v>
      </c>
      <c r="N1" s="8" t="s">
        <v>60</v>
      </c>
      <c r="O1" s="8" t="s">
        <v>28</v>
      </c>
      <c r="P1" s="8" t="s">
        <v>61</v>
      </c>
      <c r="Q1" s="8" t="s">
        <v>62</v>
      </c>
      <c r="R1" s="8" t="s">
        <v>63</v>
      </c>
      <c r="S1" s="8" t="s">
        <v>64</v>
      </c>
      <c r="T1" s="8" t="s">
        <v>65</v>
      </c>
      <c r="U1" s="8" t="s">
        <v>66</v>
      </c>
      <c r="V1" s="8" t="s">
        <v>67</v>
      </c>
      <c r="W1" s="8" t="s">
        <v>68</v>
      </c>
      <c r="X1" s="8" t="s">
        <v>69</v>
      </c>
      <c r="Y1" s="8" t="s">
        <v>70</v>
      </c>
      <c r="Z1" s="8" t="s">
        <v>71</v>
      </c>
      <c r="AA1" s="8" t="s">
        <v>72</v>
      </c>
      <c r="AB1" s="8" t="s">
        <v>73</v>
      </c>
      <c r="AC1" s="8" t="s">
        <v>74</v>
      </c>
      <c r="AD1" s="8" t="s">
        <v>75</v>
      </c>
    </row>
    <row r="2" customFormat="false" ht="15" hidden="false" customHeight="false" outlineLevel="0" collapsed="false">
      <c r="A2" s="4" t="s">
        <v>76</v>
      </c>
      <c r="B2" s="4" t="s">
        <v>77</v>
      </c>
      <c r="C2" s="4" t="s">
        <v>77</v>
      </c>
      <c r="D2" s="4"/>
      <c r="E2" s="4" t="n">
        <v>1</v>
      </c>
      <c r="F2" s="4" t="s">
        <v>25</v>
      </c>
      <c r="G2" s="4" t="s">
        <v>13</v>
      </c>
      <c r="H2" s="4" t="s">
        <v>78</v>
      </c>
      <c r="I2" s="4" t="n">
        <v>100</v>
      </c>
      <c r="J2" s="4" t="s">
        <v>79</v>
      </c>
      <c r="K2" s="4" t="s">
        <v>80</v>
      </c>
      <c r="L2" s="4" t="s">
        <v>81</v>
      </c>
      <c r="M2" s="4" t="s">
        <v>82</v>
      </c>
      <c r="N2" s="4" t="s">
        <v>83</v>
      </c>
      <c r="O2" s="4" t="s">
        <v>32</v>
      </c>
      <c r="P2" s="4" t="s">
        <v>31</v>
      </c>
      <c r="Q2" s="4"/>
      <c r="R2" s="4" t="s">
        <v>84</v>
      </c>
      <c r="S2" s="4" t="s">
        <v>85</v>
      </c>
      <c r="T2" s="4" t="n">
        <v>-33.318621</v>
      </c>
      <c r="U2" s="4" t="n">
        <v>-71.43545</v>
      </c>
      <c r="V2" s="4" t="s">
        <v>86</v>
      </c>
      <c r="W2" s="4" t="s">
        <v>87</v>
      </c>
      <c r="X2" s="4" t="n">
        <v>1688</v>
      </c>
      <c r="Y2" s="9" t="n">
        <v>4.6</v>
      </c>
      <c r="Z2" s="4" t="s">
        <v>88</v>
      </c>
      <c r="AA2" s="4" t="s">
        <v>89</v>
      </c>
      <c r="AB2" s="4" t="s">
        <v>90</v>
      </c>
      <c r="AC2" s="4" t="n">
        <v>3</v>
      </c>
      <c r="AD2" s="4"/>
    </row>
    <row r="3" customFormat="false" ht="15" hidden="false" customHeight="false" outlineLevel="0" collapsed="false">
      <c r="A3" s="4" t="s">
        <v>91</v>
      </c>
      <c r="B3" s="4" t="s">
        <v>92</v>
      </c>
      <c r="C3" s="4" t="s">
        <v>92</v>
      </c>
      <c r="D3" s="4"/>
      <c r="E3" s="4" t="n">
        <v>1</v>
      </c>
      <c r="F3" s="4" t="s">
        <v>25</v>
      </c>
      <c r="G3" s="4" t="s">
        <v>13</v>
      </c>
      <c r="H3" s="4" t="s">
        <v>93</v>
      </c>
      <c r="I3" s="4" t="n">
        <v>100</v>
      </c>
      <c r="J3" s="4" t="s">
        <v>94</v>
      </c>
      <c r="K3" s="4" t="s">
        <v>95</v>
      </c>
      <c r="L3" s="4" t="s">
        <v>96</v>
      </c>
      <c r="M3" s="4" t="s">
        <v>97</v>
      </c>
      <c r="N3" s="4" t="s">
        <v>83</v>
      </c>
      <c r="O3" s="4" t="s">
        <v>32</v>
      </c>
      <c r="P3" s="4" t="s">
        <v>31</v>
      </c>
      <c r="Q3" s="4"/>
      <c r="R3" s="4" t="s">
        <v>98</v>
      </c>
      <c r="S3" s="4" t="s">
        <v>85</v>
      </c>
      <c r="T3" s="4" t="n">
        <v>-33.358489</v>
      </c>
      <c r="U3" s="4" t="n">
        <v>-71.353124</v>
      </c>
      <c r="V3" s="4" t="s">
        <v>99</v>
      </c>
      <c r="W3" s="4" t="s">
        <v>100</v>
      </c>
      <c r="X3" s="4" t="n">
        <v>1636</v>
      </c>
      <c r="Y3" s="9" t="n">
        <v>4.7</v>
      </c>
      <c r="Z3" s="4" t="s">
        <v>101</v>
      </c>
      <c r="AA3" s="4" t="s">
        <v>102</v>
      </c>
      <c r="AB3" s="4" t="s">
        <v>103</v>
      </c>
      <c r="AC3" s="4" t="n">
        <v>1</v>
      </c>
      <c r="AD3" s="4"/>
    </row>
    <row r="4" customFormat="false" ht="15" hidden="false" customHeight="false" outlineLevel="0" collapsed="false">
      <c r="A4" s="4" t="s">
        <v>104</v>
      </c>
      <c r="B4" s="4" t="s">
        <v>105</v>
      </c>
      <c r="C4" s="4" t="s">
        <v>105</v>
      </c>
      <c r="D4" s="4"/>
      <c r="E4" s="4" t="n">
        <v>1</v>
      </c>
      <c r="F4" s="4" t="s">
        <v>25</v>
      </c>
      <c r="G4" s="4" t="s">
        <v>13</v>
      </c>
      <c r="H4" s="4" t="s">
        <v>93</v>
      </c>
      <c r="I4" s="4" t="n">
        <v>100</v>
      </c>
      <c r="J4" s="4" t="s">
        <v>106</v>
      </c>
      <c r="K4" s="4" t="s">
        <v>80</v>
      </c>
      <c r="L4" s="4" t="s">
        <v>107</v>
      </c>
      <c r="M4" s="4" t="s">
        <v>108</v>
      </c>
      <c r="N4" s="4" t="s">
        <v>83</v>
      </c>
      <c r="O4" s="4" t="s">
        <v>32</v>
      </c>
      <c r="P4" s="4" t="s">
        <v>31</v>
      </c>
      <c r="Q4" s="4"/>
      <c r="R4" s="4" t="s">
        <v>109</v>
      </c>
      <c r="S4" s="4" t="s">
        <v>85</v>
      </c>
      <c r="T4" s="4" t="n">
        <v>-33.359765</v>
      </c>
      <c r="U4" s="4" t="n">
        <v>-71.343837</v>
      </c>
      <c r="V4" s="4" t="s">
        <v>99</v>
      </c>
      <c r="W4" s="4" t="s">
        <v>110</v>
      </c>
      <c r="X4" s="4" t="n">
        <v>1294</v>
      </c>
      <c r="Y4" s="9" t="n">
        <v>4.5</v>
      </c>
      <c r="Z4" s="4" t="s">
        <v>111</v>
      </c>
      <c r="AA4" s="4" t="s">
        <v>112</v>
      </c>
      <c r="AB4" s="4" t="s">
        <v>103</v>
      </c>
      <c r="AC4" s="4" t="n">
        <v>1</v>
      </c>
      <c r="AD4" s="4"/>
    </row>
    <row r="5" customFormat="false" ht="15" hidden="false" customHeight="false" outlineLevel="0" collapsed="false">
      <c r="A5" s="4" t="s">
        <v>113</v>
      </c>
      <c r="B5" s="4" t="s">
        <v>114</v>
      </c>
      <c r="C5" s="4" t="s">
        <v>115</v>
      </c>
      <c r="D5" s="4"/>
      <c r="E5" s="4" t="n">
        <v>1</v>
      </c>
      <c r="F5" s="4" t="s">
        <v>26</v>
      </c>
      <c r="G5" s="4" t="s">
        <v>13</v>
      </c>
      <c r="H5" s="4" t="s">
        <v>93</v>
      </c>
      <c r="I5" s="4" t="n">
        <v>100</v>
      </c>
      <c r="J5" s="4" t="s">
        <v>116</v>
      </c>
      <c r="K5" s="4" t="s">
        <v>80</v>
      </c>
      <c r="L5" s="4" t="s">
        <v>117</v>
      </c>
      <c r="M5" s="4" t="s">
        <v>118</v>
      </c>
      <c r="N5" s="4" t="s">
        <v>83</v>
      </c>
      <c r="O5" s="4" t="s">
        <v>29</v>
      </c>
      <c r="P5" s="4" t="s">
        <v>31</v>
      </c>
      <c r="Q5" s="4"/>
      <c r="R5" s="4" t="s">
        <v>119</v>
      </c>
      <c r="S5" s="4" t="s">
        <v>85</v>
      </c>
      <c r="T5" s="4" t="n">
        <v>-33.588561</v>
      </c>
      <c r="U5" s="4" t="n">
        <v>-71.614453</v>
      </c>
      <c r="V5" s="4" t="s">
        <v>120</v>
      </c>
      <c r="W5" s="4" t="s">
        <v>121</v>
      </c>
      <c r="X5" s="4" t="n">
        <v>928</v>
      </c>
      <c r="Y5" s="9" t="n">
        <v>4</v>
      </c>
      <c r="Z5" s="4" t="s">
        <v>122</v>
      </c>
      <c r="AA5" s="4" t="s">
        <v>123</v>
      </c>
      <c r="AB5" s="4" t="s">
        <v>124</v>
      </c>
      <c r="AC5" s="4" t="n">
        <v>1</v>
      </c>
      <c r="AD5" s="4" t="s">
        <v>125</v>
      </c>
    </row>
    <row r="6" customFormat="false" ht="15" hidden="false" customHeight="false" outlineLevel="0" collapsed="false">
      <c r="A6" s="4" t="s">
        <v>126</v>
      </c>
      <c r="B6" s="4" t="s">
        <v>127</v>
      </c>
      <c r="C6" s="4" t="s">
        <v>127</v>
      </c>
      <c r="D6" s="4"/>
      <c r="E6" s="4" t="n">
        <v>1</v>
      </c>
      <c r="F6" s="4" t="s">
        <v>26</v>
      </c>
      <c r="G6" s="4" t="s">
        <v>13</v>
      </c>
      <c r="H6" s="4" t="s">
        <v>93</v>
      </c>
      <c r="I6" s="4" t="n">
        <v>100</v>
      </c>
      <c r="J6" s="4" t="s">
        <v>128</v>
      </c>
      <c r="K6" s="4" t="s">
        <v>80</v>
      </c>
      <c r="L6" s="4" t="s">
        <v>129</v>
      </c>
      <c r="M6" s="4" t="s">
        <v>130</v>
      </c>
      <c r="N6" s="4" t="s">
        <v>83</v>
      </c>
      <c r="O6" s="4" t="s">
        <v>29</v>
      </c>
      <c r="P6" s="4" t="s">
        <v>31</v>
      </c>
      <c r="Q6" s="4" t="s">
        <v>131</v>
      </c>
      <c r="R6" s="4" t="s">
        <v>132</v>
      </c>
      <c r="S6" s="4" t="s">
        <v>85</v>
      </c>
      <c r="T6" s="4" t="n">
        <v>-33.563936</v>
      </c>
      <c r="U6" s="4" t="n">
        <v>-71.57017</v>
      </c>
      <c r="V6" s="4" t="s">
        <v>133</v>
      </c>
      <c r="W6" s="4" t="s">
        <v>133</v>
      </c>
      <c r="X6" s="4" t="n">
        <v>775</v>
      </c>
      <c r="Y6" s="9" t="n">
        <v>4</v>
      </c>
      <c r="Z6" s="4" t="s">
        <v>134</v>
      </c>
      <c r="AA6" s="4" t="s">
        <v>135</v>
      </c>
      <c r="AB6" s="4" t="s">
        <v>124</v>
      </c>
      <c r="AC6" s="4" t="n">
        <v>1</v>
      </c>
      <c r="AD6" s="4"/>
    </row>
    <row r="7" customFormat="false" ht="15" hidden="false" customHeight="false" outlineLevel="0" collapsed="false">
      <c r="A7" s="4" t="s">
        <v>136</v>
      </c>
      <c r="B7" s="4" t="s">
        <v>137</v>
      </c>
      <c r="C7" s="4" t="s">
        <v>137</v>
      </c>
      <c r="D7" s="4"/>
      <c r="E7" s="4" t="n">
        <v>1</v>
      </c>
      <c r="F7" s="4" t="s">
        <v>25</v>
      </c>
      <c r="G7" s="4" t="s">
        <v>13</v>
      </c>
      <c r="H7" s="4" t="s">
        <v>93</v>
      </c>
      <c r="I7" s="4" t="n">
        <v>100</v>
      </c>
      <c r="J7" s="4" t="s">
        <v>138</v>
      </c>
      <c r="K7" s="4" t="s">
        <v>95</v>
      </c>
      <c r="L7" s="4" t="s">
        <v>139</v>
      </c>
      <c r="M7" s="4" t="s">
        <v>140</v>
      </c>
      <c r="N7" s="4" t="s">
        <v>83</v>
      </c>
      <c r="O7" s="4" t="s">
        <v>32</v>
      </c>
      <c r="P7" s="4" t="s">
        <v>31</v>
      </c>
      <c r="Q7" s="4"/>
      <c r="R7" s="4" t="s">
        <v>141</v>
      </c>
      <c r="S7" s="4" t="s">
        <v>85</v>
      </c>
      <c r="T7" s="4" t="n">
        <v>-33.304382</v>
      </c>
      <c r="U7" s="4" t="n">
        <v>-71.397881</v>
      </c>
      <c r="V7" s="4" t="s">
        <v>86</v>
      </c>
      <c r="W7" s="4" t="s">
        <v>142</v>
      </c>
      <c r="X7" s="4" t="n">
        <v>378</v>
      </c>
      <c r="Y7" s="9" t="n">
        <v>4.8</v>
      </c>
      <c r="Z7" s="4" t="s">
        <v>143</v>
      </c>
      <c r="AA7" s="4" t="s">
        <v>144</v>
      </c>
      <c r="AB7" s="4" t="s">
        <v>145</v>
      </c>
      <c r="AC7" s="4" t="n">
        <v>3</v>
      </c>
      <c r="AD7" s="4"/>
    </row>
    <row r="8" customFormat="false" ht="15" hidden="false" customHeight="false" outlineLevel="0" collapsed="false">
      <c r="A8" s="4" t="s">
        <v>146</v>
      </c>
      <c r="B8" s="4" t="s">
        <v>147</v>
      </c>
      <c r="C8" s="4" t="s">
        <v>147</v>
      </c>
      <c r="D8" s="4"/>
      <c r="E8" s="4" t="n">
        <v>1</v>
      </c>
      <c r="F8" s="4" t="s">
        <v>24</v>
      </c>
      <c r="G8" s="4" t="s">
        <v>13</v>
      </c>
      <c r="H8" s="4" t="s">
        <v>93</v>
      </c>
      <c r="I8" s="4" t="n">
        <v>100</v>
      </c>
      <c r="J8" s="4" t="s">
        <v>148</v>
      </c>
      <c r="K8" s="4" t="s">
        <v>80</v>
      </c>
      <c r="L8" s="4" t="s">
        <v>149</v>
      </c>
      <c r="M8" s="4" t="s">
        <v>150</v>
      </c>
      <c r="N8" s="4" t="s">
        <v>83</v>
      </c>
      <c r="O8" s="4" t="s">
        <v>29</v>
      </c>
      <c r="P8" s="4" t="s">
        <v>31</v>
      </c>
      <c r="Q8" s="4"/>
      <c r="R8" s="4" t="s">
        <v>151</v>
      </c>
      <c r="S8" s="4" t="s">
        <v>85</v>
      </c>
      <c r="T8" s="4" t="n">
        <v>-33.596729</v>
      </c>
      <c r="U8" s="4" t="n">
        <v>-71.590718</v>
      </c>
      <c r="V8" s="4" t="s">
        <v>152</v>
      </c>
      <c r="W8" s="4" t="s">
        <v>152</v>
      </c>
      <c r="X8" s="4" t="n">
        <v>260</v>
      </c>
      <c r="Y8" s="9" t="n">
        <v>4.1</v>
      </c>
      <c r="Z8" s="4" t="s">
        <v>153</v>
      </c>
      <c r="AA8" s="4" t="s">
        <v>154</v>
      </c>
      <c r="AB8" s="4" t="s">
        <v>124</v>
      </c>
      <c r="AC8" s="4" t="n">
        <v>1</v>
      </c>
      <c r="AD8" s="4"/>
    </row>
    <row r="9" customFormat="false" ht="15" hidden="false" customHeight="false" outlineLevel="0" collapsed="false">
      <c r="A9" s="4" t="s">
        <v>155</v>
      </c>
      <c r="B9" s="4" t="s">
        <v>156</v>
      </c>
      <c r="C9" s="4" t="s">
        <v>156</v>
      </c>
      <c r="D9" s="4"/>
      <c r="E9" s="4" t="n">
        <v>1</v>
      </c>
      <c r="F9" s="4" t="s">
        <v>22</v>
      </c>
      <c r="G9" s="4" t="s">
        <v>13</v>
      </c>
      <c r="H9" s="4" t="s">
        <v>93</v>
      </c>
      <c r="I9" s="4" t="n">
        <v>100</v>
      </c>
      <c r="J9" s="4" t="s">
        <v>157</v>
      </c>
      <c r="K9" s="4" t="s">
        <v>95</v>
      </c>
      <c r="L9" s="4" t="s">
        <v>158</v>
      </c>
      <c r="M9" s="4" t="s">
        <v>159</v>
      </c>
      <c r="N9" s="4" t="s">
        <v>83</v>
      </c>
      <c r="O9" s="4" t="s">
        <v>31</v>
      </c>
      <c r="P9" s="4" t="s">
        <v>31</v>
      </c>
      <c r="Q9" s="4"/>
      <c r="R9" s="4" t="s">
        <v>160</v>
      </c>
      <c r="S9" s="4" t="s">
        <v>85</v>
      </c>
      <c r="T9" s="4" t="n">
        <v>-33.134111</v>
      </c>
      <c r="U9" s="4" t="n">
        <v>-71.548821</v>
      </c>
      <c r="V9" s="4" t="s">
        <v>161</v>
      </c>
      <c r="W9" s="4" t="s">
        <v>161</v>
      </c>
      <c r="X9" s="4" t="n">
        <v>174</v>
      </c>
      <c r="Y9" s="9" t="n">
        <v>4.3</v>
      </c>
      <c r="Z9" s="4" t="s">
        <v>162</v>
      </c>
      <c r="AA9" s="4" t="s">
        <v>163</v>
      </c>
      <c r="AB9" s="4" t="s">
        <v>164</v>
      </c>
      <c r="AC9" s="4" t="n">
        <v>2</v>
      </c>
      <c r="AD9" s="4"/>
    </row>
    <row r="10" customFormat="false" ht="15" hidden="false" customHeight="false" outlineLevel="0" collapsed="false">
      <c r="A10" s="4" t="s">
        <v>165</v>
      </c>
      <c r="B10" s="4" t="s">
        <v>166</v>
      </c>
      <c r="C10" s="4" t="s">
        <v>166</v>
      </c>
      <c r="D10" s="4"/>
      <c r="E10" s="4" t="n">
        <v>1</v>
      </c>
      <c r="F10" s="4" t="s">
        <v>21</v>
      </c>
      <c r="G10" s="4" t="s">
        <v>13</v>
      </c>
      <c r="H10" s="4" t="s">
        <v>93</v>
      </c>
      <c r="I10" s="4" t="n">
        <v>100</v>
      </c>
      <c r="J10" s="4" t="s">
        <v>167</v>
      </c>
      <c r="K10" s="4" t="s">
        <v>80</v>
      </c>
      <c r="L10" s="4" t="s">
        <v>168</v>
      </c>
      <c r="M10" s="4" t="s">
        <v>169</v>
      </c>
      <c r="N10" s="4" t="s">
        <v>83</v>
      </c>
      <c r="O10" s="4" t="s">
        <v>29</v>
      </c>
      <c r="P10" s="4" t="s">
        <v>31</v>
      </c>
      <c r="Q10" s="4" t="s">
        <v>170</v>
      </c>
      <c r="R10" s="4" t="s">
        <v>171</v>
      </c>
      <c r="S10" s="4" t="s">
        <v>85</v>
      </c>
      <c r="T10" s="4" t="n">
        <v>-33.608233</v>
      </c>
      <c r="U10" s="4" t="n">
        <v>-71.613862</v>
      </c>
      <c r="V10" s="4" t="s">
        <v>172</v>
      </c>
      <c r="W10" s="4" t="s">
        <v>173</v>
      </c>
      <c r="X10" s="4" t="n">
        <v>147</v>
      </c>
      <c r="Y10" s="9" t="n">
        <v>4.6</v>
      </c>
      <c r="Z10" s="4" t="s">
        <v>174</v>
      </c>
      <c r="AA10" s="4" t="s">
        <v>175</v>
      </c>
      <c r="AB10" s="4" t="s">
        <v>176</v>
      </c>
      <c r="AC10" s="4" t="n">
        <v>2</v>
      </c>
      <c r="AD10" s="4"/>
    </row>
    <row r="11" customFormat="false" ht="15" hidden="false" customHeight="false" outlineLevel="0" collapsed="false">
      <c r="A11" s="4" t="s">
        <v>177</v>
      </c>
      <c r="B11" s="4" t="s">
        <v>178</v>
      </c>
      <c r="C11" s="4" t="s">
        <v>178</v>
      </c>
      <c r="D11" s="4"/>
      <c r="E11" s="4" t="n">
        <v>1</v>
      </c>
      <c r="F11" s="4" t="s">
        <v>20</v>
      </c>
      <c r="G11" s="4" t="s">
        <v>13</v>
      </c>
      <c r="H11" s="4" t="s">
        <v>93</v>
      </c>
      <c r="I11" s="4" t="n">
        <v>100</v>
      </c>
      <c r="J11" s="4" t="s">
        <v>179</v>
      </c>
      <c r="K11" s="4" t="s">
        <v>180</v>
      </c>
      <c r="L11" s="4" t="s">
        <v>181</v>
      </c>
      <c r="M11" s="4" t="s">
        <v>182</v>
      </c>
      <c r="N11" s="4" t="s">
        <v>83</v>
      </c>
      <c r="O11" s="4" t="s">
        <v>30</v>
      </c>
      <c r="P11" s="4" t="s">
        <v>31</v>
      </c>
      <c r="Q11" s="4"/>
      <c r="R11" s="4" t="s">
        <v>183</v>
      </c>
      <c r="S11" s="4" t="s">
        <v>85</v>
      </c>
      <c r="T11" s="4" t="n">
        <v>-33.04325</v>
      </c>
      <c r="U11" s="4" t="n">
        <v>-71.517542</v>
      </c>
      <c r="V11" s="4" t="s">
        <v>184</v>
      </c>
      <c r="W11" s="4" t="s">
        <v>185</v>
      </c>
      <c r="X11" s="4" t="n">
        <v>112</v>
      </c>
      <c r="Y11" s="9" t="n">
        <v>4.3</v>
      </c>
      <c r="Z11" s="4" t="s">
        <v>186</v>
      </c>
      <c r="AA11" s="4" t="s">
        <v>187</v>
      </c>
      <c r="AB11" s="4" t="s">
        <v>188</v>
      </c>
      <c r="AC11" s="4" t="n">
        <v>3</v>
      </c>
      <c r="AD11" s="4"/>
    </row>
    <row r="12" customFormat="false" ht="15" hidden="false" customHeight="false" outlineLevel="0" collapsed="false">
      <c r="A12" s="4" t="s">
        <v>189</v>
      </c>
      <c r="B12" s="4" t="s">
        <v>190</v>
      </c>
      <c r="C12" s="4" t="s">
        <v>190</v>
      </c>
      <c r="D12" s="4" t="s">
        <v>190</v>
      </c>
      <c r="E12" s="4" t="n">
        <v>2</v>
      </c>
      <c r="F12" s="4" t="s">
        <v>24</v>
      </c>
      <c r="G12" s="4" t="s">
        <v>13</v>
      </c>
      <c r="H12" s="4" t="s">
        <v>93</v>
      </c>
      <c r="I12" s="4" t="n">
        <v>100</v>
      </c>
      <c r="J12" s="4" t="s">
        <v>191</v>
      </c>
      <c r="K12" s="4" t="s">
        <v>80</v>
      </c>
      <c r="L12" s="4" t="s">
        <v>192</v>
      </c>
      <c r="M12" s="4" t="s">
        <v>193</v>
      </c>
      <c r="N12" s="4" t="s">
        <v>83</v>
      </c>
      <c r="O12" s="4" t="s">
        <v>32</v>
      </c>
      <c r="P12" s="4" t="s">
        <v>31</v>
      </c>
      <c r="Q12" s="4" t="s">
        <v>194</v>
      </c>
      <c r="R12" s="4" t="s">
        <v>195</v>
      </c>
      <c r="S12" s="4" t="s">
        <v>85</v>
      </c>
      <c r="T12" s="4" t="n">
        <v>-33.321134</v>
      </c>
      <c r="U12" s="4" t="n">
        <v>-71.410031</v>
      </c>
      <c r="V12" s="4" t="s">
        <v>196</v>
      </c>
      <c r="W12" s="4" t="s">
        <v>196</v>
      </c>
      <c r="X12" s="4" t="n">
        <v>56</v>
      </c>
      <c r="Y12" s="9" t="n">
        <v>4.6</v>
      </c>
      <c r="Z12" s="4" t="s">
        <v>197</v>
      </c>
      <c r="AA12" s="4" t="s">
        <v>198</v>
      </c>
      <c r="AB12" s="4" t="s">
        <v>190</v>
      </c>
      <c r="AC12" s="4" t="n">
        <v>1</v>
      </c>
      <c r="AD12" s="4"/>
    </row>
    <row r="13" customFormat="false" ht="15" hidden="false" customHeight="false" outlineLevel="0" collapsed="false">
      <c r="A13" s="4" t="s">
        <v>199</v>
      </c>
      <c r="B13" s="4" t="s">
        <v>200</v>
      </c>
      <c r="C13" s="4" t="s">
        <v>200</v>
      </c>
      <c r="D13" s="4"/>
      <c r="E13" s="4" t="n">
        <v>1</v>
      </c>
      <c r="F13" s="4" t="s">
        <v>22</v>
      </c>
      <c r="G13" s="4" t="s">
        <v>13</v>
      </c>
      <c r="H13" s="4" t="s">
        <v>93</v>
      </c>
      <c r="I13" s="4" t="n">
        <v>100</v>
      </c>
      <c r="J13" s="4" t="s">
        <v>201</v>
      </c>
      <c r="K13" s="4" t="s">
        <v>180</v>
      </c>
      <c r="L13" s="4" t="s">
        <v>202</v>
      </c>
      <c r="M13" s="4" t="s">
        <v>203</v>
      </c>
      <c r="N13" s="4" t="s">
        <v>83</v>
      </c>
      <c r="O13" s="4" t="s">
        <v>32</v>
      </c>
      <c r="P13" s="4" t="s">
        <v>31</v>
      </c>
      <c r="Q13" s="4"/>
      <c r="R13" s="4" t="s">
        <v>204</v>
      </c>
      <c r="S13" s="4" t="s">
        <v>85</v>
      </c>
      <c r="T13" s="4" t="n">
        <v>-33.27258</v>
      </c>
      <c r="U13" s="4" t="n">
        <v>-71.428276</v>
      </c>
      <c r="V13" s="4" t="s">
        <v>205</v>
      </c>
      <c r="W13" s="4" t="s">
        <v>205</v>
      </c>
      <c r="X13" s="4" t="n">
        <v>55</v>
      </c>
      <c r="Y13" s="9" t="n">
        <v>4</v>
      </c>
      <c r="Z13" s="4" t="s">
        <v>186</v>
      </c>
      <c r="AA13" s="4" t="s">
        <v>206</v>
      </c>
      <c r="AB13" s="4" t="s">
        <v>207</v>
      </c>
      <c r="AC13" s="4" t="n">
        <v>1</v>
      </c>
      <c r="AD13" s="4"/>
    </row>
    <row r="14" customFormat="false" ht="15" hidden="false" customHeight="false" outlineLevel="0" collapsed="false">
      <c r="A14" s="4" t="s">
        <v>208</v>
      </c>
      <c r="B14" s="4" t="s">
        <v>209</v>
      </c>
      <c r="C14" s="4" t="s">
        <v>209</v>
      </c>
      <c r="D14" s="4" t="s">
        <v>209</v>
      </c>
      <c r="E14" s="4" t="n">
        <v>2</v>
      </c>
      <c r="F14" s="4" t="s">
        <v>24</v>
      </c>
      <c r="G14" s="4" t="s">
        <v>13</v>
      </c>
      <c r="H14" s="4" t="s">
        <v>93</v>
      </c>
      <c r="I14" s="4" t="n">
        <v>100</v>
      </c>
      <c r="J14" s="4" t="s">
        <v>210</v>
      </c>
      <c r="K14" s="4" t="s">
        <v>80</v>
      </c>
      <c r="L14" s="4" t="s">
        <v>211</v>
      </c>
      <c r="M14" s="4" t="s">
        <v>212</v>
      </c>
      <c r="N14" s="4" t="s">
        <v>83</v>
      </c>
      <c r="O14" s="4" t="s">
        <v>30</v>
      </c>
      <c r="P14" s="4" t="s">
        <v>31</v>
      </c>
      <c r="Q14" s="4" t="s">
        <v>213</v>
      </c>
      <c r="R14" s="4" t="s">
        <v>214</v>
      </c>
      <c r="S14" s="4" t="s">
        <v>85</v>
      </c>
      <c r="T14" s="4" t="n">
        <v>-33.044418</v>
      </c>
      <c r="U14" s="4" t="n">
        <v>-71.515894</v>
      </c>
      <c r="V14" s="4" t="s">
        <v>152</v>
      </c>
      <c r="W14" s="4" t="s">
        <v>152</v>
      </c>
      <c r="X14" s="4" t="n">
        <v>55</v>
      </c>
      <c r="Y14" s="9" t="n">
        <v>4.4</v>
      </c>
      <c r="Z14" s="4" t="s">
        <v>215</v>
      </c>
      <c r="AA14" s="4" t="s">
        <v>216</v>
      </c>
      <c r="AB14" s="4" t="s">
        <v>217</v>
      </c>
      <c r="AC14" s="4" t="n">
        <v>1</v>
      </c>
      <c r="AD14" s="4"/>
    </row>
    <row r="15" customFormat="false" ht="15" hidden="false" customHeight="false" outlineLevel="0" collapsed="false">
      <c r="A15" s="4" t="s">
        <v>218</v>
      </c>
      <c r="B15" s="4" t="s">
        <v>219</v>
      </c>
      <c r="C15" s="4" t="s">
        <v>219</v>
      </c>
      <c r="D15" s="4"/>
      <c r="E15" s="4" t="n">
        <v>1</v>
      </c>
      <c r="F15" s="4" t="s">
        <v>20</v>
      </c>
      <c r="G15" s="4" t="s">
        <v>13</v>
      </c>
      <c r="H15" s="4" t="s">
        <v>93</v>
      </c>
      <c r="I15" s="4" t="n">
        <v>100</v>
      </c>
      <c r="J15" s="4" t="s">
        <v>220</v>
      </c>
      <c r="K15" s="4" t="s">
        <v>95</v>
      </c>
      <c r="L15" s="4" t="s">
        <v>221</v>
      </c>
      <c r="M15" s="4" t="s">
        <v>222</v>
      </c>
      <c r="N15" s="4" t="s">
        <v>83</v>
      </c>
      <c r="O15" s="4" t="s">
        <v>31</v>
      </c>
      <c r="P15" s="4" t="s">
        <v>31</v>
      </c>
      <c r="Q15" s="4"/>
      <c r="R15" s="4" t="s">
        <v>223</v>
      </c>
      <c r="S15" s="4" t="s">
        <v>85</v>
      </c>
      <c r="T15" s="4" t="n">
        <v>-33.094393</v>
      </c>
      <c r="U15" s="4" t="n">
        <v>-71.588863</v>
      </c>
      <c r="V15" s="4" t="s">
        <v>224</v>
      </c>
      <c r="W15" s="4" t="s">
        <v>225</v>
      </c>
      <c r="X15" s="4" t="n">
        <v>51</v>
      </c>
      <c r="Y15" s="9" t="n">
        <v>4.3</v>
      </c>
      <c r="Z15" s="4" t="s">
        <v>226</v>
      </c>
      <c r="AA15" s="4" t="s">
        <v>227</v>
      </c>
      <c r="AB15" s="4" t="s">
        <v>228</v>
      </c>
      <c r="AC15" s="4" t="n">
        <v>1</v>
      </c>
      <c r="AD15" s="4"/>
    </row>
    <row r="16" customFormat="false" ht="15" hidden="false" customHeight="false" outlineLevel="0" collapsed="false">
      <c r="A16" s="4" t="s">
        <v>229</v>
      </c>
      <c r="B16" s="4" t="s">
        <v>230</v>
      </c>
      <c r="C16" s="4" t="s">
        <v>230</v>
      </c>
      <c r="D16" s="4"/>
      <c r="E16" s="4" t="n">
        <v>1</v>
      </c>
      <c r="F16" s="4" t="s">
        <v>22</v>
      </c>
      <c r="G16" s="4" t="s">
        <v>13</v>
      </c>
      <c r="H16" s="4" t="s">
        <v>93</v>
      </c>
      <c r="I16" s="4" t="n">
        <v>95</v>
      </c>
      <c r="J16" s="4" t="s">
        <v>231</v>
      </c>
      <c r="K16" s="4" t="s">
        <v>95</v>
      </c>
      <c r="L16" s="4" t="s">
        <v>232</v>
      </c>
      <c r="M16" s="4" t="s">
        <v>233</v>
      </c>
      <c r="N16" s="4" t="s">
        <v>83</v>
      </c>
      <c r="O16" s="4" t="s">
        <v>31</v>
      </c>
      <c r="P16" s="4" t="s">
        <v>31</v>
      </c>
      <c r="Q16" s="4" t="s">
        <v>234</v>
      </c>
      <c r="R16" s="4" t="s">
        <v>235</v>
      </c>
      <c r="S16" s="4" t="s">
        <v>85</v>
      </c>
      <c r="T16" s="4" t="n">
        <v>-33.124745</v>
      </c>
      <c r="U16" s="4" t="n">
        <v>-71.545804</v>
      </c>
      <c r="V16" s="4" t="s">
        <v>205</v>
      </c>
      <c r="W16" s="4" t="s">
        <v>236</v>
      </c>
      <c r="X16" s="4" t="n">
        <v>49</v>
      </c>
      <c r="Y16" s="9" t="n">
        <v>5</v>
      </c>
      <c r="Z16" s="4" t="s">
        <v>215</v>
      </c>
      <c r="AA16" s="4" t="s">
        <v>237</v>
      </c>
      <c r="AB16" s="4" t="s">
        <v>238</v>
      </c>
      <c r="AC16" s="4" t="n">
        <v>1</v>
      </c>
      <c r="AD16" s="4"/>
    </row>
    <row r="17" customFormat="false" ht="15" hidden="false" customHeight="false" outlineLevel="0" collapsed="false">
      <c r="A17" s="4" t="s">
        <v>239</v>
      </c>
      <c r="B17" s="4" t="s">
        <v>240</v>
      </c>
      <c r="C17" s="4" t="s">
        <v>240</v>
      </c>
      <c r="D17" s="4"/>
      <c r="E17" s="4" t="n">
        <v>1</v>
      </c>
      <c r="F17" s="4" t="s">
        <v>23</v>
      </c>
      <c r="G17" s="4" t="s">
        <v>13</v>
      </c>
      <c r="H17" s="4" t="s">
        <v>93</v>
      </c>
      <c r="I17" s="4" t="n">
        <v>95</v>
      </c>
      <c r="J17" s="4" t="s">
        <v>241</v>
      </c>
      <c r="K17" s="4" t="s">
        <v>80</v>
      </c>
      <c r="L17" s="4" t="s">
        <v>242</v>
      </c>
      <c r="M17" s="4" t="s">
        <v>243</v>
      </c>
      <c r="N17" s="4" t="s">
        <v>83</v>
      </c>
      <c r="O17" s="4" t="s">
        <v>31</v>
      </c>
      <c r="P17" s="4" t="s">
        <v>31</v>
      </c>
      <c r="Q17" s="4" t="s">
        <v>244</v>
      </c>
      <c r="R17" s="4" t="s">
        <v>245</v>
      </c>
      <c r="S17" s="4" t="s">
        <v>85</v>
      </c>
      <c r="T17" s="4" t="n">
        <v>-33.035152</v>
      </c>
      <c r="U17" s="4" t="n">
        <v>-71.588425</v>
      </c>
      <c r="V17" s="4" t="s">
        <v>196</v>
      </c>
      <c r="W17" s="4" t="s">
        <v>196</v>
      </c>
      <c r="X17" s="4" t="n">
        <v>42</v>
      </c>
      <c r="Y17" s="9" t="n">
        <v>4.2</v>
      </c>
      <c r="Z17" s="4" t="s">
        <v>246</v>
      </c>
      <c r="AA17" s="4" t="s">
        <v>247</v>
      </c>
      <c r="AB17" s="4" t="s">
        <v>248</v>
      </c>
      <c r="AC17" s="4" t="n">
        <v>2</v>
      </c>
      <c r="AD17" s="4"/>
    </row>
    <row r="18" customFormat="false" ht="15" hidden="false" customHeight="false" outlineLevel="0" collapsed="false">
      <c r="A18" s="4" t="s">
        <v>249</v>
      </c>
      <c r="B18" s="4" t="s">
        <v>250</v>
      </c>
      <c r="C18" s="4" t="s">
        <v>250</v>
      </c>
      <c r="D18" s="4"/>
      <c r="E18" s="4" t="n">
        <v>1</v>
      </c>
      <c r="F18" s="4" t="s">
        <v>20</v>
      </c>
      <c r="G18" s="4" t="s">
        <v>13</v>
      </c>
      <c r="H18" s="4" t="s">
        <v>93</v>
      </c>
      <c r="I18" s="4" t="n">
        <v>95</v>
      </c>
      <c r="J18" s="4" t="s">
        <v>251</v>
      </c>
      <c r="K18" s="4" t="s">
        <v>95</v>
      </c>
      <c r="L18" s="4" t="s">
        <v>252</v>
      </c>
      <c r="M18" s="4" t="s">
        <v>253</v>
      </c>
      <c r="N18" s="4" t="s">
        <v>83</v>
      </c>
      <c r="O18" s="4" t="s">
        <v>29</v>
      </c>
      <c r="P18" s="4" t="s">
        <v>31</v>
      </c>
      <c r="Q18" s="4" t="s">
        <v>131</v>
      </c>
      <c r="R18" s="4" t="s">
        <v>254</v>
      </c>
      <c r="S18" s="4" t="s">
        <v>85</v>
      </c>
      <c r="T18" s="4" t="n">
        <v>-33.569049</v>
      </c>
      <c r="U18" s="4" t="n">
        <v>-71.570103</v>
      </c>
      <c r="V18" s="4" t="s">
        <v>224</v>
      </c>
      <c r="W18" s="4" t="s">
        <v>255</v>
      </c>
      <c r="X18" s="4" t="n">
        <v>41</v>
      </c>
      <c r="Y18" s="9" t="n">
        <v>4</v>
      </c>
      <c r="Z18" s="4" t="s">
        <v>256</v>
      </c>
      <c r="AA18" s="4" t="s">
        <v>257</v>
      </c>
      <c r="AB18" s="4" t="s">
        <v>258</v>
      </c>
      <c r="AC18" s="4" t="n">
        <v>3</v>
      </c>
      <c r="AD18" s="4"/>
    </row>
    <row r="19" customFormat="false" ht="15" hidden="false" customHeight="false" outlineLevel="0" collapsed="false">
      <c r="A19" s="4" t="s">
        <v>259</v>
      </c>
      <c r="B19" s="4" t="s">
        <v>260</v>
      </c>
      <c r="C19" s="4" t="s">
        <v>260</v>
      </c>
      <c r="D19" s="4"/>
      <c r="E19" s="4" t="n">
        <v>1</v>
      </c>
      <c r="F19" s="4" t="s">
        <v>23</v>
      </c>
      <c r="G19" s="4" t="s">
        <v>13</v>
      </c>
      <c r="H19" s="4" t="s">
        <v>93</v>
      </c>
      <c r="I19" s="4" t="n">
        <v>95</v>
      </c>
      <c r="J19" s="4" t="s">
        <v>261</v>
      </c>
      <c r="K19" s="4" t="s">
        <v>95</v>
      </c>
      <c r="L19" s="4" t="s">
        <v>262</v>
      </c>
      <c r="M19" s="4" t="s">
        <v>263</v>
      </c>
      <c r="N19" s="4" t="s">
        <v>83</v>
      </c>
      <c r="O19" s="4" t="s">
        <v>35</v>
      </c>
      <c r="P19" s="4" t="s">
        <v>31</v>
      </c>
      <c r="Q19" s="4"/>
      <c r="R19" s="4" t="s">
        <v>264</v>
      </c>
      <c r="S19" s="4" t="s">
        <v>85</v>
      </c>
      <c r="T19" s="4" t="n">
        <v>-33.563029</v>
      </c>
      <c r="U19" s="4" t="n">
        <v>-71.528961</v>
      </c>
      <c r="V19" s="4" t="s">
        <v>265</v>
      </c>
      <c r="W19" s="4" t="s">
        <v>266</v>
      </c>
      <c r="X19" s="4" t="n">
        <v>26</v>
      </c>
      <c r="Y19" s="9" t="n">
        <v>4.5</v>
      </c>
      <c r="Z19" s="4" t="s">
        <v>267</v>
      </c>
      <c r="AA19" s="4" t="s">
        <v>268</v>
      </c>
      <c r="AB19" s="4" t="s">
        <v>248</v>
      </c>
      <c r="AC19" s="4" t="n">
        <v>2</v>
      </c>
      <c r="AD19" s="4"/>
    </row>
    <row r="20" customFormat="false" ht="15" hidden="false" customHeight="false" outlineLevel="0" collapsed="false">
      <c r="A20" s="4" t="s">
        <v>269</v>
      </c>
      <c r="B20" s="4" t="s">
        <v>270</v>
      </c>
      <c r="C20" s="4" t="s">
        <v>270</v>
      </c>
      <c r="D20" s="4"/>
      <c r="E20" s="4" t="n">
        <v>1</v>
      </c>
      <c r="F20" s="4" t="s">
        <v>21</v>
      </c>
      <c r="G20" s="4" t="s">
        <v>13</v>
      </c>
      <c r="H20" s="4" t="s">
        <v>93</v>
      </c>
      <c r="I20" s="4" t="n">
        <v>95</v>
      </c>
      <c r="J20" s="4" t="s">
        <v>271</v>
      </c>
      <c r="K20" s="4" t="s">
        <v>95</v>
      </c>
      <c r="L20" s="4" t="s">
        <v>272</v>
      </c>
      <c r="M20" s="4" t="s">
        <v>273</v>
      </c>
      <c r="N20" s="4" t="s">
        <v>83</v>
      </c>
      <c r="O20" s="4" t="s">
        <v>30</v>
      </c>
      <c r="P20" s="4" t="s">
        <v>31</v>
      </c>
      <c r="Q20" s="4" t="s">
        <v>274</v>
      </c>
      <c r="R20" s="4" t="s">
        <v>275</v>
      </c>
      <c r="S20" s="4" t="s">
        <v>85</v>
      </c>
      <c r="T20" s="4" t="n">
        <v>-32.97771</v>
      </c>
      <c r="U20" s="4" t="n">
        <v>-71.489106</v>
      </c>
      <c r="V20" s="4" t="s">
        <v>276</v>
      </c>
      <c r="W20" s="4" t="s">
        <v>277</v>
      </c>
      <c r="X20" s="4" t="n">
        <v>25</v>
      </c>
      <c r="Y20" s="9" t="n">
        <v>4.4</v>
      </c>
      <c r="Z20" s="4" t="s">
        <v>278</v>
      </c>
      <c r="AA20" s="4" t="s">
        <v>279</v>
      </c>
      <c r="AB20" s="4" t="s">
        <v>217</v>
      </c>
      <c r="AC20" s="4" t="n">
        <v>1</v>
      </c>
      <c r="AD20" s="4"/>
    </row>
    <row r="21" customFormat="false" ht="15" hidden="false" customHeight="false" outlineLevel="0" collapsed="false">
      <c r="A21" s="4" t="s">
        <v>280</v>
      </c>
      <c r="B21" s="4" t="s">
        <v>281</v>
      </c>
      <c r="C21" s="4" t="s">
        <v>281</v>
      </c>
      <c r="D21" s="4"/>
      <c r="E21" s="4" t="n">
        <v>1</v>
      </c>
      <c r="F21" s="4" t="s">
        <v>21</v>
      </c>
      <c r="G21" s="4" t="s">
        <v>13</v>
      </c>
      <c r="H21" s="4" t="s">
        <v>93</v>
      </c>
      <c r="I21" s="4" t="n">
        <v>95</v>
      </c>
      <c r="J21" s="4" t="s">
        <v>282</v>
      </c>
      <c r="K21" s="4" t="s">
        <v>95</v>
      </c>
      <c r="L21" s="4" t="s">
        <v>283</v>
      </c>
      <c r="M21" s="4" t="s">
        <v>284</v>
      </c>
      <c r="N21" s="4" t="s">
        <v>83</v>
      </c>
      <c r="O21" s="4" t="s">
        <v>30</v>
      </c>
      <c r="P21" s="4" t="s">
        <v>31</v>
      </c>
      <c r="Q21" s="4"/>
      <c r="R21" s="4" t="s">
        <v>285</v>
      </c>
      <c r="S21" s="4" t="s">
        <v>85</v>
      </c>
      <c r="T21" s="4" t="n">
        <v>-32.962128</v>
      </c>
      <c r="U21" s="4" t="n">
        <v>-71.510179</v>
      </c>
      <c r="V21" s="4" t="s">
        <v>286</v>
      </c>
      <c r="W21" s="4" t="s">
        <v>287</v>
      </c>
      <c r="X21" s="4" t="n">
        <v>23</v>
      </c>
      <c r="Y21" s="9" t="n">
        <v>4.1</v>
      </c>
      <c r="Z21" s="4" t="s">
        <v>288</v>
      </c>
      <c r="AA21" s="4" t="s">
        <v>289</v>
      </c>
      <c r="AB21" s="4" t="s">
        <v>290</v>
      </c>
      <c r="AC21" s="4" t="n">
        <v>2</v>
      </c>
      <c r="AD21" s="4"/>
    </row>
    <row r="22" customFormat="false" ht="15" hidden="false" customHeight="false" outlineLevel="0" collapsed="false">
      <c r="A22" s="4" t="s">
        <v>291</v>
      </c>
      <c r="B22" s="4" t="s">
        <v>292</v>
      </c>
      <c r="C22" s="4" t="s">
        <v>292</v>
      </c>
      <c r="D22" s="4"/>
      <c r="E22" s="4" t="n">
        <v>1</v>
      </c>
      <c r="F22" s="4" t="s">
        <v>21</v>
      </c>
      <c r="G22" s="4" t="s">
        <v>13</v>
      </c>
      <c r="H22" s="4" t="s">
        <v>93</v>
      </c>
      <c r="I22" s="4" t="n">
        <v>95</v>
      </c>
      <c r="J22" s="4" t="s">
        <v>293</v>
      </c>
      <c r="K22" s="4" t="s">
        <v>95</v>
      </c>
      <c r="L22" s="4" t="s">
        <v>294</v>
      </c>
      <c r="M22" s="4" t="s">
        <v>295</v>
      </c>
      <c r="N22" s="4" t="s">
        <v>83</v>
      </c>
      <c r="O22" s="4" t="s">
        <v>30</v>
      </c>
      <c r="P22" s="4" t="s">
        <v>31</v>
      </c>
      <c r="Q22" s="4"/>
      <c r="R22" s="4" t="s">
        <v>296</v>
      </c>
      <c r="S22" s="4" t="s">
        <v>85</v>
      </c>
      <c r="T22" s="4" t="n">
        <v>-33.017182</v>
      </c>
      <c r="U22" s="4" t="n">
        <v>-71.543249</v>
      </c>
      <c r="V22" s="4" t="s">
        <v>297</v>
      </c>
      <c r="W22" s="4" t="s">
        <v>297</v>
      </c>
      <c r="X22" s="4" t="n">
        <v>20</v>
      </c>
      <c r="Y22" s="9" t="n">
        <v>4.6</v>
      </c>
      <c r="Z22" s="4" t="s">
        <v>215</v>
      </c>
      <c r="AA22" s="4" t="s">
        <v>298</v>
      </c>
      <c r="AB22" s="4" t="s">
        <v>299</v>
      </c>
      <c r="AC22" s="4" t="n">
        <v>1</v>
      </c>
      <c r="AD22" s="4"/>
    </row>
    <row r="23" customFormat="false" ht="15" hidden="false" customHeight="false" outlineLevel="0" collapsed="false">
      <c r="A23" s="4" t="s">
        <v>300</v>
      </c>
      <c r="B23" s="4" t="s">
        <v>301</v>
      </c>
      <c r="C23" s="4" t="s">
        <v>301</v>
      </c>
      <c r="D23" s="4" t="s">
        <v>301</v>
      </c>
      <c r="E23" s="4" t="n">
        <v>2</v>
      </c>
      <c r="F23" s="4" t="s">
        <v>23</v>
      </c>
      <c r="G23" s="4" t="s">
        <v>13</v>
      </c>
      <c r="H23" s="4" t="s">
        <v>93</v>
      </c>
      <c r="I23" s="4" t="n">
        <v>95</v>
      </c>
      <c r="J23" s="4" t="s">
        <v>302</v>
      </c>
      <c r="K23" s="4" t="s">
        <v>80</v>
      </c>
      <c r="L23" s="4" t="s">
        <v>303</v>
      </c>
      <c r="M23" s="4" t="s">
        <v>304</v>
      </c>
      <c r="N23" s="4" t="s">
        <v>83</v>
      </c>
      <c r="O23" s="4" t="s">
        <v>31</v>
      </c>
      <c r="P23" s="4" t="s">
        <v>31</v>
      </c>
      <c r="Q23" s="4"/>
      <c r="R23" s="4" t="s">
        <v>305</v>
      </c>
      <c r="S23" s="4" t="s">
        <v>85</v>
      </c>
      <c r="T23" s="4" t="n">
        <v>-33.117636</v>
      </c>
      <c r="U23" s="4" t="n">
        <v>-71.559892</v>
      </c>
      <c r="V23" s="4" t="s">
        <v>306</v>
      </c>
      <c r="W23" s="4" t="s">
        <v>306</v>
      </c>
      <c r="X23" s="4" t="n">
        <v>19</v>
      </c>
      <c r="Y23" s="9" t="n">
        <v>4.3</v>
      </c>
      <c r="Z23" s="4" t="s">
        <v>307</v>
      </c>
      <c r="AA23" s="4" t="s">
        <v>308</v>
      </c>
      <c r="AB23" s="4" t="s">
        <v>248</v>
      </c>
      <c r="AC23" s="4" t="n">
        <v>2</v>
      </c>
      <c r="AD23" s="4"/>
    </row>
    <row r="24" customFormat="false" ht="15" hidden="false" customHeight="false" outlineLevel="0" collapsed="false">
      <c r="A24" s="4" t="s">
        <v>309</v>
      </c>
      <c r="B24" s="4" t="s">
        <v>310</v>
      </c>
      <c r="C24" s="4" t="s">
        <v>310</v>
      </c>
      <c r="D24" s="4"/>
      <c r="E24" s="4" t="n">
        <v>1</v>
      </c>
      <c r="F24" s="4" t="s">
        <v>21</v>
      </c>
      <c r="G24" s="4" t="s">
        <v>13</v>
      </c>
      <c r="H24" s="4" t="s">
        <v>93</v>
      </c>
      <c r="I24" s="4" t="n">
        <v>95</v>
      </c>
      <c r="J24" s="4" t="s">
        <v>311</v>
      </c>
      <c r="K24" s="4" t="s">
        <v>95</v>
      </c>
      <c r="L24" s="4" t="s">
        <v>312</v>
      </c>
      <c r="M24" s="4" t="s">
        <v>313</v>
      </c>
      <c r="N24" s="4" t="s">
        <v>83</v>
      </c>
      <c r="O24" s="4" t="s">
        <v>29</v>
      </c>
      <c r="P24" s="4" t="s">
        <v>31</v>
      </c>
      <c r="Q24" s="4" t="s">
        <v>314</v>
      </c>
      <c r="R24" s="4" t="s">
        <v>315</v>
      </c>
      <c r="S24" s="4" t="s">
        <v>85</v>
      </c>
      <c r="T24" s="4" t="n">
        <v>-33.61324</v>
      </c>
      <c r="U24" s="4" t="n">
        <v>-71.60837</v>
      </c>
      <c r="V24" s="4" t="s">
        <v>316</v>
      </c>
      <c r="W24" s="4" t="s">
        <v>316</v>
      </c>
      <c r="X24" s="4" t="n">
        <v>15</v>
      </c>
      <c r="Y24" s="9" t="n">
        <v>4.1</v>
      </c>
      <c r="Z24" s="4" t="s">
        <v>317</v>
      </c>
      <c r="AA24" s="4" t="s">
        <v>318</v>
      </c>
      <c r="AB24" s="4" t="s">
        <v>176</v>
      </c>
      <c r="AC24" s="4" t="n">
        <v>2</v>
      </c>
      <c r="AD24" s="4"/>
    </row>
    <row r="25" customFormat="false" ht="15" hidden="false" customHeight="false" outlineLevel="0" collapsed="false">
      <c r="A25" s="4" t="s">
        <v>319</v>
      </c>
      <c r="B25" s="4" t="s">
        <v>320</v>
      </c>
      <c r="C25" s="4" t="s">
        <v>320</v>
      </c>
      <c r="D25" s="4"/>
      <c r="E25" s="4" t="n">
        <v>1</v>
      </c>
      <c r="F25" s="4" t="s">
        <v>22</v>
      </c>
      <c r="G25" s="4" t="s">
        <v>13</v>
      </c>
      <c r="H25" s="4" t="s">
        <v>93</v>
      </c>
      <c r="I25" s="4" t="n">
        <v>95</v>
      </c>
      <c r="J25" s="4" t="s">
        <v>321</v>
      </c>
      <c r="K25" s="4" t="s">
        <v>95</v>
      </c>
      <c r="L25" s="4" t="s">
        <v>322</v>
      </c>
      <c r="M25" s="4" t="s">
        <v>323</v>
      </c>
      <c r="N25" s="4" t="s">
        <v>83</v>
      </c>
      <c r="O25" s="4" t="s">
        <v>29</v>
      </c>
      <c r="P25" s="4" t="s">
        <v>31</v>
      </c>
      <c r="Q25" s="4"/>
      <c r="R25" s="4" t="s">
        <v>324</v>
      </c>
      <c r="S25" s="4" t="s">
        <v>85</v>
      </c>
      <c r="T25" s="4" t="n">
        <v>-33.581295</v>
      </c>
      <c r="U25" s="4" t="n">
        <v>-71.531363</v>
      </c>
      <c r="V25" s="4" t="s">
        <v>265</v>
      </c>
      <c r="W25" s="4" t="s">
        <v>325</v>
      </c>
      <c r="X25" s="4" t="n">
        <v>15</v>
      </c>
      <c r="Y25" s="9" t="n">
        <v>4.5</v>
      </c>
      <c r="Z25" s="4" t="s">
        <v>326</v>
      </c>
      <c r="AA25" s="4" t="s">
        <v>327</v>
      </c>
      <c r="AB25" s="4" t="s">
        <v>328</v>
      </c>
      <c r="AC25" s="4" t="n">
        <v>2</v>
      </c>
      <c r="AD25" s="4"/>
    </row>
    <row r="26" customFormat="false" ht="15" hidden="false" customHeight="false" outlineLevel="0" collapsed="false">
      <c r="A26" s="4" t="s">
        <v>329</v>
      </c>
      <c r="B26" s="4" t="s">
        <v>330</v>
      </c>
      <c r="C26" s="4" t="s">
        <v>330</v>
      </c>
      <c r="D26" s="4"/>
      <c r="E26" s="4" t="n">
        <v>1</v>
      </c>
      <c r="F26" s="4" t="s">
        <v>22</v>
      </c>
      <c r="G26" s="4" t="s">
        <v>13</v>
      </c>
      <c r="H26" s="4" t="s">
        <v>93</v>
      </c>
      <c r="I26" s="4" t="n">
        <v>95</v>
      </c>
      <c r="J26" s="4" t="s">
        <v>331</v>
      </c>
      <c r="K26" s="4" t="s">
        <v>95</v>
      </c>
      <c r="L26" s="4" t="s">
        <v>332</v>
      </c>
      <c r="M26" s="4" t="s">
        <v>333</v>
      </c>
      <c r="N26" s="4" t="s">
        <v>83</v>
      </c>
      <c r="O26" s="4" t="s">
        <v>37</v>
      </c>
      <c r="P26" s="4" t="s">
        <v>31</v>
      </c>
      <c r="Q26" s="4" t="s">
        <v>334</v>
      </c>
      <c r="R26" s="4" t="s">
        <v>335</v>
      </c>
      <c r="S26" s="4" t="s">
        <v>85</v>
      </c>
      <c r="T26" s="4" t="n">
        <v>-33.042551</v>
      </c>
      <c r="U26" s="4" t="n">
        <v>-71.416834</v>
      </c>
      <c r="V26" s="4" t="s">
        <v>86</v>
      </c>
      <c r="W26" s="4" t="s">
        <v>86</v>
      </c>
      <c r="X26" s="4" t="n">
        <v>15</v>
      </c>
      <c r="Y26" s="9" t="n">
        <v>4.3</v>
      </c>
      <c r="Z26" s="4" t="s">
        <v>186</v>
      </c>
      <c r="AA26" s="4" t="s">
        <v>336</v>
      </c>
      <c r="AB26" s="4" t="s">
        <v>145</v>
      </c>
      <c r="AC26" s="4" t="n">
        <v>3</v>
      </c>
      <c r="AD26" s="4"/>
    </row>
    <row r="27" customFormat="false" ht="15" hidden="false" customHeight="false" outlineLevel="0" collapsed="false">
      <c r="A27" s="4" t="s">
        <v>337</v>
      </c>
      <c r="B27" s="4" t="s">
        <v>338</v>
      </c>
      <c r="C27" s="4" t="s">
        <v>338</v>
      </c>
      <c r="D27" s="4"/>
      <c r="E27" s="4" t="n">
        <v>1</v>
      </c>
      <c r="F27" s="4" t="s">
        <v>24</v>
      </c>
      <c r="G27" s="4" t="s">
        <v>13</v>
      </c>
      <c r="H27" s="4" t="s">
        <v>93</v>
      </c>
      <c r="I27" s="4" t="n">
        <v>95</v>
      </c>
      <c r="J27" s="4" t="s">
        <v>339</v>
      </c>
      <c r="K27" s="4" t="s">
        <v>80</v>
      </c>
      <c r="L27" s="4" t="s">
        <v>340</v>
      </c>
      <c r="M27" s="4" t="s">
        <v>341</v>
      </c>
      <c r="N27" s="4" t="s">
        <v>83</v>
      </c>
      <c r="O27" s="4" t="s">
        <v>30</v>
      </c>
      <c r="P27" s="4" t="s">
        <v>31</v>
      </c>
      <c r="Q27" s="4" t="s">
        <v>342</v>
      </c>
      <c r="R27" s="4" t="s">
        <v>343</v>
      </c>
      <c r="S27" s="4" t="s">
        <v>85</v>
      </c>
      <c r="T27" s="4" t="n">
        <v>-33.016011</v>
      </c>
      <c r="U27" s="4" t="n">
        <v>-71.554638</v>
      </c>
      <c r="V27" s="4" t="s">
        <v>152</v>
      </c>
      <c r="W27" s="4" t="s">
        <v>152</v>
      </c>
      <c r="X27" s="4" t="n">
        <v>14</v>
      </c>
      <c r="Y27" s="9" t="n">
        <v>5</v>
      </c>
      <c r="Z27" s="4" t="s">
        <v>344</v>
      </c>
      <c r="AA27" s="4" t="s">
        <v>345</v>
      </c>
      <c r="AB27" s="4" t="s">
        <v>217</v>
      </c>
      <c r="AC27" s="4" t="n">
        <v>1</v>
      </c>
      <c r="AD27" s="4"/>
    </row>
    <row r="28" customFormat="false" ht="15" hidden="false" customHeight="false" outlineLevel="0" collapsed="false">
      <c r="A28" s="4" t="s">
        <v>346</v>
      </c>
      <c r="B28" s="4" t="s">
        <v>347</v>
      </c>
      <c r="C28" s="4" t="s">
        <v>347</v>
      </c>
      <c r="D28" s="4" t="s">
        <v>209</v>
      </c>
      <c r="E28" s="4" t="n">
        <v>2</v>
      </c>
      <c r="F28" s="4" t="s">
        <v>21</v>
      </c>
      <c r="G28" s="4" t="s">
        <v>13</v>
      </c>
      <c r="H28" s="4" t="s">
        <v>93</v>
      </c>
      <c r="I28" s="4" t="n">
        <v>95</v>
      </c>
      <c r="J28" s="4" t="s">
        <v>210</v>
      </c>
      <c r="K28" s="4" t="s">
        <v>80</v>
      </c>
      <c r="L28" s="4" t="s">
        <v>348</v>
      </c>
      <c r="M28" s="4" t="s">
        <v>349</v>
      </c>
      <c r="N28" s="4" t="s">
        <v>83</v>
      </c>
      <c r="O28" s="4" t="s">
        <v>30</v>
      </c>
      <c r="P28" s="4" t="s">
        <v>31</v>
      </c>
      <c r="Q28" s="4" t="s">
        <v>213</v>
      </c>
      <c r="R28" s="4" t="s">
        <v>214</v>
      </c>
      <c r="S28" s="4" t="s">
        <v>85</v>
      </c>
      <c r="T28" s="4" t="n">
        <v>-33.044718</v>
      </c>
      <c r="U28" s="4" t="n">
        <v>-71.515161</v>
      </c>
      <c r="V28" s="4" t="s">
        <v>350</v>
      </c>
      <c r="W28" s="4" t="s">
        <v>350</v>
      </c>
      <c r="X28" s="4" t="n">
        <v>12</v>
      </c>
      <c r="Y28" s="9" t="n">
        <v>4.8</v>
      </c>
      <c r="Z28" s="4" t="s">
        <v>351</v>
      </c>
      <c r="AA28" s="4" t="s">
        <v>352</v>
      </c>
      <c r="AB28" s="4" t="s">
        <v>217</v>
      </c>
      <c r="AC28" s="4" t="n">
        <v>1</v>
      </c>
      <c r="AD28" s="4"/>
    </row>
    <row r="29" customFormat="false" ht="15" hidden="false" customHeight="false" outlineLevel="0" collapsed="false">
      <c r="A29" s="4" t="s">
        <v>353</v>
      </c>
      <c r="B29" s="4" t="s">
        <v>354</v>
      </c>
      <c r="C29" s="4" t="s">
        <v>355</v>
      </c>
      <c r="D29" s="4"/>
      <c r="E29" s="4" t="n">
        <v>1</v>
      </c>
      <c r="F29" s="4" t="s">
        <v>22</v>
      </c>
      <c r="G29" s="4" t="s">
        <v>13</v>
      </c>
      <c r="H29" s="4" t="s">
        <v>93</v>
      </c>
      <c r="I29" s="4" t="n">
        <v>95</v>
      </c>
      <c r="J29" s="4" t="s">
        <v>356</v>
      </c>
      <c r="K29" s="4" t="s">
        <v>95</v>
      </c>
      <c r="L29" s="4" t="s">
        <v>357</v>
      </c>
      <c r="M29" s="4" t="s">
        <v>358</v>
      </c>
      <c r="N29" s="4" t="s">
        <v>83</v>
      </c>
      <c r="O29" s="4" t="s">
        <v>38</v>
      </c>
      <c r="P29" s="4" t="s">
        <v>31</v>
      </c>
      <c r="Q29" s="4" t="s">
        <v>359</v>
      </c>
      <c r="R29" s="4" t="s">
        <v>360</v>
      </c>
      <c r="S29" s="4" t="s">
        <v>85</v>
      </c>
      <c r="T29" s="4" t="n">
        <v>-32.917767</v>
      </c>
      <c r="U29" s="4" t="n">
        <v>-71.434898</v>
      </c>
      <c r="V29" s="4" t="s">
        <v>86</v>
      </c>
      <c r="W29" s="4" t="s">
        <v>86</v>
      </c>
      <c r="X29" s="4" t="n">
        <v>11</v>
      </c>
      <c r="Y29" s="9" t="n">
        <v>4.5</v>
      </c>
      <c r="Z29" s="4" t="s">
        <v>186</v>
      </c>
      <c r="AA29" s="4" t="s">
        <v>361</v>
      </c>
      <c r="AB29" s="4" t="s">
        <v>145</v>
      </c>
      <c r="AC29" s="4" t="n">
        <v>2</v>
      </c>
      <c r="AD29" s="4" t="s">
        <v>125</v>
      </c>
    </row>
    <row r="30" customFormat="false" ht="15" hidden="false" customHeight="false" outlineLevel="0" collapsed="false">
      <c r="A30" s="4" t="s">
        <v>362</v>
      </c>
      <c r="B30" s="4" t="s">
        <v>363</v>
      </c>
      <c r="C30" s="4" t="s">
        <v>363</v>
      </c>
      <c r="D30" s="4" t="s">
        <v>364</v>
      </c>
      <c r="E30" s="4" t="n">
        <v>2</v>
      </c>
      <c r="F30" s="4" t="s">
        <v>26</v>
      </c>
      <c r="G30" s="4" t="s">
        <v>13</v>
      </c>
      <c r="H30" s="4" t="s">
        <v>93</v>
      </c>
      <c r="I30" s="4" t="n">
        <v>90</v>
      </c>
      <c r="J30" s="4" t="s">
        <v>365</v>
      </c>
      <c r="K30" s="4" t="s">
        <v>80</v>
      </c>
      <c r="L30" s="4" t="s">
        <v>366</v>
      </c>
      <c r="M30" s="4" t="s">
        <v>367</v>
      </c>
      <c r="N30" s="4" t="s">
        <v>83</v>
      </c>
      <c r="O30" s="4" t="s">
        <v>29</v>
      </c>
      <c r="P30" s="4" t="s">
        <v>31</v>
      </c>
      <c r="Q30" s="4" t="s">
        <v>131</v>
      </c>
      <c r="R30" s="4" t="s">
        <v>368</v>
      </c>
      <c r="S30" s="4" t="s">
        <v>85</v>
      </c>
      <c r="T30" s="4" t="n">
        <v>-33.574501</v>
      </c>
      <c r="U30" s="4" t="n">
        <v>-71.626755</v>
      </c>
      <c r="V30" s="4" t="s">
        <v>120</v>
      </c>
      <c r="W30" s="4" t="s">
        <v>120</v>
      </c>
      <c r="X30" s="4" t="n">
        <v>521</v>
      </c>
      <c r="Y30" s="9" t="n">
        <v>4.5</v>
      </c>
      <c r="Z30" s="4"/>
      <c r="AA30" s="4" t="s">
        <v>369</v>
      </c>
      <c r="AB30" s="4" t="s">
        <v>124</v>
      </c>
      <c r="AC30" s="4" t="n">
        <v>1</v>
      </c>
      <c r="AD30" s="4" t="s">
        <v>370</v>
      </c>
    </row>
    <row r="31" customFormat="false" ht="15" hidden="false" customHeight="false" outlineLevel="0" collapsed="false">
      <c r="A31" s="4" t="s">
        <v>371</v>
      </c>
      <c r="B31" s="4" t="s">
        <v>372</v>
      </c>
      <c r="C31" s="4" t="s">
        <v>372</v>
      </c>
      <c r="D31" s="4"/>
      <c r="E31" s="4" t="n">
        <v>1</v>
      </c>
      <c r="F31" s="4" t="s">
        <v>26</v>
      </c>
      <c r="G31" s="4" t="s">
        <v>13</v>
      </c>
      <c r="H31" s="4" t="s">
        <v>93</v>
      </c>
      <c r="I31" s="4" t="n">
        <v>90</v>
      </c>
      <c r="J31" s="4" t="s">
        <v>373</v>
      </c>
      <c r="K31" s="4" t="s">
        <v>80</v>
      </c>
      <c r="L31" s="4" t="s">
        <v>374</v>
      </c>
      <c r="M31" s="4" t="s">
        <v>375</v>
      </c>
      <c r="N31" s="4" t="s">
        <v>83</v>
      </c>
      <c r="O31" s="4" t="s">
        <v>29</v>
      </c>
      <c r="P31" s="4" t="s">
        <v>31</v>
      </c>
      <c r="Q31" s="4"/>
      <c r="R31" s="4" t="s">
        <v>376</v>
      </c>
      <c r="S31" s="4" t="s">
        <v>85</v>
      </c>
      <c r="T31" s="4" t="n">
        <v>-33.58876</v>
      </c>
      <c r="U31" s="4" t="n">
        <v>-71.584752</v>
      </c>
      <c r="V31" s="4" t="s">
        <v>377</v>
      </c>
      <c r="W31" s="4" t="s">
        <v>378</v>
      </c>
      <c r="X31" s="4" t="n">
        <v>464</v>
      </c>
      <c r="Y31" s="9" t="n">
        <v>3.2</v>
      </c>
      <c r="Z31" s="4" t="s">
        <v>379</v>
      </c>
      <c r="AA31" s="4" t="s">
        <v>380</v>
      </c>
      <c r="AB31" s="4" t="s">
        <v>381</v>
      </c>
      <c r="AC31" s="4" t="n">
        <v>1</v>
      </c>
      <c r="AD31" s="4"/>
    </row>
    <row r="32" customFormat="false" ht="15" hidden="false" customHeight="false" outlineLevel="0" collapsed="false">
      <c r="A32" s="4" t="s">
        <v>382</v>
      </c>
      <c r="B32" s="4" t="s">
        <v>383</v>
      </c>
      <c r="C32" s="4" t="s">
        <v>383</v>
      </c>
      <c r="D32" s="4" t="s">
        <v>383</v>
      </c>
      <c r="E32" s="4" t="n">
        <v>2</v>
      </c>
      <c r="F32" s="4" t="s">
        <v>26</v>
      </c>
      <c r="G32" s="4" t="s">
        <v>13</v>
      </c>
      <c r="H32" s="4" t="s">
        <v>93</v>
      </c>
      <c r="I32" s="4" t="n">
        <v>90</v>
      </c>
      <c r="J32" s="4" t="s">
        <v>384</v>
      </c>
      <c r="K32" s="4" t="s">
        <v>80</v>
      </c>
      <c r="L32" s="4" t="s">
        <v>385</v>
      </c>
      <c r="M32" s="4" t="s">
        <v>386</v>
      </c>
      <c r="N32" s="4" t="s">
        <v>83</v>
      </c>
      <c r="O32" s="4" t="s">
        <v>29</v>
      </c>
      <c r="P32" s="4" t="s">
        <v>31</v>
      </c>
      <c r="Q32" s="4"/>
      <c r="R32" s="4" t="s">
        <v>387</v>
      </c>
      <c r="S32" s="4" t="s">
        <v>85</v>
      </c>
      <c r="T32" s="4" t="n">
        <v>-33.576092</v>
      </c>
      <c r="U32" s="4" t="n">
        <v>-71.536746</v>
      </c>
      <c r="V32" s="4" t="s">
        <v>133</v>
      </c>
      <c r="W32" s="4" t="s">
        <v>133</v>
      </c>
      <c r="X32" s="4" t="n">
        <v>292</v>
      </c>
      <c r="Y32" s="9" t="n">
        <v>3.9</v>
      </c>
      <c r="Z32" s="4" t="s">
        <v>388</v>
      </c>
      <c r="AA32" s="4" t="s">
        <v>389</v>
      </c>
      <c r="AB32" s="4" t="s">
        <v>390</v>
      </c>
      <c r="AC32" s="4" t="n">
        <v>2</v>
      </c>
      <c r="AD32" s="4"/>
    </row>
    <row r="33" customFormat="false" ht="15" hidden="false" customHeight="false" outlineLevel="0" collapsed="false">
      <c r="A33" s="4" t="s">
        <v>391</v>
      </c>
      <c r="B33" s="4" t="s">
        <v>392</v>
      </c>
      <c r="C33" s="4" t="s">
        <v>392</v>
      </c>
      <c r="D33" s="4"/>
      <c r="E33" s="4" t="n">
        <v>1</v>
      </c>
      <c r="F33" s="4" t="s">
        <v>25</v>
      </c>
      <c r="G33" s="4" t="s">
        <v>13</v>
      </c>
      <c r="H33" s="4" t="s">
        <v>93</v>
      </c>
      <c r="I33" s="4" t="n">
        <v>90</v>
      </c>
      <c r="J33" s="4" t="s">
        <v>393</v>
      </c>
      <c r="K33" s="4" t="s">
        <v>80</v>
      </c>
      <c r="L33" s="4" t="s">
        <v>394</v>
      </c>
      <c r="M33" s="4" t="s">
        <v>395</v>
      </c>
      <c r="N33" s="4" t="s">
        <v>83</v>
      </c>
      <c r="O33" s="4" t="s">
        <v>32</v>
      </c>
      <c r="P33" s="4" t="s">
        <v>31</v>
      </c>
      <c r="Q33" s="4"/>
      <c r="R33" s="4" t="s">
        <v>396</v>
      </c>
      <c r="S33" s="4" t="s">
        <v>397</v>
      </c>
      <c r="T33" s="4" t="n">
        <v>-33.317081</v>
      </c>
      <c r="U33" s="4" t="n">
        <v>-71.460571</v>
      </c>
      <c r="V33" s="4" t="s">
        <v>86</v>
      </c>
      <c r="W33" s="4" t="s">
        <v>398</v>
      </c>
      <c r="X33" s="4" t="n">
        <v>216</v>
      </c>
      <c r="Y33" s="9" t="n">
        <v>4.8</v>
      </c>
      <c r="Z33" s="4" t="s">
        <v>399</v>
      </c>
      <c r="AA33" s="4" t="s">
        <v>400</v>
      </c>
      <c r="AB33" s="4" t="s">
        <v>145</v>
      </c>
      <c r="AC33" s="4" t="n">
        <v>3</v>
      </c>
      <c r="AD33" s="4" t="s">
        <v>401</v>
      </c>
    </row>
    <row r="34" customFormat="false" ht="15" hidden="false" customHeight="false" outlineLevel="0" collapsed="false">
      <c r="A34" s="4" t="s">
        <v>402</v>
      </c>
      <c r="B34" s="4" t="s">
        <v>403</v>
      </c>
      <c r="C34" s="4" t="s">
        <v>403</v>
      </c>
      <c r="D34" s="4"/>
      <c r="E34" s="4" t="n">
        <v>1</v>
      </c>
      <c r="F34" s="4" t="s">
        <v>26</v>
      </c>
      <c r="G34" s="4" t="s">
        <v>13</v>
      </c>
      <c r="H34" s="4" t="s">
        <v>93</v>
      </c>
      <c r="I34" s="4" t="n">
        <v>90</v>
      </c>
      <c r="J34" s="4" t="s">
        <v>404</v>
      </c>
      <c r="K34" s="4" t="s">
        <v>80</v>
      </c>
      <c r="L34" s="4" t="s">
        <v>405</v>
      </c>
      <c r="M34" s="4" t="s">
        <v>406</v>
      </c>
      <c r="N34" s="4" t="s">
        <v>83</v>
      </c>
      <c r="O34" s="4" t="s">
        <v>35</v>
      </c>
      <c r="P34" s="4" t="s">
        <v>31</v>
      </c>
      <c r="Q34" s="4"/>
      <c r="R34" s="4" t="s">
        <v>407</v>
      </c>
      <c r="S34" s="4" t="s">
        <v>397</v>
      </c>
      <c r="T34" s="4" t="n">
        <v>-33.551105</v>
      </c>
      <c r="U34" s="4" t="n">
        <v>-71.569975</v>
      </c>
      <c r="V34" s="4" t="s">
        <v>377</v>
      </c>
      <c r="W34" s="4" t="s">
        <v>408</v>
      </c>
      <c r="X34" s="4" t="n">
        <v>158</v>
      </c>
      <c r="Y34" s="9" t="n">
        <v>4.1</v>
      </c>
      <c r="Z34" s="4" t="s">
        <v>409</v>
      </c>
      <c r="AA34" s="4" t="s">
        <v>410</v>
      </c>
      <c r="AB34" s="4" t="s">
        <v>411</v>
      </c>
      <c r="AC34" s="4" t="n">
        <v>1</v>
      </c>
      <c r="AD34" s="4" t="s">
        <v>401</v>
      </c>
    </row>
    <row r="35" customFormat="false" ht="15" hidden="false" customHeight="false" outlineLevel="0" collapsed="false">
      <c r="A35" s="4" t="s">
        <v>412</v>
      </c>
      <c r="B35" s="4" t="s">
        <v>413</v>
      </c>
      <c r="C35" s="4" t="s">
        <v>413</v>
      </c>
      <c r="D35" s="4" t="s">
        <v>413</v>
      </c>
      <c r="E35" s="4" t="n">
        <v>2</v>
      </c>
      <c r="F35" s="4" t="s">
        <v>20</v>
      </c>
      <c r="G35" s="4" t="s">
        <v>13</v>
      </c>
      <c r="H35" s="4" t="s">
        <v>93</v>
      </c>
      <c r="I35" s="4" t="n">
        <v>90</v>
      </c>
      <c r="J35" s="4" t="s">
        <v>414</v>
      </c>
      <c r="K35" s="4" t="s">
        <v>95</v>
      </c>
      <c r="L35" s="4" t="s">
        <v>415</v>
      </c>
      <c r="M35" s="4" t="s">
        <v>416</v>
      </c>
      <c r="N35" s="4" t="s">
        <v>83</v>
      </c>
      <c r="O35" s="4" t="s">
        <v>29</v>
      </c>
      <c r="P35" s="4" t="s">
        <v>31</v>
      </c>
      <c r="Q35" s="4" t="s">
        <v>417</v>
      </c>
      <c r="R35" s="4" t="s">
        <v>418</v>
      </c>
      <c r="S35" s="4" t="s">
        <v>85</v>
      </c>
      <c r="T35" s="4" t="n">
        <v>-33.609401</v>
      </c>
      <c r="U35" s="4" t="n">
        <v>-71.605023</v>
      </c>
      <c r="V35" s="4" t="s">
        <v>224</v>
      </c>
      <c r="W35" s="4" t="s">
        <v>224</v>
      </c>
      <c r="X35" s="4" t="n">
        <v>9</v>
      </c>
      <c r="Y35" s="9" t="n">
        <v>4</v>
      </c>
      <c r="Z35" s="4" t="s">
        <v>419</v>
      </c>
      <c r="AA35" s="4" t="s">
        <v>420</v>
      </c>
      <c r="AB35" s="4" t="s">
        <v>421</v>
      </c>
      <c r="AC35" s="4" t="n">
        <v>1</v>
      </c>
      <c r="AD35" s="4"/>
    </row>
    <row r="36" customFormat="false" ht="15" hidden="false" customHeight="false" outlineLevel="0" collapsed="false">
      <c r="A36" s="4" t="s">
        <v>422</v>
      </c>
      <c r="B36" s="4" t="s">
        <v>423</v>
      </c>
      <c r="C36" s="4" t="s">
        <v>423</v>
      </c>
      <c r="D36" s="4"/>
      <c r="E36" s="4" t="n">
        <v>1</v>
      </c>
      <c r="F36" s="4" t="s">
        <v>21</v>
      </c>
      <c r="G36" s="4" t="s">
        <v>13</v>
      </c>
      <c r="H36" s="4" t="s">
        <v>93</v>
      </c>
      <c r="I36" s="4" t="n">
        <v>90</v>
      </c>
      <c r="J36" s="4" t="s">
        <v>424</v>
      </c>
      <c r="K36" s="4" t="s">
        <v>95</v>
      </c>
      <c r="L36" s="4" t="s">
        <v>425</v>
      </c>
      <c r="M36" s="4" t="s">
        <v>426</v>
      </c>
      <c r="N36" s="4" t="s">
        <v>83</v>
      </c>
      <c r="O36" s="4" t="s">
        <v>30</v>
      </c>
      <c r="P36" s="4" t="s">
        <v>31</v>
      </c>
      <c r="Q36" s="4"/>
      <c r="R36" s="4" t="s">
        <v>427</v>
      </c>
      <c r="S36" s="4" t="s">
        <v>85</v>
      </c>
      <c r="T36" s="4" t="n">
        <v>-33.02606</v>
      </c>
      <c r="U36" s="4" t="n">
        <v>-71.550078</v>
      </c>
      <c r="V36" s="4" t="s">
        <v>297</v>
      </c>
      <c r="W36" s="4" t="s">
        <v>297</v>
      </c>
      <c r="X36" s="4" t="n">
        <v>6</v>
      </c>
      <c r="Y36" s="9" t="n">
        <v>5</v>
      </c>
      <c r="Z36" s="4" t="s">
        <v>428</v>
      </c>
      <c r="AA36" s="4" t="s">
        <v>429</v>
      </c>
      <c r="AB36" s="4" t="s">
        <v>299</v>
      </c>
      <c r="AC36" s="4" t="n">
        <v>1</v>
      </c>
      <c r="AD36" s="4"/>
    </row>
    <row r="37" customFormat="false" ht="15" hidden="false" customHeight="false" outlineLevel="0" collapsed="false">
      <c r="A37" s="4" t="s">
        <v>430</v>
      </c>
      <c r="B37" s="4" t="s">
        <v>431</v>
      </c>
      <c r="C37" s="4" t="s">
        <v>432</v>
      </c>
      <c r="D37" s="4"/>
      <c r="E37" s="4" t="n">
        <v>1</v>
      </c>
      <c r="F37" s="4" t="s">
        <v>21</v>
      </c>
      <c r="G37" s="4" t="s">
        <v>13</v>
      </c>
      <c r="H37" s="4" t="s">
        <v>93</v>
      </c>
      <c r="I37" s="4" t="n">
        <v>90</v>
      </c>
      <c r="J37" s="4" t="s">
        <v>433</v>
      </c>
      <c r="K37" s="4" t="s">
        <v>95</v>
      </c>
      <c r="L37" s="4" t="s">
        <v>434</v>
      </c>
      <c r="M37" s="4" t="s">
        <v>435</v>
      </c>
      <c r="N37" s="4" t="s">
        <v>83</v>
      </c>
      <c r="O37" s="4" t="s">
        <v>29</v>
      </c>
      <c r="P37" s="4" t="s">
        <v>31</v>
      </c>
      <c r="Q37" s="4" t="s">
        <v>131</v>
      </c>
      <c r="R37" s="4" t="s">
        <v>436</v>
      </c>
      <c r="S37" s="4" t="s">
        <v>85</v>
      </c>
      <c r="T37" s="4" t="n">
        <v>-33.61014</v>
      </c>
      <c r="U37" s="4" t="n">
        <v>-71.608832</v>
      </c>
      <c r="V37" s="4" t="s">
        <v>437</v>
      </c>
      <c r="W37" s="4" t="s">
        <v>438</v>
      </c>
      <c r="X37" s="4" t="n">
        <v>5</v>
      </c>
      <c r="Y37" s="9" t="n">
        <v>5</v>
      </c>
      <c r="Z37" s="4" t="s">
        <v>215</v>
      </c>
      <c r="AA37" s="4" t="s">
        <v>439</v>
      </c>
      <c r="AB37" s="4" t="s">
        <v>176</v>
      </c>
      <c r="AC37" s="4" t="n">
        <v>2</v>
      </c>
      <c r="AD37" s="4" t="s">
        <v>125</v>
      </c>
    </row>
    <row r="38" customFormat="false" ht="15" hidden="false" customHeight="false" outlineLevel="0" collapsed="false">
      <c r="A38" s="4" t="s">
        <v>440</v>
      </c>
      <c r="B38" s="4" t="s">
        <v>441</v>
      </c>
      <c r="C38" s="4" t="s">
        <v>441</v>
      </c>
      <c r="D38" s="4"/>
      <c r="E38" s="4" t="n">
        <v>1</v>
      </c>
      <c r="F38" s="4" t="s">
        <v>23</v>
      </c>
      <c r="G38" s="4" t="s">
        <v>13</v>
      </c>
      <c r="H38" s="4" t="s">
        <v>93</v>
      </c>
      <c r="I38" s="4" t="n">
        <v>90</v>
      </c>
      <c r="J38" s="4" t="s">
        <v>442</v>
      </c>
      <c r="K38" s="4" t="s">
        <v>80</v>
      </c>
      <c r="L38" s="4" t="s">
        <v>443</v>
      </c>
      <c r="M38" s="4" t="s">
        <v>444</v>
      </c>
      <c r="N38" s="4" t="s">
        <v>83</v>
      </c>
      <c r="O38" s="4" t="s">
        <v>31</v>
      </c>
      <c r="P38" s="4" t="s">
        <v>31</v>
      </c>
      <c r="Q38" s="4" t="s">
        <v>445</v>
      </c>
      <c r="R38" s="4" t="s">
        <v>446</v>
      </c>
      <c r="S38" s="4" t="s">
        <v>85</v>
      </c>
      <c r="T38" s="4" t="n">
        <v>-33.049856</v>
      </c>
      <c r="U38" s="4" t="n">
        <v>-71.605408</v>
      </c>
      <c r="V38" s="4" t="s">
        <v>447</v>
      </c>
      <c r="W38" s="4" t="s">
        <v>447</v>
      </c>
      <c r="X38" s="4" t="n">
        <v>5</v>
      </c>
      <c r="Y38" s="9" t="n">
        <v>5</v>
      </c>
      <c r="Z38" s="4" t="s">
        <v>448</v>
      </c>
      <c r="AA38" s="4" t="s">
        <v>449</v>
      </c>
      <c r="AB38" s="4" t="s">
        <v>450</v>
      </c>
      <c r="AC38" s="4" t="n">
        <v>1</v>
      </c>
      <c r="AD38" s="4"/>
    </row>
    <row r="39" customFormat="false" ht="15" hidden="false" customHeight="false" outlineLevel="0" collapsed="false">
      <c r="A39" s="4" t="s">
        <v>451</v>
      </c>
      <c r="B39" s="4" t="s">
        <v>452</v>
      </c>
      <c r="C39" s="4" t="s">
        <v>452</v>
      </c>
      <c r="D39" s="4"/>
      <c r="E39" s="4" t="n">
        <v>1</v>
      </c>
      <c r="F39" s="4" t="s">
        <v>24</v>
      </c>
      <c r="G39" s="4" t="s">
        <v>13</v>
      </c>
      <c r="H39" s="4" t="s">
        <v>93</v>
      </c>
      <c r="I39" s="4" t="n">
        <v>90</v>
      </c>
      <c r="J39" s="4" t="s">
        <v>453</v>
      </c>
      <c r="K39" s="4" t="s">
        <v>95</v>
      </c>
      <c r="L39" s="4" t="s">
        <v>454</v>
      </c>
      <c r="M39" s="4" t="s">
        <v>455</v>
      </c>
      <c r="N39" s="4" t="s">
        <v>83</v>
      </c>
      <c r="O39" s="4" t="s">
        <v>30</v>
      </c>
      <c r="P39" s="4" t="s">
        <v>31</v>
      </c>
      <c r="Q39" s="4"/>
      <c r="R39" s="4" t="s">
        <v>456</v>
      </c>
      <c r="S39" s="4" t="s">
        <v>85</v>
      </c>
      <c r="T39" s="4" t="n">
        <v>-33.04325</v>
      </c>
      <c r="U39" s="4" t="n">
        <v>-71.517542</v>
      </c>
      <c r="V39" s="4" t="s">
        <v>152</v>
      </c>
      <c r="W39" s="4" t="s">
        <v>152</v>
      </c>
      <c r="X39" s="4" t="n">
        <v>5</v>
      </c>
      <c r="Y39" s="9" t="n">
        <v>5</v>
      </c>
      <c r="Z39" s="4" t="s">
        <v>307</v>
      </c>
      <c r="AA39" s="4" t="s">
        <v>457</v>
      </c>
      <c r="AB39" s="4" t="s">
        <v>217</v>
      </c>
      <c r="AC39" s="4" t="n">
        <v>1</v>
      </c>
      <c r="AD39" s="4"/>
    </row>
    <row r="40" customFormat="false" ht="15" hidden="false" customHeight="false" outlineLevel="0" collapsed="false">
      <c r="A40" s="4" t="s">
        <v>458</v>
      </c>
      <c r="B40" s="4" t="s">
        <v>413</v>
      </c>
      <c r="C40" s="4" t="s">
        <v>413</v>
      </c>
      <c r="D40" s="4" t="s">
        <v>413</v>
      </c>
      <c r="E40" s="4" t="n">
        <v>2</v>
      </c>
      <c r="F40" s="4" t="s">
        <v>20</v>
      </c>
      <c r="G40" s="4" t="s">
        <v>13</v>
      </c>
      <c r="H40" s="4" t="s">
        <v>93</v>
      </c>
      <c r="I40" s="4" t="n">
        <v>90</v>
      </c>
      <c r="J40" s="4" t="s">
        <v>414</v>
      </c>
      <c r="K40" s="4" t="s">
        <v>95</v>
      </c>
      <c r="L40" s="4" t="s">
        <v>415</v>
      </c>
      <c r="M40" s="4" t="s">
        <v>416</v>
      </c>
      <c r="N40" s="4" t="s">
        <v>83</v>
      </c>
      <c r="O40" s="4" t="s">
        <v>29</v>
      </c>
      <c r="P40" s="4" t="s">
        <v>31</v>
      </c>
      <c r="Q40" s="4" t="s">
        <v>459</v>
      </c>
      <c r="R40" s="4" t="s">
        <v>460</v>
      </c>
      <c r="S40" s="4" t="s">
        <v>85</v>
      </c>
      <c r="T40" s="4" t="n">
        <v>-33.596141</v>
      </c>
      <c r="U40" s="4" t="n">
        <v>-71.613047</v>
      </c>
      <c r="V40" s="4" t="s">
        <v>224</v>
      </c>
      <c r="W40" s="4" t="s">
        <v>224</v>
      </c>
      <c r="X40" s="4" t="n">
        <v>3</v>
      </c>
      <c r="Y40" s="9" t="n">
        <v>5</v>
      </c>
      <c r="Z40" s="4" t="s">
        <v>461</v>
      </c>
      <c r="AA40" s="4" t="s">
        <v>462</v>
      </c>
      <c r="AB40" s="4" t="s">
        <v>421</v>
      </c>
      <c r="AC40" s="4" t="n">
        <v>1</v>
      </c>
      <c r="AD40" s="4"/>
    </row>
    <row r="41" customFormat="false" ht="15" hidden="false" customHeight="false" outlineLevel="0" collapsed="false">
      <c r="A41" s="4" t="s">
        <v>463</v>
      </c>
      <c r="B41" s="4" t="s">
        <v>464</v>
      </c>
      <c r="C41" s="4" t="s">
        <v>464</v>
      </c>
      <c r="D41" s="4"/>
      <c r="E41" s="4" t="n">
        <v>1</v>
      </c>
      <c r="F41" s="4" t="s">
        <v>20</v>
      </c>
      <c r="G41" s="4" t="s">
        <v>13</v>
      </c>
      <c r="H41" s="4" t="s">
        <v>93</v>
      </c>
      <c r="I41" s="4" t="n">
        <v>90</v>
      </c>
      <c r="J41" s="4" t="s">
        <v>465</v>
      </c>
      <c r="K41" s="4" t="s">
        <v>95</v>
      </c>
      <c r="L41" s="4" t="s">
        <v>466</v>
      </c>
      <c r="M41" s="4" t="s">
        <v>467</v>
      </c>
      <c r="N41" s="4" t="s">
        <v>83</v>
      </c>
      <c r="O41" s="4" t="s">
        <v>31</v>
      </c>
      <c r="P41" s="4" t="s">
        <v>31</v>
      </c>
      <c r="Q41" s="4" t="s">
        <v>468</v>
      </c>
      <c r="R41" s="4" t="s">
        <v>469</v>
      </c>
      <c r="S41" s="4" t="s">
        <v>85</v>
      </c>
      <c r="T41" s="4" t="n">
        <v>-33.042323</v>
      </c>
      <c r="U41" s="4" t="n">
        <v>-71.624764</v>
      </c>
      <c r="V41" s="4" t="s">
        <v>224</v>
      </c>
      <c r="W41" s="4" t="s">
        <v>224</v>
      </c>
      <c r="X41" s="4" t="n">
        <v>2</v>
      </c>
      <c r="Y41" s="9" t="n">
        <v>5</v>
      </c>
      <c r="Z41" s="4" t="s">
        <v>186</v>
      </c>
      <c r="AA41" s="4" t="s">
        <v>470</v>
      </c>
      <c r="AB41" s="4" t="s">
        <v>471</v>
      </c>
      <c r="AC41" s="4" t="n">
        <v>3</v>
      </c>
      <c r="AD41" s="4"/>
    </row>
    <row r="42" customFormat="false" ht="15" hidden="false" customHeight="false" outlineLevel="0" collapsed="false">
      <c r="A42" s="4" t="s">
        <v>472</v>
      </c>
      <c r="B42" s="4" t="s">
        <v>473</v>
      </c>
      <c r="C42" s="4" t="s">
        <v>473</v>
      </c>
      <c r="D42" s="4"/>
      <c r="E42" s="4" t="n">
        <v>1</v>
      </c>
      <c r="F42" s="4" t="s">
        <v>20</v>
      </c>
      <c r="G42" s="4" t="s">
        <v>13</v>
      </c>
      <c r="H42" s="4" t="s">
        <v>93</v>
      </c>
      <c r="I42" s="4" t="n">
        <v>90</v>
      </c>
      <c r="J42" s="4" t="s">
        <v>474</v>
      </c>
      <c r="K42" s="4" t="s">
        <v>95</v>
      </c>
      <c r="L42" s="4" t="s">
        <v>475</v>
      </c>
      <c r="M42" s="4" t="s">
        <v>476</v>
      </c>
      <c r="N42" s="4" t="s">
        <v>83</v>
      </c>
      <c r="O42" s="4" t="s">
        <v>31</v>
      </c>
      <c r="P42" s="4" t="s">
        <v>31</v>
      </c>
      <c r="Q42" s="4"/>
      <c r="R42" s="4" t="s">
        <v>477</v>
      </c>
      <c r="S42" s="4" t="s">
        <v>85</v>
      </c>
      <c r="T42" s="4" t="n">
        <v>-33.133244</v>
      </c>
      <c r="U42" s="4" t="n">
        <v>-71.550866</v>
      </c>
      <c r="V42" s="4" t="s">
        <v>224</v>
      </c>
      <c r="W42" s="4" t="s">
        <v>478</v>
      </c>
      <c r="X42" s="4" t="n">
        <v>2</v>
      </c>
      <c r="Y42" s="9" t="n">
        <v>4</v>
      </c>
      <c r="Z42" s="4" t="s">
        <v>215</v>
      </c>
      <c r="AA42" s="4" t="s">
        <v>479</v>
      </c>
      <c r="AB42" s="4" t="s">
        <v>228</v>
      </c>
      <c r="AC42" s="4" t="n">
        <v>1</v>
      </c>
      <c r="AD42" s="4"/>
    </row>
    <row r="43" customFormat="false" ht="15" hidden="false" customHeight="false" outlineLevel="0" collapsed="false">
      <c r="A43" s="4" t="s">
        <v>480</v>
      </c>
      <c r="B43" s="4" t="s">
        <v>481</v>
      </c>
      <c r="C43" s="4" t="s">
        <v>481</v>
      </c>
      <c r="D43" s="4"/>
      <c r="E43" s="4" t="n">
        <v>1</v>
      </c>
      <c r="F43" s="4" t="s">
        <v>20</v>
      </c>
      <c r="G43" s="4" t="s">
        <v>13</v>
      </c>
      <c r="H43" s="4" t="s">
        <v>93</v>
      </c>
      <c r="I43" s="4" t="n">
        <v>85</v>
      </c>
      <c r="J43" s="4" t="s">
        <v>482</v>
      </c>
      <c r="K43" s="4" t="s">
        <v>80</v>
      </c>
      <c r="L43" s="4" t="s">
        <v>483</v>
      </c>
      <c r="M43" s="4" t="s">
        <v>484</v>
      </c>
      <c r="N43" s="4" t="s">
        <v>83</v>
      </c>
      <c r="O43" s="4" t="s">
        <v>31</v>
      </c>
      <c r="P43" s="4" t="s">
        <v>31</v>
      </c>
      <c r="Q43" s="4" t="s">
        <v>485</v>
      </c>
      <c r="R43" s="4" t="s">
        <v>486</v>
      </c>
      <c r="S43" s="4" t="s">
        <v>85</v>
      </c>
      <c r="T43" s="4" t="n">
        <v>-33.128277</v>
      </c>
      <c r="U43" s="4" t="n">
        <v>-71.555152</v>
      </c>
      <c r="V43" s="4" t="s">
        <v>224</v>
      </c>
      <c r="W43" s="4" t="s">
        <v>224</v>
      </c>
      <c r="X43" s="4" t="n">
        <v>41</v>
      </c>
      <c r="Y43" s="9" t="n">
        <v>3.9</v>
      </c>
      <c r="Z43" s="4" t="s">
        <v>461</v>
      </c>
      <c r="AA43" s="4" t="s">
        <v>487</v>
      </c>
      <c r="AB43" s="4" t="s">
        <v>228</v>
      </c>
      <c r="AC43" s="4" t="n">
        <v>1</v>
      </c>
      <c r="AD43" s="4"/>
    </row>
    <row r="44" customFormat="false" ht="15" hidden="false" customHeight="false" outlineLevel="0" collapsed="false">
      <c r="A44" s="4" t="s">
        <v>488</v>
      </c>
      <c r="B44" s="4" t="s">
        <v>489</v>
      </c>
      <c r="C44" s="4" t="s">
        <v>489</v>
      </c>
      <c r="D44" s="4"/>
      <c r="E44" s="4" t="n">
        <v>1</v>
      </c>
      <c r="F44" s="4" t="s">
        <v>22</v>
      </c>
      <c r="G44" s="4" t="s">
        <v>13</v>
      </c>
      <c r="H44" s="4" t="s">
        <v>93</v>
      </c>
      <c r="I44" s="4" t="n">
        <v>85</v>
      </c>
      <c r="J44" s="4" t="s">
        <v>490</v>
      </c>
      <c r="K44" s="4" t="s">
        <v>95</v>
      </c>
      <c r="L44" s="4" t="s">
        <v>491</v>
      </c>
      <c r="M44" s="4" t="s">
        <v>492</v>
      </c>
      <c r="N44" s="4" t="s">
        <v>83</v>
      </c>
      <c r="O44" s="4" t="s">
        <v>31</v>
      </c>
      <c r="P44" s="4" t="s">
        <v>31</v>
      </c>
      <c r="Q44" s="4" t="s">
        <v>234</v>
      </c>
      <c r="R44" s="4" t="s">
        <v>493</v>
      </c>
      <c r="S44" s="4" t="s">
        <v>397</v>
      </c>
      <c r="T44" s="4" t="n">
        <v>-33.060528</v>
      </c>
      <c r="U44" s="4" t="n">
        <v>-71.647527</v>
      </c>
      <c r="V44" s="4" t="s">
        <v>265</v>
      </c>
      <c r="W44" s="4" t="s">
        <v>265</v>
      </c>
      <c r="X44" s="4" t="n">
        <v>30</v>
      </c>
      <c r="Y44" s="9" t="n">
        <v>4.3</v>
      </c>
      <c r="Z44" s="4" t="s">
        <v>494</v>
      </c>
      <c r="AA44" s="4" t="s">
        <v>495</v>
      </c>
      <c r="AB44" s="4" t="s">
        <v>145</v>
      </c>
      <c r="AC44" s="4" t="n">
        <v>3</v>
      </c>
      <c r="AD44" s="4" t="s">
        <v>401</v>
      </c>
    </row>
    <row r="45" customFormat="false" ht="15" hidden="false" customHeight="false" outlineLevel="0" collapsed="false">
      <c r="A45" s="4" t="s">
        <v>496</v>
      </c>
      <c r="B45" s="4" t="s">
        <v>497</v>
      </c>
      <c r="C45" s="4" t="s">
        <v>497</v>
      </c>
      <c r="D45" s="4"/>
      <c r="E45" s="4" t="n">
        <v>1</v>
      </c>
      <c r="F45" s="4" t="s">
        <v>21</v>
      </c>
      <c r="G45" s="4" t="s">
        <v>13</v>
      </c>
      <c r="H45" s="4" t="s">
        <v>93</v>
      </c>
      <c r="I45" s="4" t="n">
        <v>85</v>
      </c>
      <c r="J45" s="4" t="s">
        <v>498</v>
      </c>
      <c r="K45" s="4" t="s">
        <v>95</v>
      </c>
      <c r="L45" s="4" t="s">
        <v>499</v>
      </c>
      <c r="M45" s="4" t="s">
        <v>500</v>
      </c>
      <c r="N45" s="4" t="s">
        <v>83</v>
      </c>
      <c r="O45" s="4" t="s">
        <v>30</v>
      </c>
      <c r="P45" s="4" t="s">
        <v>31</v>
      </c>
      <c r="Q45" s="4" t="s">
        <v>274</v>
      </c>
      <c r="R45" s="4" t="s">
        <v>501</v>
      </c>
      <c r="S45" s="4" t="s">
        <v>85</v>
      </c>
      <c r="T45" s="4" t="n">
        <v>-33.024083</v>
      </c>
      <c r="U45" s="4" t="n">
        <v>-71.55537</v>
      </c>
      <c r="V45" s="4" t="s">
        <v>276</v>
      </c>
      <c r="W45" s="4" t="s">
        <v>276</v>
      </c>
      <c r="X45" s="4" t="n">
        <v>22</v>
      </c>
      <c r="Y45" s="9" t="n">
        <v>3.6</v>
      </c>
      <c r="Z45" s="4" t="s">
        <v>502</v>
      </c>
      <c r="AA45" s="4" t="s">
        <v>503</v>
      </c>
      <c r="AB45" s="4" t="s">
        <v>217</v>
      </c>
      <c r="AC45" s="4" t="n">
        <v>1</v>
      </c>
      <c r="AD45" s="4"/>
    </row>
    <row r="46" customFormat="false" ht="15" hidden="false" customHeight="false" outlineLevel="0" collapsed="false">
      <c r="A46" s="4" t="s">
        <v>504</v>
      </c>
      <c r="B46" s="4" t="s">
        <v>505</v>
      </c>
      <c r="C46" s="4" t="s">
        <v>505</v>
      </c>
      <c r="D46" s="4" t="s">
        <v>383</v>
      </c>
      <c r="E46" s="4" t="n">
        <v>2</v>
      </c>
      <c r="F46" s="4" t="s">
        <v>24</v>
      </c>
      <c r="G46" s="4" t="s">
        <v>13</v>
      </c>
      <c r="H46" s="4" t="s">
        <v>93</v>
      </c>
      <c r="I46" s="4" t="n">
        <v>85</v>
      </c>
      <c r="J46" s="4" t="s">
        <v>506</v>
      </c>
      <c r="K46" s="4" t="s">
        <v>80</v>
      </c>
      <c r="L46" s="4" t="s">
        <v>507</v>
      </c>
      <c r="M46" s="4" t="s">
        <v>386</v>
      </c>
      <c r="N46" s="4" t="s">
        <v>83</v>
      </c>
      <c r="O46" s="4" t="s">
        <v>29</v>
      </c>
      <c r="P46" s="4" t="s">
        <v>31</v>
      </c>
      <c r="Q46" s="4" t="s">
        <v>508</v>
      </c>
      <c r="R46" s="4" t="s">
        <v>509</v>
      </c>
      <c r="S46" s="4" t="s">
        <v>85</v>
      </c>
      <c r="T46" s="4" t="n">
        <v>-33.593856</v>
      </c>
      <c r="U46" s="4" t="n">
        <v>-71.613261</v>
      </c>
      <c r="V46" s="4" t="s">
        <v>306</v>
      </c>
      <c r="W46" s="4" t="s">
        <v>510</v>
      </c>
      <c r="X46" s="4" t="n">
        <v>16</v>
      </c>
      <c r="Y46" s="9" t="n">
        <v>3.8</v>
      </c>
      <c r="Z46" s="4" t="s">
        <v>215</v>
      </c>
      <c r="AA46" s="4" t="s">
        <v>511</v>
      </c>
      <c r="AB46" s="4" t="s">
        <v>124</v>
      </c>
      <c r="AC46" s="4" t="n">
        <v>1</v>
      </c>
      <c r="AD46" s="4"/>
    </row>
    <row r="47" customFormat="false" ht="15" hidden="false" customHeight="false" outlineLevel="0" collapsed="false">
      <c r="A47" s="4" t="s">
        <v>512</v>
      </c>
      <c r="B47" s="4" t="s">
        <v>513</v>
      </c>
      <c r="C47" s="4" t="s">
        <v>513</v>
      </c>
      <c r="D47" s="4"/>
      <c r="E47" s="4" t="n">
        <v>1</v>
      </c>
      <c r="F47" s="4" t="s">
        <v>27</v>
      </c>
      <c r="G47" s="4" t="s">
        <v>13</v>
      </c>
      <c r="H47" s="4" t="s">
        <v>93</v>
      </c>
      <c r="I47" s="4" t="n">
        <v>85</v>
      </c>
      <c r="J47" s="4" t="s">
        <v>514</v>
      </c>
      <c r="K47" s="4" t="s">
        <v>80</v>
      </c>
      <c r="L47" s="4" t="s">
        <v>515</v>
      </c>
      <c r="M47" s="4" t="s">
        <v>516</v>
      </c>
      <c r="N47" s="4" t="s">
        <v>83</v>
      </c>
      <c r="O47" s="4" t="s">
        <v>30</v>
      </c>
      <c r="P47" s="4" t="s">
        <v>31</v>
      </c>
      <c r="Q47" s="4"/>
      <c r="R47" s="4" t="s">
        <v>517</v>
      </c>
      <c r="S47" s="4" t="s">
        <v>85</v>
      </c>
      <c r="T47" s="4" t="n">
        <v>-33.047233</v>
      </c>
      <c r="U47" s="4" t="n">
        <v>-71.513347</v>
      </c>
      <c r="V47" s="4" t="s">
        <v>518</v>
      </c>
      <c r="W47" s="4" t="s">
        <v>518</v>
      </c>
      <c r="X47" s="4" t="n">
        <v>13</v>
      </c>
      <c r="Y47" s="9" t="n">
        <v>3.6</v>
      </c>
      <c r="Z47" s="4" t="s">
        <v>288</v>
      </c>
      <c r="AA47" s="4" t="s">
        <v>519</v>
      </c>
      <c r="AB47" s="4" t="s">
        <v>217</v>
      </c>
      <c r="AC47" s="4" t="n">
        <v>1</v>
      </c>
      <c r="AD47" s="4"/>
    </row>
    <row r="48" customFormat="false" ht="15" hidden="false" customHeight="false" outlineLevel="0" collapsed="false">
      <c r="A48" s="4" t="s">
        <v>520</v>
      </c>
      <c r="B48" s="4" t="s">
        <v>521</v>
      </c>
      <c r="C48" s="4" t="s">
        <v>521</v>
      </c>
      <c r="D48" s="4"/>
      <c r="E48" s="4" t="n">
        <v>1</v>
      </c>
      <c r="F48" s="4" t="s">
        <v>20</v>
      </c>
      <c r="G48" s="4" t="s">
        <v>13</v>
      </c>
      <c r="H48" s="4" t="s">
        <v>93</v>
      </c>
      <c r="I48" s="4" t="n">
        <v>85</v>
      </c>
      <c r="J48" s="4" t="s">
        <v>522</v>
      </c>
      <c r="K48" s="4" t="s">
        <v>95</v>
      </c>
      <c r="L48" s="4" t="s">
        <v>523</v>
      </c>
      <c r="M48" s="4" t="s">
        <v>524</v>
      </c>
      <c r="N48" s="4" t="s">
        <v>83</v>
      </c>
      <c r="O48" s="4" t="s">
        <v>31</v>
      </c>
      <c r="P48" s="4" t="s">
        <v>31</v>
      </c>
      <c r="Q48" s="4" t="s">
        <v>525</v>
      </c>
      <c r="R48" s="4" t="s">
        <v>526</v>
      </c>
      <c r="S48" s="4" t="s">
        <v>85</v>
      </c>
      <c r="T48" s="4" t="n">
        <v>-33.129352</v>
      </c>
      <c r="U48" s="4" t="n">
        <v>-71.55559</v>
      </c>
      <c r="V48" s="4" t="s">
        <v>224</v>
      </c>
      <c r="W48" s="4" t="s">
        <v>224</v>
      </c>
      <c r="X48" s="4" t="n">
        <v>12</v>
      </c>
      <c r="Y48" s="9" t="n">
        <v>3.6</v>
      </c>
      <c r="Z48" s="4" t="s">
        <v>307</v>
      </c>
      <c r="AA48" s="4" t="s">
        <v>527</v>
      </c>
      <c r="AB48" s="4" t="s">
        <v>228</v>
      </c>
      <c r="AC48" s="4" t="n">
        <v>1</v>
      </c>
      <c r="AD48" s="4"/>
    </row>
    <row r="49" customFormat="false" ht="15" hidden="false" customHeight="false" outlineLevel="0" collapsed="false">
      <c r="A49" s="4" t="s">
        <v>528</v>
      </c>
      <c r="B49" s="4" t="s">
        <v>529</v>
      </c>
      <c r="C49" s="4" t="s">
        <v>529</v>
      </c>
      <c r="D49" s="4"/>
      <c r="E49" s="4" t="n">
        <v>1</v>
      </c>
      <c r="F49" s="4" t="s">
        <v>26</v>
      </c>
      <c r="G49" s="4" t="s">
        <v>13</v>
      </c>
      <c r="H49" s="4" t="s">
        <v>93</v>
      </c>
      <c r="I49" s="4" t="n">
        <v>80</v>
      </c>
      <c r="J49" s="4" t="s">
        <v>530</v>
      </c>
      <c r="K49" s="4" t="s">
        <v>80</v>
      </c>
      <c r="L49" s="4" t="s">
        <v>531</v>
      </c>
      <c r="M49" s="4" t="s">
        <v>532</v>
      </c>
      <c r="N49" s="4" t="s">
        <v>83</v>
      </c>
      <c r="O49" s="4" t="s">
        <v>29</v>
      </c>
      <c r="P49" s="4" t="s">
        <v>31</v>
      </c>
      <c r="Q49" s="4"/>
      <c r="R49" s="4" t="s">
        <v>533</v>
      </c>
      <c r="S49" s="4" t="s">
        <v>85</v>
      </c>
      <c r="T49" s="4" t="n">
        <v>-33.602529</v>
      </c>
      <c r="U49" s="4" t="n">
        <v>-71.619701</v>
      </c>
      <c r="V49" s="4" t="s">
        <v>265</v>
      </c>
      <c r="W49" s="4" t="s">
        <v>265</v>
      </c>
      <c r="X49" s="4" t="n">
        <v>336</v>
      </c>
      <c r="Y49" s="9" t="n">
        <v>3.8</v>
      </c>
      <c r="Z49" s="4"/>
      <c r="AA49" s="4" t="s">
        <v>534</v>
      </c>
      <c r="AB49" s="4" t="s">
        <v>390</v>
      </c>
      <c r="AC49" s="4" t="n">
        <v>2</v>
      </c>
      <c r="AD49" s="4" t="s">
        <v>370</v>
      </c>
    </row>
    <row r="50" customFormat="false" ht="15" hidden="false" customHeight="false" outlineLevel="0" collapsed="false">
      <c r="A50" s="4" t="s">
        <v>535</v>
      </c>
      <c r="B50" s="4" t="s">
        <v>536</v>
      </c>
      <c r="C50" s="4" t="s">
        <v>536</v>
      </c>
      <c r="D50" s="4"/>
      <c r="E50" s="4" t="n">
        <v>1</v>
      </c>
      <c r="F50" s="4" t="s">
        <v>20</v>
      </c>
      <c r="G50" s="4" t="s">
        <v>13</v>
      </c>
      <c r="H50" s="4" t="s">
        <v>93</v>
      </c>
      <c r="I50" s="4" t="n">
        <v>80</v>
      </c>
      <c r="J50" s="4" t="s">
        <v>537</v>
      </c>
      <c r="K50" s="4" t="s">
        <v>80</v>
      </c>
      <c r="L50" s="4" t="s">
        <v>538</v>
      </c>
      <c r="M50" s="4" t="s">
        <v>539</v>
      </c>
      <c r="N50" s="4" t="s">
        <v>83</v>
      </c>
      <c r="O50" s="4" t="s">
        <v>31</v>
      </c>
      <c r="P50" s="4" t="s">
        <v>31</v>
      </c>
      <c r="Q50" s="4"/>
      <c r="R50" s="4" t="s">
        <v>540</v>
      </c>
      <c r="S50" s="4" t="s">
        <v>541</v>
      </c>
      <c r="T50" s="4" t="n">
        <v>-33.094456</v>
      </c>
      <c r="U50" s="4" t="n">
        <v>-71.58416</v>
      </c>
      <c r="V50" s="4" t="s">
        <v>224</v>
      </c>
      <c r="W50" s="4" t="s">
        <v>224</v>
      </c>
      <c r="X50" s="4" t="n">
        <v>20</v>
      </c>
      <c r="Y50" s="9" t="n">
        <v>4.4</v>
      </c>
      <c r="Z50" s="4" t="s">
        <v>542</v>
      </c>
      <c r="AA50" s="4" t="s">
        <v>543</v>
      </c>
      <c r="AB50" s="4" t="s">
        <v>471</v>
      </c>
      <c r="AC50" s="4" t="n">
        <v>3</v>
      </c>
      <c r="AD50" s="4" t="s">
        <v>401</v>
      </c>
    </row>
    <row r="51" customFormat="false" ht="15" hidden="false" customHeight="false" outlineLevel="0" collapsed="false">
      <c r="A51" s="4" t="s">
        <v>544</v>
      </c>
      <c r="B51" s="4" t="s">
        <v>545</v>
      </c>
      <c r="C51" s="4" t="s">
        <v>545</v>
      </c>
      <c r="D51" s="4"/>
      <c r="E51" s="4" t="n">
        <v>1</v>
      </c>
      <c r="F51" s="4" t="s">
        <v>21</v>
      </c>
      <c r="G51" s="4" t="s">
        <v>13</v>
      </c>
      <c r="H51" s="4" t="s">
        <v>93</v>
      </c>
      <c r="I51" s="4" t="n">
        <v>80</v>
      </c>
      <c r="J51" s="4" t="s">
        <v>546</v>
      </c>
      <c r="K51" s="4" t="s">
        <v>95</v>
      </c>
      <c r="L51" s="4" t="s">
        <v>547</v>
      </c>
      <c r="M51" s="4" t="s">
        <v>548</v>
      </c>
      <c r="N51" s="4" t="s">
        <v>83</v>
      </c>
      <c r="O51" s="4" t="s">
        <v>30</v>
      </c>
      <c r="P51" s="4" t="s">
        <v>31</v>
      </c>
      <c r="Q51" s="4" t="s">
        <v>274</v>
      </c>
      <c r="R51" s="4" t="s">
        <v>549</v>
      </c>
      <c r="S51" s="4" t="s">
        <v>85</v>
      </c>
      <c r="T51" s="4" t="n">
        <v>-33.027546</v>
      </c>
      <c r="U51" s="4" t="n">
        <v>-71.540489</v>
      </c>
      <c r="V51" s="4" t="s">
        <v>550</v>
      </c>
      <c r="W51" s="4" t="s">
        <v>550</v>
      </c>
      <c r="X51" s="4" t="n">
        <v>6</v>
      </c>
      <c r="Y51" s="9" t="n">
        <v>2</v>
      </c>
      <c r="Z51" s="4" t="s">
        <v>351</v>
      </c>
      <c r="AA51" s="4" t="s">
        <v>551</v>
      </c>
      <c r="AB51" s="4" t="s">
        <v>299</v>
      </c>
      <c r="AC51" s="4" t="n">
        <v>1</v>
      </c>
      <c r="AD51" s="4"/>
    </row>
    <row r="52" customFormat="false" ht="15" hidden="false" customHeight="false" outlineLevel="0" collapsed="false">
      <c r="A52" s="4" t="s">
        <v>552</v>
      </c>
      <c r="B52" s="4" t="s">
        <v>553</v>
      </c>
      <c r="C52" s="4" t="s">
        <v>553</v>
      </c>
      <c r="D52" s="4"/>
      <c r="E52" s="4" t="n">
        <v>1</v>
      </c>
      <c r="F52" s="4" t="s">
        <v>21</v>
      </c>
      <c r="G52" s="4" t="s">
        <v>13</v>
      </c>
      <c r="H52" s="4" t="s">
        <v>93</v>
      </c>
      <c r="I52" s="4" t="n">
        <v>80</v>
      </c>
      <c r="J52" s="4" t="s">
        <v>554</v>
      </c>
      <c r="K52" s="4" t="s">
        <v>95</v>
      </c>
      <c r="L52" s="4" t="s">
        <v>555</v>
      </c>
      <c r="M52" s="4" t="s">
        <v>556</v>
      </c>
      <c r="N52" s="4" t="s">
        <v>83</v>
      </c>
      <c r="O52" s="4" t="s">
        <v>30</v>
      </c>
      <c r="P52" s="4" t="s">
        <v>31</v>
      </c>
      <c r="Q52" s="4"/>
      <c r="R52" s="4" t="s">
        <v>557</v>
      </c>
      <c r="S52" s="4" t="s">
        <v>85</v>
      </c>
      <c r="T52" s="4" t="n">
        <v>-32.977817</v>
      </c>
      <c r="U52" s="4" t="n">
        <v>-71.489483</v>
      </c>
      <c r="V52" s="4" t="s">
        <v>550</v>
      </c>
      <c r="W52" s="4" t="s">
        <v>550</v>
      </c>
      <c r="X52" s="4" t="n">
        <v>5</v>
      </c>
      <c r="Y52" s="9" t="n">
        <v>3.4</v>
      </c>
      <c r="Z52" s="4" t="s">
        <v>344</v>
      </c>
      <c r="AA52" s="4" t="s">
        <v>558</v>
      </c>
      <c r="AB52" s="4" t="s">
        <v>299</v>
      </c>
      <c r="AC52" s="4" t="n">
        <v>1</v>
      </c>
      <c r="AD52" s="4"/>
    </row>
    <row r="53" customFormat="false" ht="15" hidden="false" customHeight="false" outlineLevel="0" collapsed="false">
      <c r="A53" s="4" t="s">
        <v>559</v>
      </c>
      <c r="B53" s="4" t="s">
        <v>560</v>
      </c>
      <c r="C53" s="4" t="s">
        <v>560</v>
      </c>
      <c r="D53" s="4"/>
      <c r="E53" s="4" t="n">
        <v>1</v>
      </c>
      <c r="F53" s="4" t="s">
        <v>20</v>
      </c>
      <c r="G53" s="4" t="s">
        <v>13</v>
      </c>
      <c r="H53" s="4" t="s">
        <v>93</v>
      </c>
      <c r="I53" s="4" t="n">
        <v>80</v>
      </c>
      <c r="J53" s="4" t="s">
        <v>561</v>
      </c>
      <c r="K53" s="4" t="s">
        <v>95</v>
      </c>
      <c r="L53" s="4" t="s">
        <v>562</v>
      </c>
      <c r="M53" s="4" t="s">
        <v>563</v>
      </c>
      <c r="N53" s="4" t="s">
        <v>83</v>
      </c>
      <c r="O53" s="4" t="s">
        <v>29</v>
      </c>
      <c r="P53" s="4" t="s">
        <v>31</v>
      </c>
      <c r="Q53" s="4" t="s">
        <v>564</v>
      </c>
      <c r="R53" s="4" t="s">
        <v>565</v>
      </c>
      <c r="S53" s="4" t="s">
        <v>85</v>
      </c>
      <c r="T53" s="4" t="n">
        <v>-33.60938</v>
      </c>
      <c r="U53" s="4" t="n">
        <v>-71.616533</v>
      </c>
      <c r="V53" s="4" t="s">
        <v>224</v>
      </c>
      <c r="W53" s="4" t="s">
        <v>224</v>
      </c>
      <c r="X53" s="4" t="n">
        <v>4</v>
      </c>
      <c r="Y53" s="9" t="n">
        <v>3.3</v>
      </c>
      <c r="Z53" s="4" t="s">
        <v>566</v>
      </c>
      <c r="AA53" s="4" t="s">
        <v>567</v>
      </c>
      <c r="AB53" s="4" t="s">
        <v>421</v>
      </c>
      <c r="AC53" s="4" t="n">
        <v>1</v>
      </c>
      <c r="AD53" s="4"/>
    </row>
    <row r="54" customFormat="false" ht="15" hidden="false" customHeight="false" outlineLevel="0" collapsed="false">
      <c r="A54" s="4" t="s">
        <v>568</v>
      </c>
      <c r="B54" s="4" t="s">
        <v>569</v>
      </c>
      <c r="C54" s="4" t="s">
        <v>569</v>
      </c>
      <c r="D54" s="4"/>
      <c r="E54" s="4" t="n">
        <v>1</v>
      </c>
      <c r="F54" s="4" t="s">
        <v>21</v>
      </c>
      <c r="G54" s="4" t="s">
        <v>13</v>
      </c>
      <c r="H54" s="4" t="s">
        <v>93</v>
      </c>
      <c r="I54" s="4" t="n">
        <v>80</v>
      </c>
      <c r="J54" s="4" t="s">
        <v>570</v>
      </c>
      <c r="K54" s="4" t="s">
        <v>95</v>
      </c>
      <c r="L54" s="4" t="s">
        <v>571</v>
      </c>
      <c r="M54" s="4" t="s">
        <v>572</v>
      </c>
      <c r="N54" s="4" t="s">
        <v>83</v>
      </c>
      <c r="O54" s="4" t="s">
        <v>30</v>
      </c>
      <c r="P54" s="4" t="s">
        <v>31</v>
      </c>
      <c r="Q54" s="4"/>
      <c r="R54" s="4" t="s">
        <v>573</v>
      </c>
      <c r="S54" s="4" t="s">
        <v>85</v>
      </c>
      <c r="T54" s="4" t="n">
        <v>-33.039203</v>
      </c>
      <c r="U54" s="4" t="n">
        <v>-71.569748</v>
      </c>
      <c r="V54" s="4" t="s">
        <v>152</v>
      </c>
      <c r="W54" s="4" t="s">
        <v>574</v>
      </c>
      <c r="X54" s="4" t="n">
        <v>3</v>
      </c>
      <c r="Y54" s="9" t="n">
        <v>3.7</v>
      </c>
      <c r="Z54" s="4" t="s">
        <v>575</v>
      </c>
      <c r="AA54" s="4" t="s">
        <v>576</v>
      </c>
      <c r="AB54" s="4" t="s">
        <v>299</v>
      </c>
      <c r="AC54" s="4" t="n">
        <v>1</v>
      </c>
      <c r="AD54" s="4"/>
    </row>
    <row r="55" customFormat="false" ht="15" hidden="false" customHeight="false" outlineLevel="0" collapsed="false">
      <c r="A55" s="4" t="s">
        <v>577</v>
      </c>
      <c r="B55" s="4" t="s">
        <v>578</v>
      </c>
      <c r="C55" s="4" t="s">
        <v>578</v>
      </c>
      <c r="D55" s="4"/>
      <c r="E55" s="4" t="n">
        <v>1</v>
      </c>
      <c r="F55" s="4" t="s">
        <v>20</v>
      </c>
      <c r="G55" s="4" t="s">
        <v>13</v>
      </c>
      <c r="H55" s="4" t="s">
        <v>93</v>
      </c>
      <c r="I55" s="4" t="n">
        <v>80</v>
      </c>
      <c r="J55" s="4" t="s">
        <v>579</v>
      </c>
      <c r="K55" s="4" t="s">
        <v>80</v>
      </c>
      <c r="L55" s="4" t="s">
        <v>580</v>
      </c>
      <c r="M55" s="4" t="s">
        <v>581</v>
      </c>
      <c r="N55" s="4" t="s">
        <v>83</v>
      </c>
      <c r="O55" s="4" t="s">
        <v>29</v>
      </c>
      <c r="P55" s="4" t="s">
        <v>31</v>
      </c>
      <c r="Q55" s="4" t="s">
        <v>582</v>
      </c>
      <c r="R55" s="4" t="s">
        <v>583</v>
      </c>
      <c r="S55" s="4" t="s">
        <v>85</v>
      </c>
      <c r="T55" s="4" t="n">
        <v>-33.622683</v>
      </c>
      <c r="U55" s="4" t="n">
        <v>-71.608396</v>
      </c>
      <c r="V55" s="4" t="s">
        <v>224</v>
      </c>
      <c r="W55" s="4" t="s">
        <v>224</v>
      </c>
      <c r="X55" s="4" t="n">
        <v>3</v>
      </c>
      <c r="Y55" s="9" t="n">
        <v>3.7</v>
      </c>
      <c r="Z55" s="4" t="s">
        <v>584</v>
      </c>
      <c r="AA55" s="4" t="s">
        <v>585</v>
      </c>
      <c r="AB55" s="4" t="s">
        <v>421</v>
      </c>
      <c r="AC55" s="4" t="n">
        <v>1</v>
      </c>
      <c r="AD55" s="4"/>
    </row>
    <row r="56" customFormat="false" ht="15" hidden="false" customHeight="false" outlineLevel="0" collapsed="false">
      <c r="A56" s="4" t="s">
        <v>586</v>
      </c>
      <c r="B56" s="4" t="s">
        <v>587</v>
      </c>
      <c r="C56" s="4" t="s">
        <v>587</v>
      </c>
      <c r="D56" s="4"/>
      <c r="E56" s="4" t="n">
        <v>1</v>
      </c>
      <c r="F56" s="4" t="s">
        <v>24</v>
      </c>
      <c r="G56" s="4" t="s">
        <v>13</v>
      </c>
      <c r="H56" s="4" t="s">
        <v>93</v>
      </c>
      <c r="I56" s="4" t="n">
        <v>75</v>
      </c>
      <c r="J56" s="4" t="s">
        <v>588</v>
      </c>
      <c r="K56" s="4" t="s">
        <v>80</v>
      </c>
      <c r="L56" s="4"/>
      <c r="M56" s="4"/>
      <c r="N56" s="4" t="s">
        <v>589</v>
      </c>
      <c r="O56" s="4" t="s">
        <v>30</v>
      </c>
      <c r="P56" s="4" t="s">
        <v>31</v>
      </c>
      <c r="Q56" s="4"/>
      <c r="R56" s="4" t="s">
        <v>590</v>
      </c>
      <c r="S56" s="4" t="s">
        <v>85</v>
      </c>
      <c r="T56" s="4" t="n">
        <v>-32.982575</v>
      </c>
      <c r="U56" s="4" t="n">
        <v>-71.500646</v>
      </c>
      <c r="V56" s="4" t="s">
        <v>196</v>
      </c>
      <c r="W56" s="4" t="s">
        <v>196</v>
      </c>
      <c r="X56" s="4" t="n">
        <v>537</v>
      </c>
      <c r="Y56" s="9" t="n">
        <v>4.5</v>
      </c>
      <c r="Z56" s="4" t="s">
        <v>591</v>
      </c>
      <c r="AA56" s="4" t="s">
        <v>592</v>
      </c>
      <c r="AB56" s="4" t="s">
        <v>217</v>
      </c>
      <c r="AC56" s="4" t="n">
        <v>1</v>
      </c>
      <c r="AD56" s="4" t="s">
        <v>593</v>
      </c>
    </row>
    <row r="57" customFormat="false" ht="15" hidden="false" customHeight="false" outlineLevel="0" collapsed="false">
      <c r="A57" s="4" t="s">
        <v>594</v>
      </c>
      <c r="B57" s="4" t="s">
        <v>595</v>
      </c>
      <c r="C57" s="4" t="s">
        <v>595</v>
      </c>
      <c r="D57" s="4"/>
      <c r="E57" s="4" t="n">
        <v>1</v>
      </c>
      <c r="F57" s="4" t="s">
        <v>26</v>
      </c>
      <c r="G57" s="4" t="s">
        <v>13</v>
      </c>
      <c r="H57" s="4" t="s">
        <v>93</v>
      </c>
      <c r="I57" s="4" t="n">
        <v>75</v>
      </c>
      <c r="J57" s="4" t="s">
        <v>596</v>
      </c>
      <c r="K57" s="4" t="s">
        <v>80</v>
      </c>
      <c r="L57" s="4" t="s">
        <v>597</v>
      </c>
      <c r="M57" s="4" t="s">
        <v>598</v>
      </c>
      <c r="N57" s="4" t="s">
        <v>83</v>
      </c>
      <c r="O57" s="4" t="s">
        <v>29</v>
      </c>
      <c r="P57" s="4" t="s">
        <v>31</v>
      </c>
      <c r="Q57" s="4"/>
      <c r="R57" s="4" t="s">
        <v>599</v>
      </c>
      <c r="S57" s="4" t="s">
        <v>541</v>
      </c>
      <c r="T57" s="4" t="n">
        <v>-33.586288</v>
      </c>
      <c r="U57" s="4" t="n">
        <v>-71.579295</v>
      </c>
      <c r="V57" s="4" t="s">
        <v>265</v>
      </c>
      <c r="W57" s="4" t="s">
        <v>265</v>
      </c>
      <c r="X57" s="4" t="n">
        <v>227</v>
      </c>
      <c r="Y57" s="9" t="n">
        <v>3.9</v>
      </c>
      <c r="Z57" s="4" t="s">
        <v>600</v>
      </c>
      <c r="AA57" s="4" t="s">
        <v>601</v>
      </c>
      <c r="AB57" s="4" t="s">
        <v>602</v>
      </c>
      <c r="AC57" s="4" t="n">
        <v>1</v>
      </c>
      <c r="AD57" s="4" t="s">
        <v>401</v>
      </c>
    </row>
    <row r="58" customFormat="false" ht="15" hidden="false" customHeight="false" outlineLevel="0" collapsed="false">
      <c r="A58" s="4" t="s">
        <v>603</v>
      </c>
      <c r="B58" s="4" t="s">
        <v>604</v>
      </c>
      <c r="C58" s="4" t="s">
        <v>604</v>
      </c>
      <c r="D58" s="4"/>
      <c r="E58" s="4" t="n">
        <v>1</v>
      </c>
      <c r="F58" s="4" t="s">
        <v>21</v>
      </c>
      <c r="G58" s="4" t="s">
        <v>13</v>
      </c>
      <c r="H58" s="4" t="s">
        <v>93</v>
      </c>
      <c r="I58" s="4" t="n">
        <v>75</v>
      </c>
      <c r="J58" s="4" t="s">
        <v>605</v>
      </c>
      <c r="K58" s="4" t="s">
        <v>95</v>
      </c>
      <c r="L58" s="4" t="s">
        <v>606</v>
      </c>
      <c r="M58" s="4" t="s">
        <v>607</v>
      </c>
      <c r="N58" s="4" t="s">
        <v>589</v>
      </c>
      <c r="O58" s="4" t="s">
        <v>29</v>
      </c>
      <c r="P58" s="4" t="s">
        <v>31</v>
      </c>
      <c r="Q58" s="4" t="s">
        <v>608</v>
      </c>
      <c r="R58" s="4" t="s">
        <v>609</v>
      </c>
      <c r="S58" s="4" t="s">
        <v>85</v>
      </c>
      <c r="T58" s="4" t="n">
        <v>-33.59618</v>
      </c>
      <c r="U58" s="4" t="n">
        <v>-71.610255</v>
      </c>
      <c r="V58" s="4" t="s">
        <v>610</v>
      </c>
      <c r="W58" s="4" t="s">
        <v>611</v>
      </c>
      <c r="X58" s="4" t="n">
        <v>60</v>
      </c>
      <c r="Y58" s="9" t="n">
        <v>4.5</v>
      </c>
      <c r="Z58" s="4" t="s">
        <v>612</v>
      </c>
      <c r="AA58" s="4" t="s">
        <v>613</v>
      </c>
      <c r="AB58" s="4" t="s">
        <v>381</v>
      </c>
      <c r="AC58" s="4" t="n">
        <v>1</v>
      </c>
      <c r="AD58" s="4" t="s">
        <v>593</v>
      </c>
    </row>
    <row r="59" customFormat="false" ht="15" hidden="false" customHeight="false" outlineLevel="0" collapsed="false">
      <c r="A59" s="4" t="s">
        <v>614</v>
      </c>
      <c r="B59" s="4" t="s">
        <v>615</v>
      </c>
      <c r="C59" s="4" t="s">
        <v>615</v>
      </c>
      <c r="D59" s="4"/>
      <c r="E59" s="4" t="n">
        <v>1</v>
      </c>
      <c r="F59" s="4" t="s">
        <v>22</v>
      </c>
      <c r="G59" s="4" t="s">
        <v>13</v>
      </c>
      <c r="H59" s="4" t="s">
        <v>93</v>
      </c>
      <c r="I59" s="4" t="n">
        <v>75</v>
      </c>
      <c r="J59" s="4" t="s">
        <v>616</v>
      </c>
      <c r="K59" s="4" t="s">
        <v>95</v>
      </c>
      <c r="L59" s="4" t="s">
        <v>617</v>
      </c>
      <c r="M59" s="4" t="s">
        <v>618</v>
      </c>
      <c r="N59" s="4" t="s">
        <v>83</v>
      </c>
      <c r="O59" s="4" t="s">
        <v>31</v>
      </c>
      <c r="P59" s="4" t="s">
        <v>31</v>
      </c>
      <c r="Q59" s="4"/>
      <c r="R59" s="4" t="s">
        <v>619</v>
      </c>
      <c r="S59" s="4" t="s">
        <v>85</v>
      </c>
      <c r="T59" s="4" t="n">
        <v>-33.095563</v>
      </c>
      <c r="U59" s="4" t="n">
        <v>-71.599969</v>
      </c>
      <c r="V59" s="4" t="s">
        <v>86</v>
      </c>
      <c r="W59" s="4" t="s">
        <v>86</v>
      </c>
      <c r="X59" s="4" t="n">
        <v>46</v>
      </c>
      <c r="Y59" s="9" t="n">
        <v>3.8</v>
      </c>
      <c r="Z59" s="4"/>
      <c r="AA59" s="4" t="s">
        <v>620</v>
      </c>
      <c r="AB59" s="4" t="s">
        <v>145</v>
      </c>
      <c r="AC59" s="4" t="n">
        <v>2</v>
      </c>
      <c r="AD59" s="4" t="s">
        <v>370</v>
      </c>
    </row>
    <row r="60" customFormat="false" ht="15" hidden="false" customHeight="false" outlineLevel="0" collapsed="false">
      <c r="A60" s="4" t="s">
        <v>621</v>
      </c>
      <c r="B60" s="4" t="s">
        <v>622</v>
      </c>
      <c r="C60" s="4" t="s">
        <v>622</v>
      </c>
      <c r="D60" s="4"/>
      <c r="E60" s="4" t="n">
        <v>1</v>
      </c>
      <c r="F60" s="4" t="s">
        <v>27</v>
      </c>
      <c r="G60" s="4" t="s">
        <v>13</v>
      </c>
      <c r="H60" s="4" t="s">
        <v>93</v>
      </c>
      <c r="I60" s="4" t="n">
        <v>75</v>
      </c>
      <c r="J60" s="4" t="s">
        <v>623</v>
      </c>
      <c r="K60" s="4" t="s">
        <v>80</v>
      </c>
      <c r="L60" s="4" t="s">
        <v>624</v>
      </c>
      <c r="M60" s="4" t="s">
        <v>625</v>
      </c>
      <c r="N60" s="4" t="s">
        <v>83</v>
      </c>
      <c r="O60" s="4" t="s">
        <v>42</v>
      </c>
      <c r="P60" s="4" t="s">
        <v>31</v>
      </c>
      <c r="Q60" s="4"/>
      <c r="R60" s="4" t="s">
        <v>626</v>
      </c>
      <c r="S60" s="4" t="s">
        <v>541</v>
      </c>
      <c r="T60" s="4" t="n">
        <v>-32.915821</v>
      </c>
      <c r="U60" s="4" t="n">
        <v>-71.496033</v>
      </c>
      <c r="V60" s="4" t="s">
        <v>518</v>
      </c>
      <c r="W60" s="4" t="s">
        <v>518</v>
      </c>
      <c r="X60" s="4" t="n">
        <v>7</v>
      </c>
      <c r="Y60" s="9" t="n">
        <v>4.7</v>
      </c>
      <c r="Z60" s="4" t="s">
        <v>627</v>
      </c>
      <c r="AA60" s="4" t="s">
        <v>628</v>
      </c>
      <c r="AB60" s="4" t="s">
        <v>629</v>
      </c>
      <c r="AC60" s="4" t="n">
        <v>2</v>
      </c>
      <c r="AD60" s="4" t="s">
        <v>401</v>
      </c>
    </row>
    <row r="61" customFormat="false" ht="15" hidden="false" customHeight="false" outlineLevel="0" collapsed="false">
      <c r="A61" s="4" t="s">
        <v>630</v>
      </c>
      <c r="B61" s="4" t="s">
        <v>631</v>
      </c>
      <c r="C61" s="4" t="s">
        <v>631</v>
      </c>
      <c r="D61" s="4"/>
      <c r="E61" s="4" t="n">
        <v>1</v>
      </c>
      <c r="F61" s="4" t="s">
        <v>21</v>
      </c>
      <c r="G61" s="4" t="s">
        <v>13</v>
      </c>
      <c r="H61" s="4" t="s">
        <v>93</v>
      </c>
      <c r="I61" s="4" t="n">
        <v>75</v>
      </c>
      <c r="J61" s="4" t="s">
        <v>632</v>
      </c>
      <c r="K61" s="4" t="s">
        <v>95</v>
      </c>
      <c r="L61" s="4" t="s">
        <v>633</v>
      </c>
      <c r="M61" s="4" t="s">
        <v>634</v>
      </c>
      <c r="N61" s="4" t="s">
        <v>83</v>
      </c>
      <c r="O61" s="4" t="s">
        <v>29</v>
      </c>
      <c r="P61" s="4" t="s">
        <v>31</v>
      </c>
      <c r="Q61" s="4" t="s">
        <v>635</v>
      </c>
      <c r="R61" s="4" t="s">
        <v>636</v>
      </c>
      <c r="S61" s="4" t="s">
        <v>85</v>
      </c>
      <c r="T61" s="4" t="n">
        <v>-33.59915</v>
      </c>
      <c r="U61" s="4" t="n">
        <v>-71.60842</v>
      </c>
      <c r="V61" s="4" t="s">
        <v>637</v>
      </c>
      <c r="W61" s="4" t="s">
        <v>637</v>
      </c>
      <c r="X61" s="4"/>
      <c r="Y61" s="9"/>
      <c r="Z61" s="4" t="s">
        <v>638</v>
      </c>
      <c r="AA61" s="4" t="s">
        <v>639</v>
      </c>
      <c r="AB61" s="4" t="s">
        <v>640</v>
      </c>
      <c r="AC61" s="4" t="n">
        <v>2</v>
      </c>
      <c r="AD61" s="4" t="s">
        <v>641</v>
      </c>
    </row>
    <row r="62" customFormat="false" ht="15" hidden="false" customHeight="false" outlineLevel="0" collapsed="false">
      <c r="A62" s="4" t="s">
        <v>642</v>
      </c>
      <c r="B62" s="4" t="s">
        <v>643</v>
      </c>
      <c r="C62" s="4" t="s">
        <v>643</v>
      </c>
      <c r="D62" s="4"/>
      <c r="E62" s="4" t="n">
        <v>1</v>
      </c>
      <c r="F62" s="4" t="s">
        <v>21</v>
      </c>
      <c r="G62" s="4" t="s">
        <v>13</v>
      </c>
      <c r="H62" s="4" t="s">
        <v>93</v>
      </c>
      <c r="I62" s="4" t="n">
        <v>75</v>
      </c>
      <c r="J62" s="4" t="s">
        <v>644</v>
      </c>
      <c r="K62" s="4" t="s">
        <v>95</v>
      </c>
      <c r="L62" s="4" t="s">
        <v>645</v>
      </c>
      <c r="M62" s="4" t="s">
        <v>646</v>
      </c>
      <c r="N62" s="4" t="s">
        <v>83</v>
      </c>
      <c r="O62" s="4" t="s">
        <v>29</v>
      </c>
      <c r="P62" s="4" t="s">
        <v>31</v>
      </c>
      <c r="Q62" s="4" t="s">
        <v>131</v>
      </c>
      <c r="R62" s="4" t="s">
        <v>647</v>
      </c>
      <c r="S62" s="4" t="s">
        <v>85</v>
      </c>
      <c r="T62" s="4" t="n">
        <v>-33.611124</v>
      </c>
      <c r="U62" s="4" t="n">
        <v>-71.61593</v>
      </c>
      <c r="V62" s="4" t="s">
        <v>648</v>
      </c>
      <c r="W62" s="4" t="s">
        <v>649</v>
      </c>
      <c r="X62" s="4"/>
      <c r="Y62" s="9"/>
      <c r="Z62" s="4" t="s">
        <v>650</v>
      </c>
      <c r="AA62" s="4" t="s">
        <v>651</v>
      </c>
      <c r="AB62" s="4" t="s">
        <v>640</v>
      </c>
      <c r="AC62" s="4" t="n">
        <v>2</v>
      </c>
      <c r="AD62" s="4" t="s">
        <v>641</v>
      </c>
    </row>
    <row r="63" customFormat="false" ht="15" hidden="false" customHeight="false" outlineLevel="0" collapsed="false">
      <c r="A63" s="4" t="s">
        <v>652</v>
      </c>
      <c r="B63" s="4" t="s">
        <v>653</v>
      </c>
      <c r="C63" s="4" t="s">
        <v>653</v>
      </c>
      <c r="D63" s="4"/>
      <c r="E63" s="4" t="n">
        <v>1</v>
      </c>
      <c r="F63" s="4" t="s">
        <v>21</v>
      </c>
      <c r="G63" s="4" t="s">
        <v>13</v>
      </c>
      <c r="H63" s="4" t="s">
        <v>93</v>
      </c>
      <c r="I63" s="4" t="n">
        <v>75</v>
      </c>
      <c r="J63" s="4" t="s">
        <v>654</v>
      </c>
      <c r="K63" s="4" t="s">
        <v>95</v>
      </c>
      <c r="L63" s="4" t="s">
        <v>655</v>
      </c>
      <c r="M63" s="4" t="s">
        <v>656</v>
      </c>
      <c r="N63" s="4" t="s">
        <v>83</v>
      </c>
      <c r="O63" s="4" t="s">
        <v>30</v>
      </c>
      <c r="P63" s="4" t="s">
        <v>31</v>
      </c>
      <c r="Q63" s="4" t="s">
        <v>274</v>
      </c>
      <c r="R63" s="4" t="s">
        <v>657</v>
      </c>
      <c r="S63" s="4" t="s">
        <v>85</v>
      </c>
      <c r="T63" s="4" t="n">
        <v>-33.021511</v>
      </c>
      <c r="U63" s="4" t="n">
        <v>-71.548534</v>
      </c>
      <c r="V63" s="4" t="s">
        <v>297</v>
      </c>
      <c r="W63" s="4" t="s">
        <v>297</v>
      </c>
      <c r="X63" s="4"/>
      <c r="Y63" s="9"/>
      <c r="Z63" s="4" t="s">
        <v>186</v>
      </c>
      <c r="AA63" s="4" t="s">
        <v>658</v>
      </c>
      <c r="AB63" s="4" t="s">
        <v>659</v>
      </c>
      <c r="AC63" s="4" t="n">
        <v>1</v>
      </c>
      <c r="AD63" s="4" t="s">
        <v>641</v>
      </c>
    </row>
    <row r="64" customFormat="false" ht="15" hidden="false" customHeight="false" outlineLevel="0" collapsed="false">
      <c r="A64" s="4" t="s">
        <v>660</v>
      </c>
      <c r="B64" s="4" t="s">
        <v>661</v>
      </c>
      <c r="C64" s="4" t="s">
        <v>661</v>
      </c>
      <c r="D64" s="4"/>
      <c r="E64" s="4" t="n">
        <v>1</v>
      </c>
      <c r="F64" s="4" t="s">
        <v>21</v>
      </c>
      <c r="G64" s="4" t="s">
        <v>13</v>
      </c>
      <c r="H64" s="4" t="s">
        <v>93</v>
      </c>
      <c r="I64" s="4" t="n">
        <v>75</v>
      </c>
      <c r="J64" s="4" t="s">
        <v>662</v>
      </c>
      <c r="K64" s="4" t="s">
        <v>95</v>
      </c>
      <c r="L64" s="4" t="s">
        <v>663</v>
      </c>
      <c r="M64" s="4" t="s">
        <v>664</v>
      </c>
      <c r="N64" s="4" t="s">
        <v>83</v>
      </c>
      <c r="O64" s="4" t="s">
        <v>30</v>
      </c>
      <c r="P64" s="4" t="s">
        <v>31</v>
      </c>
      <c r="Q64" s="4" t="s">
        <v>665</v>
      </c>
      <c r="R64" s="4" t="s">
        <v>666</v>
      </c>
      <c r="S64" s="4" t="s">
        <v>85</v>
      </c>
      <c r="T64" s="4" t="n">
        <v>-33.022146</v>
      </c>
      <c r="U64" s="4" t="n">
        <v>-71.552638</v>
      </c>
      <c r="V64" s="4" t="s">
        <v>297</v>
      </c>
      <c r="W64" s="4" t="s">
        <v>667</v>
      </c>
      <c r="X64" s="4"/>
      <c r="Y64" s="9"/>
      <c r="Z64" s="4" t="s">
        <v>668</v>
      </c>
      <c r="AA64" s="4" t="s">
        <v>669</v>
      </c>
      <c r="AB64" s="4" t="s">
        <v>640</v>
      </c>
      <c r="AC64" s="4" t="n">
        <v>1</v>
      </c>
      <c r="AD64" s="4" t="s">
        <v>641</v>
      </c>
    </row>
    <row r="65" customFormat="false" ht="15" hidden="false" customHeight="false" outlineLevel="0" collapsed="false">
      <c r="A65" s="4" t="s">
        <v>670</v>
      </c>
      <c r="B65" s="4" t="s">
        <v>671</v>
      </c>
      <c r="C65" s="4" t="s">
        <v>671</v>
      </c>
      <c r="D65" s="4"/>
      <c r="E65" s="4" t="n">
        <v>1</v>
      </c>
      <c r="F65" s="4" t="s">
        <v>21</v>
      </c>
      <c r="G65" s="4" t="s">
        <v>13</v>
      </c>
      <c r="H65" s="4" t="s">
        <v>93</v>
      </c>
      <c r="I65" s="4" t="n">
        <v>75</v>
      </c>
      <c r="J65" s="4" t="s">
        <v>672</v>
      </c>
      <c r="K65" s="4" t="s">
        <v>80</v>
      </c>
      <c r="L65" s="4" t="s">
        <v>673</v>
      </c>
      <c r="M65" s="4" t="s">
        <v>674</v>
      </c>
      <c r="N65" s="4" t="s">
        <v>83</v>
      </c>
      <c r="O65" s="4" t="s">
        <v>30</v>
      </c>
      <c r="P65" s="4" t="s">
        <v>31</v>
      </c>
      <c r="Q65" s="4" t="s">
        <v>675</v>
      </c>
      <c r="R65" s="4" t="s">
        <v>676</v>
      </c>
      <c r="S65" s="4" t="s">
        <v>85</v>
      </c>
      <c r="T65" s="4" t="n">
        <v>-33.000318</v>
      </c>
      <c r="U65" s="4" t="n">
        <v>-71.514089</v>
      </c>
      <c r="V65" s="4" t="s">
        <v>297</v>
      </c>
      <c r="W65" s="4" t="s">
        <v>297</v>
      </c>
      <c r="X65" s="4"/>
      <c r="Y65" s="9"/>
      <c r="Z65" s="4" t="s">
        <v>215</v>
      </c>
      <c r="AA65" s="4" t="s">
        <v>677</v>
      </c>
      <c r="AB65" s="4" t="s">
        <v>640</v>
      </c>
      <c r="AC65" s="4" t="n">
        <v>1</v>
      </c>
      <c r="AD65" s="4" t="s">
        <v>641</v>
      </c>
    </row>
    <row r="66" customFormat="false" ht="15" hidden="false" customHeight="false" outlineLevel="0" collapsed="false">
      <c r="A66" s="4" t="s">
        <v>678</v>
      </c>
      <c r="B66" s="4" t="s">
        <v>679</v>
      </c>
      <c r="C66" s="4" t="s">
        <v>679</v>
      </c>
      <c r="D66" s="4"/>
      <c r="E66" s="4" t="n">
        <v>1</v>
      </c>
      <c r="F66" s="4" t="s">
        <v>21</v>
      </c>
      <c r="G66" s="4" t="s">
        <v>13</v>
      </c>
      <c r="H66" s="4" t="s">
        <v>93</v>
      </c>
      <c r="I66" s="4" t="n">
        <v>75</v>
      </c>
      <c r="J66" s="4" t="s">
        <v>680</v>
      </c>
      <c r="K66" s="4" t="s">
        <v>95</v>
      </c>
      <c r="L66" s="4" t="s">
        <v>681</v>
      </c>
      <c r="M66" s="4" t="s">
        <v>682</v>
      </c>
      <c r="N66" s="4" t="s">
        <v>83</v>
      </c>
      <c r="O66" s="4" t="s">
        <v>34</v>
      </c>
      <c r="P66" s="4" t="s">
        <v>31</v>
      </c>
      <c r="Q66" s="4" t="s">
        <v>683</v>
      </c>
      <c r="R66" s="4" t="s">
        <v>684</v>
      </c>
      <c r="S66" s="4" t="s">
        <v>85</v>
      </c>
      <c r="T66" s="4" t="n">
        <v>-32.93746</v>
      </c>
      <c r="U66" s="4" t="n">
        <v>-71.545341</v>
      </c>
      <c r="V66" s="4" t="s">
        <v>685</v>
      </c>
      <c r="W66" s="4" t="s">
        <v>685</v>
      </c>
      <c r="X66" s="4"/>
      <c r="Y66" s="9"/>
      <c r="Z66" s="4" t="s">
        <v>686</v>
      </c>
      <c r="AA66" s="4" t="s">
        <v>687</v>
      </c>
      <c r="AB66" s="4" t="s">
        <v>640</v>
      </c>
      <c r="AC66" s="4" t="n">
        <v>1</v>
      </c>
      <c r="AD66" s="4" t="s">
        <v>641</v>
      </c>
    </row>
    <row r="67" customFormat="false" ht="15" hidden="false" customHeight="false" outlineLevel="0" collapsed="false">
      <c r="A67" s="4" t="s">
        <v>688</v>
      </c>
      <c r="B67" s="4" t="s">
        <v>689</v>
      </c>
      <c r="C67" s="4" t="s">
        <v>689</v>
      </c>
      <c r="D67" s="4"/>
      <c r="E67" s="4" t="n">
        <v>1</v>
      </c>
      <c r="F67" s="4" t="s">
        <v>20</v>
      </c>
      <c r="G67" s="4" t="s">
        <v>13</v>
      </c>
      <c r="H67" s="4" t="s">
        <v>93</v>
      </c>
      <c r="I67" s="4" t="n">
        <v>75</v>
      </c>
      <c r="J67" s="4" t="s">
        <v>690</v>
      </c>
      <c r="K67" s="4" t="s">
        <v>95</v>
      </c>
      <c r="L67" s="4" t="s">
        <v>691</v>
      </c>
      <c r="M67" s="4" t="s">
        <v>692</v>
      </c>
      <c r="N67" s="4" t="s">
        <v>83</v>
      </c>
      <c r="O67" s="4" t="s">
        <v>31</v>
      </c>
      <c r="P67" s="4" t="s">
        <v>31</v>
      </c>
      <c r="Q67" s="4" t="s">
        <v>234</v>
      </c>
      <c r="R67" s="4" t="s">
        <v>693</v>
      </c>
      <c r="S67" s="4" t="s">
        <v>85</v>
      </c>
      <c r="T67" s="4" t="n">
        <v>-33.04096</v>
      </c>
      <c r="U67" s="4" t="n">
        <v>-71.625364</v>
      </c>
      <c r="V67" s="4" t="s">
        <v>694</v>
      </c>
      <c r="W67" s="4" t="s">
        <v>695</v>
      </c>
      <c r="X67" s="4"/>
      <c r="Y67" s="9"/>
      <c r="Z67" s="4" t="s">
        <v>696</v>
      </c>
      <c r="AA67" s="4" t="s">
        <v>697</v>
      </c>
      <c r="AB67" s="4" t="s">
        <v>698</v>
      </c>
      <c r="AC67" s="4" t="n">
        <v>2</v>
      </c>
      <c r="AD67" s="4" t="s">
        <v>641</v>
      </c>
    </row>
    <row r="68" customFormat="false" ht="15" hidden="false" customHeight="false" outlineLevel="0" collapsed="false">
      <c r="A68" s="4" t="s">
        <v>699</v>
      </c>
      <c r="B68" s="4" t="s">
        <v>700</v>
      </c>
      <c r="C68" s="4" t="s">
        <v>700</v>
      </c>
      <c r="D68" s="4"/>
      <c r="E68" s="4" t="n">
        <v>1</v>
      </c>
      <c r="F68" s="4" t="s">
        <v>20</v>
      </c>
      <c r="G68" s="4" t="s">
        <v>13</v>
      </c>
      <c r="H68" s="4" t="s">
        <v>93</v>
      </c>
      <c r="I68" s="4" t="n">
        <v>75</v>
      </c>
      <c r="J68" s="4" t="s">
        <v>701</v>
      </c>
      <c r="K68" s="4" t="s">
        <v>95</v>
      </c>
      <c r="L68" s="4" t="s">
        <v>702</v>
      </c>
      <c r="M68" s="4" t="s">
        <v>703</v>
      </c>
      <c r="N68" s="4" t="s">
        <v>83</v>
      </c>
      <c r="O68" s="4" t="s">
        <v>31</v>
      </c>
      <c r="P68" s="4" t="s">
        <v>31</v>
      </c>
      <c r="Q68" s="4" t="s">
        <v>234</v>
      </c>
      <c r="R68" s="4" t="s">
        <v>704</v>
      </c>
      <c r="S68" s="4" t="s">
        <v>85</v>
      </c>
      <c r="T68" s="4" t="n">
        <v>-33.040344</v>
      </c>
      <c r="U68" s="4" t="n">
        <v>-71.627365</v>
      </c>
      <c r="V68" s="4" t="s">
        <v>224</v>
      </c>
      <c r="W68" s="4" t="s">
        <v>224</v>
      </c>
      <c r="X68" s="4"/>
      <c r="Y68" s="9"/>
      <c r="Z68" s="4" t="s">
        <v>705</v>
      </c>
      <c r="AA68" s="4" t="s">
        <v>706</v>
      </c>
      <c r="AB68" s="4" t="s">
        <v>698</v>
      </c>
      <c r="AC68" s="4" t="n">
        <v>2</v>
      </c>
      <c r="AD68" s="4" t="s">
        <v>641</v>
      </c>
    </row>
    <row r="69" customFormat="false" ht="15" hidden="false" customHeight="false" outlineLevel="0" collapsed="false">
      <c r="A69" s="4" t="s">
        <v>707</v>
      </c>
      <c r="B69" s="4" t="s">
        <v>708</v>
      </c>
      <c r="C69" s="4" t="s">
        <v>708</v>
      </c>
      <c r="D69" s="4"/>
      <c r="E69" s="4" t="n">
        <v>1</v>
      </c>
      <c r="F69" s="4" t="s">
        <v>20</v>
      </c>
      <c r="G69" s="4" t="s">
        <v>13</v>
      </c>
      <c r="H69" s="4" t="s">
        <v>93</v>
      </c>
      <c r="I69" s="4" t="n">
        <v>70</v>
      </c>
      <c r="J69" s="4" t="s">
        <v>709</v>
      </c>
      <c r="K69" s="4" t="s">
        <v>95</v>
      </c>
      <c r="L69" s="4"/>
      <c r="M69" s="4"/>
      <c r="N69" s="4" t="s">
        <v>589</v>
      </c>
      <c r="O69" s="4" t="s">
        <v>30</v>
      </c>
      <c r="P69" s="4" t="s">
        <v>31</v>
      </c>
      <c r="Q69" s="4" t="s">
        <v>274</v>
      </c>
      <c r="R69" s="4" t="s">
        <v>710</v>
      </c>
      <c r="S69" s="4" t="s">
        <v>85</v>
      </c>
      <c r="T69" s="4" t="n">
        <v>-33.041405</v>
      </c>
      <c r="U69" s="4" t="n">
        <v>-71.528312</v>
      </c>
      <c r="V69" s="4" t="s">
        <v>711</v>
      </c>
      <c r="W69" s="4" t="s">
        <v>711</v>
      </c>
      <c r="X69" s="4" t="n">
        <v>40</v>
      </c>
      <c r="Y69" s="9" t="n">
        <v>5</v>
      </c>
      <c r="Z69" s="4" t="s">
        <v>186</v>
      </c>
      <c r="AA69" s="4" t="s">
        <v>712</v>
      </c>
      <c r="AB69" s="4" t="s">
        <v>713</v>
      </c>
      <c r="AC69" s="4" t="n">
        <v>2</v>
      </c>
      <c r="AD69" s="4" t="s">
        <v>593</v>
      </c>
    </row>
    <row r="70" customFormat="false" ht="15" hidden="false" customHeight="false" outlineLevel="0" collapsed="false">
      <c r="A70" s="4" t="s">
        <v>714</v>
      </c>
      <c r="B70" s="4" t="s">
        <v>715</v>
      </c>
      <c r="C70" s="4" t="s">
        <v>715</v>
      </c>
      <c r="D70" s="4"/>
      <c r="E70" s="4" t="n">
        <v>1</v>
      </c>
      <c r="F70" s="4" t="s">
        <v>27</v>
      </c>
      <c r="G70" s="4" t="s">
        <v>13</v>
      </c>
      <c r="H70" s="4" t="s">
        <v>93</v>
      </c>
      <c r="I70" s="4" t="n">
        <v>70</v>
      </c>
      <c r="J70" s="4"/>
      <c r="K70" s="4" t="s">
        <v>716</v>
      </c>
      <c r="L70" s="4" t="s">
        <v>717</v>
      </c>
      <c r="M70" s="4" t="s">
        <v>718</v>
      </c>
      <c r="N70" s="4" t="s">
        <v>83</v>
      </c>
      <c r="O70" s="4" t="s">
        <v>30</v>
      </c>
      <c r="P70" s="4" t="s">
        <v>31</v>
      </c>
      <c r="Q70" s="4" t="s">
        <v>719</v>
      </c>
      <c r="R70" s="4" t="s">
        <v>720</v>
      </c>
      <c r="S70" s="4" t="s">
        <v>85</v>
      </c>
      <c r="T70" s="4" t="n">
        <v>-33.050182</v>
      </c>
      <c r="U70" s="4" t="n">
        <v>-71.506294</v>
      </c>
      <c r="V70" s="4" t="s">
        <v>721</v>
      </c>
      <c r="W70" s="4" t="s">
        <v>722</v>
      </c>
      <c r="X70" s="4" t="n">
        <v>25</v>
      </c>
      <c r="Y70" s="9" t="n">
        <v>4.1</v>
      </c>
      <c r="Z70" s="4" t="s">
        <v>351</v>
      </c>
      <c r="AA70" s="4" t="s">
        <v>723</v>
      </c>
      <c r="AB70" s="4" t="s">
        <v>724</v>
      </c>
      <c r="AC70" s="4" t="n">
        <v>3</v>
      </c>
      <c r="AD70" s="4" t="s">
        <v>725</v>
      </c>
    </row>
    <row r="71" customFormat="false" ht="15" hidden="false" customHeight="false" outlineLevel="0" collapsed="false">
      <c r="A71" s="4" t="s">
        <v>726</v>
      </c>
      <c r="B71" s="4" t="s">
        <v>727</v>
      </c>
      <c r="C71" s="4" t="s">
        <v>727</v>
      </c>
      <c r="D71" s="4"/>
      <c r="E71" s="4" t="n">
        <v>1</v>
      </c>
      <c r="F71" s="4" t="s">
        <v>20</v>
      </c>
      <c r="G71" s="4" t="s">
        <v>13</v>
      </c>
      <c r="H71" s="4" t="s">
        <v>93</v>
      </c>
      <c r="I71" s="4" t="n">
        <v>70</v>
      </c>
      <c r="J71" s="4"/>
      <c r="K71" s="4" t="s">
        <v>716</v>
      </c>
      <c r="L71" s="4" t="s">
        <v>728</v>
      </c>
      <c r="M71" s="4" t="s">
        <v>729</v>
      </c>
      <c r="N71" s="4" t="s">
        <v>83</v>
      </c>
      <c r="O71" s="4" t="s">
        <v>29</v>
      </c>
      <c r="P71" s="4" t="s">
        <v>31</v>
      </c>
      <c r="Q71" s="4"/>
      <c r="R71" s="4" t="s">
        <v>730</v>
      </c>
      <c r="S71" s="4" t="s">
        <v>85</v>
      </c>
      <c r="T71" s="4" t="n">
        <v>-33.562914</v>
      </c>
      <c r="U71" s="4" t="n">
        <v>-71.558333</v>
      </c>
      <c r="V71" s="4" t="s">
        <v>152</v>
      </c>
      <c r="W71" s="4" t="s">
        <v>152</v>
      </c>
      <c r="X71" s="4" t="n">
        <v>22</v>
      </c>
      <c r="Y71" s="9" t="n">
        <v>4.7</v>
      </c>
      <c r="Z71" s="4" t="s">
        <v>388</v>
      </c>
      <c r="AA71" s="4" t="s">
        <v>731</v>
      </c>
      <c r="AB71" s="4" t="s">
        <v>421</v>
      </c>
      <c r="AC71" s="4" t="n">
        <v>1</v>
      </c>
      <c r="AD71" s="4" t="s">
        <v>725</v>
      </c>
    </row>
    <row r="72" customFormat="false" ht="15" hidden="false" customHeight="false" outlineLevel="0" collapsed="false">
      <c r="A72" s="4" t="s">
        <v>732</v>
      </c>
      <c r="B72" s="4" t="s">
        <v>733</v>
      </c>
      <c r="C72" s="4" t="s">
        <v>733</v>
      </c>
      <c r="D72" s="4"/>
      <c r="E72" s="4" t="n">
        <v>1</v>
      </c>
      <c r="F72" s="4" t="s">
        <v>20</v>
      </c>
      <c r="G72" s="4" t="s">
        <v>13</v>
      </c>
      <c r="H72" s="4" t="s">
        <v>93</v>
      </c>
      <c r="I72" s="4" t="n">
        <v>70</v>
      </c>
      <c r="J72" s="4" t="s">
        <v>734</v>
      </c>
      <c r="K72" s="4" t="s">
        <v>80</v>
      </c>
      <c r="L72" s="4"/>
      <c r="M72" s="4"/>
      <c r="N72" s="4" t="s">
        <v>589</v>
      </c>
      <c r="O72" s="4" t="s">
        <v>30</v>
      </c>
      <c r="P72" s="4" t="s">
        <v>31</v>
      </c>
      <c r="Q72" s="4"/>
      <c r="R72" s="4" t="s">
        <v>735</v>
      </c>
      <c r="S72" s="4" t="s">
        <v>85</v>
      </c>
      <c r="T72" s="4" t="n">
        <v>-33.032845</v>
      </c>
      <c r="U72" s="4" t="n">
        <v>-71.529174</v>
      </c>
      <c r="V72" s="4" t="s">
        <v>184</v>
      </c>
      <c r="W72" s="4" t="s">
        <v>184</v>
      </c>
      <c r="X72" s="4" t="n">
        <v>15</v>
      </c>
      <c r="Y72" s="9" t="n">
        <v>4.7</v>
      </c>
      <c r="Z72" s="4" t="s">
        <v>736</v>
      </c>
      <c r="AA72" s="4" t="s">
        <v>737</v>
      </c>
      <c r="AB72" s="4" t="s">
        <v>713</v>
      </c>
      <c r="AC72" s="4" t="n">
        <v>2</v>
      </c>
      <c r="AD72" s="4" t="s">
        <v>593</v>
      </c>
    </row>
    <row r="73" customFormat="false" ht="15" hidden="false" customHeight="false" outlineLevel="0" collapsed="false">
      <c r="A73" s="4" t="s">
        <v>738</v>
      </c>
      <c r="B73" s="4" t="s">
        <v>739</v>
      </c>
      <c r="C73" s="4" t="s">
        <v>739</v>
      </c>
      <c r="D73" s="4"/>
      <c r="E73" s="4" t="n">
        <v>1</v>
      </c>
      <c r="F73" s="4" t="s">
        <v>20</v>
      </c>
      <c r="G73" s="4" t="s">
        <v>13</v>
      </c>
      <c r="H73" s="4" t="s">
        <v>93</v>
      </c>
      <c r="I73" s="4" t="n">
        <v>65</v>
      </c>
      <c r="J73" s="4"/>
      <c r="K73" s="4" t="s">
        <v>716</v>
      </c>
      <c r="L73" s="4" t="s">
        <v>740</v>
      </c>
      <c r="M73" s="4" t="s">
        <v>741</v>
      </c>
      <c r="N73" s="4" t="s">
        <v>83</v>
      </c>
      <c r="O73" s="4" t="s">
        <v>30</v>
      </c>
      <c r="P73" s="4" t="s">
        <v>31</v>
      </c>
      <c r="Q73" s="4" t="s">
        <v>742</v>
      </c>
      <c r="R73" s="4" t="s">
        <v>743</v>
      </c>
      <c r="S73" s="4" t="s">
        <v>85</v>
      </c>
      <c r="T73" s="4" t="n">
        <v>-33.043809</v>
      </c>
      <c r="U73" s="4" t="n">
        <v>-71.518378</v>
      </c>
      <c r="V73" s="4" t="s">
        <v>224</v>
      </c>
      <c r="W73" s="4" t="s">
        <v>744</v>
      </c>
      <c r="X73" s="4" t="n">
        <v>215</v>
      </c>
      <c r="Y73" s="9" t="n">
        <v>2.7</v>
      </c>
      <c r="Z73" s="4" t="s">
        <v>745</v>
      </c>
      <c r="AA73" s="4" t="s">
        <v>746</v>
      </c>
      <c r="AB73" s="4" t="s">
        <v>713</v>
      </c>
      <c r="AC73" s="4" t="n">
        <v>2</v>
      </c>
      <c r="AD73" s="4" t="s">
        <v>725</v>
      </c>
    </row>
    <row r="74" customFormat="false" ht="15" hidden="false" customHeight="false" outlineLevel="0" collapsed="false">
      <c r="A74" s="4" t="s">
        <v>747</v>
      </c>
      <c r="B74" s="4" t="s">
        <v>748</v>
      </c>
      <c r="C74" s="4" t="s">
        <v>748</v>
      </c>
      <c r="D74" s="4"/>
      <c r="E74" s="4" t="n">
        <v>1</v>
      </c>
      <c r="F74" s="4" t="s">
        <v>24</v>
      </c>
      <c r="G74" s="4" t="s">
        <v>13</v>
      </c>
      <c r="H74" s="4" t="s">
        <v>93</v>
      </c>
      <c r="I74" s="4" t="n">
        <v>65</v>
      </c>
      <c r="J74" s="4" t="s">
        <v>749</v>
      </c>
      <c r="K74" s="4" t="s">
        <v>80</v>
      </c>
      <c r="L74" s="4"/>
      <c r="M74" s="4"/>
      <c r="N74" s="4" t="s">
        <v>589</v>
      </c>
      <c r="O74" s="4" t="s">
        <v>29</v>
      </c>
      <c r="P74" s="4" t="s">
        <v>31</v>
      </c>
      <c r="Q74" s="4"/>
      <c r="R74" s="4" t="s">
        <v>750</v>
      </c>
      <c r="S74" s="4" t="s">
        <v>85</v>
      </c>
      <c r="T74" s="4" t="n">
        <v>-33.60458</v>
      </c>
      <c r="U74" s="4" t="n">
        <v>-71.616111</v>
      </c>
      <c r="V74" s="4" t="s">
        <v>152</v>
      </c>
      <c r="W74" s="4" t="s">
        <v>152</v>
      </c>
      <c r="X74" s="4" t="n">
        <v>159</v>
      </c>
      <c r="Y74" s="9" t="n">
        <v>4</v>
      </c>
      <c r="Z74" s="4"/>
      <c r="AA74" s="4" t="s">
        <v>751</v>
      </c>
      <c r="AB74" s="4" t="s">
        <v>124</v>
      </c>
      <c r="AC74" s="4" t="n">
        <v>1</v>
      </c>
      <c r="AD74" s="4" t="s">
        <v>752</v>
      </c>
    </row>
    <row r="75" customFormat="false" ht="15" hidden="false" customHeight="false" outlineLevel="0" collapsed="false">
      <c r="A75" s="4" t="s">
        <v>753</v>
      </c>
      <c r="B75" s="4" t="s">
        <v>754</v>
      </c>
      <c r="C75" s="4" t="s">
        <v>754</v>
      </c>
      <c r="D75" s="4"/>
      <c r="E75" s="4" t="n">
        <v>1</v>
      </c>
      <c r="F75" s="4" t="s">
        <v>24</v>
      </c>
      <c r="G75" s="4" t="s">
        <v>13</v>
      </c>
      <c r="H75" s="4" t="s">
        <v>93</v>
      </c>
      <c r="I75" s="4" t="n">
        <v>65</v>
      </c>
      <c r="J75" s="4"/>
      <c r="K75" s="4" t="s">
        <v>716</v>
      </c>
      <c r="L75" s="4" t="s">
        <v>755</v>
      </c>
      <c r="M75" s="4" t="s">
        <v>756</v>
      </c>
      <c r="N75" s="4" t="s">
        <v>83</v>
      </c>
      <c r="O75" s="4" t="s">
        <v>29</v>
      </c>
      <c r="P75" s="4" t="s">
        <v>31</v>
      </c>
      <c r="Q75" s="4"/>
      <c r="R75" s="4" t="s">
        <v>757</v>
      </c>
      <c r="S75" s="4" t="s">
        <v>85</v>
      </c>
      <c r="T75" s="4" t="n">
        <v>-33.581255</v>
      </c>
      <c r="U75" s="4" t="n">
        <v>-71.619611</v>
      </c>
      <c r="V75" s="4" t="s">
        <v>152</v>
      </c>
      <c r="W75" s="4" t="s">
        <v>152</v>
      </c>
      <c r="X75" s="4" t="n">
        <v>75</v>
      </c>
      <c r="Y75" s="9" t="n">
        <v>4.4</v>
      </c>
      <c r="Z75" s="4"/>
      <c r="AA75" s="4" t="s">
        <v>758</v>
      </c>
      <c r="AB75" s="4" t="s">
        <v>124</v>
      </c>
      <c r="AC75" s="4" t="n">
        <v>1</v>
      </c>
      <c r="AD75" s="4" t="s">
        <v>759</v>
      </c>
    </row>
    <row r="76" customFormat="false" ht="15" hidden="false" customHeight="false" outlineLevel="0" collapsed="false">
      <c r="A76" s="4" t="s">
        <v>760</v>
      </c>
      <c r="B76" s="4" t="s">
        <v>761</v>
      </c>
      <c r="C76" s="4" t="s">
        <v>761</v>
      </c>
      <c r="D76" s="4"/>
      <c r="E76" s="4" t="n">
        <v>1</v>
      </c>
      <c r="F76" s="4" t="s">
        <v>22</v>
      </c>
      <c r="G76" s="4" t="s">
        <v>13</v>
      </c>
      <c r="H76" s="4" t="s">
        <v>93</v>
      </c>
      <c r="I76" s="4" t="n">
        <v>65</v>
      </c>
      <c r="J76" s="4" t="s">
        <v>762</v>
      </c>
      <c r="K76" s="4" t="s">
        <v>95</v>
      </c>
      <c r="L76" s="4"/>
      <c r="M76" s="4"/>
      <c r="N76" s="4" t="s">
        <v>589</v>
      </c>
      <c r="O76" s="4" t="s">
        <v>29</v>
      </c>
      <c r="P76" s="4" t="s">
        <v>31</v>
      </c>
      <c r="Q76" s="4"/>
      <c r="R76" s="4" t="s">
        <v>763</v>
      </c>
      <c r="S76" s="4" t="s">
        <v>85</v>
      </c>
      <c r="T76" s="4" t="n">
        <v>-33.607457</v>
      </c>
      <c r="U76" s="4" t="n">
        <v>-71.625016</v>
      </c>
      <c r="V76" s="4" t="s">
        <v>205</v>
      </c>
      <c r="W76" s="4" t="s">
        <v>205</v>
      </c>
      <c r="X76" s="4" t="n">
        <v>72</v>
      </c>
      <c r="Y76" s="9" t="n">
        <v>3.9</v>
      </c>
      <c r="Z76" s="4" t="s">
        <v>764</v>
      </c>
      <c r="AA76" s="4" t="s">
        <v>765</v>
      </c>
      <c r="AB76" s="4" t="s">
        <v>766</v>
      </c>
      <c r="AC76" s="4" t="n">
        <v>2</v>
      </c>
      <c r="AD76" s="4" t="s">
        <v>593</v>
      </c>
    </row>
    <row r="77" customFormat="false" ht="15" hidden="false" customHeight="false" outlineLevel="0" collapsed="false">
      <c r="A77" s="4" t="s">
        <v>767</v>
      </c>
      <c r="B77" s="4" t="s">
        <v>768</v>
      </c>
      <c r="C77" s="4" t="s">
        <v>768</v>
      </c>
      <c r="D77" s="4"/>
      <c r="E77" s="4" t="n">
        <v>1</v>
      </c>
      <c r="F77" s="4" t="s">
        <v>24</v>
      </c>
      <c r="G77" s="4" t="s">
        <v>13</v>
      </c>
      <c r="H77" s="4" t="s">
        <v>93</v>
      </c>
      <c r="I77" s="4" t="n">
        <v>65</v>
      </c>
      <c r="J77" s="4"/>
      <c r="K77" s="4" t="s">
        <v>716</v>
      </c>
      <c r="L77" s="4" t="s">
        <v>769</v>
      </c>
      <c r="M77" s="4" t="s">
        <v>770</v>
      </c>
      <c r="N77" s="4" t="s">
        <v>83</v>
      </c>
      <c r="O77" s="4" t="s">
        <v>29</v>
      </c>
      <c r="P77" s="4" t="s">
        <v>31</v>
      </c>
      <c r="Q77" s="4" t="s">
        <v>131</v>
      </c>
      <c r="R77" s="4" t="s">
        <v>771</v>
      </c>
      <c r="S77" s="4" t="s">
        <v>85</v>
      </c>
      <c r="T77" s="4" t="n">
        <v>-33.595652</v>
      </c>
      <c r="U77" s="4" t="n">
        <v>-71.589409</v>
      </c>
      <c r="V77" s="4" t="s">
        <v>152</v>
      </c>
      <c r="W77" s="4" t="s">
        <v>152</v>
      </c>
      <c r="X77" s="4" t="n">
        <v>7</v>
      </c>
      <c r="Y77" s="9" t="n">
        <v>5</v>
      </c>
      <c r="Z77" s="4" t="s">
        <v>772</v>
      </c>
      <c r="AA77" s="4" t="s">
        <v>773</v>
      </c>
      <c r="AB77" s="4" t="s">
        <v>124</v>
      </c>
      <c r="AC77" s="4" t="n">
        <v>1</v>
      </c>
      <c r="AD77" s="4" t="s">
        <v>725</v>
      </c>
    </row>
    <row r="78" customFormat="false" ht="15" hidden="false" customHeight="false" outlineLevel="0" collapsed="false">
      <c r="A78" s="4" t="s">
        <v>774</v>
      </c>
      <c r="B78" s="4" t="s">
        <v>775</v>
      </c>
      <c r="C78" s="4" t="s">
        <v>775</v>
      </c>
      <c r="D78" s="4"/>
      <c r="E78" s="4" t="n">
        <v>1</v>
      </c>
      <c r="F78" s="4" t="s">
        <v>22</v>
      </c>
      <c r="G78" s="4" t="s">
        <v>13</v>
      </c>
      <c r="H78" s="4" t="s">
        <v>93</v>
      </c>
      <c r="I78" s="4" t="n">
        <v>65</v>
      </c>
      <c r="J78" s="4" t="s">
        <v>776</v>
      </c>
      <c r="K78" s="4" t="s">
        <v>80</v>
      </c>
      <c r="L78" s="4"/>
      <c r="M78" s="4"/>
      <c r="N78" s="4" t="s">
        <v>589</v>
      </c>
      <c r="O78" s="4" t="s">
        <v>29</v>
      </c>
      <c r="P78" s="4" t="s">
        <v>31</v>
      </c>
      <c r="Q78" s="4" t="s">
        <v>131</v>
      </c>
      <c r="R78" s="4" t="s">
        <v>777</v>
      </c>
      <c r="S78" s="4" t="s">
        <v>85</v>
      </c>
      <c r="T78" s="4" t="n">
        <v>-33.588741</v>
      </c>
      <c r="U78" s="4" t="n">
        <v>-71.613808</v>
      </c>
      <c r="V78" s="4" t="s">
        <v>778</v>
      </c>
      <c r="W78" s="4" t="s">
        <v>779</v>
      </c>
      <c r="X78" s="4" t="n">
        <v>5</v>
      </c>
      <c r="Y78" s="9" t="n">
        <v>4.8</v>
      </c>
      <c r="Z78" s="4" t="s">
        <v>186</v>
      </c>
      <c r="AA78" s="4" t="s">
        <v>780</v>
      </c>
      <c r="AB78" s="4" t="s">
        <v>781</v>
      </c>
      <c r="AC78" s="4" t="n">
        <v>1</v>
      </c>
      <c r="AD78" s="4" t="s">
        <v>593</v>
      </c>
    </row>
    <row r="79" customFormat="false" ht="15" hidden="false" customHeight="false" outlineLevel="0" collapsed="false">
      <c r="A79" s="4" t="s">
        <v>782</v>
      </c>
      <c r="B79" s="4" t="s">
        <v>783</v>
      </c>
      <c r="C79" s="4" t="s">
        <v>784</v>
      </c>
      <c r="D79" s="4"/>
      <c r="E79" s="4" t="n">
        <v>1</v>
      </c>
      <c r="F79" s="4" t="s">
        <v>21</v>
      </c>
      <c r="G79" s="4" t="s">
        <v>13</v>
      </c>
      <c r="H79" s="4" t="s">
        <v>93</v>
      </c>
      <c r="I79" s="4" t="n">
        <v>65</v>
      </c>
      <c r="J79" s="4"/>
      <c r="K79" s="4" t="s">
        <v>716</v>
      </c>
      <c r="L79" s="4" t="s">
        <v>785</v>
      </c>
      <c r="M79" s="4" t="s">
        <v>786</v>
      </c>
      <c r="N79" s="4" t="s">
        <v>83</v>
      </c>
      <c r="O79" s="4" t="s">
        <v>30</v>
      </c>
      <c r="P79" s="4" t="s">
        <v>31</v>
      </c>
      <c r="Q79" s="4" t="s">
        <v>742</v>
      </c>
      <c r="R79" s="4" t="s">
        <v>787</v>
      </c>
      <c r="S79" s="4" t="s">
        <v>85</v>
      </c>
      <c r="T79" s="4" t="n">
        <v>-33.039722</v>
      </c>
      <c r="U79" s="4" t="n">
        <v>-71.524436</v>
      </c>
      <c r="V79" s="4" t="s">
        <v>297</v>
      </c>
      <c r="W79" s="4" t="s">
        <v>297</v>
      </c>
      <c r="X79" s="4" t="n">
        <v>4</v>
      </c>
      <c r="Y79" s="9" t="n">
        <v>4</v>
      </c>
      <c r="Z79" s="4" t="s">
        <v>307</v>
      </c>
      <c r="AA79" s="4" t="s">
        <v>788</v>
      </c>
      <c r="AB79" s="4" t="s">
        <v>299</v>
      </c>
      <c r="AC79" s="4" t="n">
        <v>1</v>
      </c>
      <c r="AD79" s="4" t="s">
        <v>789</v>
      </c>
    </row>
    <row r="80" customFormat="false" ht="15" hidden="false" customHeight="false" outlineLevel="0" collapsed="false">
      <c r="A80" s="4" t="s">
        <v>790</v>
      </c>
      <c r="B80" s="4" t="s">
        <v>791</v>
      </c>
      <c r="C80" s="4" t="s">
        <v>791</v>
      </c>
      <c r="D80" s="4" t="s">
        <v>301</v>
      </c>
      <c r="E80" s="4" t="n">
        <v>2</v>
      </c>
      <c r="F80" s="4" t="s">
        <v>23</v>
      </c>
      <c r="G80" s="4" t="s">
        <v>13</v>
      </c>
      <c r="H80" s="4" t="s">
        <v>93</v>
      </c>
      <c r="I80" s="4" t="n">
        <v>65</v>
      </c>
      <c r="J80" s="4" t="s">
        <v>302</v>
      </c>
      <c r="K80" s="4" t="s">
        <v>80</v>
      </c>
      <c r="L80" s="4"/>
      <c r="M80" s="4"/>
      <c r="N80" s="4" t="s">
        <v>589</v>
      </c>
      <c r="O80" s="4" t="s">
        <v>31</v>
      </c>
      <c r="P80" s="4" t="s">
        <v>31</v>
      </c>
      <c r="Q80" s="4" t="s">
        <v>234</v>
      </c>
      <c r="R80" s="4" t="s">
        <v>792</v>
      </c>
      <c r="S80" s="4" t="s">
        <v>85</v>
      </c>
      <c r="T80" s="4" t="n">
        <v>-33.118454</v>
      </c>
      <c r="U80" s="4" t="n">
        <v>-71.560426</v>
      </c>
      <c r="V80" s="4" t="s">
        <v>793</v>
      </c>
      <c r="W80" s="4" t="s">
        <v>793</v>
      </c>
      <c r="X80" s="4" t="n">
        <v>1</v>
      </c>
      <c r="Y80" s="9" t="n">
        <v>5</v>
      </c>
      <c r="Z80" s="4" t="s">
        <v>794</v>
      </c>
      <c r="AA80" s="4" t="s">
        <v>795</v>
      </c>
      <c r="AB80" s="4" t="s">
        <v>450</v>
      </c>
      <c r="AC80" s="4" t="n">
        <v>1</v>
      </c>
      <c r="AD80" s="4" t="s">
        <v>593</v>
      </c>
    </row>
    <row r="81" customFormat="false" ht="15" hidden="false" customHeight="false" outlineLevel="0" collapsed="false">
      <c r="A81" s="4" t="s">
        <v>796</v>
      </c>
      <c r="B81" s="4" t="s">
        <v>797</v>
      </c>
      <c r="C81" s="4" t="s">
        <v>797</v>
      </c>
      <c r="D81" s="4"/>
      <c r="E81" s="4" t="n">
        <v>1</v>
      </c>
      <c r="F81" s="4" t="s">
        <v>23</v>
      </c>
      <c r="G81" s="4" t="s">
        <v>13</v>
      </c>
      <c r="H81" s="4" t="s">
        <v>93</v>
      </c>
      <c r="I81" s="4" t="n">
        <v>65</v>
      </c>
      <c r="J81" s="4"/>
      <c r="K81" s="4" t="s">
        <v>716</v>
      </c>
      <c r="L81" s="4" t="s">
        <v>798</v>
      </c>
      <c r="M81" s="4" t="s">
        <v>799</v>
      </c>
      <c r="N81" s="4" t="s">
        <v>83</v>
      </c>
      <c r="O81" s="4" t="s">
        <v>38</v>
      </c>
      <c r="P81" s="4" t="s">
        <v>31</v>
      </c>
      <c r="Q81" s="4" t="s">
        <v>359</v>
      </c>
      <c r="R81" s="4" t="s">
        <v>800</v>
      </c>
      <c r="S81" s="4" t="s">
        <v>85</v>
      </c>
      <c r="T81" s="4" t="n">
        <v>-32.87794</v>
      </c>
      <c r="U81" s="4" t="n">
        <v>-71.239018</v>
      </c>
      <c r="V81" s="4" t="s">
        <v>793</v>
      </c>
      <c r="W81" s="4" t="s">
        <v>801</v>
      </c>
      <c r="X81" s="4" t="n">
        <v>1</v>
      </c>
      <c r="Y81" s="9" t="n">
        <v>5</v>
      </c>
      <c r="Z81" s="4" t="s">
        <v>802</v>
      </c>
      <c r="AA81" s="4" t="s">
        <v>803</v>
      </c>
      <c r="AB81" s="4" t="s">
        <v>450</v>
      </c>
      <c r="AC81" s="4" t="n">
        <v>1</v>
      </c>
      <c r="AD81" s="4" t="s">
        <v>725</v>
      </c>
    </row>
    <row r="82" customFormat="false" ht="15" hidden="false" customHeight="false" outlineLevel="0" collapsed="false">
      <c r="A82" s="4" t="s">
        <v>804</v>
      </c>
      <c r="B82" s="4" t="s">
        <v>805</v>
      </c>
      <c r="C82" s="4" t="s">
        <v>805</v>
      </c>
      <c r="D82" s="4"/>
      <c r="E82" s="4" t="n">
        <v>1</v>
      </c>
      <c r="F82" s="4" t="s">
        <v>20</v>
      </c>
      <c r="G82" s="4" t="s">
        <v>13</v>
      </c>
      <c r="H82" s="4" t="s">
        <v>93</v>
      </c>
      <c r="I82" s="4" t="n">
        <v>65</v>
      </c>
      <c r="J82" s="4"/>
      <c r="K82" s="4" t="s">
        <v>716</v>
      </c>
      <c r="L82" s="4" t="s">
        <v>806</v>
      </c>
      <c r="M82" s="4" t="s">
        <v>807</v>
      </c>
      <c r="N82" s="4" t="s">
        <v>83</v>
      </c>
      <c r="O82" s="4" t="s">
        <v>29</v>
      </c>
      <c r="P82" s="4" t="s">
        <v>31</v>
      </c>
      <c r="Q82" s="4" t="s">
        <v>131</v>
      </c>
      <c r="R82" s="4" t="s">
        <v>808</v>
      </c>
      <c r="S82" s="4" t="s">
        <v>85</v>
      </c>
      <c r="T82" s="4" t="n">
        <v>-33.598801</v>
      </c>
      <c r="U82" s="4" t="n">
        <v>-71.614104</v>
      </c>
      <c r="V82" s="4" t="s">
        <v>224</v>
      </c>
      <c r="W82" s="4" t="s">
        <v>224</v>
      </c>
      <c r="X82" s="4" t="n">
        <v>1</v>
      </c>
      <c r="Y82" s="9" t="n">
        <v>4</v>
      </c>
      <c r="Z82" s="4" t="s">
        <v>215</v>
      </c>
      <c r="AA82" s="4" t="s">
        <v>809</v>
      </c>
      <c r="AB82" s="4" t="s">
        <v>258</v>
      </c>
      <c r="AC82" s="4" t="n">
        <v>3</v>
      </c>
      <c r="AD82" s="4" t="s">
        <v>725</v>
      </c>
    </row>
    <row r="83" customFormat="false" ht="15" hidden="false" customHeight="false" outlineLevel="0" collapsed="false">
      <c r="A83" s="4" t="s">
        <v>810</v>
      </c>
      <c r="B83" s="4" t="s">
        <v>811</v>
      </c>
      <c r="C83" s="4" t="s">
        <v>811</v>
      </c>
      <c r="D83" s="4"/>
      <c r="E83" s="4" t="n">
        <v>1</v>
      </c>
      <c r="F83" s="4" t="s">
        <v>20</v>
      </c>
      <c r="G83" s="4" t="s">
        <v>13</v>
      </c>
      <c r="H83" s="4" t="s">
        <v>93</v>
      </c>
      <c r="I83" s="4" t="n">
        <v>65</v>
      </c>
      <c r="J83" s="4" t="s">
        <v>812</v>
      </c>
      <c r="K83" s="4" t="s">
        <v>95</v>
      </c>
      <c r="L83" s="4"/>
      <c r="M83" s="4"/>
      <c r="N83" s="4" t="s">
        <v>589</v>
      </c>
      <c r="O83" s="4" t="s">
        <v>31</v>
      </c>
      <c r="P83" s="4" t="s">
        <v>31</v>
      </c>
      <c r="Q83" s="4" t="s">
        <v>234</v>
      </c>
      <c r="R83" s="4" t="s">
        <v>813</v>
      </c>
      <c r="S83" s="4" t="s">
        <v>85</v>
      </c>
      <c r="T83" s="4" t="n">
        <v>-33.06587</v>
      </c>
      <c r="U83" s="4" t="n">
        <v>-71.643531</v>
      </c>
      <c r="V83" s="4" t="s">
        <v>224</v>
      </c>
      <c r="W83" s="4" t="s">
        <v>224</v>
      </c>
      <c r="X83" s="4" t="n">
        <v>1</v>
      </c>
      <c r="Y83" s="9" t="n">
        <v>5</v>
      </c>
      <c r="Z83" s="4" t="s">
        <v>814</v>
      </c>
      <c r="AA83" s="4" t="s">
        <v>815</v>
      </c>
      <c r="AB83" s="4" t="s">
        <v>228</v>
      </c>
      <c r="AC83" s="4" t="n">
        <v>1</v>
      </c>
      <c r="AD83" s="4" t="s">
        <v>593</v>
      </c>
    </row>
    <row r="84" customFormat="false" ht="15" hidden="false" customHeight="false" outlineLevel="0" collapsed="false">
      <c r="A84" s="4" t="s">
        <v>816</v>
      </c>
      <c r="B84" s="4" t="s">
        <v>817</v>
      </c>
      <c r="C84" s="4" t="s">
        <v>817</v>
      </c>
      <c r="D84" s="4"/>
      <c r="E84" s="4" t="n">
        <v>1</v>
      </c>
      <c r="F84" s="4" t="s">
        <v>20</v>
      </c>
      <c r="G84" s="4" t="s">
        <v>13</v>
      </c>
      <c r="H84" s="4" t="s">
        <v>93</v>
      </c>
      <c r="I84" s="4" t="n">
        <v>65</v>
      </c>
      <c r="J84" s="4" t="s">
        <v>818</v>
      </c>
      <c r="K84" s="4" t="s">
        <v>95</v>
      </c>
      <c r="L84" s="4"/>
      <c r="M84" s="4"/>
      <c r="N84" s="4" t="s">
        <v>589</v>
      </c>
      <c r="O84" s="4" t="s">
        <v>31</v>
      </c>
      <c r="P84" s="4" t="s">
        <v>31</v>
      </c>
      <c r="Q84" s="4"/>
      <c r="R84" s="4" t="s">
        <v>819</v>
      </c>
      <c r="S84" s="4" t="s">
        <v>85</v>
      </c>
      <c r="T84" s="4" t="n">
        <v>-33.129962</v>
      </c>
      <c r="U84" s="4" t="n">
        <v>-71.551331</v>
      </c>
      <c r="V84" s="4" t="s">
        <v>224</v>
      </c>
      <c r="W84" s="4" t="s">
        <v>224</v>
      </c>
      <c r="X84" s="4" t="n">
        <v>1</v>
      </c>
      <c r="Y84" s="9" t="n">
        <v>5</v>
      </c>
      <c r="Z84" s="4" t="s">
        <v>186</v>
      </c>
      <c r="AA84" s="4" t="s">
        <v>820</v>
      </c>
      <c r="AB84" s="4" t="s">
        <v>228</v>
      </c>
      <c r="AC84" s="4" t="n">
        <v>1</v>
      </c>
      <c r="AD84" s="4" t="s">
        <v>593</v>
      </c>
    </row>
    <row r="85" customFormat="false" ht="15" hidden="false" customHeight="false" outlineLevel="0" collapsed="false">
      <c r="A85" s="4" t="s">
        <v>821</v>
      </c>
      <c r="B85" s="4" t="s">
        <v>822</v>
      </c>
      <c r="C85" s="4" t="s">
        <v>822</v>
      </c>
      <c r="D85" s="4"/>
      <c r="E85" s="4" t="n">
        <v>1</v>
      </c>
      <c r="F85" s="4" t="s">
        <v>20</v>
      </c>
      <c r="G85" s="4" t="s">
        <v>13</v>
      </c>
      <c r="H85" s="4" t="s">
        <v>93</v>
      </c>
      <c r="I85" s="4" t="n">
        <v>65</v>
      </c>
      <c r="J85" s="4" t="s">
        <v>823</v>
      </c>
      <c r="K85" s="4" t="s">
        <v>95</v>
      </c>
      <c r="L85" s="4"/>
      <c r="M85" s="4"/>
      <c r="N85" s="4" t="s">
        <v>589</v>
      </c>
      <c r="O85" s="4" t="s">
        <v>30</v>
      </c>
      <c r="P85" s="4" t="s">
        <v>31</v>
      </c>
      <c r="Q85" s="4" t="s">
        <v>824</v>
      </c>
      <c r="R85" s="4" t="s">
        <v>825</v>
      </c>
      <c r="S85" s="4" t="s">
        <v>85</v>
      </c>
      <c r="T85" s="4" t="n">
        <v>-33.031097</v>
      </c>
      <c r="U85" s="4" t="n">
        <v>-71.539122</v>
      </c>
      <c r="V85" s="4" t="s">
        <v>224</v>
      </c>
      <c r="W85" s="4" t="s">
        <v>224</v>
      </c>
      <c r="X85" s="4" t="n">
        <v>1</v>
      </c>
      <c r="Y85" s="9" t="n">
        <v>5</v>
      </c>
      <c r="Z85" s="4" t="s">
        <v>186</v>
      </c>
      <c r="AA85" s="4" t="s">
        <v>826</v>
      </c>
      <c r="AB85" s="4" t="s">
        <v>713</v>
      </c>
      <c r="AC85" s="4" t="n">
        <v>2</v>
      </c>
      <c r="AD85" s="4" t="s">
        <v>593</v>
      </c>
    </row>
    <row r="86" customFormat="false" ht="15" hidden="false" customHeight="false" outlineLevel="0" collapsed="false">
      <c r="A86" s="4" t="s">
        <v>827</v>
      </c>
      <c r="B86" s="4" t="s">
        <v>828</v>
      </c>
      <c r="C86" s="4" t="s">
        <v>828</v>
      </c>
      <c r="D86" s="4"/>
      <c r="E86" s="4" t="n">
        <v>1</v>
      </c>
      <c r="F86" s="4" t="s">
        <v>20</v>
      </c>
      <c r="G86" s="4" t="s">
        <v>13</v>
      </c>
      <c r="H86" s="4" t="s">
        <v>93</v>
      </c>
      <c r="I86" s="4" t="n">
        <v>65</v>
      </c>
      <c r="J86" s="4" t="s">
        <v>829</v>
      </c>
      <c r="K86" s="4" t="s">
        <v>95</v>
      </c>
      <c r="L86" s="4" t="s">
        <v>830</v>
      </c>
      <c r="M86" s="4" t="s">
        <v>831</v>
      </c>
      <c r="N86" s="4" t="s">
        <v>589</v>
      </c>
      <c r="O86" s="4" t="s">
        <v>30</v>
      </c>
      <c r="P86" s="4" t="s">
        <v>31</v>
      </c>
      <c r="Q86" s="4" t="s">
        <v>334</v>
      </c>
      <c r="R86" s="4" t="s">
        <v>832</v>
      </c>
      <c r="S86" s="4" t="s">
        <v>85</v>
      </c>
      <c r="T86" s="4" t="n">
        <v>-33.020116</v>
      </c>
      <c r="U86" s="4" t="n">
        <v>-71.54259</v>
      </c>
      <c r="V86" s="4" t="s">
        <v>224</v>
      </c>
      <c r="W86" s="4" t="s">
        <v>224</v>
      </c>
      <c r="X86" s="4" t="n">
        <v>1</v>
      </c>
      <c r="Y86" s="9" t="n">
        <v>5</v>
      </c>
      <c r="Z86" s="4" t="s">
        <v>351</v>
      </c>
      <c r="AA86" s="4" t="s">
        <v>833</v>
      </c>
      <c r="AB86" s="4" t="s">
        <v>713</v>
      </c>
      <c r="AC86" s="4" t="n">
        <v>2</v>
      </c>
      <c r="AD86" s="4" t="s">
        <v>593</v>
      </c>
    </row>
    <row r="87" customFormat="false" ht="15" hidden="false" customHeight="false" outlineLevel="0" collapsed="false">
      <c r="A87" s="4" t="s">
        <v>834</v>
      </c>
      <c r="B87" s="4" t="s">
        <v>835</v>
      </c>
      <c r="C87" s="4" t="s">
        <v>835</v>
      </c>
      <c r="D87" s="4"/>
      <c r="E87" s="4" t="n">
        <v>1</v>
      </c>
      <c r="F87" s="4" t="s">
        <v>26</v>
      </c>
      <c r="G87" s="4" t="s">
        <v>13</v>
      </c>
      <c r="H87" s="4" t="s">
        <v>93</v>
      </c>
      <c r="I87" s="4" t="n">
        <v>65</v>
      </c>
      <c r="J87" s="4" t="s">
        <v>836</v>
      </c>
      <c r="K87" s="4" t="s">
        <v>80</v>
      </c>
      <c r="L87" s="4"/>
      <c r="M87" s="4"/>
      <c r="N87" s="4" t="s">
        <v>589</v>
      </c>
      <c r="O87" s="4" t="s">
        <v>29</v>
      </c>
      <c r="P87" s="4" t="s">
        <v>31</v>
      </c>
      <c r="Q87" s="4" t="s">
        <v>837</v>
      </c>
      <c r="R87" s="4" t="s">
        <v>838</v>
      </c>
      <c r="S87" s="4" t="s">
        <v>85</v>
      </c>
      <c r="T87" s="4" t="n">
        <v>-33.607944</v>
      </c>
      <c r="U87" s="4" t="n">
        <v>-71.620097</v>
      </c>
      <c r="V87" s="4" t="s">
        <v>152</v>
      </c>
      <c r="W87" s="4" t="s">
        <v>152</v>
      </c>
      <c r="X87" s="4" t="n">
        <v>1</v>
      </c>
      <c r="Y87" s="9" t="n">
        <v>5</v>
      </c>
      <c r="Z87" s="4" t="s">
        <v>839</v>
      </c>
      <c r="AA87" s="4" t="s">
        <v>840</v>
      </c>
      <c r="AB87" s="4" t="s">
        <v>781</v>
      </c>
      <c r="AC87" s="4" t="n">
        <v>1</v>
      </c>
      <c r="AD87" s="4" t="s">
        <v>593</v>
      </c>
    </row>
    <row r="88" customFormat="false" ht="15" hidden="false" customHeight="false" outlineLevel="0" collapsed="false">
      <c r="A88" s="4" t="s">
        <v>841</v>
      </c>
      <c r="B88" s="4" t="s">
        <v>842</v>
      </c>
      <c r="C88" s="4" t="s">
        <v>842</v>
      </c>
      <c r="D88" s="4"/>
      <c r="E88" s="4" t="n">
        <v>1</v>
      </c>
      <c r="F88" s="4" t="s">
        <v>23</v>
      </c>
      <c r="G88" s="4" t="s">
        <v>13</v>
      </c>
      <c r="H88" s="4" t="s">
        <v>93</v>
      </c>
      <c r="I88" s="4" t="n">
        <v>65</v>
      </c>
      <c r="J88" s="4" t="s">
        <v>843</v>
      </c>
      <c r="K88" s="4" t="s">
        <v>80</v>
      </c>
      <c r="L88" s="4" t="s">
        <v>844</v>
      </c>
      <c r="M88" s="4" t="s">
        <v>845</v>
      </c>
      <c r="N88" s="4" t="s">
        <v>83</v>
      </c>
      <c r="O88" s="4" t="s">
        <v>31</v>
      </c>
      <c r="P88" s="4" t="s">
        <v>31</v>
      </c>
      <c r="Q88" s="4" t="s">
        <v>846</v>
      </c>
      <c r="R88" s="4" t="s">
        <v>847</v>
      </c>
      <c r="S88" s="4" t="s">
        <v>85</v>
      </c>
      <c r="T88" s="4" t="n">
        <v>-33.049134</v>
      </c>
      <c r="U88" s="4" t="n">
        <v>-71.600556</v>
      </c>
      <c r="V88" s="4" t="s">
        <v>848</v>
      </c>
      <c r="W88" s="4" t="s">
        <v>848</v>
      </c>
      <c r="X88" s="4"/>
      <c r="Y88" s="9"/>
      <c r="Z88" s="4"/>
      <c r="AA88" s="4" t="s">
        <v>849</v>
      </c>
      <c r="AB88" s="4" t="s">
        <v>850</v>
      </c>
      <c r="AC88" s="4" t="n">
        <v>1</v>
      </c>
      <c r="AD88" s="4" t="s">
        <v>851</v>
      </c>
    </row>
    <row r="89" customFormat="false" ht="15" hidden="false" customHeight="false" outlineLevel="0" collapsed="false">
      <c r="A89" s="4" t="s">
        <v>852</v>
      </c>
      <c r="B89" s="4" t="s">
        <v>853</v>
      </c>
      <c r="C89" s="4" t="s">
        <v>853</v>
      </c>
      <c r="D89" s="4"/>
      <c r="E89" s="4" t="n">
        <v>1</v>
      </c>
      <c r="F89" s="4" t="s">
        <v>22</v>
      </c>
      <c r="G89" s="4" t="s">
        <v>13</v>
      </c>
      <c r="H89" s="4" t="s">
        <v>93</v>
      </c>
      <c r="I89" s="4" t="n">
        <v>65</v>
      </c>
      <c r="J89" s="4" t="s">
        <v>854</v>
      </c>
      <c r="K89" s="4" t="s">
        <v>80</v>
      </c>
      <c r="L89" s="4" t="s">
        <v>855</v>
      </c>
      <c r="M89" s="4" t="s">
        <v>856</v>
      </c>
      <c r="N89" s="4" t="s">
        <v>83</v>
      </c>
      <c r="O89" s="4" t="s">
        <v>31</v>
      </c>
      <c r="P89" s="4" t="s">
        <v>31</v>
      </c>
      <c r="Q89" s="4" t="s">
        <v>857</v>
      </c>
      <c r="R89" s="4" t="s">
        <v>858</v>
      </c>
      <c r="S89" s="4" t="s">
        <v>85</v>
      </c>
      <c r="T89" s="4" t="n">
        <v>-33.039023</v>
      </c>
      <c r="U89" s="4" t="n">
        <v>-71.628383</v>
      </c>
      <c r="V89" s="4" t="s">
        <v>205</v>
      </c>
      <c r="W89" s="4" t="s">
        <v>205</v>
      </c>
      <c r="X89" s="4"/>
      <c r="Y89" s="9"/>
      <c r="Z89" s="4"/>
      <c r="AA89" s="4" t="s">
        <v>859</v>
      </c>
      <c r="AB89" s="4" t="s">
        <v>698</v>
      </c>
      <c r="AC89" s="4" t="n">
        <v>2</v>
      </c>
      <c r="AD89" s="4" t="s">
        <v>851</v>
      </c>
    </row>
    <row r="90" customFormat="false" ht="15" hidden="false" customHeight="false" outlineLevel="0" collapsed="false">
      <c r="A90" s="4" t="s">
        <v>860</v>
      </c>
      <c r="B90" s="4" t="s">
        <v>861</v>
      </c>
      <c r="C90" s="4" t="s">
        <v>861</v>
      </c>
      <c r="D90" s="4"/>
      <c r="E90" s="4" t="n">
        <v>1</v>
      </c>
      <c r="F90" s="4" t="s">
        <v>20</v>
      </c>
      <c r="G90" s="4" t="s">
        <v>13</v>
      </c>
      <c r="H90" s="4" t="s">
        <v>93</v>
      </c>
      <c r="I90" s="4" t="n">
        <v>60</v>
      </c>
      <c r="J90" s="4" t="s">
        <v>862</v>
      </c>
      <c r="K90" s="4" t="s">
        <v>95</v>
      </c>
      <c r="L90" s="4"/>
      <c r="M90" s="4"/>
      <c r="N90" s="4" t="s">
        <v>589</v>
      </c>
      <c r="O90" s="4" t="s">
        <v>30</v>
      </c>
      <c r="P90" s="4" t="s">
        <v>31</v>
      </c>
      <c r="Q90" s="4" t="s">
        <v>274</v>
      </c>
      <c r="R90" s="4" t="s">
        <v>863</v>
      </c>
      <c r="S90" s="4" t="s">
        <v>85</v>
      </c>
      <c r="T90" s="4" t="n">
        <v>-33.02177</v>
      </c>
      <c r="U90" s="4" t="n">
        <v>-71.55446</v>
      </c>
      <c r="V90" s="4" t="s">
        <v>864</v>
      </c>
      <c r="W90" s="4" t="s">
        <v>865</v>
      </c>
      <c r="X90" s="4" t="n">
        <v>43</v>
      </c>
      <c r="Y90" s="9" t="n">
        <v>5</v>
      </c>
      <c r="Z90" s="4"/>
      <c r="AA90" s="4" t="s">
        <v>866</v>
      </c>
      <c r="AB90" s="4" t="s">
        <v>713</v>
      </c>
      <c r="AC90" s="4" t="n">
        <v>2</v>
      </c>
      <c r="AD90" s="4" t="s">
        <v>752</v>
      </c>
    </row>
    <row r="91" customFormat="false" ht="15" hidden="false" customHeight="false" outlineLevel="0" collapsed="false">
      <c r="A91" s="4" t="s">
        <v>867</v>
      </c>
      <c r="B91" s="4" t="s">
        <v>868</v>
      </c>
      <c r="C91" s="4" t="s">
        <v>868</v>
      </c>
      <c r="D91" s="4"/>
      <c r="E91" s="4" t="n">
        <v>1</v>
      </c>
      <c r="F91" s="4" t="s">
        <v>21</v>
      </c>
      <c r="G91" s="4" t="s">
        <v>13</v>
      </c>
      <c r="H91" s="4" t="s">
        <v>93</v>
      </c>
      <c r="I91" s="4" t="n">
        <v>60</v>
      </c>
      <c r="J91" s="4" t="s">
        <v>869</v>
      </c>
      <c r="K91" s="4" t="s">
        <v>80</v>
      </c>
      <c r="L91" s="4"/>
      <c r="M91" s="4"/>
      <c r="N91" s="4" t="s">
        <v>589</v>
      </c>
      <c r="O91" s="4" t="s">
        <v>30</v>
      </c>
      <c r="P91" s="4" t="s">
        <v>31</v>
      </c>
      <c r="Q91" s="4" t="s">
        <v>870</v>
      </c>
      <c r="R91" s="4" t="s">
        <v>871</v>
      </c>
      <c r="S91" s="4" t="s">
        <v>85</v>
      </c>
      <c r="T91" s="4" t="n">
        <v>-33.028105</v>
      </c>
      <c r="U91" s="4" t="n">
        <v>-71.540936</v>
      </c>
      <c r="V91" s="4" t="s">
        <v>872</v>
      </c>
      <c r="W91" s="4" t="s">
        <v>873</v>
      </c>
      <c r="X91" s="4" t="n">
        <v>32</v>
      </c>
      <c r="Y91" s="9" t="n">
        <v>3.7</v>
      </c>
      <c r="Z91" s="4" t="s">
        <v>638</v>
      </c>
      <c r="AA91" s="4" t="s">
        <v>874</v>
      </c>
      <c r="AB91" s="4" t="s">
        <v>299</v>
      </c>
      <c r="AC91" s="4" t="n">
        <v>1</v>
      </c>
      <c r="AD91" s="4" t="s">
        <v>593</v>
      </c>
    </row>
    <row r="92" customFormat="false" ht="15" hidden="false" customHeight="false" outlineLevel="0" collapsed="false">
      <c r="A92" s="4" t="s">
        <v>875</v>
      </c>
      <c r="B92" s="4" t="s">
        <v>876</v>
      </c>
      <c r="C92" s="4" t="s">
        <v>876</v>
      </c>
      <c r="D92" s="4"/>
      <c r="E92" s="4" t="n">
        <v>1</v>
      </c>
      <c r="F92" s="4" t="s">
        <v>20</v>
      </c>
      <c r="G92" s="4" t="s">
        <v>13</v>
      </c>
      <c r="H92" s="4" t="s">
        <v>93</v>
      </c>
      <c r="I92" s="4" t="n">
        <v>60</v>
      </c>
      <c r="J92" s="4" t="s">
        <v>877</v>
      </c>
      <c r="K92" s="4" t="s">
        <v>95</v>
      </c>
      <c r="L92" s="4"/>
      <c r="M92" s="4"/>
      <c r="N92" s="4" t="s">
        <v>589</v>
      </c>
      <c r="O92" s="4" t="s">
        <v>29</v>
      </c>
      <c r="P92" s="4" t="s">
        <v>31</v>
      </c>
      <c r="Q92" s="4"/>
      <c r="R92" s="4" t="s">
        <v>878</v>
      </c>
      <c r="S92" s="4" t="s">
        <v>879</v>
      </c>
      <c r="T92" s="4" t="n">
        <v>-33.563284</v>
      </c>
      <c r="U92" s="4" t="n">
        <v>-71.566673</v>
      </c>
      <c r="V92" s="4" t="s">
        <v>224</v>
      </c>
      <c r="W92" s="4" t="s">
        <v>224</v>
      </c>
      <c r="X92" s="4" t="n">
        <v>30</v>
      </c>
      <c r="Y92" s="9" t="n">
        <v>4.3</v>
      </c>
      <c r="Z92" s="4" t="s">
        <v>880</v>
      </c>
      <c r="AA92" s="4" t="s">
        <v>881</v>
      </c>
      <c r="AB92" s="4" t="s">
        <v>421</v>
      </c>
      <c r="AC92" s="4" t="n">
        <v>1</v>
      </c>
      <c r="AD92" s="4" t="s">
        <v>882</v>
      </c>
    </row>
    <row r="93" customFormat="false" ht="15" hidden="false" customHeight="false" outlineLevel="0" collapsed="false">
      <c r="A93" s="4" t="s">
        <v>883</v>
      </c>
      <c r="B93" s="4" t="s">
        <v>884</v>
      </c>
      <c r="C93" s="4" t="s">
        <v>884</v>
      </c>
      <c r="D93" s="4"/>
      <c r="E93" s="4" t="n">
        <v>1</v>
      </c>
      <c r="F93" s="4" t="s">
        <v>21</v>
      </c>
      <c r="G93" s="4" t="s">
        <v>13</v>
      </c>
      <c r="H93" s="4" t="s">
        <v>93</v>
      </c>
      <c r="I93" s="4" t="n">
        <v>60</v>
      </c>
      <c r="J93" s="4" t="s">
        <v>885</v>
      </c>
      <c r="K93" s="4" t="s">
        <v>80</v>
      </c>
      <c r="L93" s="4"/>
      <c r="M93" s="4"/>
      <c r="N93" s="4" t="s">
        <v>589</v>
      </c>
      <c r="O93" s="4" t="s">
        <v>29</v>
      </c>
      <c r="P93" s="4" t="s">
        <v>31</v>
      </c>
      <c r="Q93" s="4" t="s">
        <v>886</v>
      </c>
      <c r="R93" s="4" t="s">
        <v>887</v>
      </c>
      <c r="S93" s="4" t="s">
        <v>85</v>
      </c>
      <c r="T93" s="4" t="n">
        <v>-33.612717</v>
      </c>
      <c r="U93" s="4" t="n">
        <v>-71.608782</v>
      </c>
      <c r="V93" s="4" t="s">
        <v>888</v>
      </c>
      <c r="W93" s="4" t="s">
        <v>888</v>
      </c>
      <c r="X93" s="4" t="n">
        <v>27</v>
      </c>
      <c r="Y93" s="9" t="n">
        <v>3.7</v>
      </c>
      <c r="Z93" s="4" t="s">
        <v>889</v>
      </c>
      <c r="AA93" s="4" t="s">
        <v>890</v>
      </c>
      <c r="AB93" s="4" t="s">
        <v>176</v>
      </c>
      <c r="AC93" s="4" t="n">
        <v>2</v>
      </c>
      <c r="AD93" s="4" t="s">
        <v>593</v>
      </c>
    </row>
    <row r="94" customFormat="false" ht="15" hidden="false" customHeight="false" outlineLevel="0" collapsed="false">
      <c r="A94" s="4" t="s">
        <v>891</v>
      </c>
      <c r="B94" s="4" t="s">
        <v>892</v>
      </c>
      <c r="C94" s="4" t="s">
        <v>892</v>
      </c>
      <c r="D94" s="4"/>
      <c r="E94" s="4" t="n">
        <v>1</v>
      </c>
      <c r="F94" s="4" t="s">
        <v>22</v>
      </c>
      <c r="G94" s="4" t="s">
        <v>13</v>
      </c>
      <c r="H94" s="4" t="s">
        <v>93</v>
      </c>
      <c r="I94" s="4" t="n">
        <v>60</v>
      </c>
      <c r="J94" s="4" t="s">
        <v>893</v>
      </c>
      <c r="K94" s="4" t="s">
        <v>95</v>
      </c>
      <c r="L94" s="4"/>
      <c r="M94" s="4"/>
      <c r="N94" s="4" t="s">
        <v>589</v>
      </c>
      <c r="O94" s="4" t="s">
        <v>29</v>
      </c>
      <c r="P94" s="4" t="s">
        <v>31</v>
      </c>
      <c r="Q94" s="4"/>
      <c r="R94" s="4" t="s">
        <v>878</v>
      </c>
      <c r="S94" s="4" t="s">
        <v>879</v>
      </c>
      <c r="T94" s="4" t="n">
        <v>-33.600944</v>
      </c>
      <c r="U94" s="4" t="n">
        <v>-71.592645</v>
      </c>
      <c r="V94" s="4" t="s">
        <v>265</v>
      </c>
      <c r="W94" s="4" t="s">
        <v>265</v>
      </c>
      <c r="X94" s="4" t="n">
        <v>27</v>
      </c>
      <c r="Y94" s="9" t="n">
        <v>4.2</v>
      </c>
      <c r="Z94" s="4" t="s">
        <v>894</v>
      </c>
      <c r="AA94" s="4" t="s">
        <v>895</v>
      </c>
      <c r="AB94" s="4" t="s">
        <v>602</v>
      </c>
      <c r="AC94" s="4" t="n">
        <v>1</v>
      </c>
      <c r="AD94" s="4" t="s">
        <v>882</v>
      </c>
    </row>
    <row r="95" customFormat="false" ht="15" hidden="false" customHeight="false" outlineLevel="0" collapsed="false">
      <c r="A95" s="4" t="s">
        <v>896</v>
      </c>
      <c r="B95" s="4" t="s">
        <v>897</v>
      </c>
      <c r="C95" s="4" t="s">
        <v>897</v>
      </c>
      <c r="D95" s="4"/>
      <c r="E95" s="4" t="n">
        <v>1</v>
      </c>
      <c r="F95" s="4" t="s">
        <v>25</v>
      </c>
      <c r="G95" s="4" t="s">
        <v>13</v>
      </c>
      <c r="H95" s="4" t="s">
        <v>93</v>
      </c>
      <c r="I95" s="4" t="n">
        <v>60</v>
      </c>
      <c r="J95" s="4"/>
      <c r="K95" s="4" t="s">
        <v>716</v>
      </c>
      <c r="L95" s="4" t="s">
        <v>898</v>
      </c>
      <c r="M95" s="4" t="s">
        <v>899</v>
      </c>
      <c r="N95" s="4" t="s">
        <v>83</v>
      </c>
      <c r="O95" s="4" t="s">
        <v>33</v>
      </c>
      <c r="P95" s="4" t="s">
        <v>900</v>
      </c>
      <c r="Q95" s="4"/>
      <c r="R95" s="4" t="s">
        <v>901</v>
      </c>
      <c r="S95" s="4" t="s">
        <v>879</v>
      </c>
      <c r="T95" s="4" t="n">
        <v>-33.400473</v>
      </c>
      <c r="U95" s="4" t="n">
        <v>-71.097607</v>
      </c>
      <c r="V95" s="4" t="s">
        <v>902</v>
      </c>
      <c r="W95" s="4" t="s">
        <v>902</v>
      </c>
      <c r="X95" s="4" t="n">
        <v>26</v>
      </c>
      <c r="Y95" s="9" t="n">
        <v>4.3</v>
      </c>
      <c r="Z95" s="4" t="s">
        <v>696</v>
      </c>
      <c r="AA95" s="4" t="s">
        <v>903</v>
      </c>
      <c r="AB95" s="4" t="s">
        <v>904</v>
      </c>
      <c r="AC95" s="4" t="n">
        <v>1</v>
      </c>
      <c r="AD95" s="4" t="s">
        <v>905</v>
      </c>
    </row>
    <row r="96" customFormat="false" ht="15" hidden="false" customHeight="false" outlineLevel="0" collapsed="false">
      <c r="A96" s="4" t="s">
        <v>906</v>
      </c>
      <c r="B96" s="4" t="s">
        <v>907</v>
      </c>
      <c r="C96" s="4" t="s">
        <v>907</v>
      </c>
      <c r="D96" s="4"/>
      <c r="E96" s="4" t="n">
        <v>1</v>
      </c>
      <c r="F96" s="4" t="s">
        <v>20</v>
      </c>
      <c r="G96" s="4" t="s">
        <v>13</v>
      </c>
      <c r="H96" s="4" t="s">
        <v>93</v>
      </c>
      <c r="I96" s="4" t="n">
        <v>60</v>
      </c>
      <c r="J96" s="4"/>
      <c r="K96" s="4" t="s">
        <v>716</v>
      </c>
      <c r="L96" s="4" t="s">
        <v>908</v>
      </c>
      <c r="M96" s="4" t="s">
        <v>909</v>
      </c>
      <c r="N96" s="4" t="s">
        <v>83</v>
      </c>
      <c r="O96" s="4" t="s">
        <v>31</v>
      </c>
      <c r="P96" s="4" t="s">
        <v>31</v>
      </c>
      <c r="Q96" s="4" t="s">
        <v>234</v>
      </c>
      <c r="R96" s="4" t="s">
        <v>910</v>
      </c>
      <c r="S96" s="4" t="s">
        <v>85</v>
      </c>
      <c r="T96" s="4" t="n">
        <v>-33.130616</v>
      </c>
      <c r="U96" s="4" t="n">
        <v>-71.551216</v>
      </c>
      <c r="V96" s="4" t="s">
        <v>184</v>
      </c>
      <c r="W96" s="4" t="s">
        <v>184</v>
      </c>
      <c r="X96" s="4" t="n">
        <v>15</v>
      </c>
      <c r="Y96" s="9" t="n">
        <v>2.7</v>
      </c>
      <c r="Z96" s="4" t="s">
        <v>911</v>
      </c>
      <c r="AA96" s="4" t="s">
        <v>912</v>
      </c>
      <c r="AB96" s="4" t="s">
        <v>913</v>
      </c>
      <c r="AC96" s="4" t="n">
        <v>2</v>
      </c>
      <c r="AD96" s="4" t="s">
        <v>725</v>
      </c>
    </row>
    <row r="97" customFormat="false" ht="15" hidden="false" customHeight="false" outlineLevel="0" collapsed="false">
      <c r="A97" s="4" t="s">
        <v>914</v>
      </c>
      <c r="B97" s="4" t="s">
        <v>915</v>
      </c>
      <c r="C97" s="4" t="s">
        <v>915</v>
      </c>
      <c r="D97" s="4"/>
      <c r="E97" s="4" t="n">
        <v>1</v>
      </c>
      <c r="F97" s="4" t="s">
        <v>20</v>
      </c>
      <c r="G97" s="4" t="s">
        <v>13</v>
      </c>
      <c r="H97" s="4" t="s">
        <v>93</v>
      </c>
      <c r="I97" s="4" t="n">
        <v>60</v>
      </c>
      <c r="J97" s="4"/>
      <c r="K97" s="4" t="s">
        <v>716</v>
      </c>
      <c r="L97" s="4" t="s">
        <v>916</v>
      </c>
      <c r="M97" s="4" t="s">
        <v>917</v>
      </c>
      <c r="N97" s="4" t="s">
        <v>83</v>
      </c>
      <c r="O97" s="4" t="s">
        <v>31</v>
      </c>
      <c r="P97" s="4" t="s">
        <v>31</v>
      </c>
      <c r="Q97" s="4"/>
      <c r="R97" s="4" t="s">
        <v>918</v>
      </c>
      <c r="S97" s="4" t="s">
        <v>85</v>
      </c>
      <c r="T97" s="4" t="n">
        <v>-33.092781</v>
      </c>
      <c r="U97" s="4" t="n">
        <v>-71.587376</v>
      </c>
      <c r="V97" s="4" t="s">
        <v>224</v>
      </c>
      <c r="W97" s="4" t="s">
        <v>224</v>
      </c>
      <c r="X97" s="4" t="n">
        <v>13</v>
      </c>
      <c r="Y97" s="9" t="n">
        <v>4.5</v>
      </c>
      <c r="Z97" s="4"/>
      <c r="AA97" s="4" t="s">
        <v>919</v>
      </c>
      <c r="AB97" s="4" t="s">
        <v>471</v>
      </c>
      <c r="AC97" s="4" t="n">
        <v>3</v>
      </c>
      <c r="AD97" s="4" t="s">
        <v>759</v>
      </c>
    </row>
    <row r="98" customFormat="false" ht="15" hidden="false" customHeight="false" outlineLevel="0" collapsed="false">
      <c r="A98" s="4" t="s">
        <v>920</v>
      </c>
      <c r="B98" s="4" t="s">
        <v>364</v>
      </c>
      <c r="C98" s="4" t="s">
        <v>364</v>
      </c>
      <c r="D98" s="4" t="s">
        <v>364</v>
      </c>
      <c r="E98" s="4" t="n">
        <v>2</v>
      </c>
      <c r="F98" s="4" t="s">
        <v>22</v>
      </c>
      <c r="G98" s="4" t="s">
        <v>13</v>
      </c>
      <c r="H98" s="4" t="s">
        <v>93</v>
      </c>
      <c r="I98" s="4" t="n">
        <v>55</v>
      </c>
      <c r="J98" s="4"/>
      <c r="K98" s="4" t="s">
        <v>716</v>
      </c>
      <c r="L98" s="4" t="s">
        <v>921</v>
      </c>
      <c r="M98" s="4" t="s">
        <v>367</v>
      </c>
      <c r="N98" s="4" t="s">
        <v>83</v>
      </c>
      <c r="O98" s="4" t="s">
        <v>29</v>
      </c>
      <c r="P98" s="4" t="s">
        <v>31</v>
      </c>
      <c r="Q98" s="4" t="s">
        <v>922</v>
      </c>
      <c r="R98" s="4" t="s">
        <v>923</v>
      </c>
      <c r="S98" s="4" t="s">
        <v>397</v>
      </c>
      <c r="T98" s="4" t="n">
        <v>-33.581263</v>
      </c>
      <c r="U98" s="4" t="n">
        <v>-71.615231</v>
      </c>
      <c r="V98" s="4" t="s">
        <v>205</v>
      </c>
      <c r="W98" s="4" t="s">
        <v>205</v>
      </c>
      <c r="X98" s="4" t="n">
        <v>958</v>
      </c>
      <c r="Y98" s="9" t="n">
        <v>4.5</v>
      </c>
      <c r="Z98" s="4"/>
      <c r="AA98" s="4" t="s">
        <v>924</v>
      </c>
      <c r="AB98" s="4" t="s">
        <v>766</v>
      </c>
      <c r="AC98" s="4" t="n">
        <v>2</v>
      </c>
      <c r="AD98" s="4" t="s">
        <v>925</v>
      </c>
    </row>
    <row r="99" customFormat="false" ht="15" hidden="false" customHeight="false" outlineLevel="0" collapsed="false">
      <c r="A99" s="4" t="s">
        <v>926</v>
      </c>
      <c r="B99" s="4" t="s">
        <v>927</v>
      </c>
      <c r="C99" s="4" t="s">
        <v>927</v>
      </c>
      <c r="D99" s="4"/>
      <c r="E99" s="4" t="n">
        <v>1</v>
      </c>
      <c r="F99" s="4" t="s">
        <v>20</v>
      </c>
      <c r="G99" s="4" t="s">
        <v>13</v>
      </c>
      <c r="H99" s="4" t="s">
        <v>93</v>
      </c>
      <c r="I99" s="4" t="n">
        <v>55</v>
      </c>
      <c r="J99" s="4"/>
      <c r="K99" s="4" t="s">
        <v>716</v>
      </c>
      <c r="L99" s="4" t="s">
        <v>928</v>
      </c>
      <c r="M99" s="4" t="s">
        <v>929</v>
      </c>
      <c r="N99" s="4" t="s">
        <v>83</v>
      </c>
      <c r="O99" s="4" t="s">
        <v>29</v>
      </c>
      <c r="P99" s="4" t="s">
        <v>31</v>
      </c>
      <c r="Q99" s="4"/>
      <c r="R99" s="4" t="s">
        <v>599</v>
      </c>
      <c r="S99" s="4" t="s">
        <v>541</v>
      </c>
      <c r="T99" s="4" t="n">
        <v>-33.572313</v>
      </c>
      <c r="U99" s="4" t="n">
        <v>-71.565713</v>
      </c>
      <c r="V99" s="4" t="s">
        <v>184</v>
      </c>
      <c r="W99" s="4" t="s">
        <v>184</v>
      </c>
      <c r="X99" s="4" t="n">
        <v>28</v>
      </c>
      <c r="Y99" s="9" t="n">
        <v>4.6</v>
      </c>
      <c r="Z99" s="4" t="s">
        <v>736</v>
      </c>
      <c r="AA99" s="4" t="s">
        <v>930</v>
      </c>
      <c r="AB99" s="4" t="s">
        <v>931</v>
      </c>
      <c r="AC99" s="4" t="n">
        <v>2</v>
      </c>
      <c r="AD99" s="4" t="s">
        <v>905</v>
      </c>
    </row>
    <row r="100" customFormat="false" ht="15" hidden="false" customHeight="false" outlineLevel="0" collapsed="false">
      <c r="A100" s="4" t="s">
        <v>932</v>
      </c>
      <c r="B100" s="4" t="s">
        <v>933</v>
      </c>
      <c r="C100" s="4" t="s">
        <v>933</v>
      </c>
      <c r="D100" s="4"/>
      <c r="E100" s="4" t="n">
        <v>1</v>
      </c>
      <c r="F100" s="4" t="s">
        <v>20</v>
      </c>
      <c r="G100" s="4" t="s">
        <v>13</v>
      </c>
      <c r="H100" s="4" t="s">
        <v>93</v>
      </c>
      <c r="I100" s="4" t="n">
        <v>55</v>
      </c>
      <c r="J100" s="4" t="s">
        <v>934</v>
      </c>
      <c r="K100" s="4" t="s">
        <v>95</v>
      </c>
      <c r="L100" s="4"/>
      <c r="M100" s="4"/>
      <c r="N100" s="4" t="s">
        <v>589</v>
      </c>
      <c r="O100" s="4" t="s">
        <v>30</v>
      </c>
      <c r="P100" s="4" t="s">
        <v>31</v>
      </c>
      <c r="Q100" s="4" t="s">
        <v>935</v>
      </c>
      <c r="R100" s="4" t="s">
        <v>936</v>
      </c>
      <c r="S100" s="4" t="s">
        <v>85</v>
      </c>
      <c r="T100" s="4" t="n">
        <v>-33.005436</v>
      </c>
      <c r="U100" s="4" t="n">
        <v>-71.539659</v>
      </c>
      <c r="V100" s="4" t="s">
        <v>224</v>
      </c>
      <c r="W100" s="4" t="s">
        <v>224</v>
      </c>
      <c r="X100" s="4" t="n">
        <v>4</v>
      </c>
      <c r="Y100" s="9" t="n">
        <v>3</v>
      </c>
      <c r="Z100" s="4" t="s">
        <v>351</v>
      </c>
      <c r="AA100" s="4" t="s">
        <v>937</v>
      </c>
      <c r="AB100" s="4" t="s">
        <v>713</v>
      </c>
      <c r="AC100" s="4" t="n">
        <v>2</v>
      </c>
      <c r="AD100" s="4" t="s">
        <v>593</v>
      </c>
    </row>
    <row r="101" customFormat="false" ht="15" hidden="false" customHeight="false" outlineLevel="0" collapsed="false">
      <c r="A101" s="4" t="s">
        <v>938</v>
      </c>
      <c r="B101" s="4" t="s">
        <v>939</v>
      </c>
      <c r="C101" s="4" t="s">
        <v>939</v>
      </c>
      <c r="D101" s="4"/>
      <c r="E101" s="4" t="n">
        <v>1</v>
      </c>
      <c r="F101" s="4" t="s">
        <v>21</v>
      </c>
      <c r="G101" s="4" t="s">
        <v>13</v>
      </c>
      <c r="H101" s="4" t="s">
        <v>93</v>
      </c>
      <c r="I101" s="4" t="n">
        <v>55</v>
      </c>
      <c r="J101" s="4" t="s">
        <v>940</v>
      </c>
      <c r="K101" s="4" t="s">
        <v>80</v>
      </c>
      <c r="L101" s="4"/>
      <c r="M101" s="4"/>
      <c r="N101" s="4" t="s">
        <v>589</v>
      </c>
      <c r="O101" s="4" t="s">
        <v>29</v>
      </c>
      <c r="P101" s="4" t="s">
        <v>31</v>
      </c>
      <c r="Q101" s="4" t="s">
        <v>941</v>
      </c>
      <c r="R101" s="4" t="s">
        <v>942</v>
      </c>
      <c r="S101" s="4" t="s">
        <v>85</v>
      </c>
      <c r="T101" s="4" t="n">
        <v>-33.598842</v>
      </c>
      <c r="U101" s="4" t="n">
        <v>-71.613798</v>
      </c>
      <c r="V101" s="4" t="s">
        <v>943</v>
      </c>
      <c r="W101" s="4" t="s">
        <v>944</v>
      </c>
      <c r="X101" s="4" t="n">
        <v>1</v>
      </c>
      <c r="Y101" s="9" t="n">
        <v>4</v>
      </c>
      <c r="Z101" s="4"/>
      <c r="AA101" s="4" t="s">
        <v>945</v>
      </c>
      <c r="AB101" s="4" t="s">
        <v>381</v>
      </c>
      <c r="AC101" s="4" t="n">
        <v>1</v>
      </c>
      <c r="AD101" s="4" t="s">
        <v>752</v>
      </c>
    </row>
    <row r="102" customFormat="false" ht="15" hidden="false" customHeight="false" outlineLevel="0" collapsed="false">
      <c r="A102" s="4" t="s">
        <v>946</v>
      </c>
      <c r="B102" s="4" t="s">
        <v>947</v>
      </c>
      <c r="C102" s="4" t="s">
        <v>947</v>
      </c>
      <c r="D102" s="4"/>
      <c r="E102" s="4" t="n">
        <v>1</v>
      </c>
      <c r="F102" s="4" t="s">
        <v>22</v>
      </c>
      <c r="G102" s="4" t="s">
        <v>13</v>
      </c>
      <c r="H102" s="4" t="s">
        <v>93</v>
      </c>
      <c r="I102" s="4" t="n">
        <v>55</v>
      </c>
      <c r="J102" s="4"/>
      <c r="K102" s="4" t="s">
        <v>716</v>
      </c>
      <c r="L102" s="4" t="s">
        <v>948</v>
      </c>
      <c r="M102" s="4" t="s">
        <v>949</v>
      </c>
      <c r="N102" s="4" t="s">
        <v>83</v>
      </c>
      <c r="O102" s="4" t="s">
        <v>31</v>
      </c>
      <c r="P102" s="4" t="s">
        <v>31</v>
      </c>
      <c r="Q102" s="4" t="s">
        <v>525</v>
      </c>
      <c r="R102" s="4" t="s">
        <v>950</v>
      </c>
      <c r="S102" s="4" t="s">
        <v>85</v>
      </c>
      <c r="T102" s="4" t="n">
        <v>-33.117625</v>
      </c>
      <c r="U102" s="4" t="n">
        <v>-71.557223</v>
      </c>
      <c r="V102" s="4" t="s">
        <v>86</v>
      </c>
      <c r="W102" s="4" t="s">
        <v>86</v>
      </c>
      <c r="X102" s="4" t="n">
        <v>1</v>
      </c>
      <c r="Y102" s="9" t="n">
        <v>5</v>
      </c>
      <c r="Z102" s="4"/>
      <c r="AA102" s="4" t="s">
        <v>951</v>
      </c>
      <c r="AB102" s="4" t="s">
        <v>145</v>
      </c>
      <c r="AC102" s="4" t="n">
        <v>2</v>
      </c>
      <c r="AD102" s="4" t="s">
        <v>759</v>
      </c>
    </row>
    <row r="103" customFormat="false" ht="15" hidden="false" customHeight="false" outlineLevel="0" collapsed="false">
      <c r="A103" s="4" t="s">
        <v>952</v>
      </c>
      <c r="B103" s="4" t="s">
        <v>953</v>
      </c>
      <c r="C103" s="4" t="s">
        <v>953</v>
      </c>
      <c r="D103" s="4"/>
      <c r="E103" s="4" t="n">
        <v>1</v>
      </c>
      <c r="F103" s="4" t="s">
        <v>24</v>
      </c>
      <c r="G103" s="4" t="s">
        <v>13</v>
      </c>
      <c r="H103" s="4" t="s">
        <v>93</v>
      </c>
      <c r="I103" s="4" t="n">
        <v>55</v>
      </c>
      <c r="J103" s="4" t="s">
        <v>954</v>
      </c>
      <c r="K103" s="4" t="s">
        <v>80</v>
      </c>
      <c r="L103" s="4"/>
      <c r="M103" s="4"/>
      <c r="N103" s="4" t="s">
        <v>589</v>
      </c>
      <c r="O103" s="4" t="s">
        <v>29</v>
      </c>
      <c r="P103" s="4" t="s">
        <v>31</v>
      </c>
      <c r="Q103" s="4" t="s">
        <v>131</v>
      </c>
      <c r="R103" s="4" t="s">
        <v>955</v>
      </c>
      <c r="S103" s="4" t="s">
        <v>85</v>
      </c>
      <c r="T103" s="4" t="n">
        <v>-33.574287</v>
      </c>
      <c r="U103" s="4" t="n">
        <v>-71.627532</v>
      </c>
      <c r="V103" s="4" t="s">
        <v>152</v>
      </c>
      <c r="W103" s="4" t="s">
        <v>152</v>
      </c>
      <c r="X103" s="4" t="n">
        <v>1</v>
      </c>
      <c r="Y103" s="9" t="n">
        <v>4</v>
      </c>
      <c r="Z103" s="4"/>
      <c r="AA103" s="4" t="s">
        <v>956</v>
      </c>
      <c r="AB103" s="4" t="s">
        <v>124</v>
      </c>
      <c r="AC103" s="4" t="n">
        <v>1</v>
      </c>
      <c r="AD103" s="4" t="s">
        <v>752</v>
      </c>
    </row>
    <row r="104" customFormat="false" ht="15" hidden="false" customHeight="false" outlineLevel="0" collapsed="false">
      <c r="A104" s="4" t="s">
        <v>957</v>
      </c>
      <c r="B104" s="4" t="s">
        <v>958</v>
      </c>
      <c r="C104" s="4" t="s">
        <v>958</v>
      </c>
      <c r="D104" s="4"/>
      <c r="E104" s="4" t="n">
        <v>1</v>
      </c>
      <c r="F104" s="4" t="s">
        <v>26</v>
      </c>
      <c r="G104" s="4" t="s">
        <v>13</v>
      </c>
      <c r="H104" s="4" t="s">
        <v>93</v>
      </c>
      <c r="I104" s="4" t="n">
        <v>55</v>
      </c>
      <c r="J104" s="4" t="s">
        <v>959</v>
      </c>
      <c r="K104" s="4" t="s">
        <v>80</v>
      </c>
      <c r="L104" s="4"/>
      <c r="M104" s="4"/>
      <c r="N104" s="4" t="s">
        <v>589</v>
      </c>
      <c r="O104" s="4" t="s">
        <v>31</v>
      </c>
      <c r="P104" s="4" t="s">
        <v>31</v>
      </c>
      <c r="Q104" s="4"/>
      <c r="R104" s="4" t="s">
        <v>960</v>
      </c>
      <c r="S104" s="4" t="s">
        <v>85</v>
      </c>
      <c r="T104" s="4" t="n">
        <v>-33.040623</v>
      </c>
      <c r="U104" s="4" t="n">
        <v>-71.626868</v>
      </c>
      <c r="V104" s="4" t="s">
        <v>133</v>
      </c>
      <c r="W104" s="4" t="s">
        <v>133</v>
      </c>
      <c r="X104" s="4" t="n">
        <v>1</v>
      </c>
      <c r="Y104" s="9" t="n">
        <v>5</v>
      </c>
      <c r="Z104" s="4"/>
      <c r="AA104" s="4" t="s">
        <v>961</v>
      </c>
      <c r="AB104" s="4" t="s">
        <v>164</v>
      </c>
      <c r="AC104" s="4" t="n">
        <v>2</v>
      </c>
      <c r="AD104" s="4" t="s">
        <v>752</v>
      </c>
    </row>
    <row r="105" customFormat="false" ht="15" hidden="false" customHeight="false" outlineLevel="0" collapsed="false">
      <c r="A105" s="4" t="s">
        <v>962</v>
      </c>
      <c r="B105" s="4" t="s">
        <v>963</v>
      </c>
      <c r="C105" s="4" t="s">
        <v>963</v>
      </c>
      <c r="D105" s="4"/>
      <c r="E105" s="4" t="n">
        <v>1</v>
      </c>
      <c r="F105" s="4" t="s">
        <v>20</v>
      </c>
      <c r="G105" s="4" t="s">
        <v>13</v>
      </c>
      <c r="H105" s="4" t="s">
        <v>93</v>
      </c>
      <c r="I105" s="4" t="n">
        <v>55</v>
      </c>
      <c r="J105" s="4" t="s">
        <v>964</v>
      </c>
      <c r="K105" s="4" t="s">
        <v>80</v>
      </c>
      <c r="L105" s="4"/>
      <c r="M105" s="4"/>
      <c r="N105" s="4" t="s">
        <v>589</v>
      </c>
      <c r="O105" s="4" t="s">
        <v>30</v>
      </c>
      <c r="P105" s="4" t="s">
        <v>31</v>
      </c>
      <c r="Q105" s="4" t="s">
        <v>965</v>
      </c>
      <c r="R105" s="4" t="s">
        <v>966</v>
      </c>
      <c r="S105" s="4" t="s">
        <v>85</v>
      </c>
      <c r="T105" s="4" t="n">
        <v>-32.998835</v>
      </c>
      <c r="U105" s="4" t="n">
        <v>-71.492737</v>
      </c>
      <c r="V105" s="4" t="s">
        <v>694</v>
      </c>
      <c r="W105" s="4" t="s">
        <v>694</v>
      </c>
      <c r="X105" s="4" t="n">
        <v>1</v>
      </c>
      <c r="Y105" s="9" t="n">
        <v>4</v>
      </c>
      <c r="Z105" s="4"/>
      <c r="AA105" s="4" t="s">
        <v>967</v>
      </c>
      <c r="AB105" s="4" t="s">
        <v>713</v>
      </c>
      <c r="AC105" s="4" t="n">
        <v>2</v>
      </c>
      <c r="AD105" s="4" t="s">
        <v>752</v>
      </c>
    </row>
    <row r="106" customFormat="false" ht="15" hidden="false" customHeight="false" outlineLevel="0" collapsed="false">
      <c r="A106" s="4" t="s">
        <v>968</v>
      </c>
      <c r="B106" s="4" t="s">
        <v>969</v>
      </c>
      <c r="C106" s="4" t="s">
        <v>969</v>
      </c>
      <c r="D106" s="4"/>
      <c r="E106" s="4" t="n">
        <v>1</v>
      </c>
      <c r="F106" s="4" t="s">
        <v>25</v>
      </c>
      <c r="G106" s="4" t="s">
        <v>13</v>
      </c>
      <c r="H106" s="4" t="s">
        <v>93</v>
      </c>
      <c r="I106" s="4" t="n">
        <v>55</v>
      </c>
      <c r="J106" s="4" t="s">
        <v>970</v>
      </c>
      <c r="K106" s="4" t="s">
        <v>80</v>
      </c>
      <c r="L106" s="4"/>
      <c r="M106" s="4"/>
      <c r="N106" s="4" t="s">
        <v>589</v>
      </c>
      <c r="O106" s="4" t="s">
        <v>33</v>
      </c>
      <c r="P106" s="4" t="s">
        <v>900</v>
      </c>
      <c r="Q106" s="4"/>
      <c r="R106" s="4" t="s">
        <v>971</v>
      </c>
      <c r="S106" s="4" t="s">
        <v>85</v>
      </c>
      <c r="T106" s="4" t="n">
        <v>-33.405258</v>
      </c>
      <c r="U106" s="4" t="n">
        <v>-71.126551</v>
      </c>
      <c r="V106" s="4"/>
      <c r="W106" s="4"/>
      <c r="X106" s="4" t="n">
        <v>1</v>
      </c>
      <c r="Y106" s="9" t="n">
        <v>5</v>
      </c>
      <c r="Z106" s="4"/>
      <c r="AA106" s="4" t="s">
        <v>972</v>
      </c>
      <c r="AB106" s="4" t="s">
        <v>904</v>
      </c>
      <c r="AC106" s="4" t="n">
        <v>1</v>
      </c>
      <c r="AD106" s="4" t="s">
        <v>973</v>
      </c>
    </row>
    <row r="107" customFormat="false" ht="15" hidden="false" customHeight="false" outlineLevel="0" collapsed="false">
      <c r="A107" s="4" t="s">
        <v>974</v>
      </c>
      <c r="B107" s="4" t="s">
        <v>975</v>
      </c>
      <c r="C107" s="4" t="s">
        <v>975</v>
      </c>
      <c r="D107" s="4"/>
      <c r="E107" s="4" t="n">
        <v>1</v>
      </c>
      <c r="F107" s="4" t="s">
        <v>27</v>
      </c>
      <c r="G107" s="4" t="s">
        <v>13</v>
      </c>
      <c r="H107" s="4" t="s">
        <v>93</v>
      </c>
      <c r="I107" s="4" t="n">
        <v>50</v>
      </c>
      <c r="J107" s="4" t="s">
        <v>976</v>
      </c>
      <c r="K107" s="4" t="s">
        <v>80</v>
      </c>
      <c r="L107" s="4"/>
      <c r="M107" s="4"/>
      <c r="N107" s="4" t="s">
        <v>589</v>
      </c>
      <c r="O107" s="4" t="s">
        <v>34</v>
      </c>
      <c r="P107" s="4" t="s">
        <v>31</v>
      </c>
      <c r="Q107" s="4"/>
      <c r="R107" s="4" t="s">
        <v>977</v>
      </c>
      <c r="S107" s="4" t="s">
        <v>85</v>
      </c>
      <c r="T107" s="4" t="n">
        <v>-32.923877</v>
      </c>
      <c r="U107" s="4" t="n">
        <v>-71.506162</v>
      </c>
      <c r="V107" s="4" t="s">
        <v>978</v>
      </c>
      <c r="W107" s="4" t="s">
        <v>978</v>
      </c>
      <c r="X107" s="4" t="n">
        <v>36</v>
      </c>
      <c r="Y107" s="9" t="n">
        <v>3.5</v>
      </c>
      <c r="Z107" s="4"/>
      <c r="AA107" s="4" t="s">
        <v>979</v>
      </c>
      <c r="AB107" s="4" t="s">
        <v>629</v>
      </c>
      <c r="AC107" s="4" t="n">
        <v>2</v>
      </c>
      <c r="AD107" s="4" t="s">
        <v>752</v>
      </c>
    </row>
    <row r="108" customFormat="false" ht="15" hidden="false" customHeight="false" outlineLevel="0" collapsed="false">
      <c r="A108" s="4" t="s">
        <v>980</v>
      </c>
      <c r="B108" s="4" t="s">
        <v>981</v>
      </c>
      <c r="C108" s="4" t="s">
        <v>981</v>
      </c>
      <c r="D108" s="4"/>
      <c r="E108" s="4" t="n">
        <v>1</v>
      </c>
      <c r="F108" s="4" t="s">
        <v>20</v>
      </c>
      <c r="G108" s="4" t="s">
        <v>13</v>
      </c>
      <c r="H108" s="4" t="s">
        <v>93</v>
      </c>
      <c r="I108" s="4" t="n">
        <v>50</v>
      </c>
      <c r="J108" s="4" t="s">
        <v>982</v>
      </c>
      <c r="K108" s="4" t="s">
        <v>80</v>
      </c>
      <c r="L108" s="4"/>
      <c r="M108" s="4"/>
      <c r="N108" s="4" t="s">
        <v>589</v>
      </c>
      <c r="O108" s="4" t="s">
        <v>29</v>
      </c>
      <c r="P108" s="4" t="s">
        <v>31</v>
      </c>
      <c r="Q108" s="4"/>
      <c r="R108" s="4" t="s">
        <v>983</v>
      </c>
      <c r="S108" s="4" t="s">
        <v>85</v>
      </c>
      <c r="T108" s="4" t="n">
        <v>-33.596138</v>
      </c>
      <c r="U108" s="4" t="n">
        <v>-71.614726</v>
      </c>
      <c r="V108" s="4" t="s">
        <v>984</v>
      </c>
      <c r="W108" s="4" t="s">
        <v>984</v>
      </c>
      <c r="X108" s="4"/>
      <c r="Y108" s="9"/>
      <c r="Z108" s="4" t="s">
        <v>985</v>
      </c>
      <c r="AA108" s="4" t="s">
        <v>986</v>
      </c>
      <c r="AB108" s="4" t="s">
        <v>640</v>
      </c>
      <c r="AC108" s="4" t="n">
        <v>2</v>
      </c>
      <c r="AD108" s="4" t="s">
        <v>987</v>
      </c>
    </row>
    <row r="109" customFormat="false" ht="15" hidden="false" customHeight="false" outlineLevel="0" collapsed="false">
      <c r="A109" s="4" t="s">
        <v>988</v>
      </c>
      <c r="B109" s="4" t="s">
        <v>989</v>
      </c>
      <c r="C109" s="4" t="s">
        <v>989</v>
      </c>
      <c r="D109" s="4"/>
      <c r="E109" s="4" t="n">
        <v>1</v>
      </c>
      <c r="F109" s="4" t="s">
        <v>21</v>
      </c>
      <c r="G109" s="4" t="s">
        <v>13</v>
      </c>
      <c r="H109" s="4" t="s">
        <v>93</v>
      </c>
      <c r="I109" s="4" t="n">
        <v>50</v>
      </c>
      <c r="J109" s="4" t="s">
        <v>990</v>
      </c>
      <c r="K109" s="4" t="s">
        <v>95</v>
      </c>
      <c r="L109" s="4" t="s">
        <v>991</v>
      </c>
      <c r="M109" s="4" t="s">
        <v>992</v>
      </c>
      <c r="N109" s="4" t="s">
        <v>589</v>
      </c>
      <c r="O109" s="4" t="s">
        <v>29</v>
      </c>
      <c r="P109" s="4" t="s">
        <v>31</v>
      </c>
      <c r="Q109" s="4" t="s">
        <v>993</v>
      </c>
      <c r="R109" s="4" t="s">
        <v>994</v>
      </c>
      <c r="S109" s="4" t="s">
        <v>85</v>
      </c>
      <c r="T109" s="4" t="n">
        <v>-33.569725</v>
      </c>
      <c r="U109" s="4" t="n">
        <v>-71.602148</v>
      </c>
      <c r="V109" s="4" t="s">
        <v>995</v>
      </c>
      <c r="W109" s="4" t="s">
        <v>995</v>
      </c>
      <c r="X109" s="4"/>
      <c r="Y109" s="9"/>
      <c r="Z109" s="4" t="s">
        <v>996</v>
      </c>
      <c r="AA109" s="4" t="s">
        <v>997</v>
      </c>
      <c r="AB109" s="4" t="s">
        <v>998</v>
      </c>
      <c r="AC109" s="4" t="n">
        <v>3</v>
      </c>
      <c r="AD109" s="4" t="s">
        <v>987</v>
      </c>
    </row>
    <row r="110" customFormat="false" ht="15" hidden="false" customHeight="false" outlineLevel="0" collapsed="false">
      <c r="A110" s="4" t="s">
        <v>999</v>
      </c>
      <c r="B110" s="4" t="s">
        <v>1000</v>
      </c>
      <c r="C110" s="4" t="s">
        <v>1000</v>
      </c>
      <c r="D110" s="4"/>
      <c r="E110" s="4" t="n">
        <v>1</v>
      </c>
      <c r="F110" s="4" t="s">
        <v>25</v>
      </c>
      <c r="G110" s="4" t="s">
        <v>13</v>
      </c>
      <c r="H110" s="4" t="s">
        <v>93</v>
      </c>
      <c r="I110" s="4" t="n">
        <v>50</v>
      </c>
      <c r="J110" s="4" t="s">
        <v>1001</v>
      </c>
      <c r="K110" s="4" t="s">
        <v>95</v>
      </c>
      <c r="L110" s="4" t="s">
        <v>1002</v>
      </c>
      <c r="M110" s="4" t="s">
        <v>1003</v>
      </c>
      <c r="N110" s="4" t="s">
        <v>589</v>
      </c>
      <c r="O110" s="4" t="s">
        <v>29</v>
      </c>
      <c r="P110" s="4" t="s">
        <v>31</v>
      </c>
      <c r="Q110" s="4" t="s">
        <v>1004</v>
      </c>
      <c r="R110" s="4" t="s">
        <v>1005</v>
      </c>
      <c r="S110" s="4" t="s">
        <v>85</v>
      </c>
      <c r="T110" s="4" t="n">
        <v>-33.611844</v>
      </c>
      <c r="U110" s="4" t="n">
        <v>-71.601151</v>
      </c>
      <c r="V110" s="4" t="s">
        <v>1006</v>
      </c>
      <c r="W110" s="4" t="s">
        <v>1007</v>
      </c>
      <c r="X110" s="4"/>
      <c r="Y110" s="9"/>
      <c r="Z110" s="4" t="s">
        <v>1008</v>
      </c>
      <c r="AA110" s="4" t="s">
        <v>1009</v>
      </c>
      <c r="AB110" s="4" t="s">
        <v>640</v>
      </c>
      <c r="AC110" s="4" t="n">
        <v>1</v>
      </c>
      <c r="AD110" s="4" t="s">
        <v>987</v>
      </c>
    </row>
    <row r="111" customFormat="false" ht="15" hidden="false" customHeight="false" outlineLevel="0" collapsed="false">
      <c r="A111" s="4" t="s">
        <v>1010</v>
      </c>
      <c r="B111" s="4" t="s">
        <v>1011</v>
      </c>
      <c r="C111" s="4" t="s">
        <v>1011</v>
      </c>
      <c r="D111" s="4"/>
      <c r="E111" s="4" t="n">
        <v>1</v>
      </c>
      <c r="F111" s="4" t="s">
        <v>20</v>
      </c>
      <c r="G111" s="4" t="s">
        <v>13</v>
      </c>
      <c r="H111" s="4" t="s">
        <v>93</v>
      </c>
      <c r="I111" s="4" t="n">
        <v>50</v>
      </c>
      <c r="J111" s="4" t="s">
        <v>1012</v>
      </c>
      <c r="K111" s="4" t="s">
        <v>95</v>
      </c>
      <c r="L111" s="4"/>
      <c r="M111" s="4"/>
      <c r="N111" s="4" t="s">
        <v>589</v>
      </c>
      <c r="O111" s="4" t="s">
        <v>31</v>
      </c>
      <c r="P111" s="4" t="s">
        <v>31</v>
      </c>
      <c r="Q111" s="4" t="s">
        <v>1013</v>
      </c>
      <c r="R111" s="4" t="s">
        <v>1014</v>
      </c>
      <c r="S111" s="4" t="s">
        <v>85</v>
      </c>
      <c r="T111" s="4" t="n">
        <v>-33.110518</v>
      </c>
      <c r="U111" s="4" t="n">
        <v>-71.575885</v>
      </c>
      <c r="V111" s="4" t="s">
        <v>224</v>
      </c>
      <c r="W111" s="4" t="s">
        <v>224</v>
      </c>
      <c r="X111" s="4"/>
      <c r="Y111" s="9"/>
      <c r="Z111" s="4" t="s">
        <v>1015</v>
      </c>
      <c r="AA111" s="4" t="s">
        <v>1016</v>
      </c>
      <c r="AB111" s="4" t="s">
        <v>1017</v>
      </c>
      <c r="AC111" s="4" t="n">
        <v>1</v>
      </c>
      <c r="AD111" s="4" t="s">
        <v>987</v>
      </c>
    </row>
    <row r="112" customFormat="false" ht="15" hidden="false" customHeight="false" outlineLevel="0" collapsed="false">
      <c r="A112" s="4" t="s">
        <v>1018</v>
      </c>
      <c r="B112" s="4" t="s">
        <v>1019</v>
      </c>
      <c r="C112" s="4" t="s">
        <v>1019</v>
      </c>
      <c r="D112" s="4"/>
      <c r="E112" s="4" t="n">
        <v>1</v>
      </c>
      <c r="F112" s="4" t="s">
        <v>20</v>
      </c>
      <c r="G112" s="4" t="s">
        <v>13</v>
      </c>
      <c r="H112" s="4" t="s">
        <v>93</v>
      </c>
      <c r="I112" s="4" t="n">
        <v>50</v>
      </c>
      <c r="J112" s="4" t="s">
        <v>1020</v>
      </c>
      <c r="K112" s="4" t="s">
        <v>95</v>
      </c>
      <c r="L112" s="4"/>
      <c r="M112" s="4"/>
      <c r="N112" s="4" t="s">
        <v>589</v>
      </c>
      <c r="O112" s="4" t="s">
        <v>30</v>
      </c>
      <c r="P112" s="4" t="s">
        <v>31</v>
      </c>
      <c r="Q112" s="4" t="s">
        <v>234</v>
      </c>
      <c r="R112" s="4" t="s">
        <v>1021</v>
      </c>
      <c r="S112" s="4" t="s">
        <v>85</v>
      </c>
      <c r="T112" s="4" t="n">
        <v>-33.024015</v>
      </c>
      <c r="U112" s="4" t="n">
        <v>-71.557206</v>
      </c>
      <c r="V112" s="4" t="s">
        <v>184</v>
      </c>
      <c r="W112" s="4" t="s">
        <v>184</v>
      </c>
      <c r="X112" s="4"/>
      <c r="Y112" s="9"/>
      <c r="Z112" s="4" t="s">
        <v>186</v>
      </c>
      <c r="AA112" s="4" t="s">
        <v>1022</v>
      </c>
      <c r="AB112" s="4" t="s">
        <v>1017</v>
      </c>
      <c r="AC112" s="4" t="n">
        <v>2</v>
      </c>
      <c r="AD112" s="4" t="s">
        <v>987</v>
      </c>
    </row>
    <row r="113" customFormat="false" ht="15" hidden="false" customHeight="false" outlineLevel="0" collapsed="false">
      <c r="A113" s="4" t="s">
        <v>1023</v>
      </c>
      <c r="B113" s="4" t="s">
        <v>1024</v>
      </c>
      <c r="C113" s="4" t="s">
        <v>1025</v>
      </c>
      <c r="D113" s="4"/>
      <c r="E113" s="4" t="n">
        <v>1</v>
      </c>
      <c r="F113" s="4" t="s">
        <v>20</v>
      </c>
      <c r="G113" s="4" t="s">
        <v>13</v>
      </c>
      <c r="H113" s="4" t="s">
        <v>93</v>
      </c>
      <c r="I113" s="4" t="n">
        <v>50</v>
      </c>
      <c r="J113" s="4"/>
      <c r="K113" s="4" t="s">
        <v>716</v>
      </c>
      <c r="L113" s="4" t="s">
        <v>1026</v>
      </c>
      <c r="M113" s="4" t="s">
        <v>1027</v>
      </c>
      <c r="N113" s="4" t="s">
        <v>83</v>
      </c>
      <c r="O113" s="4" t="s">
        <v>30</v>
      </c>
      <c r="P113" s="4" t="s">
        <v>31</v>
      </c>
      <c r="Q113" s="4" t="s">
        <v>1028</v>
      </c>
      <c r="R113" s="4" t="s">
        <v>1029</v>
      </c>
      <c r="S113" s="4" t="s">
        <v>85</v>
      </c>
      <c r="T113" s="4" t="n">
        <v>-33.021094</v>
      </c>
      <c r="U113" s="4" t="n">
        <v>-71.544787</v>
      </c>
      <c r="V113" s="4" t="s">
        <v>711</v>
      </c>
      <c r="W113" s="4" t="s">
        <v>711</v>
      </c>
      <c r="X113" s="4"/>
      <c r="Y113" s="9"/>
      <c r="Z113" s="4" t="s">
        <v>186</v>
      </c>
      <c r="AA113" s="4" t="s">
        <v>1030</v>
      </c>
      <c r="AB113" s="4" t="s">
        <v>1017</v>
      </c>
      <c r="AC113" s="4" t="n">
        <v>2</v>
      </c>
      <c r="AD113" s="4" t="s">
        <v>1031</v>
      </c>
    </row>
    <row r="114" customFormat="false" ht="15" hidden="false" customHeight="false" outlineLevel="0" collapsed="false">
      <c r="A114" s="4" t="s">
        <v>1032</v>
      </c>
      <c r="B114" s="4" t="s">
        <v>1033</v>
      </c>
      <c r="C114" s="4" t="s">
        <v>1033</v>
      </c>
      <c r="D114" s="4"/>
      <c r="E114" s="4" t="n">
        <v>1</v>
      </c>
      <c r="F114" s="4" t="s">
        <v>20</v>
      </c>
      <c r="G114" s="4" t="s">
        <v>13</v>
      </c>
      <c r="H114" s="4" t="s">
        <v>93</v>
      </c>
      <c r="I114" s="4" t="n">
        <v>50</v>
      </c>
      <c r="J114" s="4" t="s">
        <v>1034</v>
      </c>
      <c r="K114" s="4" t="s">
        <v>95</v>
      </c>
      <c r="L114" s="4"/>
      <c r="M114" s="4"/>
      <c r="N114" s="4" t="s">
        <v>589</v>
      </c>
      <c r="O114" s="4" t="s">
        <v>30</v>
      </c>
      <c r="P114" s="4" t="s">
        <v>31</v>
      </c>
      <c r="Q114" s="4" t="s">
        <v>234</v>
      </c>
      <c r="R114" s="4" t="s">
        <v>1035</v>
      </c>
      <c r="S114" s="4" t="s">
        <v>85</v>
      </c>
      <c r="T114" s="4" t="n">
        <v>-32.990178</v>
      </c>
      <c r="U114" s="4" t="n">
        <v>-71.510329</v>
      </c>
      <c r="V114" s="4" t="s">
        <v>184</v>
      </c>
      <c r="W114" s="4" t="s">
        <v>184</v>
      </c>
      <c r="X114" s="4"/>
      <c r="Y114" s="9"/>
      <c r="Z114" s="4" t="s">
        <v>1036</v>
      </c>
      <c r="AA114" s="4" t="s">
        <v>1037</v>
      </c>
      <c r="AB114" s="4" t="s">
        <v>1017</v>
      </c>
      <c r="AC114" s="4" t="n">
        <v>2</v>
      </c>
      <c r="AD114" s="4" t="s">
        <v>987</v>
      </c>
    </row>
    <row r="115" customFormat="false" ht="15" hidden="false" customHeight="false" outlineLevel="0" collapsed="false">
      <c r="A115" s="4" t="s">
        <v>1038</v>
      </c>
      <c r="B115" s="4" t="s">
        <v>1039</v>
      </c>
      <c r="C115" s="4" t="s">
        <v>1039</v>
      </c>
      <c r="D115" s="4"/>
      <c r="E115" s="4" t="n">
        <v>1</v>
      </c>
      <c r="F115" s="4" t="s">
        <v>24</v>
      </c>
      <c r="G115" s="4" t="s">
        <v>13</v>
      </c>
      <c r="H115" s="4" t="s">
        <v>93</v>
      </c>
      <c r="I115" s="4" t="n">
        <v>50</v>
      </c>
      <c r="J115" s="4" t="s">
        <v>1040</v>
      </c>
      <c r="K115" s="4" t="s">
        <v>95</v>
      </c>
      <c r="L115" s="4"/>
      <c r="M115" s="4"/>
      <c r="N115" s="4" t="s">
        <v>589</v>
      </c>
      <c r="O115" s="4" t="s">
        <v>33</v>
      </c>
      <c r="P115" s="4" t="s">
        <v>900</v>
      </c>
      <c r="Q115" s="4" t="s">
        <v>1041</v>
      </c>
      <c r="R115" s="4" t="s">
        <v>1042</v>
      </c>
      <c r="S115" s="4" t="s">
        <v>85</v>
      </c>
      <c r="T115" s="4" t="n">
        <v>-33.412278</v>
      </c>
      <c r="U115" s="4" t="n">
        <v>-71.059856</v>
      </c>
      <c r="V115" s="4"/>
      <c r="W115" s="4"/>
      <c r="X115" s="4"/>
      <c r="Y115" s="9"/>
      <c r="Z115" s="4" t="s">
        <v>1043</v>
      </c>
      <c r="AA115" s="4" t="s">
        <v>1044</v>
      </c>
      <c r="AB115" s="4" t="s">
        <v>1045</v>
      </c>
      <c r="AC115" s="4" t="n">
        <v>1</v>
      </c>
      <c r="AD115" s="4" t="s">
        <v>1046</v>
      </c>
    </row>
    <row r="116" customFormat="false" ht="15" hidden="false" customHeight="false" outlineLevel="0" collapsed="false">
      <c r="A116" s="4" t="s">
        <v>1047</v>
      </c>
      <c r="B116" s="4" t="s">
        <v>1048</v>
      </c>
      <c r="C116" s="4" t="s">
        <v>1048</v>
      </c>
      <c r="D116" s="4"/>
      <c r="E116" s="4" t="n">
        <v>1</v>
      </c>
      <c r="F116" s="4" t="s">
        <v>24</v>
      </c>
      <c r="G116" s="4" t="s">
        <v>13</v>
      </c>
      <c r="H116" s="4" t="s">
        <v>93</v>
      </c>
      <c r="I116" s="4" t="n">
        <v>50</v>
      </c>
      <c r="J116" s="4" t="s">
        <v>1049</v>
      </c>
      <c r="K116" s="4" t="s">
        <v>95</v>
      </c>
      <c r="L116" s="4"/>
      <c r="M116" s="4"/>
      <c r="N116" s="4" t="s">
        <v>589</v>
      </c>
      <c r="O116" s="4" t="s">
        <v>33</v>
      </c>
      <c r="P116" s="4" t="s">
        <v>900</v>
      </c>
      <c r="Q116" s="4" t="s">
        <v>1041</v>
      </c>
      <c r="R116" s="4" t="s">
        <v>1050</v>
      </c>
      <c r="S116" s="4" t="s">
        <v>85</v>
      </c>
      <c r="T116" s="4" t="n">
        <v>-33.401165</v>
      </c>
      <c r="U116" s="4" t="n">
        <v>-71.115434</v>
      </c>
      <c r="V116" s="4"/>
      <c r="W116" s="4"/>
      <c r="X116" s="4"/>
      <c r="Y116" s="9"/>
      <c r="Z116" s="4" t="s">
        <v>307</v>
      </c>
      <c r="AA116" s="4" t="s">
        <v>1051</v>
      </c>
      <c r="AB116" s="4" t="s">
        <v>1045</v>
      </c>
      <c r="AC116" s="4" t="n">
        <v>1</v>
      </c>
      <c r="AD116" s="4" t="s">
        <v>1046</v>
      </c>
    </row>
    <row r="117" customFormat="false" ht="15" hidden="false" customHeight="false" outlineLevel="0" collapsed="false">
      <c r="A117" s="4" t="s">
        <v>1052</v>
      </c>
      <c r="B117" s="4" t="s">
        <v>1053</v>
      </c>
      <c r="C117" s="4" t="s">
        <v>1053</v>
      </c>
      <c r="D117" s="4"/>
      <c r="E117" s="4" t="n">
        <v>1</v>
      </c>
      <c r="F117" s="4" t="s">
        <v>20</v>
      </c>
      <c r="G117" s="4" t="s">
        <v>13</v>
      </c>
      <c r="H117" s="4" t="s">
        <v>93</v>
      </c>
      <c r="I117" s="4" t="n">
        <v>50</v>
      </c>
      <c r="J117" s="4" t="s">
        <v>1054</v>
      </c>
      <c r="K117" s="4" t="s">
        <v>95</v>
      </c>
      <c r="L117" s="4"/>
      <c r="M117" s="4"/>
      <c r="N117" s="4" t="s">
        <v>589</v>
      </c>
      <c r="O117" s="4" t="s">
        <v>29</v>
      </c>
      <c r="P117" s="4" t="s">
        <v>31</v>
      </c>
      <c r="Q117" s="4" t="s">
        <v>131</v>
      </c>
      <c r="R117" s="4" t="s">
        <v>1055</v>
      </c>
      <c r="S117" s="4" t="s">
        <v>85</v>
      </c>
      <c r="T117" s="4" t="n">
        <v>-33.587755</v>
      </c>
      <c r="U117" s="4" t="n">
        <v>-71.610653</v>
      </c>
      <c r="V117" s="4" t="s">
        <v>184</v>
      </c>
      <c r="W117" s="4" t="s">
        <v>184</v>
      </c>
      <c r="X117" s="4"/>
      <c r="Y117" s="9"/>
      <c r="Z117" s="4" t="s">
        <v>1056</v>
      </c>
      <c r="AA117" s="4" t="s">
        <v>1057</v>
      </c>
      <c r="AB117" s="4" t="s">
        <v>698</v>
      </c>
      <c r="AC117" s="4" t="n">
        <v>1</v>
      </c>
      <c r="AD117" s="4" t="s">
        <v>987</v>
      </c>
    </row>
    <row r="118" customFormat="false" ht="15" hidden="false" customHeight="false" outlineLevel="0" collapsed="false">
      <c r="A118" s="4" t="s">
        <v>1058</v>
      </c>
      <c r="B118" s="4" t="s">
        <v>1059</v>
      </c>
      <c r="C118" s="4" t="s">
        <v>1059</v>
      </c>
      <c r="D118" s="4"/>
      <c r="E118" s="4" t="n">
        <v>1</v>
      </c>
      <c r="F118" s="4" t="s">
        <v>26</v>
      </c>
      <c r="G118" s="4" t="s">
        <v>13</v>
      </c>
      <c r="H118" s="4" t="s">
        <v>93</v>
      </c>
      <c r="I118" s="4" t="n">
        <v>50</v>
      </c>
      <c r="J118" s="4" t="s">
        <v>1060</v>
      </c>
      <c r="K118" s="4" t="s">
        <v>95</v>
      </c>
      <c r="L118" s="4"/>
      <c r="M118" s="4"/>
      <c r="N118" s="4" t="s">
        <v>589</v>
      </c>
      <c r="O118" s="4" t="s">
        <v>29</v>
      </c>
      <c r="P118" s="4" t="s">
        <v>31</v>
      </c>
      <c r="Q118" s="4" t="s">
        <v>131</v>
      </c>
      <c r="R118" s="4" t="s">
        <v>1061</v>
      </c>
      <c r="S118" s="4" t="s">
        <v>85</v>
      </c>
      <c r="T118" s="4" t="n">
        <v>-33.595429</v>
      </c>
      <c r="U118" s="4" t="n">
        <v>-71.596429</v>
      </c>
      <c r="V118" s="4" t="s">
        <v>1062</v>
      </c>
      <c r="W118" s="4" t="s">
        <v>1063</v>
      </c>
      <c r="X118" s="4"/>
      <c r="Y118" s="9"/>
      <c r="Z118" s="4" t="s">
        <v>186</v>
      </c>
      <c r="AA118" s="4" t="s">
        <v>1064</v>
      </c>
      <c r="AB118" s="4" t="s">
        <v>698</v>
      </c>
      <c r="AC118" s="4" t="n">
        <v>1</v>
      </c>
      <c r="AD118" s="4" t="s">
        <v>987</v>
      </c>
    </row>
    <row r="119" customFormat="false" ht="15" hidden="false" customHeight="false" outlineLevel="0" collapsed="false">
      <c r="A119" s="4" t="s">
        <v>1065</v>
      </c>
      <c r="B119" s="4" t="s">
        <v>1066</v>
      </c>
      <c r="C119" s="4" t="s">
        <v>1066</v>
      </c>
      <c r="D119" s="4"/>
      <c r="E119" s="4" t="n">
        <v>1</v>
      </c>
      <c r="F119" s="4" t="s">
        <v>22</v>
      </c>
      <c r="G119" s="4" t="s">
        <v>13</v>
      </c>
      <c r="H119" s="4" t="s">
        <v>93</v>
      </c>
      <c r="I119" s="4" t="n">
        <v>45</v>
      </c>
      <c r="J119" s="4" t="s">
        <v>1067</v>
      </c>
      <c r="K119" s="4" t="s">
        <v>80</v>
      </c>
      <c r="L119" s="4"/>
      <c r="M119" s="4"/>
      <c r="N119" s="4" t="s">
        <v>589</v>
      </c>
      <c r="O119" s="4" t="s">
        <v>35</v>
      </c>
      <c r="P119" s="4" t="s">
        <v>31</v>
      </c>
      <c r="Q119" s="4"/>
      <c r="R119" s="4" t="s">
        <v>1068</v>
      </c>
      <c r="S119" s="4" t="s">
        <v>541</v>
      </c>
      <c r="T119" s="4" t="n">
        <v>-33.561097</v>
      </c>
      <c r="U119" s="4" t="n">
        <v>-71.540521</v>
      </c>
      <c r="V119" s="4" t="s">
        <v>265</v>
      </c>
      <c r="W119" s="4" t="s">
        <v>265</v>
      </c>
      <c r="X119" s="4" t="n">
        <v>29</v>
      </c>
      <c r="Y119" s="9" t="n">
        <v>3.9</v>
      </c>
      <c r="Z119" s="4" t="s">
        <v>1069</v>
      </c>
      <c r="AA119" s="4" t="s">
        <v>1070</v>
      </c>
      <c r="AB119" s="4" t="s">
        <v>411</v>
      </c>
      <c r="AC119" s="4" t="n">
        <v>1</v>
      </c>
      <c r="AD119" s="4" t="s">
        <v>882</v>
      </c>
    </row>
    <row r="120" customFormat="false" ht="15" hidden="false" customHeight="false" outlineLevel="0" collapsed="false">
      <c r="A120" s="4" t="s">
        <v>1071</v>
      </c>
      <c r="B120" s="4" t="s">
        <v>1072</v>
      </c>
      <c r="C120" s="4" t="s">
        <v>1072</v>
      </c>
      <c r="D120" s="4"/>
      <c r="E120" s="4" t="n">
        <v>1</v>
      </c>
      <c r="F120" s="4" t="s">
        <v>24</v>
      </c>
      <c r="G120" s="4" t="s">
        <v>13</v>
      </c>
      <c r="H120" s="4" t="s">
        <v>93</v>
      </c>
      <c r="I120" s="4" t="n">
        <v>45</v>
      </c>
      <c r="J120" s="4"/>
      <c r="K120" s="4" t="s">
        <v>716</v>
      </c>
      <c r="L120" s="4" t="s">
        <v>1073</v>
      </c>
      <c r="M120" s="4" t="s">
        <v>1074</v>
      </c>
      <c r="N120" s="4" t="s">
        <v>83</v>
      </c>
      <c r="O120" s="4" t="s">
        <v>30</v>
      </c>
      <c r="P120" s="4" t="s">
        <v>31</v>
      </c>
      <c r="Q120" s="4" t="s">
        <v>1075</v>
      </c>
      <c r="R120" s="4" t="s">
        <v>1076</v>
      </c>
      <c r="S120" s="4" t="s">
        <v>85</v>
      </c>
      <c r="T120" s="4" t="n">
        <v>-33.047722</v>
      </c>
      <c r="U120" s="4" t="n">
        <v>-71.509026</v>
      </c>
      <c r="V120" s="4" t="s">
        <v>152</v>
      </c>
      <c r="W120" s="4" t="s">
        <v>152</v>
      </c>
      <c r="X120" s="4" t="n">
        <v>8</v>
      </c>
      <c r="Y120" s="9" t="n">
        <v>2.9</v>
      </c>
      <c r="Z120" s="4"/>
      <c r="AA120" s="4" t="s">
        <v>1077</v>
      </c>
      <c r="AB120" s="4" t="s">
        <v>217</v>
      </c>
      <c r="AC120" s="4" t="n">
        <v>1</v>
      </c>
      <c r="AD120" s="4" t="s">
        <v>759</v>
      </c>
    </row>
    <row r="121" customFormat="false" ht="15" hidden="false" customHeight="false" outlineLevel="0" collapsed="false">
      <c r="A121" s="4" t="s">
        <v>1078</v>
      </c>
      <c r="B121" s="4" t="s">
        <v>1079</v>
      </c>
      <c r="C121" s="4" t="s">
        <v>1079</v>
      </c>
      <c r="D121" s="4"/>
      <c r="E121" s="4" t="n">
        <v>1</v>
      </c>
      <c r="F121" s="4" t="s">
        <v>21</v>
      </c>
      <c r="G121" s="4" t="s">
        <v>13</v>
      </c>
      <c r="H121" s="4" t="s">
        <v>93</v>
      </c>
      <c r="I121" s="4" t="n">
        <v>45</v>
      </c>
      <c r="J121" s="4" t="s">
        <v>1080</v>
      </c>
      <c r="K121" s="4" t="s">
        <v>80</v>
      </c>
      <c r="L121" s="4"/>
      <c r="M121" s="4"/>
      <c r="N121" s="4" t="s">
        <v>589</v>
      </c>
      <c r="O121" s="4" t="s">
        <v>34</v>
      </c>
      <c r="P121" s="4" t="s">
        <v>31</v>
      </c>
      <c r="Q121" s="4" t="s">
        <v>1081</v>
      </c>
      <c r="R121" s="4" t="s">
        <v>1082</v>
      </c>
      <c r="S121" s="4" t="s">
        <v>85</v>
      </c>
      <c r="T121" s="4" t="n">
        <v>-32.925985</v>
      </c>
      <c r="U121" s="4" t="n">
        <v>-71.515787</v>
      </c>
      <c r="V121" s="4" t="s">
        <v>1083</v>
      </c>
      <c r="W121" s="4" t="s">
        <v>1083</v>
      </c>
      <c r="X121" s="4" t="n">
        <v>2</v>
      </c>
      <c r="Y121" s="9" t="n">
        <v>3.5</v>
      </c>
      <c r="Z121" s="4"/>
      <c r="AA121" s="4" t="s">
        <v>1084</v>
      </c>
      <c r="AB121" s="4" t="s">
        <v>629</v>
      </c>
      <c r="AC121" s="4" t="n">
        <v>2</v>
      </c>
      <c r="AD121" s="4" t="s">
        <v>752</v>
      </c>
    </row>
    <row r="122" customFormat="false" ht="15" hidden="false" customHeight="false" outlineLevel="0" collapsed="false">
      <c r="A122" s="4" t="s">
        <v>1085</v>
      </c>
      <c r="B122" s="4" t="s">
        <v>1086</v>
      </c>
      <c r="C122" s="4" t="s">
        <v>1086</v>
      </c>
      <c r="D122" s="4"/>
      <c r="E122" s="4" t="n">
        <v>1</v>
      </c>
      <c r="F122" s="4" t="s">
        <v>21</v>
      </c>
      <c r="G122" s="4" t="s">
        <v>13</v>
      </c>
      <c r="H122" s="4" t="s">
        <v>93</v>
      </c>
      <c r="I122" s="4" t="n">
        <v>45</v>
      </c>
      <c r="J122" s="4" t="s">
        <v>1087</v>
      </c>
      <c r="K122" s="4" t="s">
        <v>80</v>
      </c>
      <c r="L122" s="4"/>
      <c r="M122" s="4"/>
      <c r="N122" s="4" t="s">
        <v>589</v>
      </c>
      <c r="O122" s="4" t="s">
        <v>33</v>
      </c>
      <c r="P122" s="4" t="s">
        <v>900</v>
      </c>
      <c r="Q122" s="4"/>
      <c r="R122" s="4" t="s">
        <v>1088</v>
      </c>
      <c r="S122" s="4" t="s">
        <v>397</v>
      </c>
      <c r="T122" s="4" t="n">
        <v>-33.410048</v>
      </c>
      <c r="U122" s="4" t="n">
        <v>-71.14897</v>
      </c>
      <c r="V122" s="4"/>
      <c r="W122" s="4"/>
      <c r="X122" s="4" t="n">
        <v>1</v>
      </c>
      <c r="Y122" s="9" t="n">
        <v>4</v>
      </c>
      <c r="Z122" s="4"/>
      <c r="AA122" s="4" t="s">
        <v>1089</v>
      </c>
      <c r="AB122" s="4" t="s">
        <v>1090</v>
      </c>
      <c r="AC122" s="4" t="n">
        <v>1</v>
      </c>
      <c r="AD122" s="4" t="s">
        <v>1091</v>
      </c>
    </row>
    <row r="123" customFormat="false" ht="15" hidden="false" customHeight="false" outlineLevel="0" collapsed="false">
      <c r="A123" s="4" t="s">
        <v>1092</v>
      </c>
      <c r="B123" s="4" t="s">
        <v>1093</v>
      </c>
      <c r="C123" s="4" t="s">
        <v>1093</v>
      </c>
      <c r="D123" s="4"/>
      <c r="E123" s="4" t="n">
        <v>1</v>
      </c>
      <c r="F123" s="4" t="s">
        <v>22</v>
      </c>
      <c r="G123" s="4" t="s">
        <v>13</v>
      </c>
      <c r="H123" s="4" t="s">
        <v>93</v>
      </c>
      <c r="I123" s="4" t="n">
        <v>40</v>
      </c>
      <c r="J123" s="4" t="s">
        <v>1094</v>
      </c>
      <c r="K123" s="4" t="s">
        <v>95</v>
      </c>
      <c r="L123" s="4"/>
      <c r="M123" s="4"/>
      <c r="N123" s="4" t="s">
        <v>589</v>
      </c>
      <c r="O123" s="4" t="s">
        <v>31</v>
      </c>
      <c r="P123" s="4" t="s">
        <v>31</v>
      </c>
      <c r="Q123" s="4" t="s">
        <v>234</v>
      </c>
      <c r="R123" s="4" t="s">
        <v>1095</v>
      </c>
      <c r="S123" s="4" t="s">
        <v>85</v>
      </c>
      <c r="T123" s="4" t="n">
        <v>-33.124865</v>
      </c>
      <c r="U123" s="4" t="n">
        <v>-71.555034</v>
      </c>
      <c r="V123" s="4" t="s">
        <v>265</v>
      </c>
      <c r="W123" s="4" t="s">
        <v>265</v>
      </c>
      <c r="X123" s="4"/>
      <c r="Y123" s="9"/>
      <c r="Z123" s="4"/>
      <c r="AA123" s="4" t="s">
        <v>1096</v>
      </c>
      <c r="AB123" s="4" t="s">
        <v>1097</v>
      </c>
      <c r="AC123" s="4" t="n">
        <v>2</v>
      </c>
      <c r="AD123" s="4" t="s">
        <v>1098</v>
      </c>
    </row>
    <row r="124" customFormat="false" ht="15" hidden="false" customHeight="false" outlineLevel="0" collapsed="false">
      <c r="A124" s="4" t="s">
        <v>1099</v>
      </c>
      <c r="B124" s="4" t="s">
        <v>1100</v>
      </c>
      <c r="C124" s="4" t="s">
        <v>1100</v>
      </c>
      <c r="D124" s="4"/>
      <c r="E124" s="4" t="n">
        <v>1</v>
      </c>
      <c r="F124" s="4" t="s">
        <v>22</v>
      </c>
      <c r="G124" s="4" t="s">
        <v>13</v>
      </c>
      <c r="H124" s="4" t="s">
        <v>93</v>
      </c>
      <c r="I124" s="4" t="n">
        <v>40</v>
      </c>
      <c r="J124" s="4" t="s">
        <v>1101</v>
      </c>
      <c r="K124" s="4" t="s">
        <v>80</v>
      </c>
      <c r="L124" s="4"/>
      <c r="M124" s="4"/>
      <c r="N124" s="4" t="s">
        <v>589</v>
      </c>
      <c r="O124" s="4" t="s">
        <v>29</v>
      </c>
      <c r="P124" s="4" t="s">
        <v>31</v>
      </c>
      <c r="Q124" s="4"/>
      <c r="R124" s="4" t="s">
        <v>1102</v>
      </c>
      <c r="S124" s="4" t="s">
        <v>85</v>
      </c>
      <c r="T124" s="4" t="n">
        <v>-33.598657</v>
      </c>
      <c r="U124" s="4" t="n">
        <v>-71.594469</v>
      </c>
      <c r="V124" s="4" t="s">
        <v>205</v>
      </c>
      <c r="W124" s="4" t="s">
        <v>205</v>
      </c>
      <c r="X124" s="4"/>
      <c r="Y124" s="9"/>
      <c r="Z124" s="4"/>
      <c r="AA124" s="4" t="s">
        <v>1103</v>
      </c>
      <c r="AB124" s="4" t="s">
        <v>1104</v>
      </c>
      <c r="AC124" s="4" t="n">
        <v>2</v>
      </c>
      <c r="AD124" s="4" t="s">
        <v>1098</v>
      </c>
    </row>
    <row r="125" customFormat="false" ht="15" hidden="false" customHeight="false" outlineLevel="0" collapsed="false">
      <c r="A125" s="4" t="s">
        <v>1105</v>
      </c>
      <c r="B125" s="4" t="s">
        <v>1106</v>
      </c>
      <c r="C125" s="4" t="s">
        <v>1106</v>
      </c>
      <c r="D125" s="4"/>
      <c r="E125" s="4" t="n">
        <v>1</v>
      </c>
      <c r="F125" s="4" t="s">
        <v>20</v>
      </c>
      <c r="G125" s="4" t="s">
        <v>13</v>
      </c>
      <c r="H125" s="4" t="s">
        <v>93</v>
      </c>
      <c r="I125" s="4" t="n">
        <v>40</v>
      </c>
      <c r="J125" s="4" t="s">
        <v>1107</v>
      </c>
      <c r="K125" s="4" t="s">
        <v>80</v>
      </c>
      <c r="L125" s="4"/>
      <c r="M125" s="4"/>
      <c r="N125" s="4" t="s">
        <v>589</v>
      </c>
      <c r="O125" s="4" t="s">
        <v>31</v>
      </c>
      <c r="P125" s="4" t="s">
        <v>31</v>
      </c>
      <c r="Q125" s="4" t="s">
        <v>234</v>
      </c>
      <c r="R125" s="4" t="s">
        <v>1108</v>
      </c>
      <c r="S125" s="4" t="s">
        <v>85</v>
      </c>
      <c r="T125" s="4" t="n">
        <v>-33.044016</v>
      </c>
      <c r="U125" s="4" t="n">
        <v>-71.61801</v>
      </c>
      <c r="V125" s="4" t="s">
        <v>694</v>
      </c>
      <c r="W125" s="4" t="s">
        <v>694</v>
      </c>
      <c r="X125" s="4"/>
      <c r="Y125" s="9"/>
      <c r="Z125" s="4"/>
      <c r="AA125" s="4" t="s">
        <v>1109</v>
      </c>
      <c r="AB125" s="4" t="s">
        <v>698</v>
      </c>
      <c r="AC125" s="4" t="n">
        <v>2</v>
      </c>
      <c r="AD125" s="4" t="s">
        <v>1098</v>
      </c>
    </row>
    <row r="126" customFormat="false" ht="15" hidden="false" customHeight="false" outlineLevel="0" collapsed="false">
      <c r="A126" s="4" t="s">
        <v>1110</v>
      </c>
      <c r="B126" s="4" t="s">
        <v>1111</v>
      </c>
      <c r="C126" s="4" t="s">
        <v>1111</v>
      </c>
      <c r="D126" s="4"/>
      <c r="E126" s="4" t="n">
        <v>1</v>
      </c>
      <c r="F126" s="4" t="s">
        <v>20</v>
      </c>
      <c r="G126" s="4" t="s">
        <v>13</v>
      </c>
      <c r="H126" s="4" t="s">
        <v>93</v>
      </c>
      <c r="I126" s="4" t="n">
        <v>40</v>
      </c>
      <c r="J126" s="4" t="s">
        <v>1112</v>
      </c>
      <c r="K126" s="4" t="s">
        <v>95</v>
      </c>
      <c r="L126" s="4"/>
      <c r="M126" s="4"/>
      <c r="N126" s="4" t="s">
        <v>589</v>
      </c>
      <c r="O126" s="4" t="s">
        <v>29</v>
      </c>
      <c r="P126" s="4" t="s">
        <v>31</v>
      </c>
      <c r="Q126" s="4" t="s">
        <v>131</v>
      </c>
      <c r="R126" s="4" t="s">
        <v>1113</v>
      </c>
      <c r="S126" s="4" t="s">
        <v>397</v>
      </c>
      <c r="T126" s="4" t="n">
        <v>-33.565545</v>
      </c>
      <c r="U126" s="4" t="n">
        <v>-71.593625</v>
      </c>
      <c r="V126" s="4" t="s">
        <v>224</v>
      </c>
      <c r="W126" s="4" t="s">
        <v>224</v>
      </c>
      <c r="X126" s="4"/>
      <c r="Y126" s="9"/>
      <c r="Z126" s="4" t="s">
        <v>1056</v>
      </c>
      <c r="AA126" s="4" t="s">
        <v>1114</v>
      </c>
      <c r="AB126" s="4" t="s">
        <v>1017</v>
      </c>
      <c r="AC126" s="4" t="n">
        <v>1</v>
      </c>
      <c r="AD126" s="4" t="s">
        <v>1115</v>
      </c>
    </row>
    <row r="127" customFormat="false" ht="15" hidden="false" customHeight="false" outlineLevel="0" collapsed="false">
      <c r="A127" s="4" t="s">
        <v>1116</v>
      </c>
      <c r="B127" s="4" t="s">
        <v>1117</v>
      </c>
      <c r="C127" s="4" t="s">
        <v>1117</v>
      </c>
      <c r="D127" s="4"/>
      <c r="E127" s="4" t="n">
        <v>1</v>
      </c>
      <c r="F127" s="4" t="s">
        <v>20</v>
      </c>
      <c r="G127" s="4" t="s">
        <v>13</v>
      </c>
      <c r="H127" s="4" t="s">
        <v>93</v>
      </c>
      <c r="I127" s="4" t="n">
        <v>40</v>
      </c>
      <c r="J127" s="4" t="s">
        <v>1118</v>
      </c>
      <c r="K127" s="4" t="s">
        <v>95</v>
      </c>
      <c r="L127" s="4"/>
      <c r="M127" s="4"/>
      <c r="N127" s="4" t="s">
        <v>589</v>
      </c>
      <c r="O127" s="4" t="s">
        <v>30</v>
      </c>
      <c r="P127" s="4" t="s">
        <v>31</v>
      </c>
      <c r="Q127" s="4" t="s">
        <v>274</v>
      </c>
      <c r="R127" s="4" t="s">
        <v>1119</v>
      </c>
      <c r="S127" s="4" t="s">
        <v>397</v>
      </c>
      <c r="T127" s="4" t="n">
        <v>-33.017634</v>
      </c>
      <c r="U127" s="4" t="n">
        <v>-71.554358</v>
      </c>
      <c r="V127" s="4" t="s">
        <v>1120</v>
      </c>
      <c r="W127" s="4" t="s">
        <v>1120</v>
      </c>
      <c r="X127" s="4"/>
      <c r="Y127" s="9"/>
      <c r="Z127" s="4" t="s">
        <v>1121</v>
      </c>
      <c r="AA127" s="4" t="s">
        <v>1122</v>
      </c>
      <c r="AB127" s="4" t="s">
        <v>1017</v>
      </c>
      <c r="AC127" s="4" t="n">
        <v>2</v>
      </c>
      <c r="AD127" s="4" t="s">
        <v>1115</v>
      </c>
    </row>
    <row r="128" customFormat="false" ht="15" hidden="false" customHeight="false" outlineLevel="0" collapsed="false">
      <c r="A128" s="4" t="s">
        <v>1123</v>
      </c>
      <c r="B128" s="4" t="s">
        <v>1124</v>
      </c>
      <c r="C128" s="4" t="s">
        <v>1125</v>
      </c>
      <c r="D128" s="4"/>
      <c r="E128" s="4" t="n">
        <v>1</v>
      </c>
      <c r="F128" s="4" t="s">
        <v>21</v>
      </c>
      <c r="G128" s="4" t="s">
        <v>14</v>
      </c>
      <c r="H128" s="4" t="s">
        <v>1126</v>
      </c>
      <c r="I128" s="4" t="n">
        <v>100</v>
      </c>
      <c r="J128" s="4" t="s">
        <v>1127</v>
      </c>
      <c r="K128" s="4" t="s">
        <v>80</v>
      </c>
      <c r="L128" s="4" t="s">
        <v>1128</v>
      </c>
      <c r="M128" s="4" t="s">
        <v>1129</v>
      </c>
      <c r="N128" s="4" t="s">
        <v>83</v>
      </c>
      <c r="O128" s="4" t="s">
        <v>39</v>
      </c>
      <c r="P128" s="4" t="s">
        <v>900</v>
      </c>
      <c r="Q128" s="4" t="s">
        <v>1130</v>
      </c>
      <c r="R128" s="4" t="s">
        <v>1131</v>
      </c>
      <c r="S128" s="4" t="s">
        <v>85</v>
      </c>
      <c r="T128" s="4" t="n">
        <v>-33.460107</v>
      </c>
      <c r="U128" s="4" t="n">
        <v>-70.651807</v>
      </c>
      <c r="V128" s="4" t="s">
        <v>286</v>
      </c>
      <c r="W128" s="4" t="s">
        <v>1132</v>
      </c>
      <c r="X128" s="4" t="n">
        <v>885</v>
      </c>
      <c r="Y128" s="9" t="n">
        <v>4.4</v>
      </c>
      <c r="Z128" s="4" t="s">
        <v>307</v>
      </c>
      <c r="AA128" s="4" t="s">
        <v>1133</v>
      </c>
      <c r="AB128" s="4" t="s">
        <v>1090</v>
      </c>
      <c r="AC128" s="4" t="n">
        <v>1</v>
      </c>
      <c r="AD128" s="4" t="s">
        <v>125</v>
      </c>
    </row>
    <row r="129" customFormat="false" ht="15" hidden="false" customHeight="false" outlineLevel="0" collapsed="false">
      <c r="A129" s="4" t="s">
        <v>1134</v>
      </c>
      <c r="B129" s="4" t="s">
        <v>1135</v>
      </c>
      <c r="C129" s="4" t="s">
        <v>1135</v>
      </c>
      <c r="D129" s="4"/>
      <c r="E129" s="4" t="n">
        <v>1</v>
      </c>
      <c r="F129" s="4" t="s">
        <v>20</v>
      </c>
      <c r="G129" s="4" t="s">
        <v>14</v>
      </c>
      <c r="H129" s="4" t="s">
        <v>1126</v>
      </c>
      <c r="I129" s="4" t="n">
        <v>100</v>
      </c>
      <c r="J129" s="4" t="s">
        <v>1136</v>
      </c>
      <c r="K129" s="4" t="s">
        <v>80</v>
      </c>
      <c r="L129" s="4" t="s">
        <v>1137</v>
      </c>
      <c r="M129" s="4" t="s">
        <v>1138</v>
      </c>
      <c r="N129" s="4" t="s">
        <v>83</v>
      </c>
      <c r="O129" s="4" t="s">
        <v>40</v>
      </c>
      <c r="P129" s="4" t="s">
        <v>900</v>
      </c>
      <c r="Q129" s="4"/>
      <c r="R129" s="4" t="s">
        <v>1139</v>
      </c>
      <c r="S129" s="4" t="s">
        <v>85</v>
      </c>
      <c r="T129" s="4" t="n">
        <v>-33.549855</v>
      </c>
      <c r="U129" s="4" t="n">
        <v>-70.732123</v>
      </c>
      <c r="V129" s="4" t="s">
        <v>224</v>
      </c>
      <c r="W129" s="4" t="s">
        <v>255</v>
      </c>
      <c r="X129" s="4" t="n">
        <v>301</v>
      </c>
      <c r="Y129" s="9" t="n">
        <v>4</v>
      </c>
      <c r="Z129" s="4" t="s">
        <v>1140</v>
      </c>
      <c r="AA129" s="4" t="s">
        <v>1141</v>
      </c>
      <c r="AB129" s="4" t="s">
        <v>207</v>
      </c>
      <c r="AC129" s="4" t="n">
        <v>1</v>
      </c>
      <c r="AD129" s="4"/>
    </row>
    <row r="130" customFormat="false" ht="15" hidden="false" customHeight="false" outlineLevel="0" collapsed="false">
      <c r="A130" s="4" t="s">
        <v>1142</v>
      </c>
      <c r="B130" s="4" t="s">
        <v>1143</v>
      </c>
      <c r="C130" s="4" t="s">
        <v>1143</v>
      </c>
      <c r="D130" s="4"/>
      <c r="E130" s="4" t="n">
        <v>1</v>
      </c>
      <c r="F130" s="4" t="s">
        <v>23</v>
      </c>
      <c r="G130" s="4" t="s">
        <v>14</v>
      </c>
      <c r="H130" s="4" t="s">
        <v>1126</v>
      </c>
      <c r="I130" s="4" t="n">
        <v>100</v>
      </c>
      <c r="J130" s="4" t="s">
        <v>1144</v>
      </c>
      <c r="K130" s="4" t="s">
        <v>80</v>
      </c>
      <c r="L130" s="4" t="s">
        <v>1145</v>
      </c>
      <c r="M130" s="4" t="s">
        <v>1146</v>
      </c>
      <c r="N130" s="4" t="s">
        <v>83</v>
      </c>
      <c r="O130" s="4" t="s">
        <v>39</v>
      </c>
      <c r="P130" s="4" t="s">
        <v>900</v>
      </c>
      <c r="Q130" s="4" t="s">
        <v>1147</v>
      </c>
      <c r="R130" s="4" t="s">
        <v>1148</v>
      </c>
      <c r="S130" s="4" t="s">
        <v>85</v>
      </c>
      <c r="T130" s="4" t="n">
        <v>-33.463067</v>
      </c>
      <c r="U130" s="4" t="n">
        <v>-70.6815</v>
      </c>
      <c r="V130" s="4" t="s">
        <v>793</v>
      </c>
      <c r="W130" s="4" t="s">
        <v>1149</v>
      </c>
      <c r="X130" s="4" t="n">
        <v>205</v>
      </c>
      <c r="Y130" s="9" t="n">
        <v>4.1</v>
      </c>
      <c r="Z130" s="4" t="s">
        <v>1150</v>
      </c>
      <c r="AA130" s="4" t="s">
        <v>1151</v>
      </c>
      <c r="AB130" s="4" t="s">
        <v>248</v>
      </c>
      <c r="AC130" s="4" t="n">
        <v>2</v>
      </c>
      <c r="AD130" s="4"/>
    </row>
    <row r="131" customFormat="false" ht="15" hidden="false" customHeight="false" outlineLevel="0" collapsed="false">
      <c r="A131" s="4" t="s">
        <v>1152</v>
      </c>
      <c r="B131" s="4" t="s">
        <v>1153</v>
      </c>
      <c r="C131" s="4" t="s">
        <v>1153</v>
      </c>
      <c r="D131" s="4"/>
      <c r="E131" s="4" t="n">
        <v>1</v>
      </c>
      <c r="F131" s="4" t="s">
        <v>23</v>
      </c>
      <c r="G131" s="4" t="s">
        <v>14</v>
      </c>
      <c r="H131" s="4" t="s">
        <v>1126</v>
      </c>
      <c r="I131" s="4" t="n">
        <v>100</v>
      </c>
      <c r="J131" s="4" t="s">
        <v>1154</v>
      </c>
      <c r="K131" s="4" t="s">
        <v>80</v>
      </c>
      <c r="L131" s="4" t="s">
        <v>1155</v>
      </c>
      <c r="M131" s="4" t="s">
        <v>1156</v>
      </c>
      <c r="N131" s="4" t="s">
        <v>83</v>
      </c>
      <c r="O131" s="4" t="s">
        <v>43</v>
      </c>
      <c r="P131" s="4" t="s">
        <v>900</v>
      </c>
      <c r="Q131" s="4"/>
      <c r="R131" s="4" t="s">
        <v>1157</v>
      </c>
      <c r="S131" s="4" t="s">
        <v>85</v>
      </c>
      <c r="T131" s="4" t="n">
        <v>-33.764285</v>
      </c>
      <c r="U131" s="4" t="n">
        <v>-70.744573</v>
      </c>
      <c r="V131" s="4" t="s">
        <v>793</v>
      </c>
      <c r="W131" s="4" t="s">
        <v>1158</v>
      </c>
      <c r="X131" s="4" t="n">
        <v>191</v>
      </c>
      <c r="Y131" s="9" t="n">
        <v>4.7</v>
      </c>
      <c r="Z131" s="4" t="s">
        <v>1159</v>
      </c>
      <c r="AA131" s="4" t="s">
        <v>1160</v>
      </c>
      <c r="AB131" s="4" t="s">
        <v>207</v>
      </c>
      <c r="AC131" s="4" t="n">
        <v>1</v>
      </c>
      <c r="AD131" s="4"/>
    </row>
    <row r="132" customFormat="false" ht="15" hidden="false" customHeight="false" outlineLevel="0" collapsed="false">
      <c r="A132" s="4" t="s">
        <v>1161</v>
      </c>
      <c r="B132" s="4" t="s">
        <v>1162</v>
      </c>
      <c r="C132" s="4" t="s">
        <v>1162</v>
      </c>
      <c r="D132" s="4"/>
      <c r="E132" s="4" t="n">
        <v>1</v>
      </c>
      <c r="F132" s="4" t="s">
        <v>21</v>
      </c>
      <c r="G132" s="4" t="s">
        <v>14</v>
      </c>
      <c r="H132" s="4" t="s">
        <v>1126</v>
      </c>
      <c r="I132" s="4" t="n">
        <v>100</v>
      </c>
      <c r="J132" s="4" t="s">
        <v>1163</v>
      </c>
      <c r="K132" s="4" t="s">
        <v>95</v>
      </c>
      <c r="L132" s="4" t="s">
        <v>1164</v>
      </c>
      <c r="M132" s="4" t="s">
        <v>1165</v>
      </c>
      <c r="N132" s="4" t="s">
        <v>83</v>
      </c>
      <c r="O132" s="4" t="s">
        <v>36</v>
      </c>
      <c r="P132" s="4" t="s">
        <v>900</v>
      </c>
      <c r="Q132" s="4"/>
      <c r="R132" s="4" t="s">
        <v>1166</v>
      </c>
      <c r="S132" s="4" t="s">
        <v>85</v>
      </c>
      <c r="T132" s="4" t="n">
        <v>-33.421675</v>
      </c>
      <c r="U132" s="4" t="n">
        <v>-70.781414</v>
      </c>
      <c r="V132" s="4" t="s">
        <v>1167</v>
      </c>
      <c r="W132" s="4" t="s">
        <v>1167</v>
      </c>
      <c r="X132" s="4" t="n">
        <v>139</v>
      </c>
      <c r="Y132" s="9" t="n">
        <v>4.9</v>
      </c>
      <c r="Z132" s="4" t="s">
        <v>1168</v>
      </c>
      <c r="AA132" s="4" t="s">
        <v>1169</v>
      </c>
      <c r="AB132" s="4" t="s">
        <v>1090</v>
      </c>
      <c r="AC132" s="4" t="n">
        <v>1</v>
      </c>
      <c r="AD132" s="4"/>
    </row>
    <row r="133" customFormat="false" ht="15" hidden="false" customHeight="false" outlineLevel="0" collapsed="false">
      <c r="A133" s="4" t="s">
        <v>1170</v>
      </c>
      <c r="B133" s="4" t="s">
        <v>1171</v>
      </c>
      <c r="C133" s="4" t="s">
        <v>1171</v>
      </c>
      <c r="D133" s="4"/>
      <c r="E133" s="4" t="n">
        <v>1</v>
      </c>
      <c r="F133" s="4" t="s">
        <v>23</v>
      </c>
      <c r="G133" s="4" t="s">
        <v>14</v>
      </c>
      <c r="H133" s="4" t="s">
        <v>1126</v>
      </c>
      <c r="I133" s="4" t="n">
        <v>100</v>
      </c>
      <c r="J133" s="4" t="s">
        <v>1172</v>
      </c>
      <c r="K133" s="4" t="s">
        <v>95</v>
      </c>
      <c r="L133" s="4" t="s">
        <v>1173</v>
      </c>
      <c r="M133" s="4" t="s">
        <v>1174</v>
      </c>
      <c r="N133" s="4" t="s">
        <v>83</v>
      </c>
      <c r="O133" s="4" t="s">
        <v>41</v>
      </c>
      <c r="P133" s="4" t="s">
        <v>900</v>
      </c>
      <c r="Q133" s="4"/>
      <c r="R133" s="4" t="s">
        <v>1175</v>
      </c>
      <c r="S133" s="4" t="s">
        <v>85</v>
      </c>
      <c r="T133" s="4" t="n">
        <v>-33.344212</v>
      </c>
      <c r="U133" s="4" t="n">
        <v>-70.837419</v>
      </c>
      <c r="V133" s="4" t="s">
        <v>793</v>
      </c>
      <c r="W133" s="4" t="s">
        <v>1176</v>
      </c>
      <c r="X133" s="4" t="n">
        <v>91</v>
      </c>
      <c r="Y133" s="9" t="n">
        <v>4.3</v>
      </c>
      <c r="Z133" s="4" t="s">
        <v>1177</v>
      </c>
      <c r="AA133" s="4" t="s">
        <v>1178</v>
      </c>
      <c r="AB133" s="4" t="s">
        <v>450</v>
      </c>
      <c r="AC133" s="4" t="n">
        <v>1</v>
      </c>
      <c r="AD133" s="4"/>
    </row>
    <row r="134" customFormat="false" ht="15" hidden="false" customHeight="false" outlineLevel="0" collapsed="false">
      <c r="A134" s="4" t="s">
        <v>1179</v>
      </c>
      <c r="B134" s="4" t="s">
        <v>1180</v>
      </c>
      <c r="C134" s="4" t="s">
        <v>1180</v>
      </c>
      <c r="D134" s="4"/>
      <c r="E134" s="4" t="n">
        <v>1</v>
      </c>
      <c r="F134" s="4" t="s">
        <v>23</v>
      </c>
      <c r="G134" s="4" t="s">
        <v>14</v>
      </c>
      <c r="H134" s="4" t="s">
        <v>1126</v>
      </c>
      <c r="I134" s="4" t="n">
        <v>100</v>
      </c>
      <c r="J134" s="4" t="s">
        <v>1181</v>
      </c>
      <c r="K134" s="4" t="s">
        <v>95</v>
      </c>
      <c r="L134" s="4" t="s">
        <v>1182</v>
      </c>
      <c r="M134" s="4" t="s">
        <v>1183</v>
      </c>
      <c r="N134" s="4" t="s">
        <v>83</v>
      </c>
      <c r="O134" s="4" t="s">
        <v>36</v>
      </c>
      <c r="P134" s="4" t="s">
        <v>900</v>
      </c>
      <c r="Q134" s="4" t="s">
        <v>1184</v>
      </c>
      <c r="R134" s="4" t="s">
        <v>1185</v>
      </c>
      <c r="S134" s="4" t="s">
        <v>85</v>
      </c>
      <c r="T134" s="4" t="n">
        <v>-33.442792</v>
      </c>
      <c r="U134" s="4" t="n">
        <v>-70.817089</v>
      </c>
      <c r="V134" s="4" t="s">
        <v>793</v>
      </c>
      <c r="W134" s="4" t="s">
        <v>793</v>
      </c>
      <c r="X134" s="4" t="n">
        <v>59</v>
      </c>
      <c r="Y134" s="9" t="n">
        <v>4.5</v>
      </c>
      <c r="Z134" s="4" t="s">
        <v>1186</v>
      </c>
      <c r="AA134" s="4" t="s">
        <v>1187</v>
      </c>
      <c r="AB134" s="4" t="s">
        <v>207</v>
      </c>
      <c r="AC134" s="4" t="n">
        <v>1</v>
      </c>
      <c r="AD134" s="4"/>
    </row>
    <row r="135" customFormat="false" ht="15" hidden="false" customHeight="false" outlineLevel="0" collapsed="false">
      <c r="A135" s="4" t="s">
        <v>1188</v>
      </c>
      <c r="B135" s="4" t="s">
        <v>1189</v>
      </c>
      <c r="C135" s="4" t="s">
        <v>1189</v>
      </c>
      <c r="D135" s="4"/>
      <c r="E135" s="4" t="n">
        <v>1</v>
      </c>
      <c r="F135" s="4" t="s">
        <v>23</v>
      </c>
      <c r="G135" s="4" t="s">
        <v>14</v>
      </c>
      <c r="H135" s="4" t="s">
        <v>1126</v>
      </c>
      <c r="I135" s="4" t="n">
        <v>95</v>
      </c>
      <c r="J135" s="4" t="s">
        <v>1190</v>
      </c>
      <c r="K135" s="4" t="s">
        <v>80</v>
      </c>
      <c r="L135" s="4" t="s">
        <v>1191</v>
      </c>
      <c r="M135" s="4" t="s">
        <v>1192</v>
      </c>
      <c r="N135" s="4" t="s">
        <v>83</v>
      </c>
      <c r="O135" s="4" t="s">
        <v>40</v>
      </c>
      <c r="P135" s="4" t="s">
        <v>900</v>
      </c>
      <c r="Q135" s="4" t="s">
        <v>1193</v>
      </c>
      <c r="R135" s="4" t="s">
        <v>1194</v>
      </c>
      <c r="S135" s="4" t="s">
        <v>85</v>
      </c>
      <c r="T135" s="4" t="n">
        <v>-33.563049</v>
      </c>
      <c r="U135" s="4" t="n">
        <v>-70.697097</v>
      </c>
      <c r="V135" s="4" t="s">
        <v>1195</v>
      </c>
      <c r="W135" s="4" t="s">
        <v>1195</v>
      </c>
      <c r="X135" s="4" t="n">
        <v>46</v>
      </c>
      <c r="Y135" s="9" t="n">
        <v>4.1</v>
      </c>
      <c r="Z135" s="4" t="s">
        <v>1196</v>
      </c>
      <c r="AA135" s="4" t="s">
        <v>1197</v>
      </c>
      <c r="AB135" s="4" t="s">
        <v>248</v>
      </c>
      <c r="AC135" s="4" t="n">
        <v>2</v>
      </c>
      <c r="AD135" s="4"/>
    </row>
    <row r="136" customFormat="false" ht="15" hidden="false" customHeight="false" outlineLevel="0" collapsed="false">
      <c r="A136" s="4" t="s">
        <v>1198</v>
      </c>
      <c r="B136" s="4" t="s">
        <v>1199</v>
      </c>
      <c r="C136" s="4" t="s">
        <v>1199</v>
      </c>
      <c r="D136" s="4"/>
      <c r="E136" s="4" t="n">
        <v>1</v>
      </c>
      <c r="F136" s="4" t="s">
        <v>21</v>
      </c>
      <c r="G136" s="4" t="s">
        <v>14</v>
      </c>
      <c r="H136" s="4" t="s">
        <v>1126</v>
      </c>
      <c r="I136" s="4" t="n">
        <v>95</v>
      </c>
      <c r="J136" s="4" t="s">
        <v>1200</v>
      </c>
      <c r="K136" s="4" t="s">
        <v>95</v>
      </c>
      <c r="L136" s="4" t="s">
        <v>1201</v>
      </c>
      <c r="M136" s="4" t="s">
        <v>1202</v>
      </c>
      <c r="N136" s="4" t="s">
        <v>83</v>
      </c>
      <c r="O136" s="4" t="s">
        <v>36</v>
      </c>
      <c r="P136" s="4" t="s">
        <v>900</v>
      </c>
      <c r="Q136" s="4" t="s">
        <v>1184</v>
      </c>
      <c r="R136" s="4" t="s">
        <v>1203</v>
      </c>
      <c r="S136" s="4" t="s">
        <v>85</v>
      </c>
      <c r="T136" s="4" t="n">
        <v>-33.421824</v>
      </c>
      <c r="U136" s="4" t="n">
        <v>-70.781422</v>
      </c>
      <c r="V136" s="4" t="s">
        <v>550</v>
      </c>
      <c r="W136" s="4" t="s">
        <v>550</v>
      </c>
      <c r="X136" s="4" t="n">
        <v>13</v>
      </c>
      <c r="Y136" s="9" t="n">
        <v>4.7</v>
      </c>
      <c r="Z136" s="4" t="s">
        <v>1168</v>
      </c>
      <c r="AA136" s="4" t="s">
        <v>1204</v>
      </c>
      <c r="AB136" s="4" t="s">
        <v>1090</v>
      </c>
      <c r="AC136" s="4" t="n">
        <v>1</v>
      </c>
      <c r="AD136" s="4"/>
    </row>
    <row r="137" customFormat="false" ht="15" hidden="false" customHeight="false" outlineLevel="0" collapsed="false">
      <c r="A137" s="4" t="s">
        <v>1205</v>
      </c>
      <c r="B137" s="4" t="s">
        <v>1206</v>
      </c>
      <c r="C137" s="4" t="s">
        <v>1206</v>
      </c>
      <c r="D137" s="4"/>
      <c r="E137" s="4" t="n">
        <v>1</v>
      </c>
      <c r="F137" s="4" t="s">
        <v>23</v>
      </c>
      <c r="G137" s="4" t="s">
        <v>14</v>
      </c>
      <c r="H137" s="4" t="s">
        <v>1126</v>
      </c>
      <c r="I137" s="4" t="n">
        <v>90</v>
      </c>
      <c r="J137" s="4" t="s">
        <v>1207</v>
      </c>
      <c r="K137" s="4" t="s">
        <v>80</v>
      </c>
      <c r="L137" s="4" t="s">
        <v>1208</v>
      </c>
      <c r="M137" s="4" t="s">
        <v>1209</v>
      </c>
      <c r="N137" s="4" t="s">
        <v>83</v>
      </c>
      <c r="O137" s="4" t="s">
        <v>44</v>
      </c>
      <c r="P137" s="4" t="s">
        <v>900</v>
      </c>
      <c r="Q137" s="4" t="s">
        <v>1210</v>
      </c>
      <c r="R137" s="4" t="s">
        <v>1211</v>
      </c>
      <c r="S137" s="4" t="s">
        <v>85</v>
      </c>
      <c r="T137" s="4" t="n">
        <v>-33.524806</v>
      </c>
      <c r="U137" s="4" t="n">
        <v>-70.677346</v>
      </c>
      <c r="V137" s="4" t="s">
        <v>265</v>
      </c>
      <c r="W137" s="4" t="s">
        <v>265</v>
      </c>
      <c r="X137" s="4" t="n">
        <v>86</v>
      </c>
      <c r="Y137" s="9" t="n">
        <v>4.5</v>
      </c>
      <c r="Z137" s="4"/>
      <c r="AA137" s="4" t="s">
        <v>1212</v>
      </c>
      <c r="AB137" s="4" t="s">
        <v>248</v>
      </c>
      <c r="AC137" s="4" t="n">
        <v>2</v>
      </c>
      <c r="AD137" s="4" t="s">
        <v>370</v>
      </c>
    </row>
    <row r="138" customFormat="false" ht="15" hidden="false" customHeight="false" outlineLevel="0" collapsed="false">
      <c r="A138" s="4" t="s">
        <v>1213</v>
      </c>
      <c r="B138" s="4" t="s">
        <v>1214</v>
      </c>
      <c r="C138" s="4" t="s">
        <v>1214</v>
      </c>
      <c r="D138" s="4" t="s">
        <v>190</v>
      </c>
      <c r="E138" s="4" t="n">
        <v>2</v>
      </c>
      <c r="F138" s="4" t="s">
        <v>25</v>
      </c>
      <c r="G138" s="4" t="s">
        <v>14</v>
      </c>
      <c r="H138" s="4" t="s">
        <v>1215</v>
      </c>
      <c r="I138" s="4" t="n">
        <v>90</v>
      </c>
      <c r="J138" s="4" t="s">
        <v>1216</v>
      </c>
      <c r="K138" s="4" t="s">
        <v>80</v>
      </c>
      <c r="L138" s="4" t="s">
        <v>192</v>
      </c>
      <c r="M138" s="4" t="s">
        <v>193</v>
      </c>
      <c r="N138" s="4" t="s">
        <v>83</v>
      </c>
      <c r="O138" s="4" t="s">
        <v>33</v>
      </c>
      <c r="P138" s="4" t="s">
        <v>900</v>
      </c>
      <c r="Q138" s="4"/>
      <c r="R138" s="4" t="s">
        <v>1217</v>
      </c>
      <c r="S138" s="4" t="s">
        <v>85</v>
      </c>
      <c r="T138" s="4" t="n">
        <v>-33.40177</v>
      </c>
      <c r="U138" s="4" t="n">
        <v>-71.123764</v>
      </c>
      <c r="V138" s="4" t="s">
        <v>1218</v>
      </c>
      <c r="W138" s="4" t="s">
        <v>1218</v>
      </c>
      <c r="X138" s="4" t="n">
        <v>6</v>
      </c>
      <c r="Y138" s="9" t="n">
        <v>4</v>
      </c>
      <c r="Z138" s="4" t="s">
        <v>1219</v>
      </c>
      <c r="AA138" s="4" t="s">
        <v>1220</v>
      </c>
      <c r="AB138" s="4" t="s">
        <v>1221</v>
      </c>
      <c r="AC138" s="4" t="n">
        <v>2</v>
      </c>
      <c r="AD138" s="4"/>
    </row>
    <row r="139" customFormat="false" ht="15" hidden="false" customHeight="false" outlineLevel="0" collapsed="false">
      <c r="A139" s="4" t="s">
        <v>1222</v>
      </c>
      <c r="B139" s="4" t="s">
        <v>1223</v>
      </c>
      <c r="C139" s="4" t="s">
        <v>1223</v>
      </c>
      <c r="D139" s="4"/>
      <c r="E139" s="4" t="n">
        <v>1</v>
      </c>
      <c r="F139" s="4" t="s">
        <v>23</v>
      </c>
      <c r="G139" s="4" t="s">
        <v>14</v>
      </c>
      <c r="H139" s="4" t="s">
        <v>1126</v>
      </c>
      <c r="I139" s="4" t="n">
        <v>90</v>
      </c>
      <c r="J139" s="4" t="s">
        <v>1224</v>
      </c>
      <c r="K139" s="4" t="s">
        <v>80</v>
      </c>
      <c r="L139" s="4" t="s">
        <v>1225</v>
      </c>
      <c r="M139" s="4" t="s">
        <v>1226</v>
      </c>
      <c r="N139" s="4" t="s">
        <v>83</v>
      </c>
      <c r="O139" s="4" t="s">
        <v>45</v>
      </c>
      <c r="P139" s="4" t="s">
        <v>900</v>
      </c>
      <c r="Q139" s="4" t="s">
        <v>1227</v>
      </c>
      <c r="R139" s="4" t="s">
        <v>1228</v>
      </c>
      <c r="S139" s="4" t="s">
        <v>85</v>
      </c>
      <c r="T139" s="4" t="n">
        <v>-33.414648</v>
      </c>
      <c r="U139" s="4" t="n">
        <v>-70.601421</v>
      </c>
      <c r="V139" s="4" t="s">
        <v>793</v>
      </c>
      <c r="W139" s="4" t="s">
        <v>793</v>
      </c>
      <c r="X139" s="4" t="n">
        <v>3</v>
      </c>
      <c r="Y139" s="9" t="n">
        <v>5</v>
      </c>
      <c r="Z139" s="4" t="s">
        <v>1229</v>
      </c>
      <c r="AA139" s="4" t="s">
        <v>1230</v>
      </c>
      <c r="AB139" s="4" t="s">
        <v>207</v>
      </c>
      <c r="AC139" s="4" t="n">
        <v>1</v>
      </c>
      <c r="AD139" s="4"/>
    </row>
    <row r="140" customFormat="false" ht="15" hidden="false" customHeight="false" outlineLevel="0" collapsed="false">
      <c r="A140" s="4" t="s">
        <v>1231</v>
      </c>
      <c r="B140" s="4" t="s">
        <v>1232</v>
      </c>
      <c r="C140" s="4" t="s">
        <v>1232</v>
      </c>
      <c r="D140" s="4"/>
      <c r="E140" s="4" t="n">
        <v>1</v>
      </c>
      <c r="F140" s="4" t="s">
        <v>21</v>
      </c>
      <c r="G140" s="4" t="s">
        <v>14</v>
      </c>
      <c r="H140" s="4" t="s">
        <v>1126</v>
      </c>
      <c r="I140" s="4" t="n">
        <v>90</v>
      </c>
      <c r="J140" s="4" t="s">
        <v>1233</v>
      </c>
      <c r="K140" s="4" t="s">
        <v>95</v>
      </c>
      <c r="L140" s="4" t="s">
        <v>1234</v>
      </c>
      <c r="M140" s="4" t="s">
        <v>1235</v>
      </c>
      <c r="N140" s="4" t="s">
        <v>83</v>
      </c>
      <c r="O140" s="4" t="s">
        <v>46</v>
      </c>
      <c r="P140" s="4" t="s">
        <v>900</v>
      </c>
      <c r="Q140" s="4" t="s">
        <v>1236</v>
      </c>
      <c r="R140" s="4" t="s">
        <v>1237</v>
      </c>
      <c r="S140" s="4" t="s">
        <v>85</v>
      </c>
      <c r="T140" s="4" t="n">
        <v>-33.505837</v>
      </c>
      <c r="U140" s="4" t="n">
        <v>-70.681394</v>
      </c>
      <c r="V140" s="4" t="s">
        <v>286</v>
      </c>
      <c r="W140" s="4" t="s">
        <v>286</v>
      </c>
      <c r="X140" s="4" t="n">
        <v>3</v>
      </c>
      <c r="Y140" s="9" t="n">
        <v>5</v>
      </c>
      <c r="Z140" s="4" t="s">
        <v>1238</v>
      </c>
      <c r="AA140" s="4" t="s">
        <v>1239</v>
      </c>
      <c r="AB140" s="4" t="s">
        <v>1090</v>
      </c>
      <c r="AC140" s="4" t="n">
        <v>1</v>
      </c>
      <c r="AD140" s="4"/>
    </row>
    <row r="141" customFormat="false" ht="15" hidden="false" customHeight="false" outlineLevel="0" collapsed="false">
      <c r="A141" s="4" t="s">
        <v>1240</v>
      </c>
      <c r="B141" s="4" t="s">
        <v>1241</v>
      </c>
      <c r="C141" s="4" t="s">
        <v>1241</v>
      </c>
      <c r="D141" s="4"/>
      <c r="E141" s="4" t="n">
        <v>1</v>
      </c>
      <c r="F141" s="4" t="s">
        <v>20</v>
      </c>
      <c r="G141" s="4" t="s">
        <v>14</v>
      </c>
      <c r="H141" s="4" t="s">
        <v>1242</v>
      </c>
      <c r="I141" s="4" t="n">
        <v>85</v>
      </c>
      <c r="J141" s="4" t="s">
        <v>1243</v>
      </c>
      <c r="K141" s="4" t="s">
        <v>95</v>
      </c>
      <c r="L141" s="4" t="s">
        <v>1244</v>
      </c>
      <c r="M141" s="4" t="s">
        <v>1245</v>
      </c>
      <c r="N141" s="4" t="s">
        <v>83</v>
      </c>
      <c r="O141" s="4"/>
      <c r="P141" s="4"/>
      <c r="Q141" s="4"/>
      <c r="R141" s="4"/>
      <c r="S141" s="4" t="s">
        <v>1246</v>
      </c>
      <c r="T141" s="4" t="n">
        <v>-32.957768</v>
      </c>
      <c r="U141" s="4" t="n">
        <v>-71.132737</v>
      </c>
      <c r="V141" s="4" t="s">
        <v>224</v>
      </c>
      <c r="W141" s="4" t="s">
        <v>1247</v>
      </c>
      <c r="X141" s="4" t="n">
        <v>164</v>
      </c>
      <c r="Y141" s="9" t="n">
        <v>5</v>
      </c>
      <c r="Z141" s="4" t="s">
        <v>1248</v>
      </c>
      <c r="AA141" s="4" t="s">
        <v>1249</v>
      </c>
      <c r="AB141" s="4" t="s">
        <v>228</v>
      </c>
      <c r="AC141" s="4" t="n">
        <v>1</v>
      </c>
      <c r="AD141" s="4" t="s">
        <v>401</v>
      </c>
    </row>
    <row r="142" customFormat="false" ht="15" hidden="false" customHeight="false" outlineLevel="0" collapsed="false">
      <c r="A142" s="4" t="s">
        <v>1250</v>
      </c>
      <c r="B142" s="4" t="s">
        <v>1251</v>
      </c>
      <c r="C142" s="4" t="s">
        <v>1251</v>
      </c>
      <c r="D142" s="4"/>
      <c r="E142" s="4" t="n">
        <v>1</v>
      </c>
      <c r="F142" s="4" t="s">
        <v>20</v>
      </c>
      <c r="G142" s="4" t="s">
        <v>14</v>
      </c>
      <c r="H142" s="4" t="s">
        <v>1242</v>
      </c>
      <c r="I142" s="4" t="n">
        <v>60</v>
      </c>
      <c r="J142" s="4" t="s">
        <v>1252</v>
      </c>
      <c r="K142" s="4" t="s">
        <v>95</v>
      </c>
      <c r="L142" s="4" t="s">
        <v>1253</v>
      </c>
      <c r="M142" s="4" t="s">
        <v>1254</v>
      </c>
      <c r="N142" s="4" t="s">
        <v>83</v>
      </c>
      <c r="O142" s="4"/>
      <c r="P142" s="4"/>
      <c r="Q142" s="4"/>
      <c r="R142" s="4"/>
      <c r="S142" s="4" t="s">
        <v>1246</v>
      </c>
      <c r="T142" s="4" t="n">
        <v>-37.060832</v>
      </c>
      <c r="U142" s="4" t="n">
        <v>-88.1804</v>
      </c>
      <c r="V142" s="4" t="s">
        <v>224</v>
      </c>
      <c r="W142" s="4" t="s">
        <v>1255</v>
      </c>
      <c r="X142" s="4"/>
      <c r="Y142" s="9"/>
      <c r="Z142" s="4" t="s">
        <v>1256</v>
      </c>
      <c r="AA142" s="4" t="s">
        <v>1257</v>
      </c>
      <c r="AB142" s="4" t="s">
        <v>698</v>
      </c>
      <c r="AC142" s="4" t="n">
        <v>2</v>
      </c>
      <c r="AD142" s="4" t="s">
        <v>1258</v>
      </c>
    </row>
    <row r="143" customFormat="false" ht="15" hidden="false" customHeight="false" outlineLevel="0" collapsed="false">
      <c r="A143" s="4" t="s">
        <v>1259</v>
      </c>
      <c r="B143" s="4" t="s">
        <v>1260</v>
      </c>
      <c r="C143" s="4" t="s">
        <v>1260</v>
      </c>
      <c r="D143" s="4"/>
      <c r="E143" s="4" t="n">
        <v>1</v>
      </c>
      <c r="F143" s="4" t="s">
        <v>23</v>
      </c>
      <c r="G143" s="4" t="s">
        <v>14</v>
      </c>
      <c r="H143" s="4" t="s">
        <v>1126</v>
      </c>
      <c r="I143" s="4" t="n">
        <v>45</v>
      </c>
      <c r="J143" s="4"/>
      <c r="K143" s="4" t="s">
        <v>716</v>
      </c>
      <c r="L143" s="4"/>
      <c r="M143" s="4"/>
      <c r="N143" s="4" t="s">
        <v>589</v>
      </c>
      <c r="O143" s="4" t="s">
        <v>41</v>
      </c>
      <c r="P143" s="4" t="s">
        <v>900</v>
      </c>
      <c r="Q143" s="4"/>
      <c r="R143" s="4" t="s">
        <v>1261</v>
      </c>
      <c r="S143" s="4" t="s">
        <v>85</v>
      </c>
      <c r="T143" s="4" t="n">
        <v>-33.312461</v>
      </c>
      <c r="U143" s="4" t="n">
        <v>-70.742453</v>
      </c>
      <c r="V143" s="4" t="s">
        <v>888</v>
      </c>
      <c r="W143" s="4" t="s">
        <v>888</v>
      </c>
      <c r="X143" s="4" t="n">
        <v>30</v>
      </c>
      <c r="Y143" s="9" t="n">
        <v>4.4</v>
      </c>
      <c r="Z143" s="4" t="s">
        <v>1262</v>
      </c>
      <c r="AA143" s="4" t="s">
        <v>1263</v>
      </c>
      <c r="AB143" s="4" t="s">
        <v>207</v>
      </c>
      <c r="AC143" s="4" t="n">
        <v>1</v>
      </c>
      <c r="AD143" s="4" t="s">
        <v>1264</v>
      </c>
    </row>
    <row r="144" customFormat="false" ht="15" hidden="false" customHeight="false" outlineLevel="0" collapsed="false">
      <c r="A144" s="4" t="s">
        <v>1265</v>
      </c>
      <c r="B144" s="4" t="s">
        <v>1266</v>
      </c>
      <c r="C144" s="4" t="s">
        <v>1266</v>
      </c>
      <c r="D144" s="4"/>
      <c r="E144" s="4" t="n">
        <v>1</v>
      </c>
      <c r="F144" s="4" t="s">
        <v>22</v>
      </c>
      <c r="G144" s="4" t="s">
        <v>14</v>
      </c>
      <c r="H144" s="4" t="s">
        <v>1267</v>
      </c>
      <c r="I144" s="4" t="n">
        <v>45</v>
      </c>
      <c r="J144" s="4"/>
      <c r="K144" s="4" t="s">
        <v>716</v>
      </c>
      <c r="L144" s="4"/>
      <c r="M144" s="4"/>
      <c r="N144" s="4" t="s">
        <v>589</v>
      </c>
      <c r="O144" s="4" t="s">
        <v>29</v>
      </c>
      <c r="P144" s="4" t="s">
        <v>31</v>
      </c>
      <c r="Q144" s="4"/>
      <c r="R144" s="4" t="s">
        <v>1268</v>
      </c>
      <c r="S144" s="4" t="s">
        <v>85</v>
      </c>
      <c r="T144" s="4" t="n">
        <v>-33.602825</v>
      </c>
      <c r="U144" s="4" t="n">
        <v>-71.618628</v>
      </c>
      <c r="V144" s="4" t="s">
        <v>86</v>
      </c>
      <c r="W144" s="4" t="s">
        <v>86</v>
      </c>
      <c r="X144" s="4" t="n">
        <v>19</v>
      </c>
      <c r="Y144" s="9" t="n">
        <v>4.6</v>
      </c>
      <c r="Z144" s="4" t="s">
        <v>591</v>
      </c>
      <c r="AA144" s="4" t="s">
        <v>1269</v>
      </c>
      <c r="AB144" s="4" t="s">
        <v>1270</v>
      </c>
      <c r="AC144" s="4" t="n">
        <v>3</v>
      </c>
      <c r="AD144" s="4" t="s">
        <v>1264</v>
      </c>
    </row>
    <row r="145" customFormat="false" ht="15" hidden="false" customHeight="false" outlineLevel="0" collapsed="false">
      <c r="A145" s="4" t="s">
        <v>1271</v>
      </c>
      <c r="B145" s="4" t="s">
        <v>1272</v>
      </c>
      <c r="C145" s="4" t="s">
        <v>1272</v>
      </c>
      <c r="D145" s="4"/>
      <c r="E145" s="4" t="n">
        <v>1</v>
      </c>
      <c r="F145" s="4" t="s">
        <v>20</v>
      </c>
      <c r="G145" s="4" t="s">
        <v>14</v>
      </c>
      <c r="H145" s="4" t="s">
        <v>1267</v>
      </c>
      <c r="I145" s="4" t="n">
        <v>35</v>
      </c>
      <c r="J145" s="4"/>
      <c r="K145" s="4" t="s">
        <v>716</v>
      </c>
      <c r="L145" s="4"/>
      <c r="M145" s="4"/>
      <c r="N145" s="4" t="s">
        <v>589</v>
      </c>
      <c r="O145" s="4" t="s">
        <v>29</v>
      </c>
      <c r="P145" s="4" t="s">
        <v>31</v>
      </c>
      <c r="Q145" s="4" t="s">
        <v>1273</v>
      </c>
      <c r="R145" s="4" t="s">
        <v>1274</v>
      </c>
      <c r="S145" s="4" t="s">
        <v>85</v>
      </c>
      <c r="T145" s="4" t="n">
        <v>-33.613126</v>
      </c>
      <c r="U145" s="4" t="n">
        <v>-71.617467</v>
      </c>
      <c r="V145" s="4" t="s">
        <v>224</v>
      </c>
      <c r="W145" s="4" t="s">
        <v>224</v>
      </c>
      <c r="X145" s="4" t="n">
        <v>23</v>
      </c>
      <c r="Y145" s="9" t="n">
        <v>4.5</v>
      </c>
      <c r="Z145" s="4"/>
      <c r="AA145" s="4" t="s">
        <v>1275</v>
      </c>
      <c r="AB145" s="4" t="s">
        <v>421</v>
      </c>
      <c r="AC145" s="4" t="n">
        <v>1</v>
      </c>
      <c r="AD145" s="4" t="s">
        <v>1276</v>
      </c>
    </row>
    <row r="146" customFormat="false" ht="15" hidden="false" customHeight="false" outlineLevel="0" collapsed="false">
      <c r="A146" s="4" t="s">
        <v>1277</v>
      </c>
      <c r="B146" s="4" t="s">
        <v>1278</v>
      </c>
      <c r="C146" s="4" t="s">
        <v>1278</v>
      </c>
      <c r="D146" s="4"/>
      <c r="E146" s="4" t="n">
        <v>1</v>
      </c>
      <c r="F146" s="4" t="s">
        <v>20</v>
      </c>
      <c r="G146" s="4" t="s">
        <v>14</v>
      </c>
      <c r="H146" s="4" t="s">
        <v>1242</v>
      </c>
      <c r="I146" s="4" t="n">
        <v>35</v>
      </c>
      <c r="J146" s="4" t="s">
        <v>1279</v>
      </c>
      <c r="K146" s="4" t="s">
        <v>95</v>
      </c>
      <c r="L146" s="4"/>
      <c r="M146" s="4"/>
      <c r="N146" s="4" t="s">
        <v>589</v>
      </c>
      <c r="O146" s="4"/>
      <c r="P146" s="4"/>
      <c r="Q146" s="4"/>
      <c r="R146" s="4"/>
      <c r="S146" s="4" t="s">
        <v>1246</v>
      </c>
      <c r="T146" s="4" t="n">
        <v>-33.311322</v>
      </c>
      <c r="U146" s="4" t="n">
        <v>-71.044555</v>
      </c>
      <c r="V146" s="4" t="s">
        <v>224</v>
      </c>
      <c r="W146" s="4" t="s">
        <v>1255</v>
      </c>
      <c r="X146" s="4"/>
      <c r="Y146" s="9"/>
      <c r="Z146" s="4" t="s">
        <v>1280</v>
      </c>
      <c r="AA146" s="4" t="s">
        <v>1281</v>
      </c>
      <c r="AB146" s="4" t="s">
        <v>698</v>
      </c>
      <c r="AC146" s="4" t="n">
        <v>2</v>
      </c>
      <c r="AD146" s="4" t="s">
        <v>1115</v>
      </c>
    </row>
    <row r="147" customFormat="false" ht="15" hidden="false" customHeight="false" outlineLevel="0" collapsed="false">
      <c r="A147" s="4" t="s">
        <v>1282</v>
      </c>
      <c r="B147" s="4" t="s">
        <v>1283</v>
      </c>
      <c r="C147" s="4" t="s">
        <v>1283</v>
      </c>
      <c r="D147" s="4"/>
      <c r="E147" s="4" t="n">
        <v>1</v>
      </c>
      <c r="F147" s="4" t="s">
        <v>22</v>
      </c>
      <c r="G147" s="4" t="s">
        <v>14</v>
      </c>
      <c r="H147" s="4" t="s">
        <v>1267</v>
      </c>
      <c r="I147" s="4" t="n">
        <v>30</v>
      </c>
      <c r="J147" s="4"/>
      <c r="K147" s="4" t="s">
        <v>716</v>
      </c>
      <c r="L147" s="4"/>
      <c r="M147" s="4"/>
      <c r="N147" s="4" t="s">
        <v>589</v>
      </c>
      <c r="O147" s="4" t="s">
        <v>29</v>
      </c>
      <c r="P147" s="4" t="s">
        <v>31</v>
      </c>
      <c r="Q147" s="4"/>
      <c r="R147" s="4" t="s">
        <v>599</v>
      </c>
      <c r="S147" s="4" t="s">
        <v>541</v>
      </c>
      <c r="T147" s="4" t="n">
        <v>-33.601527</v>
      </c>
      <c r="U147" s="4" t="n">
        <v>-71.599925</v>
      </c>
      <c r="V147" s="4" t="s">
        <v>86</v>
      </c>
      <c r="W147" s="4" t="s">
        <v>86</v>
      </c>
      <c r="X147" s="4" t="n">
        <v>20</v>
      </c>
      <c r="Y147" s="9" t="n">
        <v>4.1</v>
      </c>
      <c r="Z147" s="4" t="s">
        <v>1284</v>
      </c>
      <c r="AA147" s="4" t="s">
        <v>1285</v>
      </c>
      <c r="AB147" s="4" t="s">
        <v>602</v>
      </c>
      <c r="AC147" s="4" t="n">
        <v>1</v>
      </c>
      <c r="AD147" s="4" t="s">
        <v>1286</v>
      </c>
    </row>
    <row r="148" customFormat="false" ht="15" hidden="false" customHeight="false" outlineLevel="0" collapsed="false">
      <c r="A148" s="4" t="s">
        <v>1287</v>
      </c>
      <c r="B148" s="4" t="s">
        <v>1288</v>
      </c>
      <c r="C148" s="4" t="s">
        <v>1288</v>
      </c>
      <c r="D148" s="4"/>
      <c r="E148" s="4" t="n">
        <v>1</v>
      </c>
      <c r="F148" s="4" t="s">
        <v>22</v>
      </c>
      <c r="G148" s="4" t="s">
        <v>14</v>
      </c>
      <c r="H148" s="4" t="s">
        <v>1267</v>
      </c>
      <c r="I148" s="4" t="n">
        <v>30</v>
      </c>
      <c r="J148" s="4"/>
      <c r="K148" s="4" t="s">
        <v>716</v>
      </c>
      <c r="L148" s="4"/>
      <c r="M148" s="4"/>
      <c r="N148" s="4" t="s">
        <v>589</v>
      </c>
      <c r="O148" s="4" t="s">
        <v>31</v>
      </c>
      <c r="P148" s="4" t="s">
        <v>31</v>
      </c>
      <c r="Q148" s="4"/>
      <c r="R148" s="4" t="s">
        <v>1289</v>
      </c>
      <c r="S148" s="4" t="s">
        <v>85</v>
      </c>
      <c r="T148" s="4" t="n">
        <v>-33.031665</v>
      </c>
      <c r="U148" s="4" t="n">
        <v>-71.629019</v>
      </c>
      <c r="V148" s="4" t="s">
        <v>205</v>
      </c>
      <c r="W148" s="4" t="s">
        <v>205</v>
      </c>
      <c r="X148" s="4" t="n">
        <v>5</v>
      </c>
      <c r="Y148" s="9" t="n">
        <v>5</v>
      </c>
      <c r="Z148" s="4"/>
      <c r="AA148" s="4" t="s">
        <v>1290</v>
      </c>
      <c r="AB148" s="4" t="s">
        <v>164</v>
      </c>
      <c r="AC148" s="4" t="n">
        <v>2</v>
      </c>
      <c r="AD148" s="4" t="s">
        <v>1276</v>
      </c>
    </row>
    <row r="149" customFormat="false" ht="15" hidden="false" customHeight="false" outlineLevel="0" collapsed="false">
      <c r="A149" s="4" t="s">
        <v>1291</v>
      </c>
      <c r="B149" s="4" t="s">
        <v>1292</v>
      </c>
      <c r="C149" s="4" t="s">
        <v>1292</v>
      </c>
      <c r="D149" s="4"/>
      <c r="E149" s="4" t="n">
        <v>1</v>
      </c>
      <c r="F149" s="4" t="s">
        <v>22</v>
      </c>
      <c r="G149" s="4" t="s">
        <v>14</v>
      </c>
      <c r="H149" s="4" t="s">
        <v>1267</v>
      </c>
      <c r="I149" s="4" t="n">
        <v>30</v>
      </c>
      <c r="J149" s="4"/>
      <c r="K149" s="4" t="s">
        <v>716</v>
      </c>
      <c r="L149" s="4"/>
      <c r="M149" s="4"/>
      <c r="N149" s="4" t="s">
        <v>589</v>
      </c>
      <c r="O149" s="4" t="s">
        <v>29</v>
      </c>
      <c r="P149" s="4" t="s">
        <v>31</v>
      </c>
      <c r="Q149" s="4"/>
      <c r="R149" s="4" t="s">
        <v>1293</v>
      </c>
      <c r="S149" s="4" t="s">
        <v>85</v>
      </c>
      <c r="T149" s="4" t="n">
        <v>-33.576752</v>
      </c>
      <c r="U149" s="4" t="n">
        <v>-71.535766</v>
      </c>
      <c r="V149" s="4" t="s">
        <v>86</v>
      </c>
      <c r="W149" s="4" t="s">
        <v>86</v>
      </c>
      <c r="X149" s="4" t="n">
        <v>3</v>
      </c>
      <c r="Y149" s="9" t="n">
        <v>4.7</v>
      </c>
      <c r="Z149" s="4"/>
      <c r="AA149" s="4" t="s">
        <v>1294</v>
      </c>
      <c r="AB149" s="4" t="s">
        <v>602</v>
      </c>
      <c r="AC149" s="4" t="n">
        <v>1</v>
      </c>
      <c r="AD149" s="4" t="s">
        <v>1276</v>
      </c>
    </row>
    <row r="150" customFormat="false" ht="15" hidden="false" customHeight="false" outlineLevel="0" collapsed="false">
      <c r="A150" s="4" t="s">
        <v>1295</v>
      </c>
      <c r="B150" s="4" t="s">
        <v>1296</v>
      </c>
      <c r="C150" s="4" t="s">
        <v>1296</v>
      </c>
      <c r="D150" s="4"/>
      <c r="E150" s="4" t="n">
        <v>1</v>
      </c>
      <c r="F150" s="4" t="s">
        <v>20</v>
      </c>
      <c r="G150" s="4" t="s">
        <v>14</v>
      </c>
      <c r="H150" s="4" t="s">
        <v>1267</v>
      </c>
      <c r="I150" s="4" t="n">
        <v>30</v>
      </c>
      <c r="J150" s="4"/>
      <c r="K150" s="4" t="s">
        <v>716</v>
      </c>
      <c r="L150" s="4"/>
      <c r="M150" s="4"/>
      <c r="N150" s="4" t="s">
        <v>589</v>
      </c>
      <c r="O150" s="4" t="s">
        <v>29</v>
      </c>
      <c r="P150" s="4" t="s">
        <v>31</v>
      </c>
      <c r="Q150" s="4"/>
      <c r="R150" s="4" t="s">
        <v>1297</v>
      </c>
      <c r="S150" s="4" t="s">
        <v>1298</v>
      </c>
      <c r="T150" s="4" t="n">
        <v>-33.584078</v>
      </c>
      <c r="U150" s="4" t="n">
        <v>-71.499827</v>
      </c>
      <c r="V150" s="4" t="s">
        <v>184</v>
      </c>
      <c r="W150" s="4" t="s">
        <v>184</v>
      </c>
      <c r="X150" s="4" t="n">
        <v>1</v>
      </c>
      <c r="Y150" s="9" t="n">
        <v>5</v>
      </c>
      <c r="Z150" s="4" t="s">
        <v>1299</v>
      </c>
      <c r="AA150" s="4" t="s">
        <v>1300</v>
      </c>
      <c r="AB150" s="4" t="s">
        <v>602</v>
      </c>
      <c r="AC150" s="4" t="n">
        <v>1</v>
      </c>
      <c r="AD150" s="4" t="s">
        <v>1286</v>
      </c>
    </row>
    <row r="151" customFormat="false" ht="15" hidden="false" customHeight="false" outlineLevel="0" collapsed="false">
      <c r="A151" s="4" t="s">
        <v>1301</v>
      </c>
      <c r="B151" s="4" t="s">
        <v>1302</v>
      </c>
      <c r="C151" s="4" t="s">
        <v>1302</v>
      </c>
      <c r="D151" s="4"/>
      <c r="E151" s="4" t="n">
        <v>1</v>
      </c>
      <c r="F151" s="4" t="s">
        <v>20</v>
      </c>
      <c r="G151" s="4" t="s">
        <v>14</v>
      </c>
      <c r="H151" s="4" t="s">
        <v>1267</v>
      </c>
      <c r="I151" s="4" t="n">
        <v>30</v>
      </c>
      <c r="J151" s="4"/>
      <c r="K151" s="4" t="s">
        <v>716</v>
      </c>
      <c r="L151" s="4"/>
      <c r="M151" s="4"/>
      <c r="N151" s="4" t="s">
        <v>589</v>
      </c>
      <c r="O151" s="4" t="s">
        <v>29</v>
      </c>
      <c r="P151" s="4" t="s">
        <v>31</v>
      </c>
      <c r="Q151" s="4" t="s">
        <v>1303</v>
      </c>
      <c r="R151" s="4" t="s">
        <v>1304</v>
      </c>
      <c r="S151" s="4" t="s">
        <v>85</v>
      </c>
      <c r="T151" s="4" t="n">
        <v>-33.587753</v>
      </c>
      <c r="U151" s="4" t="n">
        <v>-71.61064</v>
      </c>
      <c r="V151" s="4" t="s">
        <v>224</v>
      </c>
      <c r="W151" s="4" t="s">
        <v>224</v>
      </c>
      <c r="X151" s="4" t="n">
        <v>1</v>
      </c>
      <c r="Y151" s="9" t="n">
        <v>5</v>
      </c>
      <c r="Z151" s="4"/>
      <c r="AA151" s="4" t="s">
        <v>1305</v>
      </c>
      <c r="AB151" s="4" t="s">
        <v>766</v>
      </c>
      <c r="AC151" s="4" t="n">
        <v>2</v>
      </c>
      <c r="AD151" s="4" t="s">
        <v>1276</v>
      </c>
    </row>
    <row r="152" customFormat="false" ht="15" hidden="false" customHeight="false" outlineLevel="0" collapsed="false">
      <c r="A152" s="4" t="s">
        <v>1306</v>
      </c>
      <c r="B152" s="4" t="s">
        <v>1307</v>
      </c>
      <c r="C152" s="4" t="s">
        <v>1307</v>
      </c>
      <c r="D152" s="4"/>
      <c r="E152" s="4" t="n">
        <v>1</v>
      </c>
      <c r="F152" s="4" t="s">
        <v>20</v>
      </c>
      <c r="G152" s="4" t="s">
        <v>14</v>
      </c>
      <c r="H152" s="4" t="s">
        <v>1267</v>
      </c>
      <c r="I152" s="4" t="n">
        <v>30</v>
      </c>
      <c r="J152" s="4"/>
      <c r="K152" s="4" t="s">
        <v>716</v>
      </c>
      <c r="L152" s="4"/>
      <c r="M152" s="4"/>
      <c r="N152" s="4" t="s">
        <v>589</v>
      </c>
      <c r="O152" s="4" t="s">
        <v>31</v>
      </c>
      <c r="P152" s="4" t="s">
        <v>31</v>
      </c>
      <c r="Q152" s="4"/>
      <c r="R152" s="4" t="s">
        <v>1308</v>
      </c>
      <c r="S152" s="4" t="s">
        <v>85</v>
      </c>
      <c r="T152" s="4" t="n">
        <v>-33.089242</v>
      </c>
      <c r="U152" s="4" t="n">
        <v>-71.586679</v>
      </c>
      <c r="V152" s="4" t="s">
        <v>224</v>
      </c>
      <c r="W152" s="4" t="s">
        <v>224</v>
      </c>
      <c r="X152" s="4" t="n">
        <v>1</v>
      </c>
      <c r="Y152" s="9" t="n">
        <v>5</v>
      </c>
      <c r="Z152" s="4"/>
      <c r="AA152" s="4" t="s">
        <v>1309</v>
      </c>
      <c r="AB152" s="4" t="s">
        <v>471</v>
      </c>
      <c r="AC152" s="4" t="n">
        <v>3</v>
      </c>
      <c r="AD152" s="4" t="s">
        <v>1276</v>
      </c>
    </row>
    <row r="153" customFormat="false" ht="15" hidden="false" customHeight="false" outlineLevel="0" collapsed="false">
      <c r="A153" s="4" t="s">
        <v>1310</v>
      </c>
      <c r="B153" s="4" t="s">
        <v>1311</v>
      </c>
      <c r="C153" s="4" t="s">
        <v>1311</v>
      </c>
      <c r="D153" s="4"/>
      <c r="E153" s="4" t="n">
        <v>1</v>
      </c>
      <c r="F153" s="4" t="s">
        <v>20</v>
      </c>
      <c r="G153" s="4" t="s">
        <v>14</v>
      </c>
      <c r="H153" s="4" t="s">
        <v>1267</v>
      </c>
      <c r="I153" s="4" t="n">
        <v>30</v>
      </c>
      <c r="J153" s="4"/>
      <c r="K153" s="4" t="s">
        <v>716</v>
      </c>
      <c r="L153" s="4"/>
      <c r="M153" s="4"/>
      <c r="N153" s="4" t="s">
        <v>589</v>
      </c>
      <c r="O153" s="4" t="s">
        <v>30</v>
      </c>
      <c r="P153" s="4" t="s">
        <v>31</v>
      </c>
      <c r="Q153" s="4" t="s">
        <v>1312</v>
      </c>
      <c r="R153" s="4" t="s">
        <v>1313</v>
      </c>
      <c r="S153" s="4" t="s">
        <v>85</v>
      </c>
      <c r="T153" s="4" t="n">
        <v>-33.013254</v>
      </c>
      <c r="U153" s="4" t="n">
        <v>-71.545071</v>
      </c>
      <c r="V153" s="4" t="s">
        <v>224</v>
      </c>
      <c r="W153" s="4" t="s">
        <v>224</v>
      </c>
      <c r="X153" s="4" t="n">
        <v>1</v>
      </c>
      <c r="Y153" s="9" t="n">
        <v>5</v>
      </c>
      <c r="Z153" s="4"/>
      <c r="AA153" s="4" t="s">
        <v>1314</v>
      </c>
      <c r="AB153" s="4" t="s">
        <v>713</v>
      </c>
      <c r="AC153" s="4" t="n">
        <v>2</v>
      </c>
      <c r="AD153" s="4" t="s">
        <v>1276</v>
      </c>
    </row>
    <row r="154" customFormat="false" ht="15" hidden="false" customHeight="false" outlineLevel="0" collapsed="false">
      <c r="A154" s="4" t="s">
        <v>1315</v>
      </c>
      <c r="B154" s="4" t="s">
        <v>1316</v>
      </c>
      <c r="C154" s="4" t="s">
        <v>1316</v>
      </c>
      <c r="D154" s="4"/>
      <c r="E154" s="4" t="n">
        <v>1</v>
      </c>
      <c r="F154" s="4" t="s">
        <v>22</v>
      </c>
      <c r="G154" s="4" t="s">
        <v>14</v>
      </c>
      <c r="H154" s="4" t="s">
        <v>1267</v>
      </c>
      <c r="I154" s="4" t="n">
        <v>30</v>
      </c>
      <c r="J154" s="4"/>
      <c r="K154" s="4" t="s">
        <v>716</v>
      </c>
      <c r="L154" s="4"/>
      <c r="M154" s="4"/>
      <c r="N154" s="4" t="s">
        <v>589</v>
      </c>
      <c r="O154" s="4" t="s">
        <v>29</v>
      </c>
      <c r="P154" s="4" t="s">
        <v>31</v>
      </c>
      <c r="Q154" s="4"/>
      <c r="R154" s="4" t="s">
        <v>1317</v>
      </c>
      <c r="S154" s="4" t="s">
        <v>85</v>
      </c>
      <c r="T154" s="4" t="n">
        <v>-33.594526</v>
      </c>
      <c r="U154" s="4" t="n">
        <v>-71.602379</v>
      </c>
      <c r="V154" s="4"/>
      <c r="W154" s="4"/>
      <c r="X154" s="4" t="n">
        <v>1</v>
      </c>
      <c r="Y154" s="9" t="n">
        <v>5</v>
      </c>
      <c r="Z154" s="4"/>
      <c r="AA154" s="4" t="s">
        <v>1318</v>
      </c>
      <c r="AB154" s="4" t="s">
        <v>781</v>
      </c>
      <c r="AC154" s="4" t="n">
        <v>1</v>
      </c>
      <c r="AD154" s="4" t="s">
        <v>1319</v>
      </c>
    </row>
    <row r="155" customFormat="false" ht="15" hidden="false" customHeight="false" outlineLevel="0" collapsed="false">
      <c r="A155" s="4" t="s">
        <v>1320</v>
      </c>
      <c r="B155" s="4" t="s">
        <v>1321</v>
      </c>
      <c r="C155" s="4" t="s">
        <v>1321</v>
      </c>
      <c r="D155" s="4"/>
      <c r="E155" s="4" t="n">
        <v>1</v>
      </c>
      <c r="F155" s="4" t="s">
        <v>20</v>
      </c>
      <c r="G155" s="4" t="s">
        <v>14</v>
      </c>
      <c r="H155" s="4" t="s">
        <v>1267</v>
      </c>
      <c r="I155" s="4" t="n">
        <v>25</v>
      </c>
      <c r="J155" s="4"/>
      <c r="K155" s="4" t="s">
        <v>716</v>
      </c>
      <c r="L155" s="4"/>
      <c r="M155" s="4"/>
      <c r="N155" s="4" t="s">
        <v>589</v>
      </c>
      <c r="O155" s="4" t="s">
        <v>29</v>
      </c>
      <c r="P155" s="4" t="s">
        <v>31</v>
      </c>
      <c r="Q155" s="4"/>
      <c r="R155" s="4" t="s">
        <v>599</v>
      </c>
      <c r="S155" s="4" t="s">
        <v>541</v>
      </c>
      <c r="T155" s="4" t="n">
        <v>-33.592437</v>
      </c>
      <c r="U155" s="4" t="n">
        <v>-71.586626</v>
      </c>
      <c r="V155" s="4" t="s">
        <v>152</v>
      </c>
      <c r="W155" s="4" t="s">
        <v>152</v>
      </c>
      <c r="X155" s="4" t="n">
        <v>207</v>
      </c>
      <c r="Y155" s="9" t="n">
        <v>3.6</v>
      </c>
      <c r="Z155" s="4" t="s">
        <v>1322</v>
      </c>
      <c r="AA155" s="4" t="s">
        <v>1323</v>
      </c>
      <c r="AB155" s="4" t="s">
        <v>1324</v>
      </c>
      <c r="AC155" s="4" t="n">
        <v>3</v>
      </c>
      <c r="AD155" s="4" t="s">
        <v>1286</v>
      </c>
    </row>
    <row r="156" customFormat="false" ht="15" hidden="false" customHeight="false" outlineLevel="0" collapsed="false">
      <c r="A156" s="4" t="s">
        <v>1325</v>
      </c>
      <c r="B156" s="4" t="s">
        <v>1326</v>
      </c>
      <c r="C156" s="4" t="s">
        <v>1326</v>
      </c>
      <c r="D156" s="4"/>
      <c r="E156" s="4" t="n">
        <v>1</v>
      </c>
      <c r="F156" s="4" t="s">
        <v>24</v>
      </c>
      <c r="G156" s="4" t="s">
        <v>14</v>
      </c>
      <c r="H156" s="4" t="s">
        <v>1267</v>
      </c>
      <c r="I156" s="4" t="n">
        <v>25</v>
      </c>
      <c r="J156" s="4"/>
      <c r="K156" s="4" t="s">
        <v>716</v>
      </c>
      <c r="L156" s="4"/>
      <c r="M156" s="4"/>
      <c r="N156" s="4" t="s">
        <v>589</v>
      </c>
      <c r="O156" s="4" t="s">
        <v>29</v>
      </c>
      <c r="P156" s="4" t="s">
        <v>31</v>
      </c>
      <c r="Q156" s="4"/>
      <c r="R156" s="4" t="s">
        <v>599</v>
      </c>
      <c r="S156" s="4" t="s">
        <v>541</v>
      </c>
      <c r="T156" s="4" t="n">
        <v>-33.601053</v>
      </c>
      <c r="U156" s="4" t="n">
        <v>-71.61929</v>
      </c>
      <c r="V156" s="4" t="s">
        <v>152</v>
      </c>
      <c r="W156" s="4" t="s">
        <v>152</v>
      </c>
      <c r="X156" s="4" t="n">
        <v>151</v>
      </c>
      <c r="Y156" s="9" t="n">
        <v>3.8</v>
      </c>
      <c r="Z156" s="4" t="s">
        <v>186</v>
      </c>
      <c r="AA156" s="4" t="s">
        <v>1327</v>
      </c>
      <c r="AB156" s="4" t="s">
        <v>124</v>
      </c>
      <c r="AC156" s="4" t="n">
        <v>1</v>
      </c>
      <c r="AD156" s="4" t="s">
        <v>1286</v>
      </c>
    </row>
    <row r="157" customFormat="false" ht="15" hidden="false" customHeight="false" outlineLevel="0" collapsed="false">
      <c r="A157" s="4" t="s">
        <v>1328</v>
      </c>
      <c r="B157" s="4" t="s">
        <v>1329</v>
      </c>
      <c r="C157" s="4" t="s">
        <v>1329</v>
      </c>
      <c r="D157" s="4"/>
      <c r="E157" s="4" t="n">
        <v>1</v>
      </c>
      <c r="F157" s="4" t="s">
        <v>22</v>
      </c>
      <c r="G157" s="4" t="s">
        <v>14</v>
      </c>
      <c r="H157" s="4" t="s">
        <v>1267</v>
      </c>
      <c r="I157" s="4" t="n">
        <v>25</v>
      </c>
      <c r="J157" s="4"/>
      <c r="K157" s="4" t="s">
        <v>716</v>
      </c>
      <c r="L157" s="4" t="s">
        <v>1330</v>
      </c>
      <c r="M157" s="4" t="s">
        <v>1331</v>
      </c>
      <c r="N157" s="4" t="s">
        <v>589</v>
      </c>
      <c r="O157" s="4" t="s">
        <v>29</v>
      </c>
      <c r="P157" s="4" t="s">
        <v>31</v>
      </c>
      <c r="Q157" s="4" t="s">
        <v>131</v>
      </c>
      <c r="R157" s="4" t="s">
        <v>1332</v>
      </c>
      <c r="S157" s="4" t="s">
        <v>85</v>
      </c>
      <c r="T157" s="4" t="n">
        <v>-33.595844</v>
      </c>
      <c r="U157" s="4" t="n">
        <v>-71.597434</v>
      </c>
      <c r="V157" s="4" t="s">
        <v>205</v>
      </c>
      <c r="W157" s="4" t="s">
        <v>205</v>
      </c>
      <c r="X157" s="4"/>
      <c r="Y157" s="9"/>
      <c r="Z157" s="4" t="s">
        <v>1333</v>
      </c>
      <c r="AA157" s="4" t="s">
        <v>1334</v>
      </c>
      <c r="AB157" s="4" t="s">
        <v>1335</v>
      </c>
      <c r="AC157" s="4" t="n">
        <v>1</v>
      </c>
      <c r="AD157" s="4" t="s">
        <v>1336</v>
      </c>
    </row>
    <row r="158" customFormat="false" ht="15" hidden="false" customHeight="false" outlineLevel="0" collapsed="false">
      <c r="A158" s="4" t="s">
        <v>1337</v>
      </c>
      <c r="B158" s="4" t="s">
        <v>1338</v>
      </c>
      <c r="C158" s="4" t="s">
        <v>1338</v>
      </c>
      <c r="D158" s="4"/>
      <c r="E158" s="4" t="n">
        <v>1</v>
      </c>
      <c r="F158" s="4" t="s">
        <v>20</v>
      </c>
      <c r="G158" s="4" t="s">
        <v>14</v>
      </c>
      <c r="H158" s="4" t="s">
        <v>1267</v>
      </c>
      <c r="I158" s="4" t="n">
        <v>25</v>
      </c>
      <c r="J158" s="4"/>
      <c r="K158" s="4" t="s">
        <v>716</v>
      </c>
      <c r="L158" s="4"/>
      <c r="M158" s="4"/>
      <c r="N158" s="4" t="s">
        <v>589</v>
      </c>
      <c r="O158" s="4" t="s">
        <v>31</v>
      </c>
      <c r="P158" s="4" t="s">
        <v>31</v>
      </c>
      <c r="Q158" s="4"/>
      <c r="R158" s="4" t="s">
        <v>1339</v>
      </c>
      <c r="S158" s="4" t="s">
        <v>85</v>
      </c>
      <c r="T158" s="4" t="n">
        <v>-33.089364</v>
      </c>
      <c r="U158" s="4" t="n">
        <v>-71.58667</v>
      </c>
      <c r="V158" s="4" t="s">
        <v>224</v>
      </c>
      <c r="W158" s="4" t="s">
        <v>224</v>
      </c>
      <c r="X158" s="4"/>
      <c r="Y158" s="9"/>
      <c r="Z158" s="4" t="s">
        <v>186</v>
      </c>
      <c r="AA158" s="4" t="s">
        <v>1340</v>
      </c>
      <c r="AB158" s="4" t="s">
        <v>1341</v>
      </c>
      <c r="AC158" s="4" t="n">
        <v>3</v>
      </c>
      <c r="AD158" s="4" t="s">
        <v>1336</v>
      </c>
    </row>
    <row r="159" customFormat="false" ht="15" hidden="false" customHeight="false" outlineLevel="0" collapsed="false">
      <c r="A159" s="4" t="s">
        <v>1342</v>
      </c>
      <c r="B159" s="4" t="s">
        <v>1343</v>
      </c>
      <c r="C159" s="4" t="s">
        <v>1343</v>
      </c>
      <c r="D159" s="4"/>
      <c r="E159" s="4" t="n">
        <v>1</v>
      </c>
      <c r="F159" s="4" t="s">
        <v>20</v>
      </c>
      <c r="G159" s="4" t="s">
        <v>14</v>
      </c>
      <c r="H159" s="4" t="s">
        <v>1267</v>
      </c>
      <c r="I159" s="4" t="n">
        <v>25</v>
      </c>
      <c r="J159" s="4"/>
      <c r="K159" s="4" t="s">
        <v>716</v>
      </c>
      <c r="L159" s="4"/>
      <c r="M159" s="4"/>
      <c r="N159" s="4" t="s">
        <v>589</v>
      </c>
      <c r="O159" s="4" t="s">
        <v>30</v>
      </c>
      <c r="P159" s="4" t="s">
        <v>31</v>
      </c>
      <c r="Q159" s="4" t="s">
        <v>274</v>
      </c>
      <c r="R159" s="4" t="s">
        <v>1344</v>
      </c>
      <c r="S159" s="4" t="s">
        <v>85</v>
      </c>
      <c r="T159" s="4" t="n">
        <v>-33.041005</v>
      </c>
      <c r="U159" s="4" t="n">
        <v>-71.568583</v>
      </c>
      <c r="V159" s="4" t="s">
        <v>224</v>
      </c>
      <c r="W159" s="4" t="s">
        <v>224</v>
      </c>
      <c r="X159" s="4"/>
      <c r="Y159" s="9"/>
      <c r="Z159" s="4" t="s">
        <v>1056</v>
      </c>
      <c r="AA159" s="4" t="s">
        <v>1345</v>
      </c>
      <c r="AB159" s="4" t="s">
        <v>1017</v>
      </c>
      <c r="AC159" s="4" t="n">
        <v>2</v>
      </c>
      <c r="AD159" s="4" t="s">
        <v>1336</v>
      </c>
    </row>
    <row r="160" customFormat="false" ht="15" hidden="false" customHeight="false" outlineLevel="0" collapsed="false">
      <c r="A160" s="4" t="s">
        <v>1346</v>
      </c>
      <c r="B160" s="4" t="s">
        <v>1347</v>
      </c>
      <c r="C160" s="4" t="s">
        <v>1347</v>
      </c>
      <c r="D160" s="4"/>
      <c r="E160" s="4" t="n">
        <v>1</v>
      </c>
      <c r="F160" s="4" t="s">
        <v>25</v>
      </c>
      <c r="G160" s="4" t="s">
        <v>14</v>
      </c>
      <c r="H160" s="4" t="s">
        <v>1267</v>
      </c>
      <c r="I160" s="4" t="n">
        <v>20</v>
      </c>
      <c r="J160" s="4"/>
      <c r="K160" s="4" t="s">
        <v>716</v>
      </c>
      <c r="L160" s="4"/>
      <c r="M160" s="4"/>
      <c r="N160" s="4" t="s">
        <v>589</v>
      </c>
      <c r="O160" s="4" t="s">
        <v>32</v>
      </c>
      <c r="P160" s="4" t="s">
        <v>31</v>
      </c>
      <c r="Q160" s="4"/>
      <c r="R160" s="4" t="s">
        <v>1348</v>
      </c>
      <c r="S160" s="4" t="s">
        <v>541</v>
      </c>
      <c r="T160" s="4" t="n">
        <v>-33.294483</v>
      </c>
      <c r="U160" s="4" t="n">
        <v>-71.417436</v>
      </c>
      <c r="V160" s="4" t="s">
        <v>99</v>
      </c>
      <c r="W160" s="4" t="s">
        <v>99</v>
      </c>
      <c r="X160" s="4" t="n">
        <v>24</v>
      </c>
      <c r="Y160" s="9" t="n">
        <v>4.7</v>
      </c>
      <c r="Z160" s="4"/>
      <c r="AA160" s="4" t="s">
        <v>1349</v>
      </c>
      <c r="AB160" s="4" t="s">
        <v>103</v>
      </c>
      <c r="AC160" s="4" t="n">
        <v>1</v>
      </c>
      <c r="AD160" s="4" t="s">
        <v>1350</v>
      </c>
    </row>
    <row r="161" customFormat="false" ht="15" hidden="false" customHeight="false" outlineLevel="0" collapsed="false">
      <c r="A161" s="4" t="s">
        <v>1351</v>
      </c>
      <c r="B161" s="4" t="s">
        <v>1352</v>
      </c>
      <c r="C161" s="4" t="s">
        <v>1352</v>
      </c>
      <c r="D161" s="4"/>
      <c r="E161" s="4" t="n">
        <v>1</v>
      </c>
      <c r="F161" s="4" t="s">
        <v>25</v>
      </c>
      <c r="G161" s="4" t="s">
        <v>14</v>
      </c>
      <c r="H161" s="4" t="s">
        <v>1267</v>
      </c>
      <c r="I161" s="4" t="n">
        <v>20</v>
      </c>
      <c r="J161" s="4"/>
      <c r="K161" s="4" t="s">
        <v>716</v>
      </c>
      <c r="L161" s="4"/>
      <c r="M161" s="4"/>
      <c r="N161" s="4" t="s">
        <v>589</v>
      </c>
      <c r="O161" s="4" t="s">
        <v>33</v>
      </c>
      <c r="P161" s="4" t="s">
        <v>900</v>
      </c>
      <c r="Q161" s="4"/>
      <c r="R161" s="4" t="s">
        <v>1088</v>
      </c>
      <c r="S161" s="4" t="s">
        <v>397</v>
      </c>
      <c r="T161" s="4" t="n">
        <v>-33.448206</v>
      </c>
      <c r="U161" s="4" t="n">
        <v>-71.027374</v>
      </c>
      <c r="V161" s="4" t="s">
        <v>1353</v>
      </c>
      <c r="W161" s="4" t="s">
        <v>1353</v>
      </c>
      <c r="X161" s="4" t="n">
        <v>5</v>
      </c>
      <c r="Y161" s="9" t="n">
        <v>5</v>
      </c>
      <c r="Z161" s="4"/>
      <c r="AA161" s="4" t="s">
        <v>1354</v>
      </c>
      <c r="AB161" s="4" t="s">
        <v>904</v>
      </c>
      <c r="AC161" s="4" t="n">
        <v>1</v>
      </c>
      <c r="AD161" s="4" t="s">
        <v>1350</v>
      </c>
    </row>
    <row r="162" customFormat="false" ht="15" hidden="false" customHeight="false" outlineLevel="0" collapsed="false">
      <c r="A162" s="4" t="s">
        <v>1355</v>
      </c>
      <c r="B162" s="4" t="s">
        <v>1356</v>
      </c>
      <c r="C162" s="4" t="s">
        <v>1356</v>
      </c>
      <c r="D162" s="4"/>
      <c r="E162" s="4" t="n">
        <v>1</v>
      </c>
      <c r="F162" s="4" t="s">
        <v>20</v>
      </c>
      <c r="G162" s="4" t="s">
        <v>14</v>
      </c>
      <c r="H162" s="4" t="s">
        <v>1267</v>
      </c>
      <c r="I162" s="4" t="n">
        <v>20</v>
      </c>
      <c r="J162" s="4"/>
      <c r="K162" s="4" t="s">
        <v>716</v>
      </c>
      <c r="L162" s="4"/>
      <c r="M162" s="4"/>
      <c r="N162" s="4" t="s">
        <v>589</v>
      </c>
      <c r="O162" s="4" t="s">
        <v>29</v>
      </c>
      <c r="P162" s="4" t="s">
        <v>31</v>
      </c>
      <c r="Q162" s="4" t="s">
        <v>131</v>
      </c>
      <c r="R162" s="4" t="s">
        <v>1357</v>
      </c>
      <c r="S162" s="4" t="s">
        <v>85</v>
      </c>
      <c r="T162" s="4" t="n">
        <v>-33.636729</v>
      </c>
      <c r="U162" s="4" t="n">
        <v>-71.585539</v>
      </c>
      <c r="V162" s="4" t="s">
        <v>984</v>
      </c>
      <c r="W162" s="4" t="s">
        <v>1358</v>
      </c>
      <c r="X162" s="4" t="n">
        <v>3</v>
      </c>
      <c r="Y162" s="9" t="n">
        <v>3.3</v>
      </c>
      <c r="Z162" s="4"/>
      <c r="AA162" s="4" t="s">
        <v>1359</v>
      </c>
      <c r="AB162" s="4" t="s">
        <v>176</v>
      </c>
      <c r="AC162" s="4" t="n">
        <v>2</v>
      </c>
      <c r="AD162" s="4" t="s">
        <v>1276</v>
      </c>
    </row>
    <row r="163" customFormat="false" ht="15" hidden="false" customHeight="false" outlineLevel="0" collapsed="false">
      <c r="A163" s="4" t="s">
        <v>1360</v>
      </c>
      <c r="B163" s="4" t="s">
        <v>1361</v>
      </c>
      <c r="C163" s="4" t="s">
        <v>1361</v>
      </c>
      <c r="D163" s="4"/>
      <c r="E163" s="4" t="n">
        <v>1</v>
      </c>
      <c r="F163" s="4" t="s">
        <v>20</v>
      </c>
      <c r="G163" s="4" t="s">
        <v>14</v>
      </c>
      <c r="H163" s="4" t="s">
        <v>1267</v>
      </c>
      <c r="I163" s="4" t="n">
        <v>20</v>
      </c>
      <c r="J163" s="4"/>
      <c r="K163" s="4" t="s">
        <v>716</v>
      </c>
      <c r="L163" s="4"/>
      <c r="M163" s="4"/>
      <c r="N163" s="4" t="s">
        <v>589</v>
      </c>
      <c r="O163" s="4" t="s">
        <v>31</v>
      </c>
      <c r="P163" s="4" t="s">
        <v>31</v>
      </c>
      <c r="Q163" s="4"/>
      <c r="R163" s="4" t="s">
        <v>1362</v>
      </c>
      <c r="S163" s="4" t="s">
        <v>1298</v>
      </c>
      <c r="T163" s="4" t="n">
        <v>-33.08802</v>
      </c>
      <c r="U163" s="4" t="n">
        <v>-71.584099</v>
      </c>
      <c r="V163" s="4" t="s">
        <v>224</v>
      </c>
      <c r="W163" s="4" t="s">
        <v>224</v>
      </c>
      <c r="X163" s="4" t="n">
        <v>2</v>
      </c>
      <c r="Y163" s="9" t="n">
        <v>5</v>
      </c>
      <c r="Z163" s="4"/>
      <c r="AA163" s="4" t="s">
        <v>1363</v>
      </c>
      <c r="AB163" s="4" t="s">
        <v>228</v>
      </c>
      <c r="AC163" s="4" t="n">
        <v>1</v>
      </c>
      <c r="AD163" s="4" t="s">
        <v>1350</v>
      </c>
    </row>
    <row r="164" customFormat="false" ht="15" hidden="false" customHeight="false" outlineLevel="0" collapsed="false">
      <c r="A164" s="4" t="s">
        <v>1364</v>
      </c>
      <c r="B164" s="4" t="s">
        <v>1365</v>
      </c>
      <c r="C164" s="4" t="s">
        <v>1365</v>
      </c>
      <c r="D164" s="4"/>
      <c r="E164" s="4" t="n">
        <v>1</v>
      </c>
      <c r="F164" s="4" t="s">
        <v>25</v>
      </c>
      <c r="G164" s="4" t="s">
        <v>14</v>
      </c>
      <c r="H164" s="4" t="s">
        <v>1267</v>
      </c>
      <c r="I164" s="4" t="n">
        <v>20</v>
      </c>
      <c r="J164" s="4"/>
      <c r="K164" s="4" t="s">
        <v>716</v>
      </c>
      <c r="L164" s="4"/>
      <c r="M164" s="4"/>
      <c r="N164" s="4" t="s">
        <v>589</v>
      </c>
      <c r="O164" s="4" t="s">
        <v>33</v>
      </c>
      <c r="P164" s="4" t="s">
        <v>900</v>
      </c>
      <c r="Q164" s="4"/>
      <c r="R164" s="4" t="s">
        <v>1366</v>
      </c>
      <c r="S164" s="4" t="s">
        <v>85</v>
      </c>
      <c r="T164" s="4" t="n">
        <v>-33.406262</v>
      </c>
      <c r="U164" s="4" t="n">
        <v>-71.138595</v>
      </c>
      <c r="V164" s="4" t="s">
        <v>1367</v>
      </c>
      <c r="W164" s="4" t="s">
        <v>1367</v>
      </c>
      <c r="X164" s="4" t="n">
        <v>2</v>
      </c>
      <c r="Y164" s="9" t="n">
        <v>3.5</v>
      </c>
      <c r="Z164" s="4"/>
      <c r="AA164" s="4" t="s">
        <v>1368</v>
      </c>
      <c r="AB164" s="4" t="s">
        <v>904</v>
      </c>
      <c r="AC164" s="4" t="n">
        <v>1</v>
      </c>
      <c r="AD164" s="4" t="s">
        <v>1276</v>
      </c>
    </row>
    <row r="165" customFormat="false" ht="15" hidden="false" customHeight="false" outlineLevel="0" collapsed="false">
      <c r="A165" s="4" t="s">
        <v>1369</v>
      </c>
      <c r="B165" s="4" t="s">
        <v>1370</v>
      </c>
      <c r="C165" s="4" t="s">
        <v>1370</v>
      </c>
      <c r="D165" s="4"/>
      <c r="E165" s="4" t="n">
        <v>1</v>
      </c>
      <c r="F165" s="4" t="s">
        <v>21</v>
      </c>
      <c r="G165" s="4" t="s">
        <v>14</v>
      </c>
      <c r="H165" s="4" t="s">
        <v>1267</v>
      </c>
      <c r="I165" s="4" t="n">
        <v>15</v>
      </c>
      <c r="J165" s="4"/>
      <c r="K165" s="4" t="s">
        <v>716</v>
      </c>
      <c r="L165" s="4"/>
      <c r="M165" s="4"/>
      <c r="N165" s="4" t="s">
        <v>589</v>
      </c>
      <c r="O165" s="4" t="s">
        <v>47</v>
      </c>
      <c r="P165" s="4" t="s">
        <v>31</v>
      </c>
      <c r="Q165" s="4" t="s">
        <v>1371</v>
      </c>
      <c r="R165" s="4" t="s">
        <v>1372</v>
      </c>
      <c r="S165" s="4" t="s">
        <v>85</v>
      </c>
      <c r="T165" s="4" t="n">
        <v>-33.04687</v>
      </c>
      <c r="U165" s="4" t="n">
        <v>-71.344917</v>
      </c>
      <c r="V165" s="4"/>
      <c r="W165" s="4"/>
      <c r="X165" s="4"/>
      <c r="Y165" s="9"/>
      <c r="Z165" s="4"/>
      <c r="AA165" s="4" t="s">
        <v>1373</v>
      </c>
      <c r="AB165" s="4" t="s">
        <v>640</v>
      </c>
      <c r="AC165" s="4" t="n">
        <v>1</v>
      </c>
      <c r="AD165" s="4" t="s">
        <v>1374</v>
      </c>
    </row>
    <row r="166" customFormat="false" ht="15" hidden="false" customHeight="false" outlineLevel="0" collapsed="false">
      <c r="A166" s="4" t="s">
        <v>1375</v>
      </c>
      <c r="B166" s="4" t="s">
        <v>1376</v>
      </c>
      <c r="C166" s="4" t="s">
        <v>1376</v>
      </c>
      <c r="D166" s="4"/>
      <c r="E166" s="4" t="n">
        <v>1</v>
      </c>
      <c r="F166" s="4" t="s">
        <v>20</v>
      </c>
      <c r="G166" s="4" t="s">
        <v>14</v>
      </c>
      <c r="H166" s="4" t="s">
        <v>1267</v>
      </c>
      <c r="I166" s="4" t="n">
        <v>15</v>
      </c>
      <c r="J166" s="4"/>
      <c r="K166" s="4" t="s">
        <v>716</v>
      </c>
      <c r="L166" s="4"/>
      <c r="M166" s="4"/>
      <c r="N166" s="4" t="s">
        <v>589</v>
      </c>
      <c r="O166" s="4" t="s">
        <v>29</v>
      </c>
      <c r="P166" s="4" t="s">
        <v>31</v>
      </c>
      <c r="Q166" s="4"/>
      <c r="R166" s="4" t="s">
        <v>1377</v>
      </c>
      <c r="S166" s="4" t="s">
        <v>85</v>
      </c>
      <c r="T166" s="4" t="n">
        <v>-33.562503</v>
      </c>
      <c r="U166" s="4" t="n">
        <v>-71.597214</v>
      </c>
      <c r="V166" s="4" t="s">
        <v>184</v>
      </c>
      <c r="W166" s="4" t="s">
        <v>184</v>
      </c>
      <c r="X166" s="4"/>
      <c r="Y166" s="9"/>
      <c r="Z166" s="4"/>
      <c r="AA166" s="4" t="s">
        <v>1378</v>
      </c>
      <c r="AB166" s="4" t="s">
        <v>1017</v>
      </c>
      <c r="AC166" s="4" t="n">
        <v>1</v>
      </c>
      <c r="AD166" s="4" t="s">
        <v>1379</v>
      </c>
    </row>
    <row r="167" customFormat="false" ht="15" hidden="false" customHeight="false" outlineLevel="0" collapsed="false">
      <c r="A167" s="4" t="s">
        <v>1380</v>
      </c>
      <c r="B167" s="4" t="s">
        <v>1381</v>
      </c>
      <c r="C167" s="4" t="s">
        <v>1381</v>
      </c>
      <c r="D167" s="4"/>
      <c r="E167" s="4" t="n">
        <v>1</v>
      </c>
      <c r="F167" s="4" t="s">
        <v>24</v>
      </c>
      <c r="G167" s="4" t="s">
        <v>14</v>
      </c>
      <c r="H167" s="4" t="s">
        <v>1267</v>
      </c>
      <c r="I167" s="4" t="n">
        <v>10</v>
      </c>
      <c r="J167" s="4"/>
      <c r="K167" s="4" t="s">
        <v>716</v>
      </c>
      <c r="L167" s="4"/>
      <c r="M167" s="4"/>
      <c r="N167" s="4" t="s">
        <v>589</v>
      </c>
      <c r="O167" s="4" t="s">
        <v>29</v>
      </c>
      <c r="P167" s="4" t="s">
        <v>31</v>
      </c>
      <c r="Q167" s="4"/>
      <c r="R167" s="4" t="s">
        <v>878</v>
      </c>
      <c r="S167" s="4" t="s">
        <v>879</v>
      </c>
      <c r="T167" s="4" t="n">
        <v>-33.597282</v>
      </c>
      <c r="U167" s="4" t="n">
        <v>-71.618309</v>
      </c>
      <c r="V167" s="4" t="s">
        <v>1382</v>
      </c>
      <c r="W167" s="4" t="s">
        <v>1382</v>
      </c>
      <c r="X167" s="4" t="n">
        <v>4</v>
      </c>
      <c r="Y167" s="9" t="n">
        <v>3.8</v>
      </c>
      <c r="Z167" s="4"/>
      <c r="AA167" s="4" t="s">
        <v>1383</v>
      </c>
      <c r="AB167" s="4" t="s">
        <v>124</v>
      </c>
      <c r="AC167" s="4" t="n">
        <v>1</v>
      </c>
      <c r="AD167" s="4" t="s">
        <v>1350</v>
      </c>
    </row>
    <row r="168" customFormat="false" ht="15" hidden="false" customHeight="false" outlineLevel="0" collapsed="false">
      <c r="A168" s="4" t="s">
        <v>1384</v>
      </c>
      <c r="B168" s="4" t="s">
        <v>1385</v>
      </c>
      <c r="C168" s="4" t="s">
        <v>1385</v>
      </c>
      <c r="D168" s="4"/>
      <c r="E168" s="4" t="n">
        <v>1</v>
      </c>
      <c r="F168" s="4" t="s">
        <v>22</v>
      </c>
      <c r="G168" s="4" t="s">
        <v>14</v>
      </c>
      <c r="H168" s="4" t="s">
        <v>1267</v>
      </c>
      <c r="I168" s="4" t="n">
        <v>5</v>
      </c>
      <c r="J168" s="4"/>
      <c r="K168" s="4" t="s">
        <v>716</v>
      </c>
      <c r="L168" s="4"/>
      <c r="M168" s="4"/>
      <c r="N168" s="4" t="s">
        <v>589</v>
      </c>
      <c r="O168" s="4" t="s">
        <v>29</v>
      </c>
      <c r="P168" s="4" t="s">
        <v>31</v>
      </c>
      <c r="Q168" s="4"/>
      <c r="R168" s="4" t="s">
        <v>1386</v>
      </c>
      <c r="S168" s="4" t="s">
        <v>397</v>
      </c>
      <c r="T168" s="4" t="n">
        <v>-33.602907</v>
      </c>
      <c r="U168" s="4" t="n">
        <v>-71.618662</v>
      </c>
      <c r="V168" s="4" t="s">
        <v>265</v>
      </c>
      <c r="W168" s="4" t="s">
        <v>265</v>
      </c>
      <c r="X168" s="4"/>
      <c r="Y168" s="9"/>
      <c r="Z168" s="4"/>
      <c r="AA168" s="4" t="s">
        <v>1387</v>
      </c>
      <c r="AB168" s="4" t="s">
        <v>1097</v>
      </c>
      <c r="AC168" s="4" t="n">
        <v>1</v>
      </c>
      <c r="AD168" s="4" t="s">
        <v>1388</v>
      </c>
    </row>
    <row r="169" customFormat="false" ht="15" hidden="false" customHeight="false" outlineLevel="0" collapsed="false">
      <c r="A169" s="4" t="s">
        <v>1389</v>
      </c>
      <c r="B169" s="4" t="s">
        <v>1390</v>
      </c>
      <c r="C169" s="4" t="s">
        <v>1390</v>
      </c>
      <c r="D169" s="4"/>
      <c r="E169" s="4" t="n">
        <v>1</v>
      </c>
      <c r="F169" s="4" t="s">
        <v>22</v>
      </c>
      <c r="G169" s="4" t="s">
        <v>14</v>
      </c>
      <c r="H169" s="4" t="s">
        <v>1267</v>
      </c>
      <c r="I169" s="4" t="n">
        <v>5</v>
      </c>
      <c r="J169" s="4"/>
      <c r="K169" s="4" t="s">
        <v>716</v>
      </c>
      <c r="L169" s="4"/>
      <c r="M169" s="4"/>
      <c r="N169" s="4" t="s">
        <v>589</v>
      </c>
      <c r="O169" s="4" t="s">
        <v>29</v>
      </c>
      <c r="P169" s="4" t="s">
        <v>31</v>
      </c>
      <c r="Q169" s="4"/>
      <c r="R169" s="4" t="s">
        <v>1391</v>
      </c>
      <c r="S169" s="4" t="s">
        <v>1298</v>
      </c>
      <c r="T169" s="4" t="n">
        <v>-33.570045</v>
      </c>
      <c r="U169" s="4" t="n">
        <v>-71.5653</v>
      </c>
      <c r="V169" s="4" t="s">
        <v>205</v>
      </c>
      <c r="W169" s="4" t="s">
        <v>205</v>
      </c>
      <c r="X169" s="4"/>
      <c r="Y169" s="9"/>
      <c r="Z169" s="4"/>
      <c r="AA169" s="4" t="s">
        <v>1392</v>
      </c>
      <c r="AB169" s="4" t="s">
        <v>1104</v>
      </c>
      <c r="AC169" s="4" t="n">
        <v>2</v>
      </c>
      <c r="AD169" s="4" t="s">
        <v>1388</v>
      </c>
    </row>
    <row r="170" customFormat="false" ht="15" hidden="false" customHeight="false" outlineLevel="0" collapsed="false">
      <c r="A170" s="4" t="s">
        <v>1393</v>
      </c>
      <c r="B170" s="4" t="s">
        <v>1394</v>
      </c>
      <c r="C170" s="4" t="s">
        <v>1394</v>
      </c>
      <c r="D170" s="4"/>
      <c r="E170" s="4" t="n">
        <v>1</v>
      </c>
      <c r="F170" s="4" t="s">
        <v>20</v>
      </c>
      <c r="G170" s="4" t="s">
        <v>14</v>
      </c>
      <c r="H170" s="4" t="s">
        <v>1267</v>
      </c>
      <c r="I170" s="4" t="n">
        <v>5</v>
      </c>
      <c r="J170" s="4"/>
      <c r="K170" s="4" t="s">
        <v>716</v>
      </c>
      <c r="L170" s="4"/>
      <c r="M170" s="4"/>
      <c r="N170" s="4" t="s">
        <v>589</v>
      </c>
      <c r="O170" s="4" t="s">
        <v>29</v>
      </c>
      <c r="P170" s="4" t="s">
        <v>31</v>
      </c>
      <c r="Q170" s="4"/>
      <c r="R170" s="4" t="s">
        <v>1395</v>
      </c>
      <c r="S170" s="4" t="s">
        <v>1298</v>
      </c>
      <c r="T170" s="4" t="n">
        <v>-33.603996</v>
      </c>
      <c r="U170" s="4" t="n">
        <v>-71.594034</v>
      </c>
      <c r="V170" s="4" t="s">
        <v>224</v>
      </c>
      <c r="W170" s="4" t="s">
        <v>224</v>
      </c>
      <c r="X170" s="4"/>
      <c r="Y170" s="9"/>
      <c r="Z170" s="4"/>
      <c r="AA170" s="4" t="s">
        <v>1396</v>
      </c>
      <c r="AB170" s="4" t="s">
        <v>1017</v>
      </c>
      <c r="AC170" s="4" t="n">
        <v>1</v>
      </c>
      <c r="AD170" s="4" t="s">
        <v>1388</v>
      </c>
    </row>
    <row r="171" customFormat="false" ht="15" hidden="false" customHeight="false" outlineLevel="0" collapsed="false">
      <c r="A171" s="4" t="s">
        <v>1397</v>
      </c>
      <c r="B171" s="4" t="s">
        <v>1398</v>
      </c>
      <c r="C171" s="4" t="s">
        <v>1398</v>
      </c>
      <c r="D171" s="4"/>
      <c r="E171" s="4" t="n">
        <v>1</v>
      </c>
      <c r="F171" s="4" t="s">
        <v>24</v>
      </c>
      <c r="G171" s="4" t="s">
        <v>14</v>
      </c>
      <c r="H171" s="4" t="s">
        <v>1267</v>
      </c>
      <c r="I171" s="4" t="n">
        <v>5</v>
      </c>
      <c r="J171" s="4"/>
      <c r="K171" s="4" t="s">
        <v>716</v>
      </c>
      <c r="L171" s="4"/>
      <c r="M171" s="4"/>
      <c r="N171" s="4" t="s">
        <v>589</v>
      </c>
      <c r="O171" s="4" t="s">
        <v>33</v>
      </c>
      <c r="P171" s="4" t="s">
        <v>900</v>
      </c>
      <c r="Q171" s="4"/>
      <c r="R171" s="4" t="s">
        <v>1088</v>
      </c>
      <c r="S171" s="4" t="s">
        <v>397</v>
      </c>
      <c r="T171" s="4" t="n">
        <v>-33.401753</v>
      </c>
      <c r="U171" s="4" t="n">
        <v>-71.124217</v>
      </c>
      <c r="V171" s="4"/>
      <c r="W171" s="4"/>
      <c r="X171" s="4"/>
      <c r="Y171" s="9"/>
      <c r="Z171" s="4"/>
      <c r="AA171" s="4" t="s">
        <v>1399</v>
      </c>
      <c r="AB171" s="4" t="s">
        <v>1045</v>
      </c>
      <c r="AC171" s="4" t="n">
        <v>1</v>
      </c>
      <c r="AD171" s="4" t="s">
        <v>1400</v>
      </c>
    </row>
    <row r="172" customFormat="false" ht="15" hidden="false" customHeight="false" outlineLevel="0" collapsed="false">
      <c r="A172" s="4" t="s">
        <v>1401</v>
      </c>
      <c r="B172" s="4" t="s">
        <v>1402</v>
      </c>
      <c r="C172" s="4" t="s">
        <v>1402</v>
      </c>
      <c r="D172" s="4"/>
      <c r="E172" s="4" t="n">
        <v>1</v>
      </c>
      <c r="F172" s="4" t="s">
        <v>25</v>
      </c>
      <c r="G172" s="4" t="s">
        <v>15</v>
      </c>
      <c r="H172" s="4" t="s">
        <v>1403</v>
      </c>
      <c r="I172" s="4" t="n">
        <v>100</v>
      </c>
      <c r="J172" s="4" t="s">
        <v>1404</v>
      </c>
      <c r="K172" s="4" t="s">
        <v>95</v>
      </c>
      <c r="L172" s="4" t="s">
        <v>1405</v>
      </c>
      <c r="M172" s="4" t="s">
        <v>1406</v>
      </c>
      <c r="N172" s="4" t="s">
        <v>83</v>
      </c>
      <c r="O172" s="4" t="s">
        <v>33</v>
      </c>
      <c r="P172" s="4" t="s">
        <v>900</v>
      </c>
      <c r="Q172" s="4" t="s">
        <v>1041</v>
      </c>
      <c r="R172" s="4" t="s">
        <v>1407</v>
      </c>
      <c r="S172" s="4" t="s">
        <v>85</v>
      </c>
      <c r="T172" s="4" t="n">
        <v>-33.401723</v>
      </c>
      <c r="U172" s="4" t="n">
        <v>-71.1219</v>
      </c>
      <c r="V172" s="4" t="s">
        <v>1408</v>
      </c>
      <c r="W172" s="4" t="s">
        <v>1409</v>
      </c>
      <c r="X172" s="4" t="n">
        <v>234</v>
      </c>
      <c r="Y172" s="9" t="n">
        <v>4.6</v>
      </c>
      <c r="Z172" s="4" t="s">
        <v>1410</v>
      </c>
      <c r="AA172" s="4" t="s">
        <v>1411</v>
      </c>
      <c r="AB172" s="4" t="s">
        <v>904</v>
      </c>
      <c r="AC172" s="4" t="n">
        <v>1</v>
      </c>
      <c r="AD172" s="4"/>
    </row>
    <row r="173" customFormat="false" ht="15" hidden="false" customHeight="false" outlineLevel="0" collapsed="false">
      <c r="A173" s="4" t="s">
        <v>1412</v>
      </c>
      <c r="B173" s="4" t="s">
        <v>1413</v>
      </c>
      <c r="C173" s="4" t="s">
        <v>1413</v>
      </c>
      <c r="D173" s="4"/>
      <c r="E173" s="4" t="n">
        <v>1</v>
      </c>
      <c r="F173" s="4" t="s">
        <v>21</v>
      </c>
      <c r="G173" s="4" t="s">
        <v>15</v>
      </c>
      <c r="H173" s="4" t="s">
        <v>1414</v>
      </c>
      <c r="I173" s="4" t="n">
        <v>100</v>
      </c>
      <c r="J173" s="4" t="s">
        <v>1415</v>
      </c>
      <c r="K173" s="4" t="s">
        <v>80</v>
      </c>
      <c r="L173" s="4" t="s">
        <v>1416</v>
      </c>
      <c r="M173" s="4" t="s">
        <v>1417</v>
      </c>
      <c r="N173" s="4" t="s">
        <v>83</v>
      </c>
      <c r="O173" s="4" t="s">
        <v>31</v>
      </c>
      <c r="P173" s="4" t="s">
        <v>31</v>
      </c>
      <c r="Q173" s="4" t="s">
        <v>1418</v>
      </c>
      <c r="R173" s="4" t="s">
        <v>1419</v>
      </c>
      <c r="S173" s="4" t="s">
        <v>85</v>
      </c>
      <c r="T173" s="4" t="n">
        <v>-33.048951</v>
      </c>
      <c r="U173" s="4" t="n">
        <v>-71.611441</v>
      </c>
      <c r="V173" s="4" t="s">
        <v>196</v>
      </c>
      <c r="W173" s="4" t="s">
        <v>196</v>
      </c>
      <c r="X173" s="4" t="n">
        <v>90</v>
      </c>
      <c r="Y173" s="9" t="n">
        <v>4.3</v>
      </c>
      <c r="Z173" s="4" t="s">
        <v>1420</v>
      </c>
      <c r="AA173" s="4" t="s">
        <v>1421</v>
      </c>
      <c r="AB173" s="4" t="s">
        <v>299</v>
      </c>
      <c r="AC173" s="4" t="n">
        <v>1</v>
      </c>
      <c r="AD173" s="4"/>
    </row>
    <row r="174" customFormat="false" ht="15" hidden="false" customHeight="false" outlineLevel="0" collapsed="false">
      <c r="A174" s="4" t="s">
        <v>1422</v>
      </c>
      <c r="B174" s="4" t="s">
        <v>1423</v>
      </c>
      <c r="C174" s="4" t="s">
        <v>1423</v>
      </c>
      <c r="D174" s="4" t="s">
        <v>1424</v>
      </c>
      <c r="E174" s="4" t="n">
        <v>2</v>
      </c>
      <c r="F174" s="4" t="s">
        <v>23</v>
      </c>
      <c r="G174" s="4" t="s">
        <v>15</v>
      </c>
      <c r="H174" s="4" t="s">
        <v>1425</v>
      </c>
      <c r="I174" s="4" t="n">
        <v>95</v>
      </c>
      <c r="J174" s="4" t="s">
        <v>1426</v>
      </c>
      <c r="K174" s="4" t="s">
        <v>95</v>
      </c>
      <c r="L174" s="4" t="s">
        <v>1427</v>
      </c>
      <c r="M174" s="4" t="s">
        <v>1428</v>
      </c>
      <c r="N174" s="4" t="s">
        <v>83</v>
      </c>
      <c r="O174" s="4" t="s">
        <v>37</v>
      </c>
      <c r="P174" s="4" t="s">
        <v>31</v>
      </c>
      <c r="Q174" s="4" t="s">
        <v>1429</v>
      </c>
      <c r="R174" s="4" t="s">
        <v>1430</v>
      </c>
      <c r="S174" s="4" t="s">
        <v>85</v>
      </c>
      <c r="T174" s="4" t="n">
        <v>-33.03857</v>
      </c>
      <c r="U174" s="4" t="n">
        <v>-71.422028</v>
      </c>
      <c r="V174" s="4" t="s">
        <v>1431</v>
      </c>
      <c r="W174" s="4" t="s">
        <v>1431</v>
      </c>
      <c r="X174" s="4" t="n">
        <v>41</v>
      </c>
      <c r="Y174" s="9" t="n">
        <v>4.8</v>
      </c>
      <c r="Z174" s="4" t="s">
        <v>1432</v>
      </c>
      <c r="AA174" s="4" t="s">
        <v>1433</v>
      </c>
      <c r="AB174" s="4" t="s">
        <v>450</v>
      </c>
      <c r="AC174" s="4" t="n">
        <v>1</v>
      </c>
      <c r="AD174" s="4"/>
    </row>
    <row r="175" customFormat="false" ht="15" hidden="false" customHeight="false" outlineLevel="0" collapsed="false">
      <c r="A175" s="4" t="s">
        <v>1434</v>
      </c>
      <c r="B175" s="4" t="s">
        <v>1435</v>
      </c>
      <c r="C175" s="4" t="s">
        <v>1435</v>
      </c>
      <c r="D175" s="4"/>
      <c r="E175" s="4" t="n">
        <v>1</v>
      </c>
      <c r="F175" s="4" t="s">
        <v>21</v>
      </c>
      <c r="G175" s="4" t="s">
        <v>15</v>
      </c>
      <c r="H175" s="4" t="s">
        <v>1436</v>
      </c>
      <c r="I175" s="4" t="n">
        <v>95</v>
      </c>
      <c r="J175" s="4" t="s">
        <v>1437</v>
      </c>
      <c r="K175" s="4" t="s">
        <v>80</v>
      </c>
      <c r="L175" s="4" t="s">
        <v>1438</v>
      </c>
      <c r="M175" s="4" t="s">
        <v>1439</v>
      </c>
      <c r="N175" s="4" t="s">
        <v>83</v>
      </c>
      <c r="O175" s="4" t="s">
        <v>29</v>
      </c>
      <c r="P175" s="4" t="s">
        <v>31</v>
      </c>
      <c r="Q175" s="4" t="s">
        <v>1440</v>
      </c>
      <c r="R175" s="4" t="s">
        <v>1441</v>
      </c>
      <c r="S175" s="4" t="s">
        <v>85</v>
      </c>
      <c r="T175" s="4" t="n">
        <v>-33.579821</v>
      </c>
      <c r="U175" s="4" t="n">
        <v>-71.609509</v>
      </c>
      <c r="V175" s="4" t="s">
        <v>1442</v>
      </c>
      <c r="W175" s="4" t="s">
        <v>1442</v>
      </c>
      <c r="X175" s="4" t="n">
        <v>28</v>
      </c>
      <c r="Y175" s="9" t="n">
        <v>4.1</v>
      </c>
      <c r="Z175" s="4" t="s">
        <v>1443</v>
      </c>
      <c r="AA175" s="4" t="s">
        <v>1444</v>
      </c>
      <c r="AB175" s="4" t="s">
        <v>176</v>
      </c>
      <c r="AC175" s="4" t="n">
        <v>2</v>
      </c>
      <c r="AD175" s="4"/>
    </row>
    <row r="176" customFormat="false" ht="15" hidden="false" customHeight="false" outlineLevel="0" collapsed="false">
      <c r="A176" s="4" t="s">
        <v>1445</v>
      </c>
      <c r="B176" s="4" t="s">
        <v>1446</v>
      </c>
      <c r="C176" s="4" t="s">
        <v>1446</v>
      </c>
      <c r="D176" s="4"/>
      <c r="E176" s="4" t="n">
        <v>1</v>
      </c>
      <c r="F176" s="4" t="s">
        <v>24</v>
      </c>
      <c r="G176" s="4" t="s">
        <v>15</v>
      </c>
      <c r="H176" s="4" t="s">
        <v>1447</v>
      </c>
      <c r="I176" s="4" t="n">
        <v>95</v>
      </c>
      <c r="J176" s="4" t="s">
        <v>1448</v>
      </c>
      <c r="K176" s="4" t="s">
        <v>80</v>
      </c>
      <c r="L176" s="4" t="s">
        <v>1449</v>
      </c>
      <c r="M176" s="4" t="s">
        <v>1450</v>
      </c>
      <c r="N176" s="4" t="s">
        <v>83</v>
      </c>
      <c r="O176" s="4" t="s">
        <v>30</v>
      </c>
      <c r="P176" s="4" t="s">
        <v>31</v>
      </c>
      <c r="Q176" s="4" t="s">
        <v>1451</v>
      </c>
      <c r="R176" s="4" t="s">
        <v>1452</v>
      </c>
      <c r="S176" s="4" t="s">
        <v>85</v>
      </c>
      <c r="T176" s="4" t="n">
        <v>-33.021898</v>
      </c>
      <c r="U176" s="4" t="n">
        <v>-71.554425</v>
      </c>
      <c r="V176" s="4" t="s">
        <v>1453</v>
      </c>
      <c r="W176" s="4" t="s">
        <v>1453</v>
      </c>
      <c r="X176" s="4" t="n">
        <v>22</v>
      </c>
      <c r="Y176" s="9" t="n">
        <v>4.8</v>
      </c>
      <c r="Z176" s="4" t="s">
        <v>428</v>
      </c>
      <c r="AA176" s="4" t="s">
        <v>1454</v>
      </c>
      <c r="AB176" s="4" t="s">
        <v>217</v>
      </c>
      <c r="AC176" s="4" t="n">
        <v>1</v>
      </c>
      <c r="AD176" s="4"/>
    </row>
    <row r="177" customFormat="false" ht="15" hidden="false" customHeight="false" outlineLevel="0" collapsed="false">
      <c r="A177" s="4" t="s">
        <v>1455</v>
      </c>
      <c r="B177" s="4" t="s">
        <v>1456</v>
      </c>
      <c r="C177" s="4" t="s">
        <v>1456</v>
      </c>
      <c r="D177" s="4"/>
      <c r="E177" s="4" t="n">
        <v>1</v>
      </c>
      <c r="F177" s="4" t="s">
        <v>24</v>
      </c>
      <c r="G177" s="4" t="s">
        <v>15</v>
      </c>
      <c r="H177" s="4" t="s">
        <v>1457</v>
      </c>
      <c r="I177" s="4" t="n">
        <v>95</v>
      </c>
      <c r="J177" s="4" t="s">
        <v>1458</v>
      </c>
      <c r="K177" s="4" t="s">
        <v>95</v>
      </c>
      <c r="L177" s="4" t="s">
        <v>1459</v>
      </c>
      <c r="M177" s="4" t="s">
        <v>1460</v>
      </c>
      <c r="N177" s="4" t="s">
        <v>83</v>
      </c>
      <c r="O177" s="4" t="s">
        <v>30</v>
      </c>
      <c r="P177" s="4" t="s">
        <v>31</v>
      </c>
      <c r="Q177" s="4" t="s">
        <v>1461</v>
      </c>
      <c r="R177" s="4" t="s">
        <v>1462</v>
      </c>
      <c r="S177" s="4" t="s">
        <v>85</v>
      </c>
      <c r="T177" s="4" t="n">
        <v>-33.013779</v>
      </c>
      <c r="U177" s="4" t="n">
        <v>-71.545121</v>
      </c>
      <c r="V177" s="4" t="s">
        <v>1463</v>
      </c>
      <c r="W177" s="4" t="s">
        <v>1463</v>
      </c>
      <c r="X177" s="4" t="n">
        <v>10</v>
      </c>
      <c r="Y177" s="9" t="n">
        <v>4.4</v>
      </c>
      <c r="Z177" s="4" t="s">
        <v>215</v>
      </c>
      <c r="AA177" s="4" t="s">
        <v>1464</v>
      </c>
      <c r="AB177" s="4" t="s">
        <v>217</v>
      </c>
      <c r="AC177" s="4" t="n">
        <v>1</v>
      </c>
      <c r="AD177" s="4"/>
    </row>
    <row r="178" customFormat="false" ht="15" hidden="false" customHeight="false" outlineLevel="0" collapsed="false">
      <c r="A178" s="4" t="s">
        <v>1465</v>
      </c>
      <c r="B178" s="4" t="s">
        <v>1424</v>
      </c>
      <c r="C178" s="4" t="s">
        <v>1424</v>
      </c>
      <c r="D178" s="4" t="s">
        <v>1424</v>
      </c>
      <c r="E178" s="4" t="n">
        <v>2</v>
      </c>
      <c r="F178" s="4" t="s">
        <v>23</v>
      </c>
      <c r="G178" s="4" t="s">
        <v>15</v>
      </c>
      <c r="H178" s="4" t="s">
        <v>1425</v>
      </c>
      <c r="I178" s="4" t="n">
        <v>85</v>
      </c>
      <c r="J178" s="4" t="s">
        <v>1426</v>
      </c>
      <c r="K178" s="4" t="s">
        <v>95</v>
      </c>
      <c r="L178" s="4" t="s">
        <v>1466</v>
      </c>
      <c r="M178" s="4" t="s">
        <v>1467</v>
      </c>
      <c r="N178" s="4" t="s">
        <v>83</v>
      </c>
      <c r="O178" s="4"/>
      <c r="P178" s="4"/>
      <c r="Q178" s="4"/>
      <c r="R178" s="4"/>
      <c r="S178" s="4" t="s">
        <v>1246</v>
      </c>
      <c r="T178" s="4" t="n">
        <v>-37.060832</v>
      </c>
      <c r="U178" s="4" t="n">
        <v>-88.1804</v>
      </c>
      <c r="V178" s="4" t="s">
        <v>1431</v>
      </c>
      <c r="W178" s="4" t="s">
        <v>1468</v>
      </c>
      <c r="X178" s="4" t="n">
        <v>114</v>
      </c>
      <c r="Y178" s="9" t="n">
        <v>4.5</v>
      </c>
      <c r="Z178" s="4" t="s">
        <v>1469</v>
      </c>
      <c r="AA178" s="4" t="s">
        <v>1470</v>
      </c>
      <c r="AB178" s="4" t="s">
        <v>450</v>
      </c>
      <c r="AC178" s="4" t="n">
        <v>1</v>
      </c>
      <c r="AD178" s="4" t="s">
        <v>401</v>
      </c>
    </row>
    <row r="179" customFormat="false" ht="15" hidden="false" customHeight="false" outlineLevel="0" collapsed="false">
      <c r="A179" s="4" t="s">
        <v>1471</v>
      </c>
      <c r="B179" s="4" t="s">
        <v>1472</v>
      </c>
      <c r="C179" s="4" t="s">
        <v>1472</v>
      </c>
      <c r="D179" s="4"/>
      <c r="E179" s="4" t="n">
        <v>1</v>
      </c>
      <c r="F179" s="4" t="s">
        <v>24</v>
      </c>
      <c r="G179" s="4" t="s">
        <v>15</v>
      </c>
      <c r="H179" s="4" t="s">
        <v>1473</v>
      </c>
      <c r="I179" s="4" t="n">
        <v>80</v>
      </c>
      <c r="J179" s="4" t="s">
        <v>1474</v>
      </c>
      <c r="K179" s="4" t="s">
        <v>80</v>
      </c>
      <c r="L179" s="4" t="s">
        <v>1475</v>
      </c>
      <c r="M179" s="4" t="s">
        <v>1476</v>
      </c>
      <c r="N179" s="4" t="s">
        <v>83</v>
      </c>
      <c r="O179" s="4" t="s">
        <v>32</v>
      </c>
      <c r="P179" s="4" t="s">
        <v>31</v>
      </c>
      <c r="Q179" s="4"/>
      <c r="R179" s="4" t="s">
        <v>1477</v>
      </c>
      <c r="S179" s="4" t="s">
        <v>397</v>
      </c>
      <c r="T179" s="4" t="n">
        <v>-33.35876</v>
      </c>
      <c r="U179" s="4" t="n">
        <v>-71.353243</v>
      </c>
      <c r="V179" s="4" t="s">
        <v>1478</v>
      </c>
      <c r="W179" s="4" t="s">
        <v>1478</v>
      </c>
      <c r="X179" s="4" t="n">
        <v>52</v>
      </c>
      <c r="Y179" s="9" t="n">
        <v>4.3</v>
      </c>
      <c r="Z179" s="4"/>
      <c r="AA179" s="4" t="s">
        <v>1479</v>
      </c>
      <c r="AB179" s="4" t="s">
        <v>103</v>
      </c>
      <c r="AC179" s="4" t="n">
        <v>1</v>
      </c>
      <c r="AD179" s="4" t="s">
        <v>1480</v>
      </c>
    </row>
    <row r="180" customFormat="false" ht="15" hidden="false" customHeight="false" outlineLevel="0" collapsed="false">
      <c r="A180" s="4" t="s">
        <v>1481</v>
      </c>
      <c r="B180" s="4" t="s">
        <v>1482</v>
      </c>
      <c r="C180" s="4" t="s">
        <v>1482</v>
      </c>
      <c r="D180" s="4"/>
      <c r="E180" s="4" t="n">
        <v>1</v>
      </c>
      <c r="F180" s="4" t="s">
        <v>21</v>
      </c>
      <c r="G180" s="4" t="s">
        <v>15</v>
      </c>
      <c r="H180" s="4" t="s">
        <v>1483</v>
      </c>
      <c r="I180" s="4" t="n">
        <v>80</v>
      </c>
      <c r="J180" s="4" t="s">
        <v>1484</v>
      </c>
      <c r="K180" s="4" t="s">
        <v>95</v>
      </c>
      <c r="L180" s="4" t="s">
        <v>1485</v>
      </c>
      <c r="M180" s="4" t="s">
        <v>1486</v>
      </c>
      <c r="N180" s="4" t="s">
        <v>83</v>
      </c>
      <c r="O180" s="4" t="s">
        <v>30</v>
      </c>
      <c r="P180" s="4" t="s">
        <v>31</v>
      </c>
      <c r="Q180" s="4" t="s">
        <v>1487</v>
      </c>
      <c r="R180" s="4" t="s">
        <v>1488</v>
      </c>
      <c r="S180" s="4" t="s">
        <v>85</v>
      </c>
      <c r="T180" s="4" t="n">
        <v>-33.010433</v>
      </c>
      <c r="U180" s="4" t="n">
        <v>-71.542466</v>
      </c>
      <c r="V180" s="4" t="s">
        <v>172</v>
      </c>
      <c r="W180" s="4" t="s">
        <v>172</v>
      </c>
      <c r="X180" s="4" t="n">
        <v>3</v>
      </c>
      <c r="Y180" s="9" t="n">
        <v>3.7</v>
      </c>
      <c r="Z180" s="4" t="s">
        <v>1489</v>
      </c>
      <c r="AA180" s="4" t="s">
        <v>1490</v>
      </c>
      <c r="AB180" s="4" t="s">
        <v>299</v>
      </c>
      <c r="AC180" s="4" t="n">
        <v>1</v>
      </c>
      <c r="AD180" s="4"/>
    </row>
    <row r="181" customFormat="false" ht="15" hidden="false" customHeight="false" outlineLevel="0" collapsed="false">
      <c r="A181" s="4" t="s">
        <v>1491</v>
      </c>
      <c r="B181" s="4" t="s">
        <v>1492</v>
      </c>
      <c r="C181" s="4" t="s">
        <v>1492</v>
      </c>
      <c r="D181" s="4" t="s">
        <v>1492</v>
      </c>
      <c r="E181" s="4" t="n">
        <v>2</v>
      </c>
      <c r="F181" s="4" t="s">
        <v>23</v>
      </c>
      <c r="G181" s="4" t="s">
        <v>15</v>
      </c>
      <c r="H181" s="4" t="s">
        <v>1493</v>
      </c>
      <c r="I181" s="4" t="n">
        <v>75</v>
      </c>
      <c r="J181" s="4" t="s">
        <v>1494</v>
      </c>
      <c r="K181" s="4" t="s">
        <v>80</v>
      </c>
      <c r="L181" s="4"/>
      <c r="M181" s="4"/>
      <c r="N181" s="4" t="s">
        <v>589</v>
      </c>
      <c r="O181" s="4" t="s">
        <v>31</v>
      </c>
      <c r="P181" s="4" t="s">
        <v>31</v>
      </c>
      <c r="Q181" s="4" t="s">
        <v>234</v>
      </c>
      <c r="R181" s="4" t="s">
        <v>1495</v>
      </c>
      <c r="S181" s="4" t="s">
        <v>85</v>
      </c>
      <c r="T181" s="4" t="n">
        <v>-33.046423</v>
      </c>
      <c r="U181" s="4" t="n">
        <v>-71.607933</v>
      </c>
      <c r="V181" s="4" t="s">
        <v>1496</v>
      </c>
      <c r="W181" s="4" t="s">
        <v>1496</v>
      </c>
      <c r="X181" s="4" t="n">
        <v>221</v>
      </c>
      <c r="Y181" s="9" t="n">
        <v>4.6</v>
      </c>
      <c r="Z181" s="4" t="s">
        <v>1497</v>
      </c>
      <c r="AA181" s="4" t="s">
        <v>1498</v>
      </c>
      <c r="AB181" s="4" t="s">
        <v>145</v>
      </c>
      <c r="AC181" s="4" t="n">
        <v>2</v>
      </c>
      <c r="AD181" s="4" t="s">
        <v>593</v>
      </c>
    </row>
    <row r="182" customFormat="false" ht="15" hidden="false" customHeight="false" outlineLevel="0" collapsed="false">
      <c r="A182" s="4" t="s">
        <v>1499</v>
      </c>
      <c r="B182" s="4" t="s">
        <v>1500</v>
      </c>
      <c r="C182" s="4" t="s">
        <v>1500</v>
      </c>
      <c r="D182" s="4"/>
      <c r="E182" s="4" t="n">
        <v>1</v>
      </c>
      <c r="F182" s="4" t="s">
        <v>25</v>
      </c>
      <c r="G182" s="4" t="s">
        <v>15</v>
      </c>
      <c r="H182" s="4" t="s">
        <v>1501</v>
      </c>
      <c r="I182" s="4" t="n">
        <v>75</v>
      </c>
      <c r="J182" s="4" t="s">
        <v>1502</v>
      </c>
      <c r="K182" s="4" t="s">
        <v>95</v>
      </c>
      <c r="L182" s="4" t="s">
        <v>1503</v>
      </c>
      <c r="M182" s="4" t="s">
        <v>992</v>
      </c>
      <c r="N182" s="4" t="s">
        <v>589</v>
      </c>
      <c r="O182" s="4" t="s">
        <v>31</v>
      </c>
      <c r="P182" s="4" t="s">
        <v>31</v>
      </c>
      <c r="Q182" s="4" t="s">
        <v>1504</v>
      </c>
      <c r="R182" s="4" t="s">
        <v>1505</v>
      </c>
      <c r="S182" s="4" t="s">
        <v>85</v>
      </c>
      <c r="T182" s="4" t="n">
        <v>-33.040983</v>
      </c>
      <c r="U182" s="4" t="n">
        <v>-71.627974</v>
      </c>
      <c r="V182" s="4" t="s">
        <v>1506</v>
      </c>
      <c r="W182" s="4" t="s">
        <v>1507</v>
      </c>
      <c r="X182" s="4" t="n">
        <v>127</v>
      </c>
      <c r="Y182" s="9" t="n">
        <v>4.7</v>
      </c>
      <c r="Z182" s="4" t="s">
        <v>1508</v>
      </c>
      <c r="AA182" s="4" t="s">
        <v>1509</v>
      </c>
      <c r="AB182" s="4" t="s">
        <v>145</v>
      </c>
      <c r="AC182" s="4" t="n">
        <v>3</v>
      </c>
      <c r="AD182" s="4" t="s">
        <v>593</v>
      </c>
    </row>
    <row r="183" customFormat="false" ht="15" hidden="false" customHeight="false" outlineLevel="0" collapsed="false">
      <c r="A183" s="4" t="s">
        <v>1510</v>
      </c>
      <c r="B183" s="4" t="s">
        <v>1511</v>
      </c>
      <c r="C183" s="4" t="s">
        <v>1511</v>
      </c>
      <c r="D183" s="4"/>
      <c r="E183" s="4" t="n">
        <v>1</v>
      </c>
      <c r="F183" s="4" t="s">
        <v>22</v>
      </c>
      <c r="G183" s="4" t="s">
        <v>15</v>
      </c>
      <c r="H183" s="4" t="s">
        <v>1512</v>
      </c>
      <c r="I183" s="4" t="n">
        <v>70</v>
      </c>
      <c r="J183" s="4" t="s">
        <v>1513</v>
      </c>
      <c r="K183" s="4" t="s">
        <v>80</v>
      </c>
      <c r="L183" s="4"/>
      <c r="M183" s="4"/>
      <c r="N183" s="4" t="s">
        <v>589</v>
      </c>
      <c r="O183" s="4" t="s">
        <v>31</v>
      </c>
      <c r="P183" s="4" t="s">
        <v>31</v>
      </c>
      <c r="Q183" s="4" t="s">
        <v>1514</v>
      </c>
      <c r="R183" s="4" t="s">
        <v>1515</v>
      </c>
      <c r="S183" s="4" t="s">
        <v>85</v>
      </c>
      <c r="T183" s="4" t="n">
        <v>-33.04638</v>
      </c>
      <c r="U183" s="4" t="n">
        <v>-71.607518</v>
      </c>
      <c r="V183" s="4" t="s">
        <v>1516</v>
      </c>
      <c r="W183" s="4" t="s">
        <v>1516</v>
      </c>
      <c r="X183" s="4" t="n">
        <v>41</v>
      </c>
      <c r="Y183" s="9" t="n">
        <v>4.4</v>
      </c>
      <c r="Z183" s="4" t="s">
        <v>1517</v>
      </c>
      <c r="AA183" s="4" t="s">
        <v>1518</v>
      </c>
      <c r="AB183" s="4" t="s">
        <v>145</v>
      </c>
      <c r="AC183" s="4" t="n">
        <v>3</v>
      </c>
      <c r="AD183" s="4" t="s">
        <v>593</v>
      </c>
    </row>
    <row r="184" customFormat="false" ht="15" hidden="false" customHeight="false" outlineLevel="0" collapsed="false">
      <c r="A184" s="4" t="s">
        <v>1519</v>
      </c>
      <c r="B184" s="4" t="s">
        <v>1520</v>
      </c>
      <c r="C184" s="4" t="s">
        <v>1520</v>
      </c>
      <c r="D184" s="4"/>
      <c r="E184" s="4" t="n">
        <v>1</v>
      </c>
      <c r="F184" s="4" t="s">
        <v>23</v>
      </c>
      <c r="G184" s="4" t="s">
        <v>15</v>
      </c>
      <c r="H184" s="4" t="s">
        <v>1425</v>
      </c>
      <c r="I184" s="4" t="n">
        <v>70</v>
      </c>
      <c r="J184" s="4" t="s">
        <v>1521</v>
      </c>
      <c r="K184" s="4" t="s">
        <v>95</v>
      </c>
      <c r="L184" s="4"/>
      <c r="M184" s="4"/>
      <c r="N184" s="4" t="s">
        <v>589</v>
      </c>
      <c r="O184" s="4" t="s">
        <v>32</v>
      </c>
      <c r="P184" s="4" t="s">
        <v>31</v>
      </c>
      <c r="Q184" s="4"/>
      <c r="R184" s="4" t="s">
        <v>1522</v>
      </c>
      <c r="S184" s="4" t="s">
        <v>85</v>
      </c>
      <c r="T184" s="4" t="n">
        <v>-33.309935</v>
      </c>
      <c r="U184" s="4" t="n">
        <v>-71.41824</v>
      </c>
      <c r="V184" s="4" t="s">
        <v>1431</v>
      </c>
      <c r="W184" s="4" t="s">
        <v>1431</v>
      </c>
      <c r="X184" s="4" t="n">
        <v>33</v>
      </c>
      <c r="Y184" s="9" t="n">
        <v>4.7</v>
      </c>
      <c r="Z184" s="4" t="s">
        <v>1523</v>
      </c>
      <c r="AA184" s="4" t="s">
        <v>1524</v>
      </c>
      <c r="AB184" s="4" t="s">
        <v>207</v>
      </c>
      <c r="AC184" s="4" t="n">
        <v>1</v>
      </c>
      <c r="AD184" s="4" t="s">
        <v>593</v>
      </c>
    </row>
    <row r="185" customFormat="false" ht="15" hidden="false" customHeight="false" outlineLevel="0" collapsed="false">
      <c r="A185" s="4" t="s">
        <v>1525</v>
      </c>
      <c r="B185" s="4" t="s">
        <v>1526</v>
      </c>
      <c r="C185" s="4" t="s">
        <v>1526</v>
      </c>
      <c r="D185" s="4"/>
      <c r="E185" s="4" t="n">
        <v>1</v>
      </c>
      <c r="F185" s="4" t="s">
        <v>25</v>
      </c>
      <c r="G185" s="4" t="s">
        <v>15</v>
      </c>
      <c r="H185" s="4" t="s">
        <v>1527</v>
      </c>
      <c r="I185" s="4" t="n">
        <v>65</v>
      </c>
      <c r="J185" s="4" t="s">
        <v>1528</v>
      </c>
      <c r="K185" s="4" t="s">
        <v>95</v>
      </c>
      <c r="L185" s="4"/>
      <c r="M185" s="4"/>
      <c r="N185" s="4" t="s">
        <v>589</v>
      </c>
      <c r="O185" s="4" t="s">
        <v>33</v>
      </c>
      <c r="P185" s="4" t="s">
        <v>900</v>
      </c>
      <c r="Q185" s="4"/>
      <c r="R185" s="4" t="s">
        <v>1088</v>
      </c>
      <c r="S185" s="4" t="s">
        <v>397</v>
      </c>
      <c r="T185" s="4" t="n">
        <v>-33.412641</v>
      </c>
      <c r="U185" s="4" t="n">
        <v>-71.05681</v>
      </c>
      <c r="V185" s="4" t="s">
        <v>1529</v>
      </c>
      <c r="W185" s="4" t="s">
        <v>1529</v>
      </c>
      <c r="X185" s="4" t="n">
        <v>182</v>
      </c>
      <c r="Y185" s="9" t="n">
        <v>4.1</v>
      </c>
      <c r="Z185" s="4" t="s">
        <v>1530</v>
      </c>
      <c r="AA185" s="4" t="s">
        <v>1531</v>
      </c>
      <c r="AB185" s="4" t="s">
        <v>904</v>
      </c>
      <c r="AC185" s="4" t="n">
        <v>1</v>
      </c>
      <c r="AD185" s="4" t="s">
        <v>882</v>
      </c>
    </row>
    <row r="186" customFormat="false" ht="15" hidden="false" customHeight="false" outlineLevel="0" collapsed="false">
      <c r="A186" s="4" t="s">
        <v>1532</v>
      </c>
      <c r="B186" s="4" t="s">
        <v>1533</v>
      </c>
      <c r="C186" s="4" t="s">
        <v>1533</v>
      </c>
      <c r="D186" s="4"/>
      <c r="E186" s="4" t="n">
        <v>1</v>
      </c>
      <c r="F186" s="4" t="s">
        <v>23</v>
      </c>
      <c r="G186" s="4" t="s">
        <v>15</v>
      </c>
      <c r="H186" s="4" t="s">
        <v>1425</v>
      </c>
      <c r="I186" s="4" t="n">
        <v>65</v>
      </c>
      <c r="J186" s="4" t="s">
        <v>1534</v>
      </c>
      <c r="K186" s="4" t="s">
        <v>95</v>
      </c>
      <c r="L186" s="4"/>
      <c r="M186" s="4"/>
      <c r="N186" s="4" t="s">
        <v>589</v>
      </c>
      <c r="O186" s="4" t="s">
        <v>32</v>
      </c>
      <c r="P186" s="4" t="s">
        <v>31</v>
      </c>
      <c r="Q186" s="4" t="s">
        <v>1535</v>
      </c>
      <c r="R186" s="4" t="s">
        <v>1536</v>
      </c>
      <c r="S186" s="4" t="s">
        <v>85</v>
      </c>
      <c r="T186" s="4" t="n">
        <v>-33.324067</v>
      </c>
      <c r="U186" s="4" t="n">
        <v>-71.403019</v>
      </c>
      <c r="V186" s="4" t="s">
        <v>1431</v>
      </c>
      <c r="W186" s="4" t="s">
        <v>1431</v>
      </c>
      <c r="X186" s="4" t="n">
        <v>8</v>
      </c>
      <c r="Y186" s="9" t="n">
        <v>4.3</v>
      </c>
      <c r="Z186" s="4" t="s">
        <v>1537</v>
      </c>
      <c r="AA186" s="4" t="s">
        <v>1538</v>
      </c>
      <c r="AB186" s="4" t="s">
        <v>207</v>
      </c>
      <c r="AC186" s="4" t="n">
        <v>1</v>
      </c>
      <c r="AD186" s="4" t="s">
        <v>593</v>
      </c>
    </row>
    <row r="187" customFormat="false" ht="15" hidden="false" customHeight="false" outlineLevel="0" collapsed="false">
      <c r="A187" s="4" t="s">
        <v>1539</v>
      </c>
      <c r="B187" s="4" t="s">
        <v>1540</v>
      </c>
      <c r="C187" s="4" t="s">
        <v>1540</v>
      </c>
      <c r="D187" s="4" t="s">
        <v>1492</v>
      </c>
      <c r="E187" s="4" t="n">
        <v>2</v>
      </c>
      <c r="F187" s="4" t="s">
        <v>22</v>
      </c>
      <c r="G187" s="4" t="s">
        <v>15</v>
      </c>
      <c r="H187" s="4" t="s">
        <v>1541</v>
      </c>
      <c r="I187" s="4" t="n">
        <v>65</v>
      </c>
      <c r="J187" s="4" t="s">
        <v>1494</v>
      </c>
      <c r="K187" s="4" t="s">
        <v>80</v>
      </c>
      <c r="L187" s="4"/>
      <c r="M187" s="4"/>
      <c r="N187" s="4" t="s">
        <v>589</v>
      </c>
      <c r="O187" s="4" t="s">
        <v>31</v>
      </c>
      <c r="P187" s="4" t="s">
        <v>31</v>
      </c>
      <c r="Q187" s="4" t="s">
        <v>1514</v>
      </c>
      <c r="R187" s="4" t="s">
        <v>1542</v>
      </c>
      <c r="S187" s="4" t="s">
        <v>85</v>
      </c>
      <c r="T187" s="4" t="n">
        <v>-33.046393</v>
      </c>
      <c r="U187" s="4" t="n">
        <v>-71.607085</v>
      </c>
      <c r="V187" s="4" t="s">
        <v>86</v>
      </c>
      <c r="W187" s="4" t="s">
        <v>86</v>
      </c>
      <c r="X187" s="4" t="n">
        <v>7</v>
      </c>
      <c r="Y187" s="9" t="n">
        <v>4.4</v>
      </c>
      <c r="Z187" s="4" t="s">
        <v>1543</v>
      </c>
      <c r="AA187" s="4" t="s">
        <v>1544</v>
      </c>
      <c r="AB187" s="4" t="s">
        <v>145</v>
      </c>
      <c r="AC187" s="4" t="n">
        <v>3</v>
      </c>
      <c r="AD187" s="4" t="s">
        <v>593</v>
      </c>
    </row>
    <row r="188" customFormat="false" ht="15" hidden="false" customHeight="false" outlineLevel="0" collapsed="false">
      <c r="A188" s="4" t="s">
        <v>1545</v>
      </c>
      <c r="B188" s="4" t="s">
        <v>1546</v>
      </c>
      <c r="C188" s="4" t="s">
        <v>1546</v>
      </c>
      <c r="D188" s="4"/>
      <c r="E188" s="4" t="n">
        <v>1</v>
      </c>
      <c r="F188" s="4" t="s">
        <v>23</v>
      </c>
      <c r="G188" s="4" t="s">
        <v>15</v>
      </c>
      <c r="H188" s="4" t="s">
        <v>1425</v>
      </c>
      <c r="I188" s="4" t="n">
        <v>65</v>
      </c>
      <c r="J188" s="4" t="s">
        <v>1547</v>
      </c>
      <c r="K188" s="4" t="s">
        <v>95</v>
      </c>
      <c r="L188" s="4"/>
      <c r="M188" s="4"/>
      <c r="N188" s="4" t="s">
        <v>589</v>
      </c>
      <c r="O188" s="4" t="s">
        <v>48</v>
      </c>
      <c r="P188" s="4" t="s">
        <v>31</v>
      </c>
      <c r="Q188" s="4" t="s">
        <v>1548</v>
      </c>
      <c r="R188" s="4" t="s">
        <v>1549</v>
      </c>
      <c r="S188" s="4" t="s">
        <v>85</v>
      </c>
      <c r="T188" s="4" t="n">
        <v>-33.370849</v>
      </c>
      <c r="U188" s="4" t="n">
        <v>-71.668148</v>
      </c>
      <c r="V188" s="4" t="s">
        <v>1431</v>
      </c>
      <c r="W188" s="4" t="s">
        <v>1431</v>
      </c>
      <c r="X188" s="4" t="n">
        <v>4</v>
      </c>
      <c r="Y188" s="9" t="n">
        <v>4</v>
      </c>
      <c r="Z188" s="4" t="s">
        <v>1550</v>
      </c>
      <c r="AA188" s="4" t="s">
        <v>1551</v>
      </c>
      <c r="AB188" s="4" t="s">
        <v>450</v>
      </c>
      <c r="AC188" s="4" t="n">
        <v>1</v>
      </c>
      <c r="AD188" s="4" t="s">
        <v>593</v>
      </c>
    </row>
    <row r="189" customFormat="false" ht="15" hidden="false" customHeight="false" outlineLevel="0" collapsed="false">
      <c r="A189" s="4" t="s">
        <v>1552</v>
      </c>
      <c r="B189" s="4" t="s">
        <v>1553</v>
      </c>
      <c r="C189" s="4" t="s">
        <v>1553</v>
      </c>
      <c r="D189" s="4"/>
      <c r="E189" s="4" t="n">
        <v>1</v>
      </c>
      <c r="F189" s="4" t="s">
        <v>20</v>
      </c>
      <c r="G189" s="4" t="s">
        <v>15</v>
      </c>
      <c r="H189" s="4" t="s">
        <v>1554</v>
      </c>
      <c r="I189" s="4" t="n">
        <v>55</v>
      </c>
      <c r="J189" s="4"/>
      <c r="K189" s="4" t="s">
        <v>716</v>
      </c>
      <c r="L189" s="4" t="s">
        <v>1555</v>
      </c>
      <c r="M189" s="4" t="s">
        <v>1556</v>
      </c>
      <c r="N189" s="4" t="s">
        <v>83</v>
      </c>
      <c r="O189" s="4" t="s">
        <v>30</v>
      </c>
      <c r="P189" s="4" t="s">
        <v>31</v>
      </c>
      <c r="Q189" s="4" t="s">
        <v>1557</v>
      </c>
      <c r="R189" s="4" t="s">
        <v>1558</v>
      </c>
      <c r="S189" s="4" t="s">
        <v>85</v>
      </c>
      <c r="T189" s="4" t="n">
        <v>-33.025588</v>
      </c>
      <c r="U189" s="4" t="n">
        <v>-71.547517</v>
      </c>
      <c r="V189" s="4" t="s">
        <v>1559</v>
      </c>
      <c r="W189" s="4" t="s">
        <v>1559</v>
      </c>
      <c r="X189" s="4" t="n">
        <v>19037</v>
      </c>
      <c r="Y189" s="9" t="n">
        <v>3.9</v>
      </c>
      <c r="Z189" s="4"/>
      <c r="AA189" s="4" t="s">
        <v>1560</v>
      </c>
      <c r="AB189" s="4" t="s">
        <v>217</v>
      </c>
      <c r="AC189" s="4" t="n">
        <v>1</v>
      </c>
      <c r="AD189" s="4" t="s">
        <v>759</v>
      </c>
    </row>
    <row r="190" customFormat="false" ht="15" hidden="false" customHeight="false" outlineLevel="0" collapsed="false">
      <c r="A190" s="4" t="s">
        <v>1561</v>
      </c>
      <c r="B190" s="4" t="s">
        <v>1562</v>
      </c>
      <c r="C190" s="4" t="s">
        <v>1562</v>
      </c>
      <c r="D190" s="4"/>
      <c r="E190" s="4" t="n">
        <v>1</v>
      </c>
      <c r="F190" s="4" t="s">
        <v>22</v>
      </c>
      <c r="G190" s="4" t="s">
        <v>15</v>
      </c>
      <c r="H190" s="4" t="s">
        <v>1563</v>
      </c>
      <c r="I190" s="4" t="n">
        <v>45</v>
      </c>
      <c r="J190" s="4"/>
      <c r="K190" s="4" t="s">
        <v>716</v>
      </c>
      <c r="L190" s="4"/>
      <c r="M190" s="4"/>
      <c r="N190" s="4" t="s">
        <v>589</v>
      </c>
      <c r="O190" s="4" t="s">
        <v>31</v>
      </c>
      <c r="P190" s="4" t="s">
        <v>31</v>
      </c>
      <c r="Q190" s="4"/>
      <c r="R190" s="4" t="s">
        <v>1564</v>
      </c>
      <c r="S190" s="4" t="s">
        <v>85</v>
      </c>
      <c r="T190" s="4" t="n">
        <v>-33.031396</v>
      </c>
      <c r="U190" s="4" t="n">
        <v>-71.62868</v>
      </c>
      <c r="V190" s="4" t="s">
        <v>86</v>
      </c>
      <c r="W190" s="4" t="s">
        <v>86</v>
      </c>
      <c r="X190" s="4" t="n">
        <v>18</v>
      </c>
      <c r="Y190" s="9" t="n">
        <v>4.9</v>
      </c>
      <c r="Z190" s="4" t="s">
        <v>1565</v>
      </c>
      <c r="AA190" s="4" t="s">
        <v>1566</v>
      </c>
      <c r="AB190" s="4" t="s">
        <v>145</v>
      </c>
      <c r="AC190" s="4" t="n">
        <v>2</v>
      </c>
      <c r="AD190" s="4" t="s">
        <v>1264</v>
      </c>
    </row>
    <row r="191" customFormat="false" ht="15" hidden="false" customHeight="false" outlineLevel="0" collapsed="false">
      <c r="A191" s="4" t="s">
        <v>1567</v>
      </c>
      <c r="B191" s="4" t="s">
        <v>1568</v>
      </c>
      <c r="C191" s="4" t="s">
        <v>1568</v>
      </c>
      <c r="D191" s="4"/>
      <c r="E191" s="4" t="n">
        <v>1</v>
      </c>
      <c r="F191" s="4" t="s">
        <v>23</v>
      </c>
      <c r="G191" s="4" t="s">
        <v>16</v>
      </c>
      <c r="H191" s="4" t="s">
        <v>1569</v>
      </c>
      <c r="I191" s="4" t="n">
        <v>100</v>
      </c>
      <c r="J191" s="4" t="s">
        <v>1570</v>
      </c>
      <c r="K191" s="4" t="s">
        <v>1571</v>
      </c>
      <c r="L191" s="4" t="s">
        <v>1572</v>
      </c>
      <c r="M191" s="4" t="s">
        <v>1573</v>
      </c>
      <c r="N191" s="4" t="s">
        <v>83</v>
      </c>
      <c r="O191" s="4" t="s">
        <v>32</v>
      </c>
      <c r="P191" s="4" t="s">
        <v>1574</v>
      </c>
      <c r="Q191" s="4"/>
      <c r="R191" s="4" t="s">
        <v>1575</v>
      </c>
      <c r="S191" s="4" t="s">
        <v>85</v>
      </c>
      <c r="T191" s="4" t="n">
        <v>-32.396537</v>
      </c>
      <c r="U191" s="4" t="n">
        <v>-58.158494</v>
      </c>
      <c r="V191" s="4" t="s">
        <v>1576</v>
      </c>
      <c r="W191" s="4" t="s">
        <v>1576</v>
      </c>
      <c r="X191" s="4" t="n">
        <v>77</v>
      </c>
      <c r="Y191" s="9" t="n">
        <v>4.3</v>
      </c>
      <c r="Z191" s="4" t="s">
        <v>186</v>
      </c>
      <c r="AA191" s="4" t="s">
        <v>1577</v>
      </c>
      <c r="AB191" s="4" t="s">
        <v>207</v>
      </c>
      <c r="AC191" s="4" t="n">
        <v>1</v>
      </c>
      <c r="AD191" s="4"/>
    </row>
    <row r="192" customFormat="false" ht="15" hidden="false" customHeight="false" outlineLevel="0" collapsed="false">
      <c r="A192" s="4" t="s">
        <v>1578</v>
      </c>
      <c r="B192" s="4" t="s">
        <v>1579</v>
      </c>
      <c r="C192" s="4" t="s">
        <v>1579</v>
      </c>
      <c r="D192" s="4"/>
      <c r="E192" s="4" t="n">
        <v>1</v>
      </c>
      <c r="F192" s="4" t="s">
        <v>22</v>
      </c>
      <c r="G192" s="4" t="s">
        <v>16</v>
      </c>
      <c r="H192" s="4" t="s">
        <v>1580</v>
      </c>
      <c r="I192" s="4" t="n">
        <v>15</v>
      </c>
      <c r="J192" s="4"/>
      <c r="K192" s="4" t="s">
        <v>716</v>
      </c>
      <c r="L192" s="4" t="s">
        <v>1581</v>
      </c>
      <c r="M192" s="4" t="s">
        <v>1582</v>
      </c>
      <c r="N192" s="4" t="s">
        <v>589</v>
      </c>
      <c r="O192" s="4" t="s">
        <v>31</v>
      </c>
      <c r="P192" s="4" t="s">
        <v>31</v>
      </c>
      <c r="Q192" s="4"/>
      <c r="R192" s="4" t="s">
        <v>1583</v>
      </c>
      <c r="S192" s="4" t="s">
        <v>541</v>
      </c>
      <c r="T192" s="4" t="n">
        <v>-33.047238</v>
      </c>
      <c r="U192" s="4" t="n">
        <v>-71.612688</v>
      </c>
      <c r="V192" s="4" t="s">
        <v>265</v>
      </c>
      <c r="W192" s="4" t="s">
        <v>265</v>
      </c>
      <c r="X192" s="4" t="n">
        <v>1</v>
      </c>
      <c r="Y192" s="9" t="n">
        <v>5</v>
      </c>
      <c r="Z192" s="4"/>
      <c r="AA192" s="4" t="s">
        <v>1584</v>
      </c>
      <c r="AB192" s="4" t="s">
        <v>145</v>
      </c>
      <c r="AC192" s="4" t="n">
        <v>2</v>
      </c>
      <c r="AD192" s="4" t="s">
        <v>1350</v>
      </c>
    </row>
    <row r="193" customFormat="false" ht="15" hidden="false" customHeight="false" outlineLevel="0" collapsed="false">
      <c r="A193" s="4" t="s">
        <v>1585</v>
      </c>
      <c r="B193" s="4" t="s">
        <v>1586</v>
      </c>
      <c r="C193" s="4" t="s">
        <v>1586</v>
      </c>
      <c r="D193" s="4"/>
      <c r="E193" s="4" t="n">
        <v>1</v>
      </c>
      <c r="F193" s="4" t="s">
        <v>26</v>
      </c>
      <c r="G193" s="4" t="s">
        <v>16</v>
      </c>
      <c r="H193" s="4" t="s">
        <v>1587</v>
      </c>
      <c r="I193" s="4" t="n">
        <v>15</v>
      </c>
      <c r="J193" s="4"/>
      <c r="K193" s="4" t="s">
        <v>716</v>
      </c>
      <c r="L193" s="4"/>
      <c r="M193" s="4"/>
      <c r="N193" s="4" t="s">
        <v>589</v>
      </c>
      <c r="O193" s="4" t="s">
        <v>29</v>
      </c>
      <c r="P193" s="4" t="s">
        <v>31</v>
      </c>
      <c r="Q193" s="4"/>
      <c r="R193" s="4" t="s">
        <v>599</v>
      </c>
      <c r="S193" s="4" t="s">
        <v>541</v>
      </c>
      <c r="T193" s="4" t="n">
        <v>-33.581315</v>
      </c>
      <c r="U193" s="4" t="n">
        <v>-71.618166</v>
      </c>
      <c r="V193" s="4" t="s">
        <v>120</v>
      </c>
      <c r="W193" s="4" t="s">
        <v>120</v>
      </c>
      <c r="X193" s="4" t="n">
        <v>1</v>
      </c>
      <c r="Y193" s="9" t="n">
        <v>5</v>
      </c>
      <c r="Z193" s="4"/>
      <c r="AA193" s="4" t="s">
        <v>1588</v>
      </c>
      <c r="AB193" s="4" t="s">
        <v>124</v>
      </c>
      <c r="AC193" s="4" t="n">
        <v>1</v>
      </c>
      <c r="AD193" s="4" t="s">
        <v>1350</v>
      </c>
    </row>
    <row r="194" customFormat="false" ht="15" hidden="false" customHeight="false" outlineLevel="0" collapsed="false">
      <c r="A194" s="4" t="s">
        <v>1589</v>
      </c>
      <c r="B194" s="4" t="s">
        <v>1590</v>
      </c>
      <c r="C194" s="4" t="s">
        <v>1590</v>
      </c>
      <c r="D194" s="4"/>
      <c r="E194" s="4" t="n">
        <v>1</v>
      </c>
      <c r="F194" s="4" t="s">
        <v>20</v>
      </c>
      <c r="G194" s="4" t="s">
        <v>16</v>
      </c>
      <c r="H194" s="4" t="s">
        <v>1591</v>
      </c>
      <c r="I194" s="4" t="n">
        <v>15</v>
      </c>
      <c r="J194" s="4"/>
      <c r="K194" s="4" t="s">
        <v>716</v>
      </c>
      <c r="L194" s="4"/>
      <c r="M194" s="4"/>
      <c r="N194" s="4" t="s">
        <v>589</v>
      </c>
      <c r="O194" s="4" t="s">
        <v>29</v>
      </c>
      <c r="P194" s="4" t="s">
        <v>31</v>
      </c>
      <c r="Q194" s="4"/>
      <c r="R194" s="4" t="s">
        <v>1592</v>
      </c>
      <c r="S194" s="4" t="s">
        <v>85</v>
      </c>
      <c r="T194" s="4" t="n">
        <v>-33.579268</v>
      </c>
      <c r="U194" s="4" t="n">
        <v>-71.588157</v>
      </c>
      <c r="V194" s="4" t="s">
        <v>184</v>
      </c>
      <c r="W194" s="4" t="s">
        <v>184</v>
      </c>
      <c r="X194" s="4"/>
      <c r="Y194" s="9"/>
      <c r="Z194" s="4"/>
      <c r="AA194" s="4" t="s">
        <v>1593</v>
      </c>
      <c r="AB194" s="4" t="s">
        <v>1017</v>
      </c>
      <c r="AC194" s="4" t="n">
        <v>1</v>
      </c>
      <c r="AD194" s="4" t="s">
        <v>1379</v>
      </c>
    </row>
    <row r="195" customFormat="false" ht="15" hidden="false" customHeight="false" outlineLevel="0" collapsed="false">
      <c r="A195" s="4" t="s">
        <v>1594</v>
      </c>
      <c r="B195" s="4" t="s">
        <v>1595</v>
      </c>
      <c r="C195" s="4" t="s">
        <v>1595</v>
      </c>
      <c r="D195" s="4"/>
      <c r="E195" s="4" t="n">
        <v>1</v>
      </c>
      <c r="F195" s="4" t="s">
        <v>27</v>
      </c>
      <c r="G195" s="4" t="s">
        <v>16</v>
      </c>
      <c r="H195" s="4" t="s">
        <v>1596</v>
      </c>
      <c r="I195" s="4" t="n">
        <v>15</v>
      </c>
      <c r="J195" s="4"/>
      <c r="K195" s="4" t="s">
        <v>716</v>
      </c>
      <c r="L195" s="4"/>
      <c r="M195" s="4"/>
      <c r="N195" s="4" t="s">
        <v>589</v>
      </c>
      <c r="O195" s="4" t="s">
        <v>34</v>
      </c>
      <c r="P195" s="4" t="s">
        <v>31</v>
      </c>
      <c r="Q195" s="4"/>
      <c r="R195" s="4" t="s">
        <v>1597</v>
      </c>
      <c r="S195" s="4" t="s">
        <v>85</v>
      </c>
      <c r="T195" s="4" t="n">
        <v>-32.925191</v>
      </c>
      <c r="U195" s="4" t="n">
        <v>-71.505254</v>
      </c>
      <c r="V195" s="4" t="s">
        <v>1598</v>
      </c>
      <c r="W195" s="4" t="s">
        <v>1598</v>
      </c>
      <c r="X195" s="4"/>
      <c r="Y195" s="9"/>
      <c r="Z195" s="4"/>
      <c r="AA195" s="4" t="s">
        <v>1599</v>
      </c>
      <c r="AB195" s="4" t="s">
        <v>1600</v>
      </c>
      <c r="AC195" s="4" t="n">
        <v>2</v>
      </c>
      <c r="AD195" s="4" t="s">
        <v>1379</v>
      </c>
    </row>
    <row r="196" customFormat="false" ht="15" hidden="false" customHeight="false" outlineLevel="0" collapsed="false">
      <c r="A196" s="4" t="s">
        <v>1601</v>
      </c>
      <c r="B196" s="4" t="s">
        <v>1602</v>
      </c>
      <c r="C196" s="4" t="s">
        <v>1602</v>
      </c>
      <c r="D196" s="4"/>
      <c r="E196" s="4" t="n">
        <v>1</v>
      </c>
      <c r="F196" s="4" t="s">
        <v>22</v>
      </c>
      <c r="G196" s="4" t="s">
        <v>16</v>
      </c>
      <c r="H196" s="4" t="s">
        <v>1603</v>
      </c>
      <c r="I196" s="4" t="n">
        <v>0</v>
      </c>
      <c r="J196" s="4"/>
      <c r="K196" s="4" t="s">
        <v>716</v>
      </c>
      <c r="L196" s="4"/>
      <c r="M196" s="4"/>
      <c r="N196" s="4" t="s">
        <v>589</v>
      </c>
      <c r="O196" s="4" t="s">
        <v>29</v>
      </c>
      <c r="P196" s="4" t="s">
        <v>31</v>
      </c>
      <c r="Q196" s="4"/>
      <c r="R196" s="4" t="s">
        <v>599</v>
      </c>
      <c r="S196" s="4" t="s">
        <v>541</v>
      </c>
      <c r="T196" s="4" t="n">
        <v>-33.575132</v>
      </c>
      <c r="U196" s="4" t="n">
        <v>-71.608707</v>
      </c>
      <c r="V196" s="4"/>
      <c r="W196" s="4"/>
      <c r="X196" s="4"/>
      <c r="Y196" s="9"/>
      <c r="Z196" s="4"/>
      <c r="AA196" s="4" t="s">
        <v>1604</v>
      </c>
      <c r="AB196" s="4" t="s">
        <v>698</v>
      </c>
      <c r="AC196" s="4" t="n">
        <v>1</v>
      </c>
      <c r="AD196" s="4" t="s">
        <v>1400</v>
      </c>
    </row>
  </sheetData>
  <autoFilter ref="A1:AD196"/>
  <conditionalFormatting sqref="G2:G196">
    <cfRule type="cellIs" priority="2" operator="equal" aboveAverage="0" equalAverage="0" bottom="0" percent="0" rank="0" text="" dxfId="7">
      <formula>"Alta"</formula>
    </cfRule>
    <cfRule type="cellIs" priority="3" operator="equal" aboveAverage="0" equalAverage="0" bottom="0" percent="0" rank="0" text="" dxfId="8">
      <formula>"Media"</formula>
    </cfRule>
    <cfRule type="cellIs" priority="4" operator="equal" aboveAverage="0" equalAverage="0" bottom="0" percent="0" rank="0" text="" dxfId="9">
      <formula>"Baja"</formula>
    </cfRule>
    <cfRule type="cellIs" priority="5" operator="equal" aboveAverage="0" equalAverage="0" bottom="0" percent="0" rank="0" text="" dxfId="10">
      <formula>"Descartar"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40"/>
    <col collapsed="false" customWidth="true" hidden="false" outlineLevel="0" max="3" min="3" style="0" width="33"/>
    <col collapsed="false" customWidth="true" hidden="false" outlineLevel="0" max="4" min="4" style="0" width="12"/>
    <col collapsed="false" customWidth="true" hidden="false" outlineLevel="0" max="5" min="5" style="0" width="19"/>
    <col collapsed="false" customWidth="true" hidden="false" outlineLevel="0" max="6" min="6" style="0" width="18"/>
    <col collapsed="false" customWidth="true" hidden="false" outlineLevel="0" max="7" min="7" style="0" width="19"/>
    <col collapsed="false" customWidth="true" hidden="false" outlineLevel="0" max="8" min="8" style="0" width="45"/>
    <col collapsed="false" customWidth="true" hidden="false" outlineLevel="0" max="9" min="9" style="0" width="21"/>
    <col collapsed="false" customWidth="true" hidden="false" outlineLevel="0" max="11" min="10" style="0" width="45"/>
    <col collapsed="false" customWidth="true" hidden="false" outlineLevel="0" max="12" min="12" style="0" width="11"/>
    <col collapsed="false" customWidth="true" hidden="false" outlineLevel="0" max="13" min="13" style="0" width="10"/>
    <col collapsed="false" customWidth="true" hidden="false" outlineLevel="0" max="15" min="14" style="0" width="45"/>
  </cols>
  <sheetData>
    <row r="1" customFormat="false" ht="30" hidden="false" customHeight="true" outlineLevel="0" collapsed="false">
      <c r="A1" s="8" t="s">
        <v>50</v>
      </c>
      <c r="B1" s="8" t="s">
        <v>52</v>
      </c>
      <c r="C1" s="8" t="s">
        <v>17</v>
      </c>
      <c r="D1" s="8" t="s">
        <v>10</v>
      </c>
      <c r="E1" s="8" t="s">
        <v>55</v>
      </c>
      <c r="F1" s="8" t="s">
        <v>56</v>
      </c>
      <c r="G1" s="8" t="s">
        <v>57</v>
      </c>
      <c r="H1" s="8" t="s">
        <v>58</v>
      </c>
      <c r="I1" s="8" t="s">
        <v>28</v>
      </c>
      <c r="J1" s="8" t="s">
        <v>63</v>
      </c>
      <c r="K1" s="8" t="s">
        <v>67</v>
      </c>
      <c r="L1" s="8" t="s">
        <v>69</v>
      </c>
      <c r="M1" s="8" t="s">
        <v>70</v>
      </c>
      <c r="N1" s="8" t="s">
        <v>72</v>
      </c>
      <c r="O1" s="8" t="s">
        <v>75</v>
      </c>
    </row>
    <row r="2" customFormat="false" ht="15" hidden="false" customHeight="false" outlineLevel="0" collapsed="false">
      <c r="A2" s="4" t="s">
        <v>77</v>
      </c>
      <c r="B2" s="4"/>
      <c r="C2" s="4" t="s">
        <v>25</v>
      </c>
      <c r="D2" s="4" t="s">
        <v>13</v>
      </c>
      <c r="E2" s="4" t="n">
        <v>100</v>
      </c>
      <c r="F2" s="4" t="s">
        <v>79</v>
      </c>
      <c r="G2" s="4" t="s">
        <v>80</v>
      </c>
      <c r="H2" s="4" t="s">
        <v>81</v>
      </c>
      <c r="I2" s="4" t="s">
        <v>32</v>
      </c>
      <c r="J2" s="4" t="s">
        <v>84</v>
      </c>
      <c r="K2" s="4" t="s">
        <v>86</v>
      </c>
      <c r="L2" s="4" t="n">
        <v>1688</v>
      </c>
      <c r="M2" s="4" t="n">
        <v>4.6</v>
      </c>
      <c r="N2" s="4" t="s">
        <v>89</v>
      </c>
      <c r="O2" s="4"/>
    </row>
    <row r="3" customFormat="false" ht="15" hidden="false" customHeight="false" outlineLevel="0" collapsed="false">
      <c r="A3" s="4" t="s">
        <v>92</v>
      </c>
      <c r="B3" s="4"/>
      <c r="C3" s="4" t="s">
        <v>25</v>
      </c>
      <c r="D3" s="4" t="s">
        <v>13</v>
      </c>
      <c r="E3" s="4" t="n">
        <v>100</v>
      </c>
      <c r="F3" s="4" t="s">
        <v>94</v>
      </c>
      <c r="G3" s="4" t="s">
        <v>95</v>
      </c>
      <c r="H3" s="4" t="s">
        <v>96</v>
      </c>
      <c r="I3" s="4" t="s">
        <v>32</v>
      </c>
      <c r="J3" s="4" t="s">
        <v>98</v>
      </c>
      <c r="K3" s="4" t="s">
        <v>99</v>
      </c>
      <c r="L3" s="4" t="n">
        <v>1636</v>
      </c>
      <c r="M3" s="4" t="n">
        <v>4.7</v>
      </c>
      <c r="N3" s="4" t="s">
        <v>102</v>
      </c>
      <c r="O3" s="4"/>
    </row>
    <row r="4" customFormat="false" ht="15" hidden="false" customHeight="false" outlineLevel="0" collapsed="false">
      <c r="A4" s="4" t="s">
        <v>105</v>
      </c>
      <c r="B4" s="4"/>
      <c r="C4" s="4" t="s">
        <v>25</v>
      </c>
      <c r="D4" s="4" t="s">
        <v>13</v>
      </c>
      <c r="E4" s="4" t="n">
        <v>100</v>
      </c>
      <c r="F4" s="4" t="s">
        <v>106</v>
      </c>
      <c r="G4" s="4" t="s">
        <v>80</v>
      </c>
      <c r="H4" s="4" t="s">
        <v>107</v>
      </c>
      <c r="I4" s="4" t="s">
        <v>32</v>
      </c>
      <c r="J4" s="4" t="s">
        <v>109</v>
      </c>
      <c r="K4" s="4" t="s">
        <v>99</v>
      </c>
      <c r="L4" s="4" t="n">
        <v>1294</v>
      </c>
      <c r="M4" s="4" t="n">
        <v>4.5</v>
      </c>
      <c r="N4" s="4" t="s">
        <v>112</v>
      </c>
      <c r="O4" s="4"/>
    </row>
    <row r="5" customFormat="false" ht="15" hidden="false" customHeight="false" outlineLevel="0" collapsed="false">
      <c r="A5" s="4" t="s">
        <v>114</v>
      </c>
      <c r="B5" s="4"/>
      <c r="C5" s="4" t="s">
        <v>26</v>
      </c>
      <c r="D5" s="4" t="s">
        <v>13</v>
      </c>
      <c r="E5" s="4" t="n">
        <v>100</v>
      </c>
      <c r="F5" s="4" t="s">
        <v>116</v>
      </c>
      <c r="G5" s="4" t="s">
        <v>80</v>
      </c>
      <c r="H5" s="4" t="s">
        <v>117</v>
      </c>
      <c r="I5" s="4" t="s">
        <v>29</v>
      </c>
      <c r="J5" s="4" t="s">
        <v>119</v>
      </c>
      <c r="K5" s="4" t="s">
        <v>120</v>
      </c>
      <c r="L5" s="4" t="n">
        <v>928</v>
      </c>
      <c r="M5" s="4" t="n">
        <v>4</v>
      </c>
      <c r="N5" s="4" t="s">
        <v>123</v>
      </c>
      <c r="O5" s="4" t="s">
        <v>125</v>
      </c>
    </row>
    <row r="6" customFormat="false" ht="15" hidden="false" customHeight="false" outlineLevel="0" collapsed="false">
      <c r="A6" s="4" t="s">
        <v>127</v>
      </c>
      <c r="B6" s="4"/>
      <c r="C6" s="4" t="s">
        <v>26</v>
      </c>
      <c r="D6" s="4" t="s">
        <v>13</v>
      </c>
      <c r="E6" s="4" t="n">
        <v>100</v>
      </c>
      <c r="F6" s="4" t="s">
        <v>128</v>
      </c>
      <c r="G6" s="4" t="s">
        <v>80</v>
      </c>
      <c r="H6" s="4" t="s">
        <v>129</v>
      </c>
      <c r="I6" s="4" t="s">
        <v>29</v>
      </c>
      <c r="J6" s="4" t="s">
        <v>132</v>
      </c>
      <c r="K6" s="4" t="s">
        <v>133</v>
      </c>
      <c r="L6" s="4" t="n">
        <v>775</v>
      </c>
      <c r="M6" s="4" t="n">
        <v>4</v>
      </c>
      <c r="N6" s="4" t="s">
        <v>135</v>
      </c>
      <c r="O6" s="4"/>
    </row>
    <row r="7" customFormat="false" ht="15" hidden="false" customHeight="false" outlineLevel="0" collapsed="false">
      <c r="A7" s="4" t="s">
        <v>137</v>
      </c>
      <c r="B7" s="4"/>
      <c r="C7" s="4" t="s">
        <v>25</v>
      </c>
      <c r="D7" s="4" t="s">
        <v>13</v>
      </c>
      <c r="E7" s="4" t="n">
        <v>100</v>
      </c>
      <c r="F7" s="4" t="s">
        <v>138</v>
      </c>
      <c r="G7" s="4" t="s">
        <v>95</v>
      </c>
      <c r="H7" s="4" t="s">
        <v>139</v>
      </c>
      <c r="I7" s="4" t="s">
        <v>32</v>
      </c>
      <c r="J7" s="4" t="s">
        <v>141</v>
      </c>
      <c r="K7" s="4" t="s">
        <v>86</v>
      </c>
      <c r="L7" s="4" t="n">
        <v>378</v>
      </c>
      <c r="M7" s="4" t="n">
        <v>4.8</v>
      </c>
      <c r="N7" s="4" t="s">
        <v>144</v>
      </c>
      <c r="O7" s="4"/>
    </row>
    <row r="8" customFormat="false" ht="15" hidden="false" customHeight="false" outlineLevel="0" collapsed="false">
      <c r="A8" s="4" t="s">
        <v>147</v>
      </c>
      <c r="B8" s="4"/>
      <c r="C8" s="4" t="s">
        <v>24</v>
      </c>
      <c r="D8" s="4" t="s">
        <v>13</v>
      </c>
      <c r="E8" s="4" t="n">
        <v>100</v>
      </c>
      <c r="F8" s="4" t="s">
        <v>148</v>
      </c>
      <c r="G8" s="4" t="s">
        <v>80</v>
      </c>
      <c r="H8" s="4" t="s">
        <v>149</v>
      </c>
      <c r="I8" s="4" t="s">
        <v>29</v>
      </c>
      <c r="J8" s="4" t="s">
        <v>151</v>
      </c>
      <c r="K8" s="4" t="s">
        <v>152</v>
      </c>
      <c r="L8" s="4" t="n">
        <v>260</v>
      </c>
      <c r="M8" s="4" t="n">
        <v>4.1</v>
      </c>
      <c r="N8" s="4" t="s">
        <v>154</v>
      </c>
      <c r="O8" s="4"/>
    </row>
    <row r="9" customFormat="false" ht="15" hidden="false" customHeight="false" outlineLevel="0" collapsed="false">
      <c r="A9" s="4" t="s">
        <v>156</v>
      </c>
      <c r="B9" s="4"/>
      <c r="C9" s="4" t="s">
        <v>22</v>
      </c>
      <c r="D9" s="4" t="s">
        <v>13</v>
      </c>
      <c r="E9" s="4" t="n">
        <v>100</v>
      </c>
      <c r="F9" s="4" t="s">
        <v>157</v>
      </c>
      <c r="G9" s="4" t="s">
        <v>95</v>
      </c>
      <c r="H9" s="4" t="s">
        <v>158</v>
      </c>
      <c r="I9" s="4" t="s">
        <v>31</v>
      </c>
      <c r="J9" s="4" t="s">
        <v>160</v>
      </c>
      <c r="K9" s="4" t="s">
        <v>161</v>
      </c>
      <c r="L9" s="4" t="n">
        <v>174</v>
      </c>
      <c r="M9" s="4" t="n">
        <v>4.3</v>
      </c>
      <c r="N9" s="4" t="s">
        <v>163</v>
      </c>
      <c r="O9" s="4"/>
    </row>
    <row r="10" customFormat="false" ht="15" hidden="false" customHeight="false" outlineLevel="0" collapsed="false">
      <c r="A10" s="4" t="s">
        <v>166</v>
      </c>
      <c r="B10" s="4"/>
      <c r="C10" s="4" t="s">
        <v>21</v>
      </c>
      <c r="D10" s="4" t="s">
        <v>13</v>
      </c>
      <c r="E10" s="4" t="n">
        <v>100</v>
      </c>
      <c r="F10" s="4" t="s">
        <v>167</v>
      </c>
      <c r="G10" s="4" t="s">
        <v>80</v>
      </c>
      <c r="H10" s="4" t="s">
        <v>168</v>
      </c>
      <c r="I10" s="4" t="s">
        <v>29</v>
      </c>
      <c r="J10" s="4" t="s">
        <v>171</v>
      </c>
      <c r="K10" s="4" t="s">
        <v>172</v>
      </c>
      <c r="L10" s="4" t="n">
        <v>147</v>
      </c>
      <c r="M10" s="4" t="n">
        <v>4.6</v>
      </c>
      <c r="N10" s="4" t="s">
        <v>175</v>
      </c>
      <c r="O10" s="4"/>
    </row>
    <row r="11" customFormat="false" ht="15" hidden="false" customHeight="false" outlineLevel="0" collapsed="false">
      <c r="A11" s="4" t="s">
        <v>178</v>
      </c>
      <c r="B11" s="4"/>
      <c r="C11" s="4" t="s">
        <v>20</v>
      </c>
      <c r="D11" s="4" t="s">
        <v>13</v>
      </c>
      <c r="E11" s="4" t="n">
        <v>100</v>
      </c>
      <c r="F11" s="4" t="s">
        <v>179</v>
      </c>
      <c r="G11" s="4" t="s">
        <v>180</v>
      </c>
      <c r="H11" s="4" t="s">
        <v>181</v>
      </c>
      <c r="I11" s="4" t="s">
        <v>30</v>
      </c>
      <c r="J11" s="4" t="s">
        <v>183</v>
      </c>
      <c r="K11" s="4" t="s">
        <v>184</v>
      </c>
      <c r="L11" s="4" t="n">
        <v>112</v>
      </c>
      <c r="M11" s="4" t="n">
        <v>4.3</v>
      </c>
      <c r="N11" s="4" t="s">
        <v>187</v>
      </c>
      <c r="O11" s="4"/>
    </row>
    <row r="12" customFormat="false" ht="15" hidden="false" customHeight="false" outlineLevel="0" collapsed="false">
      <c r="A12" s="4" t="s">
        <v>190</v>
      </c>
      <c r="B12" s="4" t="s">
        <v>190</v>
      </c>
      <c r="C12" s="4" t="s">
        <v>24</v>
      </c>
      <c r="D12" s="4" t="s">
        <v>13</v>
      </c>
      <c r="E12" s="4" t="n">
        <v>100</v>
      </c>
      <c r="F12" s="4" t="s">
        <v>191</v>
      </c>
      <c r="G12" s="4" t="s">
        <v>80</v>
      </c>
      <c r="H12" s="4" t="s">
        <v>192</v>
      </c>
      <c r="I12" s="4" t="s">
        <v>32</v>
      </c>
      <c r="J12" s="4" t="s">
        <v>195</v>
      </c>
      <c r="K12" s="4" t="s">
        <v>196</v>
      </c>
      <c r="L12" s="4" t="n">
        <v>56</v>
      </c>
      <c r="M12" s="4" t="n">
        <v>4.6</v>
      </c>
      <c r="N12" s="4" t="s">
        <v>198</v>
      </c>
      <c r="O12" s="4"/>
    </row>
    <row r="13" customFormat="false" ht="15" hidden="false" customHeight="false" outlineLevel="0" collapsed="false">
      <c r="A13" s="4" t="s">
        <v>200</v>
      </c>
      <c r="B13" s="4"/>
      <c r="C13" s="4" t="s">
        <v>22</v>
      </c>
      <c r="D13" s="4" t="s">
        <v>13</v>
      </c>
      <c r="E13" s="4" t="n">
        <v>100</v>
      </c>
      <c r="F13" s="4" t="s">
        <v>201</v>
      </c>
      <c r="G13" s="4" t="s">
        <v>180</v>
      </c>
      <c r="H13" s="4" t="s">
        <v>202</v>
      </c>
      <c r="I13" s="4" t="s">
        <v>32</v>
      </c>
      <c r="J13" s="4" t="s">
        <v>204</v>
      </c>
      <c r="K13" s="4" t="s">
        <v>205</v>
      </c>
      <c r="L13" s="4" t="n">
        <v>55</v>
      </c>
      <c r="M13" s="4" t="n">
        <v>4</v>
      </c>
      <c r="N13" s="4" t="s">
        <v>206</v>
      </c>
      <c r="O13" s="4"/>
    </row>
    <row r="14" customFormat="false" ht="15" hidden="false" customHeight="false" outlineLevel="0" collapsed="false">
      <c r="A14" s="4" t="s">
        <v>209</v>
      </c>
      <c r="B14" s="4" t="s">
        <v>209</v>
      </c>
      <c r="C14" s="4" t="s">
        <v>24</v>
      </c>
      <c r="D14" s="4" t="s">
        <v>13</v>
      </c>
      <c r="E14" s="4" t="n">
        <v>100</v>
      </c>
      <c r="F14" s="4" t="s">
        <v>210</v>
      </c>
      <c r="G14" s="4" t="s">
        <v>80</v>
      </c>
      <c r="H14" s="4" t="s">
        <v>211</v>
      </c>
      <c r="I14" s="4" t="s">
        <v>30</v>
      </c>
      <c r="J14" s="4" t="s">
        <v>214</v>
      </c>
      <c r="K14" s="4" t="s">
        <v>152</v>
      </c>
      <c r="L14" s="4" t="n">
        <v>55</v>
      </c>
      <c r="M14" s="4" t="n">
        <v>4.4</v>
      </c>
      <c r="N14" s="4" t="s">
        <v>216</v>
      </c>
      <c r="O14" s="4"/>
    </row>
    <row r="15" customFormat="false" ht="15" hidden="false" customHeight="false" outlineLevel="0" collapsed="false">
      <c r="A15" s="4" t="s">
        <v>219</v>
      </c>
      <c r="B15" s="4"/>
      <c r="C15" s="4" t="s">
        <v>20</v>
      </c>
      <c r="D15" s="4" t="s">
        <v>13</v>
      </c>
      <c r="E15" s="4" t="n">
        <v>100</v>
      </c>
      <c r="F15" s="4" t="s">
        <v>220</v>
      </c>
      <c r="G15" s="4" t="s">
        <v>95</v>
      </c>
      <c r="H15" s="4" t="s">
        <v>221</v>
      </c>
      <c r="I15" s="4" t="s">
        <v>31</v>
      </c>
      <c r="J15" s="4" t="s">
        <v>223</v>
      </c>
      <c r="K15" s="4" t="s">
        <v>224</v>
      </c>
      <c r="L15" s="4" t="n">
        <v>51</v>
      </c>
      <c r="M15" s="4" t="n">
        <v>4.3</v>
      </c>
      <c r="N15" s="4" t="s">
        <v>227</v>
      </c>
      <c r="O15" s="4"/>
    </row>
    <row r="16" customFormat="false" ht="15" hidden="false" customHeight="false" outlineLevel="0" collapsed="false">
      <c r="A16" s="4" t="s">
        <v>230</v>
      </c>
      <c r="B16" s="4"/>
      <c r="C16" s="4" t="s">
        <v>22</v>
      </c>
      <c r="D16" s="4" t="s">
        <v>13</v>
      </c>
      <c r="E16" s="4" t="n">
        <v>95</v>
      </c>
      <c r="F16" s="4" t="s">
        <v>231</v>
      </c>
      <c r="G16" s="4" t="s">
        <v>95</v>
      </c>
      <c r="H16" s="4" t="s">
        <v>232</v>
      </c>
      <c r="I16" s="4" t="s">
        <v>31</v>
      </c>
      <c r="J16" s="4" t="s">
        <v>235</v>
      </c>
      <c r="K16" s="4" t="s">
        <v>205</v>
      </c>
      <c r="L16" s="4" t="n">
        <v>49</v>
      </c>
      <c r="M16" s="4" t="n">
        <v>5</v>
      </c>
      <c r="N16" s="4" t="s">
        <v>237</v>
      </c>
      <c r="O16" s="4"/>
    </row>
    <row r="17" customFormat="false" ht="15" hidden="false" customHeight="false" outlineLevel="0" collapsed="false">
      <c r="A17" s="4" t="s">
        <v>240</v>
      </c>
      <c r="B17" s="4"/>
      <c r="C17" s="4" t="s">
        <v>23</v>
      </c>
      <c r="D17" s="4" t="s">
        <v>13</v>
      </c>
      <c r="E17" s="4" t="n">
        <v>95</v>
      </c>
      <c r="F17" s="4" t="s">
        <v>241</v>
      </c>
      <c r="G17" s="4" t="s">
        <v>80</v>
      </c>
      <c r="H17" s="4" t="s">
        <v>242</v>
      </c>
      <c r="I17" s="4" t="s">
        <v>31</v>
      </c>
      <c r="J17" s="4" t="s">
        <v>245</v>
      </c>
      <c r="K17" s="4" t="s">
        <v>196</v>
      </c>
      <c r="L17" s="4" t="n">
        <v>42</v>
      </c>
      <c r="M17" s="4" t="n">
        <v>4.2</v>
      </c>
      <c r="N17" s="4" t="s">
        <v>247</v>
      </c>
      <c r="O17" s="4"/>
    </row>
    <row r="18" customFormat="false" ht="15" hidden="false" customHeight="false" outlineLevel="0" collapsed="false">
      <c r="A18" s="4" t="s">
        <v>250</v>
      </c>
      <c r="B18" s="4"/>
      <c r="C18" s="4" t="s">
        <v>20</v>
      </c>
      <c r="D18" s="4" t="s">
        <v>13</v>
      </c>
      <c r="E18" s="4" t="n">
        <v>95</v>
      </c>
      <c r="F18" s="4" t="s">
        <v>251</v>
      </c>
      <c r="G18" s="4" t="s">
        <v>95</v>
      </c>
      <c r="H18" s="4" t="s">
        <v>252</v>
      </c>
      <c r="I18" s="4" t="s">
        <v>29</v>
      </c>
      <c r="J18" s="4" t="s">
        <v>254</v>
      </c>
      <c r="K18" s="4" t="s">
        <v>224</v>
      </c>
      <c r="L18" s="4" t="n">
        <v>41</v>
      </c>
      <c r="M18" s="4" t="n">
        <v>4</v>
      </c>
      <c r="N18" s="4" t="s">
        <v>257</v>
      </c>
      <c r="O18" s="4"/>
    </row>
    <row r="19" customFormat="false" ht="15" hidden="false" customHeight="false" outlineLevel="0" collapsed="false">
      <c r="A19" s="4" t="s">
        <v>260</v>
      </c>
      <c r="B19" s="4"/>
      <c r="C19" s="4" t="s">
        <v>23</v>
      </c>
      <c r="D19" s="4" t="s">
        <v>13</v>
      </c>
      <c r="E19" s="4" t="n">
        <v>95</v>
      </c>
      <c r="F19" s="4" t="s">
        <v>261</v>
      </c>
      <c r="G19" s="4" t="s">
        <v>95</v>
      </c>
      <c r="H19" s="4" t="s">
        <v>262</v>
      </c>
      <c r="I19" s="4" t="s">
        <v>35</v>
      </c>
      <c r="J19" s="4" t="s">
        <v>264</v>
      </c>
      <c r="K19" s="4" t="s">
        <v>265</v>
      </c>
      <c r="L19" s="4" t="n">
        <v>26</v>
      </c>
      <c r="M19" s="4" t="n">
        <v>4.5</v>
      </c>
      <c r="N19" s="4" t="s">
        <v>268</v>
      </c>
      <c r="O19" s="4"/>
    </row>
    <row r="20" customFormat="false" ht="15" hidden="false" customHeight="false" outlineLevel="0" collapsed="false">
      <c r="A20" s="4" t="s">
        <v>270</v>
      </c>
      <c r="B20" s="4"/>
      <c r="C20" s="4" t="s">
        <v>21</v>
      </c>
      <c r="D20" s="4" t="s">
        <v>13</v>
      </c>
      <c r="E20" s="4" t="n">
        <v>95</v>
      </c>
      <c r="F20" s="4" t="s">
        <v>271</v>
      </c>
      <c r="G20" s="4" t="s">
        <v>95</v>
      </c>
      <c r="H20" s="4" t="s">
        <v>272</v>
      </c>
      <c r="I20" s="4" t="s">
        <v>30</v>
      </c>
      <c r="J20" s="4" t="s">
        <v>275</v>
      </c>
      <c r="K20" s="4" t="s">
        <v>276</v>
      </c>
      <c r="L20" s="4" t="n">
        <v>25</v>
      </c>
      <c r="M20" s="4" t="n">
        <v>4.4</v>
      </c>
      <c r="N20" s="4" t="s">
        <v>279</v>
      </c>
      <c r="O20" s="4"/>
    </row>
    <row r="21" customFormat="false" ht="15" hidden="false" customHeight="false" outlineLevel="0" collapsed="false">
      <c r="A21" s="4" t="s">
        <v>281</v>
      </c>
      <c r="B21" s="4"/>
      <c r="C21" s="4" t="s">
        <v>21</v>
      </c>
      <c r="D21" s="4" t="s">
        <v>13</v>
      </c>
      <c r="E21" s="4" t="n">
        <v>95</v>
      </c>
      <c r="F21" s="4" t="s">
        <v>282</v>
      </c>
      <c r="G21" s="4" t="s">
        <v>95</v>
      </c>
      <c r="H21" s="4" t="s">
        <v>283</v>
      </c>
      <c r="I21" s="4" t="s">
        <v>30</v>
      </c>
      <c r="J21" s="4" t="s">
        <v>285</v>
      </c>
      <c r="K21" s="4" t="s">
        <v>286</v>
      </c>
      <c r="L21" s="4" t="n">
        <v>23</v>
      </c>
      <c r="M21" s="4" t="n">
        <v>4.1</v>
      </c>
      <c r="N21" s="4" t="s">
        <v>289</v>
      </c>
      <c r="O21" s="4"/>
    </row>
    <row r="22" customFormat="false" ht="15" hidden="false" customHeight="false" outlineLevel="0" collapsed="false">
      <c r="A22" s="4" t="s">
        <v>292</v>
      </c>
      <c r="B22" s="4"/>
      <c r="C22" s="4" t="s">
        <v>21</v>
      </c>
      <c r="D22" s="4" t="s">
        <v>13</v>
      </c>
      <c r="E22" s="4" t="n">
        <v>95</v>
      </c>
      <c r="F22" s="4" t="s">
        <v>293</v>
      </c>
      <c r="G22" s="4" t="s">
        <v>95</v>
      </c>
      <c r="H22" s="4" t="s">
        <v>294</v>
      </c>
      <c r="I22" s="4" t="s">
        <v>30</v>
      </c>
      <c r="J22" s="4" t="s">
        <v>296</v>
      </c>
      <c r="K22" s="4" t="s">
        <v>297</v>
      </c>
      <c r="L22" s="4" t="n">
        <v>20</v>
      </c>
      <c r="M22" s="4" t="n">
        <v>4.6</v>
      </c>
      <c r="N22" s="4" t="s">
        <v>298</v>
      </c>
      <c r="O22" s="4"/>
    </row>
    <row r="23" customFormat="false" ht="15" hidden="false" customHeight="false" outlineLevel="0" collapsed="false">
      <c r="A23" s="4" t="s">
        <v>301</v>
      </c>
      <c r="B23" s="4" t="s">
        <v>301</v>
      </c>
      <c r="C23" s="4" t="s">
        <v>23</v>
      </c>
      <c r="D23" s="4" t="s">
        <v>13</v>
      </c>
      <c r="E23" s="4" t="n">
        <v>95</v>
      </c>
      <c r="F23" s="4" t="s">
        <v>302</v>
      </c>
      <c r="G23" s="4" t="s">
        <v>80</v>
      </c>
      <c r="H23" s="4" t="s">
        <v>303</v>
      </c>
      <c r="I23" s="4" t="s">
        <v>31</v>
      </c>
      <c r="J23" s="4" t="s">
        <v>305</v>
      </c>
      <c r="K23" s="4" t="s">
        <v>306</v>
      </c>
      <c r="L23" s="4" t="n">
        <v>19</v>
      </c>
      <c r="M23" s="4" t="n">
        <v>4.3</v>
      </c>
      <c r="N23" s="4" t="s">
        <v>308</v>
      </c>
      <c r="O23" s="4"/>
    </row>
    <row r="24" customFormat="false" ht="15" hidden="false" customHeight="false" outlineLevel="0" collapsed="false">
      <c r="A24" s="4" t="s">
        <v>310</v>
      </c>
      <c r="B24" s="4"/>
      <c r="C24" s="4" t="s">
        <v>21</v>
      </c>
      <c r="D24" s="4" t="s">
        <v>13</v>
      </c>
      <c r="E24" s="4" t="n">
        <v>95</v>
      </c>
      <c r="F24" s="4" t="s">
        <v>311</v>
      </c>
      <c r="G24" s="4" t="s">
        <v>95</v>
      </c>
      <c r="H24" s="4" t="s">
        <v>312</v>
      </c>
      <c r="I24" s="4" t="s">
        <v>29</v>
      </c>
      <c r="J24" s="4" t="s">
        <v>315</v>
      </c>
      <c r="K24" s="4" t="s">
        <v>316</v>
      </c>
      <c r="L24" s="4" t="n">
        <v>15</v>
      </c>
      <c r="M24" s="4" t="n">
        <v>4.1</v>
      </c>
      <c r="N24" s="4" t="s">
        <v>318</v>
      </c>
      <c r="O24" s="4"/>
    </row>
    <row r="25" customFormat="false" ht="15" hidden="false" customHeight="false" outlineLevel="0" collapsed="false">
      <c r="A25" s="4" t="s">
        <v>320</v>
      </c>
      <c r="B25" s="4"/>
      <c r="C25" s="4" t="s">
        <v>22</v>
      </c>
      <c r="D25" s="4" t="s">
        <v>13</v>
      </c>
      <c r="E25" s="4" t="n">
        <v>95</v>
      </c>
      <c r="F25" s="4" t="s">
        <v>321</v>
      </c>
      <c r="G25" s="4" t="s">
        <v>95</v>
      </c>
      <c r="H25" s="4" t="s">
        <v>322</v>
      </c>
      <c r="I25" s="4" t="s">
        <v>29</v>
      </c>
      <c r="J25" s="4" t="s">
        <v>324</v>
      </c>
      <c r="K25" s="4" t="s">
        <v>265</v>
      </c>
      <c r="L25" s="4" t="n">
        <v>15</v>
      </c>
      <c r="M25" s="4" t="n">
        <v>4.5</v>
      </c>
      <c r="N25" s="4" t="s">
        <v>327</v>
      </c>
      <c r="O25" s="4"/>
    </row>
    <row r="26" customFormat="false" ht="15" hidden="false" customHeight="false" outlineLevel="0" collapsed="false">
      <c r="A26" s="4" t="s">
        <v>330</v>
      </c>
      <c r="B26" s="4"/>
      <c r="C26" s="4" t="s">
        <v>22</v>
      </c>
      <c r="D26" s="4" t="s">
        <v>13</v>
      </c>
      <c r="E26" s="4" t="n">
        <v>95</v>
      </c>
      <c r="F26" s="4" t="s">
        <v>331</v>
      </c>
      <c r="G26" s="4" t="s">
        <v>95</v>
      </c>
      <c r="H26" s="4" t="s">
        <v>332</v>
      </c>
      <c r="I26" s="4" t="s">
        <v>37</v>
      </c>
      <c r="J26" s="4" t="s">
        <v>335</v>
      </c>
      <c r="K26" s="4" t="s">
        <v>86</v>
      </c>
      <c r="L26" s="4" t="n">
        <v>15</v>
      </c>
      <c r="M26" s="4" t="n">
        <v>4.3</v>
      </c>
      <c r="N26" s="4" t="s">
        <v>336</v>
      </c>
      <c r="O26" s="4"/>
    </row>
    <row r="27" customFormat="false" ht="15" hidden="false" customHeight="false" outlineLevel="0" collapsed="false">
      <c r="A27" s="4" t="s">
        <v>338</v>
      </c>
      <c r="B27" s="4"/>
      <c r="C27" s="4" t="s">
        <v>24</v>
      </c>
      <c r="D27" s="4" t="s">
        <v>13</v>
      </c>
      <c r="E27" s="4" t="n">
        <v>95</v>
      </c>
      <c r="F27" s="4" t="s">
        <v>339</v>
      </c>
      <c r="G27" s="4" t="s">
        <v>80</v>
      </c>
      <c r="H27" s="4" t="s">
        <v>340</v>
      </c>
      <c r="I27" s="4" t="s">
        <v>30</v>
      </c>
      <c r="J27" s="4" t="s">
        <v>343</v>
      </c>
      <c r="K27" s="4" t="s">
        <v>152</v>
      </c>
      <c r="L27" s="4" t="n">
        <v>14</v>
      </c>
      <c r="M27" s="4" t="n">
        <v>5</v>
      </c>
      <c r="N27" s="4" t="s">
        <v>345</v>
      </c>
      <c r="O27" s="4"/>
    </row>
    <row r="28" customFormat="false" ht="15" hidden="false" customHeight="false" outlineLevel="0" collapsed="false">
      <c r="A28" s="4" t="s">
        <v>347</v>
      </c>
      <c r="B28" s="4" t="s">
        <v>209</v>
      </c>
      <c r="C28" s="4" t="s">
        <v>21</v>
      </c>
      <c r="D28" s="4" t="s">
        <v>13</v>
      </c>
      <c r="E28" s="4" t="n">
        <v>95</v>
      </c>
      <c r="F28" s="4" t="s">
        <v>210</v>
      </c>
      <c r="G28" s="4" t="s">
        <v>80</v>
      </c>
      <c r="H28" s="4" t="s">
        <v>348</v>
      </c>
      <c r="I28" s="4" t="s">
        <v>30</v>
      </c>
      <c r="J28" s="4" t="s">
        <v>214</v>
      </c>
      <c r="K28" s="4" t="s">
        <v>350</v>
      </c>
      <c r="L28" s="4" t="n">
        <v>12</v>
      </c>
      <c r="M28" s="4" t="n">
        <v>4.8</v>
      </c>
      <c r="N28" s="4" t="s">
        <v>352</v>
      </c>
      <c r="O28" s="4"/>
    </row>
    <row r="29" customFormat="false" ht="15" hidden="false" customHeight="false" outlineLevel="0" collapsed="false">
      <c r="A29" s="4" t="s">
        <v>354</v>
      </c>
      <c r="B29" s="4"/>
      <c r="C29" s="4" t="s">
        <v>22</v>
      </c>
      <c r="D29" s="4" t="s">
        <v>13</v>
      </c>
      <c r="E29" s="4" t="n">
        <v>95</v>
      </c>
      <c r="F29" s="4" t="s">
        <v>356</v>
      </c>
      <c r="G29" s="4" t="s">
        <v>95</v>
      </c>
      <c r="H29" s="4" t="s">
        <v>357</v>
      </c>
      <c r="I29" s="4" t="s">
        <v>38</v>
      </c>
      <c r="J29" s="4" t="s">
        <v>360</v>
      </c>
      <c r="K29" s="4" t="s">
        <v>86</v>
      </c>
      <c r="L29" s="4" t="n">
        <v>11</v>
      </c>
      <c r="M29" s="4" t="n">
        <v>4.5</v>
      </c>
      <c r="N29" s="4" t="s">
        <v>361</v>
      </c>
      <c r="O29" s="4" t="s">
        <v>125</v>
      </c>
    </row>
    <row r="30" customFormat="false" ht="15" hidden="false" customHeight="false" outlineLevel="0" collapsed="false">
      <c r="A30" s="4" t="s">
        <v>363</v>
      </c>
      <c r="B30" s="4" t="s">
        <v>364</v>
      </c>
      <c r="C30" s="4" t="s">
        <v>26</v>
      </c>
      <c r="D30" s="4" t="s">
        <v>13</v>
      </c>
      <c r="E30" s="4" t="n">
        <v>90</v>
      </c>
      <c r="F30" s="4" t="s">
        <v>365</v>
      </c>
      <c r="G30" s="4" t="s">
        <v>80</v>
      </c>
      <c r="H30" s="4" t="s">
        <v>366</v>
      </c>
      <c r="I30" s="4" t="s">
        <v>29</v>
      </c>
      <c r="J30" s="4" t="s">
        <v>368</v>
      </c>
      <c r="K30" s="4" t="s">
        <v>120</v>
      </c>
      <c r="L30" s="4" t="n">
        <v>521</v>
      </c>
      <c r="M30" s="4" t="n">
        <v>4.5</v>
      </c>
      <c r="N30" s="4" t="s">
        <v>369</v>
      </c>
      <c r="O30" s="4" t="s">
        <v>370</v>
      </c>
    </row>
    <row r="31" customFormat="false" ht="15" hidden="false" customHeight="false" outlineLevel="0" collapsed="false">
      <c r="A31" s="4" t="s">
        <v>372</v>
      </c>
      <c r="B31" s="4"/>
      <c r="C31" s="4" t="s">
        <v>26</v>
      </c>
      <c r="D31" s="4" t="s">
        <v>13</v>
      </c>
      <c r="E31" s="4" t="n">
        <v>90</v>
      </c>
      <c r="F31" s="4" t="s">
        <v>373</v>
      </c>
      <c r="G31" s="4" t="s">
        <v>80</v>
      </c>
      <c r="H31" s="4" t="s">
        <v>374</v>
      </c>
      <c r="I31" s="4" t="s">
        <v>29</v>
      </c>
      <c r="J31" s="4" t="s">
        <v>376</v>
      </c>
      <c r="K31" s="4" t="s">
        <v>377</v>
      </c>
      <c r="L31" s="4" t="n">
        <v>464</v>
      </c>
      <c r="M31" s="4" t="n">
        <v>3.2</v>
      </c>
      <c r="N31" s="4" t="s">
        <v>380</v>
      </c>
      <c r="O31" s="4"/>
    </row>
    <row r="32" customFormat="false" ht="15" hidden="false" customHeight="false" outlineLevel="0" collapsed="false">
      <c r="A32" s="4" t="s">
        <v>383</v>
      </c>
      <c r="B32" s="4" t="s">
        <v>383</v>
      </c>
      <c r="C32" s="4" t="s">
        <v>26</v>
      </c>
      <c r="D32" s="4" t="s">
        <v>13</v>
      </c>
      <c r="E32" s="4" t="n">
        <v>90</v>
      </c>
      <c r="F32" s="4" t="s">
        <v>384</v>
      </c>
      <c r="G32" s="4" t="s">
        <v>80</v>
      </c>
      <c r="H32" s="4" t="s">
        <v>385</v>
      </c>
      <c r="I32" s="4" t="s">
        <v>29</v>
      </c>
      <c r="J32" s="4" t="s">
        <v>387</v>
      </c>
      <c r="K32" s="4" t="s">
        <v>133</v>
      </c>
      <c r="L32" s="4" t="n">
        <v>292</v>
      </c>
      <c r="M32" s="4" t="n">
        <v>3.9</v>
      </c>
      <c r="N32" s="4" t="s">
        <v>389</v>
      </c>
      <c r="O32" s="4"/>
    </row>
    <row r="33" customFormat="false" ht="15" hidden="false" customHeight="false" outlineLevel="0" collapsed="false">
      <c r="A33" s="4" t="s">
        <v>392</v>
      </c>
      <c r="B33" s="4"/>
      <c r="C33" s="4" t="s">
        <v>25</v>
      </c>
      <c r="D33" s="4" t="s">
        <v>13</v>
      </c>
      <c r="E33" s="4" t="n">
        <v>90</v>
      </c>
      <c r="F33" s="4" t="s">
        <v>393</v>
      </c>
      <c r="G33" s="4" t="s">
        <v>80</v>
      </c>
      <c r="H33" s="4" t="s">
        <v>394</v>
      </c>
      <c r="I33" s="4" t="s">
        <v>32</v>
      </c>
      <c r="J33" s="4" t="s">
        <v>396</v>
      </c>
      <c r="K33" s="4" t="s">
        <v>86</v>
      </c>
      <c r="L33" s="4" t="n">
        <v>216</v>
      </c>
      <c r="M33" s="4" t="n">
        <v>4.8</v>
      </c>
      <c r="N33" s="4" t="s">
        <v>400</v>
      </c>
      <c r="O33" s="4" t="s">
        <v>401</v>
      </c>
    </row>
    <row r="34" customFormat="false" ht="15" hidden="false" customHeight="false" outlineLevel="0" collapsed="false">
      <c r="A34" s="4" t="s">
        <v>403</v>
      </c>
      <c r="B34" s="4"/>
      <c r="C34" s="4" t="s">
        <v>26</v>
      </c>
      <c r="D34" s="4" t="s">
        <v>13</v>
      </c>
      <c r="E34" s="4" t="n">
        <v>90</v>
      </c>
      <c r="F34" s="4" t="s">
        <v>404</v>
      </c>
      <c r="G34" s="4" t="s">
        <v>80</v>
      </c>
      <c r="H34" s="4" t="s">
        <v>405</v>
      </c>
      <c r="I34" s="4" t="s">
        <v>35</v>
      </c>
      <c r="J34" s="4" t="s">
        <v>407</v>
      </c>
      <c r="K34" s="4" t="s">
        <v>377</v>
      </c>
      <c r="L34" s="4" t="n">
        <v>158</v>
      </c>
      <c r="M34" s="4" t="n">
        <v>4.1</v>
      </c>
      <c r="N34" s="4" t="s">
        <v>410</v>
      </c>
      <c r="O34" s="4" t="s">
        <v>401</v>
      </c>
    </row>
    <row r="35" customFormat="false" ht="15" hidden="false" customHeight="false" outlineLevel="0" collapsed="false">
      <c r="A35" s="4" t="s">
        <v>413</v>
      </c>
      <c r="B35" s="4" t="s">
        <v>413</v>
      </c>
      <c r="C35" s="4" t="s">
        <v>20</v>
      </c>
      <c r="D35" s="4" t="s">
        <v>13</v>
      </c>
      <c r="E35" s="4" t="n">
        <v>90</v>
      </c>
      <c r="F35" s="4" t="s">
        <v>414</v>
      </c>
      <c r="G35" s="4" t="s">
        <v>95</v>
      </c>
      <c r="H35" s="4" t="s">
        <v>415</v>
      </c>
      <c r="I35" s="4" t="s">
        <v>29</v>
      </c>
      <c r="J35" s="4" t="s">
        <v>418</v>
      </c>
      <c r="K35" s="4" t="s">
        <v>224</v>
      </c>
      <c r="L35" s="4" t="n">
        <v>9</v>
      </c>
      <c r="M35" s="4" t="n">
        <v>4</v>
      </c>
      <c r="N35" s="4" t="s">
        <v>420</v>
      </c>
      <c r="O35" s="4"/>
    </row>
    <row r="36" customFormat="false" ht="15" hidden="false" customHeight="false" outlineLevel="0" collapsed="false">
      <c r="A36" s="4" t="s">
        <v>423</v>
      </c>
      <c r="B36" s="4"/>
      <c r="C36" s="4" t="s">
        <v>21</v>
      </c>
      <c r="D36" s="4" t="s">
        <v>13</v>
      </c>
      <c r="E36" s="4" t="n">
        <v>90</v>
      </c>
      <c r="F36" s="4" t="s">
        <v>424</v>
      </c>
      <c r="G36" s="4" t="s">
        <v>95</v>
      </c>
      <c r="H36" s="4" t="s">
        <v>425</v>
      </c>
      <c r="I36" s="4" t="s">
        <v>30</v>
      </c>
      <c r="J36" s="4" t="s">
        <v>427</v>
      </c>
      <c r="K36" s="4" t="s">
        <v>297</v>
      </c>
      <c r="L36" s="4" t="n">
        <v>6</v>
      </c>
      <c r="M36" s="4" t="n">
        <v>5</v>
      </c>
      <c r="N36" s="4" t="s">
        <v>429</v>
      </c>
      <c r="O36" s="4"/>
    </row>
    <row r="37" customFormat="false" ht="15" hidden="false" customHeight="false" outlineLevel="0" collapsed="false">
      <c r="A37" s="4" t="s">
        <v>431</v>
      </c>
      <c r="B37" s="4"/>
      <c r="C37" s="4" t="s">
        <v>21</v>
      </c>
      <c r="D37" s="4" t="s">
        <v>13</v>
      </c>
      <c r="E37" s="4" t="n">
        <v>90</v>
      </c>
      <c r="F37" s="4" t="s">
        <v>433</v>
      </c>
      <c r="G37" s="4" t="s">
        <v>95</v>
      </c>
      <c r="H37" s="4" t="s">
        <v>434</v>
      </c>
      <c r="I37" s="4" t="s">
        <v>29</v>
      </c>
      <c r="J37" s="4" t="s">
        <v>436</v>
      </c>
      <c r="K37" s="4" t="s">
        <v>437</v>
      </c>
      <c r="L37" s="4" t="n">
        <v>5</v>
      </c>
      <c r="M37" s="4" t="n">
        <v>5</v>
      </c>
      <c r="N37" s="4" t="s">
        <v>439</v>
      </c>
      <c r="O37" s="4" t="s">
        <v>125</v>
      </c>
    </row>
    <row r="38" customFormat="false" ht="15" hidden="false" customHeight="false" outlineLevel="0" collapsed="false">
      <c r="A38" s="4" t="s">
        <v>441</v>
      </c>
      <c r="B38" s="4"/>
      <c r="C38" s="4" t="s">
        <v>23</v>
      </c>
      <c r="D38" s="4" t="s">
        <v>13</v>
      </c>
      <c r="E38" s="4" t="n">
        <v>90</v>
      </c>
      <c r="F38" s="4" t="s">
        <v>442</v>
      </c>
      <c r="G38" s="4" t="s">
        <v>80</v>
      </c>
      <c r="H38" s="4" t="s">
        <v>443</v>
      </c>
      <c r="I38" s="4" t="s">
        <v>31</v>
      </c>
      <c r="J38" s="4" t="s">
        <v>446</v>
      </c>
      <c r="K38" s="4" t="s">
        <v>447</v>
      </c>
      <c r="L38" s="4" t="n">
        <v>5</v>
      </c>
      <c r="M38" s="4" t="n">
        <v>5</v>
      </c>
      <c r="N38" s="4" t="s">
        <v>449</v>
      </c>
      <c r="O38" s="4"/>
    </row>
    <row r="39" customFormat="false" ht="15" hidden="false" customHeight="false" outlineLevel="0" collapsed="false">
      <c r="A39" s="4" t="s">
        <v>452</v>
      </c>
      <c r="B39" s="4"/>
      <c r="C39" s="4" t="s">
        <v>24</v>
      </c>
      <c r="D39" s="4" t="s">
        <v>13</v>
      </c>
      <c r="E39" s="4" t="n">
        <v>90</v>
      </c>
      <c r="F39" s="4" t="s">
        <v>453</v>
      </c>
      <c r="G39" s="4" t="s">
        <v>95</v>
      </c>
      <c r="H39" s="4" t="s">
        <v>454</v>
      </c>
      <c r="I39" s="4" t="s">
        <v>30</v>
      </c>
      <c r="J39" s="4" t="s">
        <v>456</v>
      </c>
      <c r="K39" s="4" t="s">
        <v>152</v>
      </c>
      <c r="L39" s="4" t="n">
        <v>5</v>
      </c>
      <c r="M39" s="4" t="n">
        <v>5</v>
      </c>
      <c r="N39" s="4" t="s">
        <v>457</v>
      </c>
      <c r="O39" s="4"/>
    </row>
    <row r="40" customFormat="false" ht="15" hidden="false" customHeight="false" outlineLevel="0" collapsed="false">
      <c r="A40" s="4" t="s">
        <v>413</v>
      </c>
      <c r="B40" s="4" t="s">
        <v>413</v>
      </c>
      <c r="C40" s="4" t="s">
        <v>20</v>
      </c>
      <c r="D40" s="4" t="s">
        <v>13</v>
      </c>
      <c r="E40" s="4" t="n">
        <v>90</v>
      </c>
      <c r="F40" s="4" t="s">
        <v>414</v>
      </c>
      <c r="G40" s="4" t="s">
        <v>95</v>
      </c>
      <c r="H40" s="4" t="s">
        <v>415</v>
      </c>
      <c r="I40" s="4" t="s">
        <v>29</v>
      </c>
      <c r="J40" s="4" t="s">
        <v>460</v>
      </c>
      <c r="K40" s="4" t="s">
        <v>224</v>
      </c>
      <c r="L40" s="4" t="n">
        <v>3</v>
      </c>
      <c r="M40" s="4" t="n">
        <v>5</v>
      </c>
      <c r="N40" s="4" t="s">
        <v>462</v>
      </c>
      <c r="O40" s="4"/>
    </row>
    <row r="41" customFormat="false" ht="15" hidden="false" customHeight="false" outlineLevel="0" collapsed="false">
      <c r="A41" s="4" t="s">
        <v>464</v>
      </c>
      <c r="B41" s="4"/>
      <c r="C41" s="4" t="s">
        <v>20</v>
      </c>
      <c r="D41" s="4" t="s">
        <v>13</v>
      </c>
      <c r="E41" s="4" t="n">
        <v>90</v>
      </c>
      <c r="F41" s="4" t="s">
        <v>465</v>
      </c>
      <c r="G41" s="4" t="s">
        <v>95</v>
      </c>
      <c r="H41" s="4" t="s">
        <v>466</v>
      </c>
      <c r="I41" s="4" t="s">
        <v>31</v>
      </c>
      <c r="J41" s="4" t="s">
        <v>469</v>
      </c>
      <c r="K41" s="4" t="s">
        <v>224</v>
      </c>
      <c r="L41" s="4" t="n">
        <v>2</v>
      </c>
      <c r="M41" s="4" t="n">
        <v>5</v>
      </c>
      <c r="N41" s="4" t="s">
        <v>470</v>
      </c>
      <c r="O41" s="4"/>
    </row>
    <row r="42" customFormat="false" ht="15" hidden="false" customHeight="false" outlineLevel="0" collapsed="false">
      <c r="A42" s="4" t="s">
        <v>473</v>
      </c>
      <c r="B42" s="4"/>
      <c r="C42" s="4" t="s">
        <v>20</v>
      </c>
      <c r="D42" s="4" t="s">
        <v>13</v>
      </c>
      <c r="E42" s="4" t="n">
        <v>90</v>
      </c>
      <c r="F42" s="4" t="s">
        <v>474</v>
      </c>
      <c r="G42" s="4" t="s">
        <v>95</v>
      </c>
      <c r="H42" s="4" t="s">
        <v>475</v>
      </c>
      <c r="I42" s="4" t="s">
        <v>31</v>
      </c>
      <c r="J42" s="4" t="s">
        <v>477</v>
      </c>
      <c r="K42" s="4" t="s">
        <v>224</v>
      </c>
      <c r="L42" s="4" t="n">
        <v>2</v>
      </c>
      <c r="M42" s="4" t="n">
        <v>4</v>
      </c>
      <c r="N42" s="4" t="s">
        <v>479</v>
      </c>
      <c r="O42" s="4"/>
    </row>
    <row r="43" customFormat="false" ht="15" hidden="false" customHeight="false" outlineLevel="0" collapsed="false">
      <c r="A43" s="4" t="s">
        <v>481</v>
      </c>
      <c r="B43" s="4"/>
      <c r="C43" s="4" t="s">
        <v>20</v>
      </c>
      <c r="D43" s="4" t="s">
        <v>13</v>
      </c>
      <c r="E43" s="4" t="n">
        <v>85</v>
      </c>
      <c r="F43" s="4" t="s">
        <v>482</v>
      </c>
      <c r="G43" s="4" t="s">
        <v>80</v>
      </c>
      <c r="H43" s="4" t="s">
        <v>483</v>
      </c>
      <c r="I43" s="4" t="s">
        <v>31</v>
      </c>
      <c r="J43" s="4" t="s">
        <v>486</v>
      </c>
      <c r="K43" s="4" t="s">
        <v>224</v>
      </c>
      <c r="L43" s="4" t="n">
        <v>41</v>
      </c>
      <c r="M43" s="4" t="n">
        <v>3.9</v>
      </c>
      <c r="N43" s="4" t="s">
        <v>487</v>
      </c>
      <c r="O43" s="4"/>
    </row>
    <row r="44" customFormat="false" ht="15" hidden="false" customHeight="false" outlineLevel="0" collapsed="false">
      <c r="A44" s="4" t="s">
        <v>489</v>
      </c>
      <c r="B44" s="4"/>
      <c r="C44" s="4" t="s">
        <v>22</v>
      </c>
      <c r="D44" s="4" t="s">
        <v>13</v>
      </c>
      <c r="E44" s="4" t="n">
        <v>85</v>
      </c>
      <c r="F44" s="4" t="s">
        <v>490</v>
      </c>
      <c r="G44" s="4" t="s">
        <v>95</v>
      </c>
      <c r="H44" s="4" t="s">
        <v>491</v>
      </c>
      <c r="I44" s="4" t="s">
        <v>31</v>
      </c>
      <c r="J44" s="4" t="s">
        <v>493</v>
      </c>
      <c r="K44" s="4" t="s">
        <v>265</v>
      </c>
      <c r="L44" s="4" t="n">
        <v>30</v>
      </c>
      <c r="M44" s="4" t="n">
        <v>4.3</v>
      </c>
      <c r="N44" s="4" t="s">
        <v>495</v>
      </c>
      <c r="O44" s="4" t="s">
        <v>401</v>
      </c>
    </row>
    <row r="45" customFormat="false" ht="15" hidden="false" customHeight="false" outlineLevel="0" collapsed="false">
      <c r="A45" s="4" t="s">
        <v>497</v>
      </c>
      <c r="B45" s="4"/>
      <c r="C45" s="4" t="s">
        <v>21</v>
      </c>
      <c r="D45" s="4" t="s">
        <v>13</v>
      </c>
      <c r="E45" s="4" t="n">
        <v>85</v>
      </c>
      <c r="F45" s="4" t="s">
        <v>498</v>
      </c>
      <c r="G45" s="4" t="s">
        <v>95</v>
      </c>
      <c r="H45" s="4" t="s">
        <v>499</v>
      </c>
      <c r="I45" s="4" t="s">
        <v>30</v>
      </c>
      <c r="J45" s="4" t="s">
        <v>501</v>
      </c>
      <c r="K45" s="4" t="s">
        <v>276</v>
      </c>
      <c r="L45" s="4" t="n">
        <v>22</v>
      </c>
      <c r="M45" s="4" t="n">
        <v>3.6</v>
      </c>
      <c r="N45" s="4" t="s">
        <v>503</v>
      </c>
      <c r="O45" s="4"/>
    </row>
    <row r="46" customFormat="false" ht="15" hidden="false" customHeight="false" outlineLevel="0" collapsed="false">
      <c r="A46" s="4" t="s">
        <v>505</v>
      </c>
      <c r="B46" s="4" t="s">
        <v>383</v>
      </c>
      <c r="C46" s="4" t="s">
        <v>24</v>
      </c>
      <c r="D46" s="4" t="s">
        <v>13</v>
      </c>
      <c r="E46" s="4" t="n">
        <v>85</v>
      </c>
      <c r="F46" s="4" t="s">
        <v>506</v>
      </c>
      <c r="G46" s="4" t="s">
        <v>80</v>
      </c>
      <c r="H46" s="4" t="s">
        <v>507</v>
      </c>
      <c r="I46" s="4" t="s">
        <v>29</v>
      </c>
      <c r="J46" s="4" t="s">
        <v>509</v>
      </c>
      <c r="K46" s="4" t="s">
        <v>306</v>
      </c>
      <c r="L46" s="4" t="n">
        <v>16</v>
      </c>
      <c r="M46" s="4" t="n">
        <v>3.8</v>
      </c>
      <c r="N46" s="4" t="s">
        <v>511</v>
      </c>
      <c r="O46" s="4"/>
    </row>
    <row r="47" customFormat="false" ht="15" hidden="false" customHeight="false" outlineLevel="0" collapsed="false">
      <c r="A47" s="4" t="s">
        <v>513</v>
      </c>
      <c r="B47" s="4"/>
      <c r="C47" s="4" t="s">
        <v>27</v>
      </c>
      <c r="D47" s="4" t="s">
        <v>13</v>
      </c>
      <c r="E47" s="4" t="n">
        <v>85</v>
      </c>
      <c r="F47" s="4" t="s">
        <v>514</v>
      </c>
      <c r="G47" s="4" t="s">
        <v>80</v>
      </c>
      <c r="H47" s="4" t="s">
        <v>515</v>
      </c>
      <c r="I47" s="4" t="s">
        <v>30</v>
      </c>
      <c r="J47" s="4" t="s">
        <v>517</v>
      </c>
      <c r="K47" s="4" t="s">
        <v>518</v>
      </c>
      <c r="L47" s="4" t="n">
        <v>13</v>
      </c>
      <c r="M47" s="4" t="n">
        <v>3.6</v>
      </c>
      <c r="N47" s="4" t="s">
        <v>519</v>
      </c>
      <c r="O47" s="4"/>
    </row>
    <row r="48" customFormat="false" ht="15" hidden="false" customHeight="false" outlineLevel="0" collapsed="false">
      <c r="A48" s="4" t="s">
        <v>521</v>
      </c>
      <c r="B48" s="4"/>
      <c r="C48" s="4" t="s">
        <v>20</v>
      </c>
      <c r="D48" s="4" t="s">
        <v>13</v>
      </c>
      <c r="E48" s="4" t="n">
        <v>85</v>
      </c>
      <c r="F48" s="4" t="s">
        <v>522</v>
      </c>
      <c r="G48" s="4" t="s">
        <v>95</v>
      </c>
      <c r="H48" s="4" t="s">
        <v>523</v>
      </c>
      <c r="I48" s="4" t="s">
        <v>31</v>
      </c>
      <c r="J48" s="4" t="s">
        <v>526</v>
      </c>
      <c r="K48" s="4" t="s">
        <v>224</v>
      </c>
      <c r="L48" s="4" t="n">
        <v>12</v>
      </c>
      <c r="M48" s="4" t="n">
        <v>3.6</v>
      </c>
      <c r="N48" s="4" t="s">
        <v>527</v>
      </c>
      <c r="O48" s="4"/>
    </row>
    <row r="49" customFormat="false" ht="15" hidden="false" customHeight="false" outlineLevel="0" collapsed="false">
      <c r="A49" s="4" t="s">
        <v>529</v>
      </c>
      <c r="B49" s="4"/>
      <c r="C49" s="4" t="s">
        <v>26</v>
      </c>
      <c r="D49" s="4" t="s">
        <v>13</v>
      </c>
      <c r="E49" s="4" t="n">
        <v>80</v>
      </c>
      <c r="F49" s="4" t="s">
        <v>530</v>
      </c>
      <c r="G49" s="4" t="s">
        <v>80</v>
      </c>
      <c r="H49" s="4" t="s">
        <v>531</v>
      </c>
      <c r="I49" s="4" t="s">
        <v>29</v>
      </c>
      <c r="J49" s="4" t="s">
        <v>533</v>
      </c>
      <c r="K49" s="4" t="s">
        <v>265</v>
      </c>
      <c r="L49" s="4" t="n">
        <v>336</v>
      </c>
      <c r="M49" s="4" t="n">
        <v>3.8</v>
      </c>
      <c r="N49" s="4" t="s">
        <v>534</v>
      </c>
      <c r="O49" s="4" t="s">
        <v>370</v>
      </c>
    </row>
    <row r="50" customFormat="false" ht="15" hidden="false" customHeight="false" outlineLevel="0" collapsed="false">
      <c r="A50" s="4" t="s">
        <v>536</v>
      </c>
      <c r="B50" s="4"/>
      <c r="C50" s="4" t="s">
        <v>20</v>
      </c>
      <c r="D50" s="4" t="s">
        <v>13</v>
      </c>
      <c r="E50" s="4" t="n">
        <v>80</v>
      </c>
      <c r="F50" s="4" t="s">
        <v>537</v>
      </c>
      <c r="G50" s="4" t="s">
        <v>80</v>
      </c>
      <c r="H50" s="4" t="s">
        <v>538</v>
      </c>
      <c r="I50" s="4" t="s">
        <v>31</v>
      </c>
      <c r="J50" s="4" t="s">
        <v>540</v>
      </c>
      <c r="K50" s="4" t="s">
        <v>224</v>
      </c>
      <c r="L50" s="4" t="n">
        <v>20</v>
      </c>
      <c r="M50" s="4" t="n">
        <v>4.4</v>
      </c>
      <c r="N50" s="4" t="s">
        <v>543</v>
      </c>
      <c r="O50" s="4" t="s">
        <v>401</v>
      </c>
    </row>
    <row r="51" customFormat="false" ht="15" hidden="false" customHeight="false" outlineLevel="0" collapsed="false">
      <c r="A51" s="4" t="s">
        <v>545</v>
      </c>
      <c r="B51" s="4"/>
      <c r="C51" s="4" t="s">
        <v>21</v>
      </c>
      <c r="D51" s="4" t="s">
        <v>13</v>
      </c>
      <c r="E51" s="4" t="n">
        <v>80</v>
      </c>
      <c r="F51" s="4" t="s">
        <v>546</v>
      </c>
      <c r="G51" s="4" t="s">
        <v>95</v>
      </c>
      <c r="H51" s="4" t="s">
        <v>547</v>
      </c>
      <c r="I51" s="4" t="s">
        <v>30</v>
      </c>
      <c r="J51" s="4" t="s">
        <v>549</v>
      </c>
      <c r="K51" s="4" t="s">
        <v>550</v>
      </c>
      <c r="L51" s="4" t="n">
        <v>6</v>
      </c>
      <c r="M51" s="4" t="n">
        <v>2</v>
      </c>
      <c r="N51" s="4" t="s">
        <v>551</v>
      </c>
      <c r="O51" s="4"/>
    </row>
    <row r="52" customFormat="false" ht="15" hidden="false" customHeight="false" outlineLevel="0" collapsed="false">
      <c r="A52" s="4" t="s">
        <v>553</v>
      </c>
      <c r="B52" s="4"/>
      <c r="C52" s="4" t="s">
        <v>21</v>
      </c>
      <c r="D52" s="4" t="s">
        <v>13</v>
      </c>
      <c r="E52" s="4" t="n">
        <v>80</v>
      </c>
      <c r="F52" s="4" t="s">
        <v>554</v>
      </c>
      <c r="G52" s="4" t="s">
        <v>95</v>
      </c>
      <c r="H52" s="4" t="s">
        <v>555</v>
      </c>
      <c r="I52" s="4" t="s">
        <v>30</v>
      </c>
      <c r="J52" s="4" t="s">
        <v>557</v>
      </c>
      <c r="K52" s="4" t="s">
        <v>550</v>
      </c>
      <c r="L52" s="4" t="n">
        <v>5</v>
      </c>
      <c r="M52" s="4" t="n">
        <v>3.4</v>
      </c>
      <c r="N52" s="4" t="s">
        <v>558</v>
      </c>
      <c r="O52" s="4"/>
    </row>
    <row r="53" customFormat="false" ht="15" hidden="false" customHeight="false" outlineLevel="0" collapsed="false">
      <c r="A53" s="4" t="s">
        <v>560</v>
      </c>
      <c r="B53" s="4"/>
      <c r="C53" s="4" t="s">
        <v>20</v>
      </c>
      <c r="D53" s="4" t="s">
        <v>13</v>
      </c>
      <c r="E53" s="4" t="n">
        <v>80</v>
      </c>
      <c r="F53" s="4" t="s">
        <v>561</v>
      </c>
      <c r="G53" s="4" t="s">
        <v>95</v>
      </c>
      <c r="H53" s="4" t="s">
        <v>562</v>
      </c>
      <c r="I53" s="4" t="s">
        <v>29</v>
      </c>
      <c r="J53" s="4" t="s">
        <v>565</v>
      </c>
      <c r="K53" s="4" t="s">
        <v>224</v>
      </c>
      <c r="L53" s="4" t="n">
        <v>4</v>
      </c>
      <c r="M53" s="4" t="n">
        <v>3.3</v>
      </c>
      <c r="N53" s="4" t="s">
        <v>567</v>
      </c>
      <c r="O53" s="4"/>
    </row>
    <row r="54" customFormat="false" ht="15" hidden="false" customHeight="false" outlineLevel="0" collapsed="false">
      <c r="A54" s="4" t="s">
        <v>569</v>
      </c>
      <c r="B54" s="4"/>
      <c r="C54" s="4" t="s">
        <v>21</v>
      </c>
      <c r="D54" s="4" t="s">
        <v>13</v>
      </c>
      <c r="E54" s="4" t="n">
        <v>80</v>
      </c>
      <c r="F54" s="4" t="s">
        <v>570</v>
      </c>
      <c r="G54" s="4" t="s">
        <v>95</v>
      </c>
      <c r="H54" s="4" t="s">
        <v>571</v>
      </c>
      <c r="I54" s="4" t="s">
        <v>30</v>
      </c>
      <c r="J54" s="4" t="s">
        <v>573</v>
      </c>
      <c r="K54" s="4" t="s">
        <v>152</v>
      </c>
      <c r="L54" s="4" t="n">
        <v>3</v>
      </c>
      <c r="M54" s="4" t="n">
        <v>3.7</v>
      </c>
      <c r="N54" s="4" t="s">
        <v>576</v>
      </c>
      <c r="O54" s="4"/>
    </row>
    <row r="55" customFormat="false" ht="15" hidden="false" customHeight="false" outlineLevel="0" collapsed="false">
      <c r="A55" s="4" t="s">
        <v>578</v>
      </c>
      <c r="B55" s="4"/>
      <c r="C55" s="4" t="s">
        <v>20</v>
      </c>
      <c r="D55" s="4" t="s">
        <v>13</v>
      </c>
      <c r="E55" s="4" t="n">
        <v>80</v>
      </c>
      <c r="F55" s="4" t="s">
        <v>579</v>
      </c>
      <c r="G55" s="4" t="s">
        <v>80</v>
      </c>
      <c r="H55" s="4" t="s">
        <v>580</v>
      </c>
      <c r="I55" s="4" t="s">
        <v>29</v>
      </c>
      <c r="J55" s="4" t="s">
        <v>583</v>
      </c>
      <c r="K55" s="4" t="s">
        <v>224</v>
      </c>
      <c r="L55" s="4" t="n">
        <v>3</v>
      </c>
      <c r="M55" s="4" t="n">
        <v>3.7</v>
      </c>
      <c r="N55" s="4" t="s">
        <v>585</v>
      </c>
      <c r="O55" s="4"/>
    </row>
    <row r="56" customFormat="false" ht="15" hidden="false" customHeight="false" outlineLevel="0" collapsed="false">
      <c r="A56" s="4" t="s">
        <v>587</v>
      </c>
      <c r="B56" s="4"/>
      <c r="C56" s="4" t="s">
        <v>24</v>
      </c>
      <c r="D56" s="4" t="s">
        <v>13</v>
      </c>
      <c r="E56" s="4" t="n">
        <v>75</v>
      </c>
      <c r="F56" s="4" t="s">
        <v>588</v>
      </c>
      <c r="G56" s="4" t="s">
        <v>80</v>
      </c>
      <c r="H56" s="4"/>
      <c r="I56" s="4" t="s">
        <v>30</v>
      </c>
      <c r="J56" s="4" t="s">
        <v>590</v>
      </c>
      <c r="K56" s="4" t="s">
        <v>196</v>
      </c>
      <c r="L56" s="4" t="n">
        <v>537</v>
      </c>
      <c r="M56" s="4" t="n">
        <v>4.5</v>
      </c>
      <c r="N56" s="4" t="s">
        <v>592</v>
      </c>
      <c r="O56" s="4" t="s">
        <v>593</v>
      </c>
    </row>
    <row r="57" customFormat="false" ht="15" hidden="false" customHeight="false" outlineLevel="0" collapsed="false">
      <c r="A57" s="4" t="s">
        <v>595</v>
      </c>
      <c r="B57" s="4"/>
      <c r="C57" s="4" t="s">
        <v>26</v>
      </c>
      <c r="D57" s="4" t="s">
        <v>13</v>
      </c>
      <c r="E57" s="4" t="n">
        <v>75</v>
      </c>
      <c r="F57" s="4" t="s">
        <v>596</v>
      </c>
      <c r="G57" s="4" t="s">
        <v>80</v>
      </c>
      <c r="H57" s="4" t="s">
        <v>597</v>
      </c>
      <c r="I57" s="4" t="s">
        <v>29</v>
      </c>
      <c r="J57" s="4" t="s">
        <v>599</v>
      </c>
      <c r="K57" s="4" t="s">
        <v>265</v>
      </c>
      <c r="L57" s="4" t="n">
        <v>227</v>
      </c>
      <c r="M57" s="4" t="n">
        <v>3.9</v>
      </c>
      <c r="N57" s="4" t="s">
        <v>601</v>
      </c>
      <c r="O57" s="4" t="s">
        <v>401</v>
      </c>
    </row>
    <row r="58" customFormat="false" ht="15" hidden="false" customHeight="false" outlineLevel="0" collapsed="false">
      <c r="A58" s="4" t="s">
        <v>604</v>
      </c>
      <c r="B58" s="4"/>
      <c r="C58" s="4" t="s">
        <v>21</v>
      </c>
      <c r="D58" s="4" t="s">
        <v>13</v>
      </c>
      <c r="E58" s="4" t="n">
        <v>75</v>
      </c>
      <c r="F58" s="4" t="s">
        <v>605</v>
      </c>
      <c r="G58" s="4" t="s">
        <v>95</v>
      </c>
      <c r="H58" s="4" t="s">
        <v>606</v>
      </c>
      <c r="I58" s="4" t="s">
        <v>29</v>
      </c>
      <c r="J58" s="4" t="s">
        <v>609</v>
      </c>
      <c r="K58" s="4" t="s">
        <v>610</v>
      </c>
      <c r="L58" s="4" t="n">
        <v>60</v>
      </c>
      <c r="M58" s="4" t="n">
        <v>4.5</v>
      </c>
      <c r="N58" s="4" t="s">
        <v>613</v>
      </c>
      <c r="O58" s="4" t="s">
        <v>593</v>
      </c>
    </row>
    <row r="59" customFormat="false" ht="15" hidden="false" customHeight="false" outlineLevel="0" collapsed="false">
      <c r="A59" s="4" t="s">
        <v>615</v>
      </c>
      <c r="B59" s="4"/>
      <c r="C59" s="4" t="s">
        <v>22</v>
      </c>
      <c r="D59" s="4" t="s">
        <v>13</v>
      </c>
      <c r="E59" s="4" t="n">
        <v>75</v>
      </c>
      <c r="F59" s="4" t="s">
        <v>616</v>
      </c>
      <c r="G59" s="4" t="s">
        <v>95</v>
      </c>
      <c r="H59" s="4" t="s">
        <v>617</v>
      </c>
      <c r="I59" s="4" t="s">
        <v>31</v>
      </c>
      <c r="J59" s="4" t="s">
        <v>619</v>
      </c>
      <c r="K59" s="4" t="s">
        <v>86</v>
      </c>
      <c r="L59" s="4" t="n">
        <v>46</v>
      </c>
      <c r="M59" s="4" t="n">
        <v>3.8</v>
      </c>
      <c r="N59" s="4" t="s">
        <v>620</v>
      </c>
      <c r="O59" s="4" t="s">
        <v>370</v>
      </c>
    </row>
    <row r="60" customFormat="false" ht="15" hidden="false" customHeight="false" outlineLevel="0" collapsed="false">
      <c r="A60" s="4" t="s">
        <v>622</v>
      </c>
      <c r="B60" s="4"/>
      <c r="C60" s="4" t="s">
        <v>27</v>
      </c>
      <c r="D60" s="4" t="s">
        <v>13</v>
      </c>
      <c r="E60" s="4" t="n">
        <v>75</v>
      </c>
      <c r="F60" s="4" t="s">
        <v>623</v>
      </c>
      <c r="G60" s="4" t="s">
        <v>80</v>
      </c>
      <c r="H60" s="4" t="s">
        <v>624</v>
      </c>
      <c r="I60" s="4" t="s">
        <v>42</v>
      </c>
      <c r="J60" s="4" t="s">
        <v>626</v>
      </c>
      <c r="K60" s="4" t="s">
        <v>518</v>
      </c>
      <c r="L60" s="4" t="n">
        <v>7</v>
      </c>
      <c r="M60" s="4" t="n">
        <v>4.7</v>
      </c>
      <c r="N60" s="4" t="s">
        <v>628</v>
      </c>
      <c r="O60" s="4" t="s">
        <v>401</v>
      </c>
    </row>
    <row r="61" customFormat="false" ht="15" hidden="false" customHeight="false" outlineLevel="0" collapsed="false">
      <c r="A61" s="4" t="s">
        <v>631</v>
      </c>
      <c r="B61" s="4"/>
      <c r="C61" s="4" t="s">
        <v>21</v>
      </c>
      <c r="D61" s="4" t="s">
        <v>13</v>
      </c>
      <c r="E61" s="4" t="n">
        <v>75</v>
      </c>
      <c r="F61" s="4" t="s">
        <v>632</v>
      </c>
      <c r="G61" s="4" t="s">
        <v>95</v>
      </c>
      <c r="H61" s="4" t="s">
        <v>633</v>
      </c>
      <c r="I61" s="4" t="s">
        <v>29</v>
      </c>
      <c r="J61" s="4" t="s">
        <v>636</v>
      </c>
      <c r="K61" s="4" t="s">
        <v>637</v>
      </c>
      <c r="L61" s="4"/>
      <c r="M61" s="4"/>
      <c r="N61" s="4" t="s">
        <v>639</v>
      </c>
      <c r="O61" s="4" t="s">
        <v>641</v>
      </c>
    </row>
    <row r="62" customFormat="false" ht="15" hidden="false" customHeight="false" outlineLevel="0" collapsed="false">
      <c r="A62" s="4" t="s">
        <v>643</v>
      </c>
      <c r="B62" s="4"/>
      <c r="C62" s="4" t="s">
        <v>21</v>
      </c>
      <c r="D62" s="4" t="s">
        <v>13</v>
      </c>
      <c r="E62" s="4" t="n">
        <v>75</v>
      </c>
      <c r="F62" s="4" t="s">
        <v>644</v>
      </c>
      <c r="G62" s="4" t="s">
        <v>95</v>
      </c>
      <c r="H62" s="4" t="s">
        <v>645</v>
      </c>
      <c r="I62" s="4" t="s">
        <v>29</v>
      </c>
      <c r="J62" s="4" t="s">
        <v>647</v>
      </c>
      <c r="K62" s="4" t="s">
        <v>648</v>
      </c>
      <c r="L62" s="4"/>
      <c r="M62" s="4"/>
      <c r="N62" s="4" t="s">
        <v>651</v>
      </c>
      <c r="O62" s="4" t="s">
        <v>641</v>
      </c>
    </row>
    <row r="63" customFormat="false" ht="15" hidden="false" customHeight="false" outlineLevel="0" collapsed="false">
      <c r="A63" s="4" t="s">
        <v>653</v>
      </c>
      <c r="B63" s="4"/>
      <c r="C63" s="4" t="s">
        <v>21</v>
      </c>
      <c r="D63" s="4" t="s">
        <v>13</v>
      </c>
      <c r="E63" s="4" t="n">
        <v>75</v>
      </c>
      <c r="F63" s="4" t="s">
        <v>654</v>
      </c>
      <c r="G63" s="4" t="s">
        <v>95</v>
      </c>
      <c r="H63" s="4" t="s">
        <v>655</v>
      </c>
      <c r="I63" s="4" t="s">
        <v>30</v>
      </c>
      <c r="J63" s="4" t="s">
        <v>657</v>
      </c>
      <c r="K63" s="4" t="s">
        <v>297</v>
      </c>
      <c r="L63" s="4"/>
      <c r="M63" s="4"/>
      <c r="N63" s="4" t="s">
        <v>658</v>
      </c>
      <c r="O63" s="4" t="s">
        <v>641</v>
      </c>
    </row>
    <row r="64" customFormat="false" ht="15" hidden="false" customHeight="false" outlineLevel="0" collapsed="false">
      <c r="A64" s="4" t="s">
        <v>661</v>
      </c>
      <c r="B64" s="4"/>
      <c r="C64" s="4" t="s">
        <v>21</v>
      </c>
      <c r="D64" s="4" t="s">
        <v>13</v>
      </c>
      <c r="E64" s="4" t="n">
        <v>75</v>
      </c>
      <c r="F64" s="4" t="s">
        <v>662</v>
      </c>
      <c r="G64" s="4" t="s">
        <v>95</v>
      </c>
      <c r="H64" s="4" t="s">
        <v>663</v>
      </c>
      <c r="I64" s="4" t="s">
        <v>30</v>
      </c>
      <c r="J64" s="4" t="s">
        <v>666</v>
      </c>
      <c r="K64" s="4" t="s">
        <v>297</v>
      </c>
      <c r="L64" s="4"/>
      <c r="M64" s="4"/>
      <c r="N64" s="4" t="s">
        <v>669</v>
      </c>
      <c r="O64" s="4" t="s">
        <v>641</v>
      </c>
    </row>
    <row r="65" customFormat="false" ht="15" hidden="false" customHeight="false" outlineLevel="0" collapsed="false">
      <c r="A65" s="4" t="s">
        <v>671</v>
      </c>
      <c r="B65" s="4"/>
      <c r="C65" s="4" t="s">
        <v>21</v>
      </c>
      <c r="D65" s="4" t="s">
        <v>13</v>
      </c>
      <c r="E65" s="4" t="n">
        <v>75</v>
      </c>
      <c r="F65" s="4" t="s">
        <v>672</v>
      </c>
      <c r="G65" s="4" t="s">
        <v>80</v>
      </c>
      <c r="H65" s="4" t="s">
        <v>673</v>
      </c>
      <c r="I65" s="4" t="s">
        <v>30</v>
      </c>
      <c r="J65" s="4" t="s">
        <v>676</v>
      </c>
      <c r="K65" s="4" t="s">
        <v>297</v>
      </c>
      <c r="L65" s="4"/>
      <c r="M65" s="4"/>
      <c r="N65" s="4" t="s">
        <v>677</v>
      </c>
      <c r="O65" s="4" t="s">
        <v>641</v>
      </c>
    </row>
    <row r="66" customFormat="false" ht="15" hidden="false" customHeight="false" outlineLevel="0" collapsed="false">
      <c r="A66" s="4" t="s">
        <v>679</v>
      </c>
      <c r="B66" s="4"/>
      <c r="C66" s="4" t="s">
        <v>21</v>
      </c>
      <c r="D66" s="4" t="s">
        <v>13</v>
      </c>
      <c r="E66" s="4" t="n">
        <v>75</v>
      </c>
      <c r="F66" s="4" t="s">
        <v>680</v>
      </c>
      <c r="G66" s="4" t="s">
        <v>95</v>
      </c>
      <c r="H66" s="4" t="s">
        <v>681</v>
      </c>
      <c r="I66" s="4" t="s">
        <v>34</v>
      </c>
      <c r="J66" s="4" t="s">
        <v>684</v>
      </c>
      <c r="K66" s="4" t="s">
        <v>685</v>
      </c>
      <c r="L66" s="4"/>
      <c r="M66" s="4"/>
      <c r="N66" s="4" t="s">
        <v>687</v>
      </c>
      <c r="O66" s="4" t="s">
        <v>641</v>
      </c>
    </row>
    <row r="67" customFormat="false" ht="15" hidden="false" customHeight="false" outlineLevel="0" collapsed="false">
      <c r="A67" s="4" t="s">
        <v>689</v>
      </c>
      <c r="B67" s="4"/>
      <c r="C67" s="4" t="s">
        <v>20</v>
      </c>
      <c r="D67" s="4" t="s">
        <v>13</v>
      </c>
      <c r="E67" s="4" t="n">
        <v>75</v>
      </c>
      <c r="F67" s="4" t="s">
        <v>690</v>
      </c>
      <c r="G67" s="4" t="s">
        <v>95</v>
      </c>
      <c r="H67" s="4" t="s">
        <v>691</v>
      </c>
      <c r="I67" s="4" t="s">
        <v>31</v>
      </c>
      <c r="J67" s="4" t="s">
        <v>693</v>
      </c>
      <c r="K67" s="4" t="s">
        <v>694</v>
      </c>
      <c r="L67" s="4"/>
      <c r="M67" s="4"/>
      <c r="N67" s="4" t="s">
        <v>697</v>
      </c>
      <c r="O67" s="4" t="s">
        <v>641</v>
      </c>
    </row>
    <row r="68" customFormat="false" ht="15" hidden="false" customHeight="false" outlineLevel="0" collapsed="false">
      <c r="A68" s="4" t="s">
        <v>700</v>
      </c>
      <c r="B68" s="4"/>
      <c r="C68" s="4" t="s">
        <v>20</v>
      </c>
      <c r="D68" s="4" t="s">
        <v>13</v>
      </c>
      <c r="E68" s="4" t="n">
        <v>75</v>
      </c>
      <c r="F68" s="4" t="s">
        <v>701</v>
      </c>
      <c r="G68" s="4" t="s">
        <v>95</v>
      </c>
      <c r="H68" s="4" t="s">
        <v>702</v>
      </c>
      <c r="I68" s="4" t="s">
        <v>31</v>
      </c>
      <c r="J68" s="4" t="s">
        <v>704</v>
      </c>
      <c r="K68" s="4" t="s">
        <v>224</v>
      </c>
      <c r="L68" s="4"/>
      <c r="M68" s="4"/>
      <c r="N68" s="4" t="s">
        <v>706</v>
      </c>
      <c r="O68" s="4" t="s">
        <v>641</v>
      </c>
    </row>
    <row r="69" customFormat="false" ht="15" hidden="false" customHeight="false" outlineLevel="0" collapsed="false">
      <c r="A69" s="4" t="s">
        <v>708</v>
      </c>
      <c r="B69" s="4"/>
      <c r="C69" s="4" t="s">
        <v>20</v>
      </c>
      <c r="D69" s="4" t="s">
        <v>13</v>
      </c>
      <c r="E69" s="4" t="n">
        <v>70</v>
      </c>
      <c r="F69" s="4" t="s">
        <v>709</v>
      </c>
      <c r="G69" s="4" t="s">
        <v>95</v>
      </c>
      <c r="H69" s="4"/>
      <c r="I69" s="4" t="s">
        <v>30</v>
      </c>
      <c r="J69" s="4" t="s">
        <v>710</v>
      </c>
      <c r="K69" s="4" t="s">
        <v>711</v>
      </c>
      <c r="L69" s="4" t="n">
        <v>40</v>
      </c>
      <c r="M69" s="4" t="n">
        <v>5</v>
      </c>
      <c r="N69" s="4" t="s">
        <v>712</v>
      </c>
      <c r="O69" s="4" t="s">
        <v>593</v>
      </c>
    </row>
    <row r="70" customFormat="false" ht="15" hidden="false" customHeight="false" outlineLevel="0" collapsed="false">
      <c r="A70" s="4" t="s">
        <v>715</v>
      </c>
      <c r="B70" s="4"/>
      <c r="C70" s="4" t="s">
        <v>27</v>
      </c>
      <c r="D70" s="4" t="s">
        <v>13</v>
      </c>
      <c r="E70" s="4" t="n">
        <v>70</v>
      </c>
      <c r="F70" s="4"/>
      <c r="G70" s="4" t="s">
        <v>716</v>
      </c>
      <c r="H70" s="4" t="s">
        <v>717</v>
      </c>
      <c r="I70" s="4" t="s">
        <v>30</v>
      </c>
      <c r="J70" s="4" t="s">
        <v>720</v>
      </c>
      <c r="K70" s="4" t="s">
        <v>721</v>
      </c>
      <c r="L70" s="4" t="n">
        <v>25</v>
      </c>
      <c r="M70" s="4" t="n">
        <v>4.1</v>
      </c>
      <c r="N70" s="4" t="s">
        <v>723</v>
      </c>
      <c r="O70" s="4" t="s">
        <v>725</v>
      </c>
    </row>
    <row r="71" customFormat="false" ht="15" hidden="false" customHeight="false" outlineLevel="0" collapsed="false">
      <c r="A71" s="4" t="s">
        <v>727</v>
      </c>
      <c r="B71" s="4"/>
      <c r="C71" s="4" t="s">
        <v>20</v>
      </c>
      <c r="D71" s="4" t="s">
        <v>13</v>
      </c>
      <c r="E71" s="4" t="n">
        <v>70</v>
      </c>
      <c r="F71" s="4"/>
      <c r="G71" s="4" t="s">
        <v>716</v>
      </c>
      <c r="H71" s="4" t="s">
        <v>728</v>
      </c>
      <c r="I71" s="4" t="s">
        <v>29</v>
      </c>
      <c r="J71" s="4" t="s">
        <v>730</v>
      </c>
      <c r="K71" s="4" t="s">
        <v>152</v>
      </c>
      <c r="L71" s="4" t="n">
        <v>22</v>
      </c>
      <c r="M71" s="4" t="n">
        <v>4.7</v>
      </c>
      <c r="N71" s="4" t="s">
        <v>731</v>
      </c>
      <c r="O71" s="4" t="s">
        <v>725</v>
      </c>
    </row>
    <row r="72" customFormat="false" ht="15" hidden="false" customHeight="false" outlineLevel="0" collapsed="false">
      <c r="A72" s="4" t="s">
        <v>733</v>
      </c>
      <c r="B72" s="4"/>
      <c r="C72" s="4" t="s">
        <v>20</v>
      </c>
      <c r="D72" s="4" t="s">
        <v>13</v>
      </c>
      <c r="E72" s="4" t="n">
        <v>70</v>
      </c>
      <c r="F72" s="4" t="s">
        <v>734</v>
      </c>
      <c r="G72" s="4" t="s">
        <v>80</v>
      </c>
      <c r="H72" s="4"/>
      <c r="I72" s="4" t="s">
        <v>30</v>
      </c>
      <c r="J72" s="4" t="s">
        <v>735</v>
      </c>
      <c r="K72" s="4" t="s">
        <v>184</v>
      </c>
      <c r="L72" s="4" t="n">
        <v>15</v>
      </c>
      <c r="M72" s="4" t="n">
        <v>4.7</v>
      </c>
      <c r="N72" s="4" t="s">
        <v>737</v>
      </c>
      <c r="O72" s="4" t="s">
        <v>593</v>
      </c>
    </row>
    <row r="73" customFormat="false" ht="15" hidden="false" customHeight="false" outlineLevel="0" collapsed="false">
      <c r="A73" s="4" t="s">
        <v>739</v>
      </c>
      <c r="B73" s="4"/>
      <c r="C73" s="4" t="s">
        <v>20</v>
      </c>
      <c r="D73" s="4" t="s">
        <v>13</v>
      </c>
      <c r="E73" s="4" t="n">
        <v>65</v>
      </c>
      <c r="F73" s="4"/>
      <c r="G73" s="4" t="s">
        <v>716</v>
      </c>
      <c r="H73" s="4" t="s">
        <v>740</v>
      </c>
      <c r="I73" s="4" t="s">
        <v>30</v>
      </c>
      <c r="J73" s="4" t="s">
        <v>743</v>
      </c>
      <c r="K73" s="4" t="s">
        <v>224</v>
      </c>
      <c r="L73" s="4" t="n">
        <v>215</v>
      </c>
      <c r="M73" s="4" t="n">
        <v>2.7</v>
      </c>
      <c r="N73" s="4" t="s">
        <v>746</v>
      </c>
      <c r="O73" s="4" t="s">
        <v>725</v>
      </c>
    </row>
    <row r="74" customFormat="false" ht="15" hidden="false" customHeight="false" outlineLevel="0" collapsed="false">
      <c r="A74" s="4" t="s">
        <v>748</v>
      </c>
      <c r="B74" s="4"/>
      <c r="C74" s="4" t="s">
        <v>24</v>
      </c>
      <c r="D74" s="4" t="s">
        <v>13</v>
      </c>
      <c r="E74" s="4" t="n">
        <v>65</v>
      </c>
      <c r="F74" s="4" t="s">
        <v>749</v>
      </c>
      <c r="G74" s="4" t="s">
        <v>80</v>
      </c>
      <c r="H74" s="4"/>
      <c r="I74" s="4" t="s">
        <v>29</v>
      </c>
      <c r="J74" s="4" t="s">
        <v>750</v>
      </c>
      <c r="K74" s="4" t="s">
        <v>152</v>
      </c>
      <c r="L74" s="4" t="n">
        <v>159</v>
      </c>
      <c r="M74" s="4" t="n">
        <v>4</v>
      </c>
      <c r="N74" s="4" t="s">
        <v>751</v>
      </c>
      <c r="O74" s="4" t="s">
        <v>752</v>
      </c>
    </row>
    <row r="75" customFormat="false" ht="15" hidden="false" customHeight="false" outlineLevel="0" collapsed="false">
      <c r="A75" s="4" t="s">
        <v>754</v>
      </c>
      <c r="B75" s="4"/>
      <c r="C75" s="4" t="s">
        <v>24</v>
      </c>
      <c r="D75" s="4" t="s">
        <v>13</v>
      </c>
      <c r="E75" s="4" t="n">
        <v>65</v>
      </c>
      <c r="F75" s="4"/>
      <c r="G75" s="4" t="s">
        <v>716</v>
      </c>
      <c r="H75" s="4" t="s">
        <v>755</v>
      </c>
      <c r="I75" s="4" t="s">
        <v>29</v>
      </c>
      <c r="J75" s="4" t="s">
        <v>757</v>
      </c>
      <c r="K75" s="4" t="s">
        <v>152</v>
      </c>
      <c r="L75" s="4" t="n">
        <v>75</v>
      </c>
      <c r="M75" s="4" t="n">
        <v>4.4</v>
      </c>
      <c r="N75" s="4" t="s">
        <v>758</v>
      </c>
      <c r="O75" s="4" t="s">
        <v>759</v>
      </c>
    </row>
    <row r="76" customFormat="false" ht="15" hidden="false" customHeight="false" outlineLevel="0" collapsed="false">
      <c r="A76" s="4" t="s">
        <v>761</v>
      </c>
      <c r="B76" s="4"/>
      <c r="C76" s="4" t="s">
        <v>22</v>
      </c>
      <c r="D76" s="4" t="s">
        <v>13</v>
      </c>
      <c r="E76" s="4" t="n">
        <v>65</v>
      </c>
      <c r="F76" s="4" t="s">
        <v>762</v>
      </c>
      <c r="G76" s="4" t="s">
        <v>95</v>
      </c>
      <c r="H76" s="4"/>
      <c r="I76" s="4" t="s">
        <v>29</v>
      </c>
      <c r="J76" s="4" t="s">
        <v>763</v>
      </c>
      <c r="K76" s="4" t="s">
        <v>205</v>
      </c>
      <c r="L76" s="4" t="n">
        <v>72</v>
      </c>
      <c r="M76" s="4" t="n">
        <v>3.9</v>
      </c>
      <c r="N76" s="4" t="s">
        <v>765</v>
      </c>
      <c r="O76" s="4" t="s">
        <v>593</v>
      </c>
    </row>
    <row r="77" customFormat="false" ht="15" hidden="false" customHeight="false" outlineLevel="0" collapsed="false">
      <c r="A77" s="4" t="s">
        <v>768</v>
      </c>
      <c r="B77" s="4"/>
      <c r="C77" s="4" t="s">
        <v>24</v>
      </c>
      <c r="D77" s="4" t="s">
        <v>13</v>
      </c>
      <c r="E77" s="4" t="n">
        <v>65</v>
      </c>
      <c r="F77" s="4"/>
      <c r="G77" s="4" t="s">
        <v>716</v>
      </c>
      <c r="H77" s="4" t="s">
        <v>769</v>
      </c>
      <c r="I77" s="4" t="s">
        <v>29</v>
      </c>
      <c r="J77" s="4" t="s">
        <v>771</v>
      </c>
      <c r="K77" s="4" t="s">
        <v>152</v>
      </c>
      <c r="L77" s="4" t="n">
        <v>7</v>
      </c>
      <c r="M77" s="4" t="n">
        <v>5</v>
      </c>
      <c r="N77" s="4" t="s">
        <v>773</v>
      </c>
      <c r="O77" s="4" t="s">
        <v>725</v>
      </c>
    </row>
    <row r="78" customFormat="false" ht="15" hidden="false" customHeight="false" outlineLevel="0" collapsed="false">
      <c r="A78" s="4" t="s">
        <v>775</v>
      </c>
      <c r="B78" s="4"/>
      <c r="C78" s="4" t="s">
        <v>22</v>
      </c>
      <c r="D78" s="4" t="s">
        <v>13</v>
      </c>
      <c r="E78" s="4" t="n">
        <v>65</v>
      </c>
      <c r="F78" s="4" t="s">
        <v>776</v>
      </c>
      <c r="G78" s="4" t="s">
        <v>80</v>
      </c>
      <c r="H78" s="4"/>
      <c r="I78" s="4" t="s">
        <v>29</v>
      </c>
      <c r="J78" s="4" t="s">
        <v>777</v>
      </c>
      <c r="K78" s="4" t="s">
        <v>778</v>
      </c>
      <c r="L78" s="4" t="n">
        <v>5</v>
      </c>
      <c r="M78" s="4" t="n">
        <v>4.8</v>
      </c>
      <c r="N78" s="4" t="s">
        <v>780</v>
      </c>
      <c r="O78" s="4" t="s">
        <v>593</v>
      </c>
    </row>
    <row r="79" customFormat="false" ht="15" hidden="false" customHeight="false" outlineLevel="0" collapsed="false">
      <c r="A79" s="4" t="s">
        <v>783</v>
      </c>
      <c r="B79" s="4"/>
      <c r="C79" s="4" t="s">
        <v>21</v>
      </c>
      <c r="D79" s="4" t="s">
        <v>13</v>
      </c>
      <c r="E79" s="4" t="n">
        <v>65</v>
      </c>
      <c r="F79" s="4"/>
      <c r="G79" s="4" t="s">
        <v>716</v>
      </c>
      <c r="H79" s="4" t="s">
        <v>785</v>
      </c>
      <c r="I79" s="4" t="s">
        <v>30</v>
      </c>
      <c r="J79" s="4" t="s">
        <v>787</v>
      </c>
      <c r="K79" s="4" t="s">
        <v>297</v>
      </c>
      <c r="L79" s="4" t="n">
        <v>4</v>
      </c>
      <c r="M79" s="4" t="n">
        <v>4</v>
      </c>
      <c r="N79" s="4" t="s">
        <v>788</v>
      </c>
      <c r="O79" s="4" t="s">
        <v>789</v>
      </c>
    </row>
    <row r="80" customFormat="false" ht="15" hidden="false" customHeight="false" outlineLevel="0" collapsed="false">
      <c r="A80" s="4" t="s">
        <v>791</v>
      </c>
      <c r="B80" s="4" t="s">
        <v>301</v>
      </c>
      <c r="C80" s="4" t="s">
        <v>23</v>
      </c>
      <c r="D80" s="4" t="s">
        <v>13</v>
      </c>
      <c r="E80" s="4" t="n">
        <v>65</v>
      </c>
      <c r="F80" s="4" t="s">
        <v>302</v>
      </c>
      <c r="G80" s="4" t="s">
        <v>80</v>
      </c>
      <c r="H80" s="4"/>
      <c r="I80" s="4" t="s">
        <v>31</v>
      </c>
      <c r="J80" s="4" t="s">
        <v>792</v>
      </c>
      <c r="K80" s="4" t="s">
        <v>793</v>
      </c>
      <c r="L80" s="4" t="n">
        <v>1</v>
      </c>
      <c r="M80" s="4" t="n">
        <v>5</v>
      </c>
      <c r="N80" s="4" t="s">
        <v>795</v>
      </c>
      <c r="O80" s="4" t="s">
        <v>593</v>
      </c>
    </row>
    <row r="81" customFormat="false" ht="15" hidden="false" customHeight="false" outlineLevel="0" collapsed="false">
      <c r="A81" s="4" t="s">
        <v>797</v>
      </c>
      <c r="B81" s="4"/>
      <c r="C81" s="4" t="s">
        <v>23</v>
      </c>
      <c r="D81" s="4" t="s">
        <v>13</v>
      </c>
      <c r="E81" s="4" t="n">
        <v>65</v>
      </c>
      <c r="F81" s="4"/>
      <c r="G81" s="4" t="s">
        <v>716</v>
      </c>
      <c r="H81" s="4" t="s">
        <v>798</v>
      </c>
      <c r="I81" s="4" t="s">
        <v>38</v>
      </c>
      <c r="J81" s="4" t="s">
        <v>800</v>
      </c>
      <c r="K81" s="4" t="s">
        <v>793</v>
      </c>
      <c r="L81" s="4" t="n">
        <v>1</v>
      </c>
      <c r="M81" s="4" t="n">
        <v>5</v>
      </c>
      <c r="N81" s="4" t="s">
        <v>803</v>
      </c>
      <c r="O81" s="4" t="s">
        <v>725</v>
      </c>
    </row>
    <row r="82" customFormat="false" ht="15" hidden="false" customHeight="false" outlineLevel="0" collapsed="false">
      <c r="A82" s="4" t="s">
        <v>805</v>
      </c>
      <c r="B82" s="4"/>
      <c r="C82" s="4" t="s">
        <v>20</v>
      </c>
      <c r="D82" s="4" t="s">
        <v>13</v>
      </c>
      <c r="E82" s="4" t="n">
        <v>65</v>
      </c>
      <c r="F82" s="4"/>
      <c r="G82" s="4" t="s">
        <v>716</v>
      </c>
      <c r="H82" s="4" t="s">
        <v>806</v>
      </c>
      <c r="I82" s="4" t="s">
        <v>29</v>
      </c>
      <c r="J82" s="4" t="s">
        <v>808</v>
      </c>
      <c r="K82" s="4" t="s">
        <v>224</v>
      </c>
      <c r="L82" s="4" t="n">
        <v>1</v>
      </c>
      <c r="M82" s="4" t="n">
        <v>4</v>
      </c>
      <c r="N82" s="4" t="s">
        <v>809</v>
      </c>
      <c r="O82" s="4" t="s">
        <v>725</v>
      </c>
    </row>
    <row r="83" customFormat="false" ht="15" hidden="false" customHeight="false" outlineLevel="0" collapsed="false">
      <c r="A83" s="4" t="s">
        <v>811</v>
      </c>
      <c r="B83" s="4"/>
      <c r="C83" s="4" t="s">
        <v>20</v>
      </c>
      <c r="D83" s="4" t="s">
        <v>13</v>
      </c>
      <c r="E83" s="4" t="n">
        <v>65</v>
      </c>
      <c r="F83" s="4" t="s">
        <v>812</v>
      </c>
      <c r="G83" s="4" t="s">
        <v>95</v>
      </c>
      <c r="H83" s="4"/>
      <c r="I83" s="4" t="s">
        <v>31</v>
      </c>
      <c r="J83" s="4" t="s">
        <v>813</v>
      </c>
      <c r="K83" s="4" t="s">
        <v>224</v>
      </c>
      <c r="L83" s="4" t="n">
        <v>1</v>
      </c>
      <c r="M83" s="4" t="n">
        <v>5</v>
      </c>
      <c r="N83" s="4" t="s">
        <v>815</v>
      </c>
      <c r="O83" s="4" t="s">
        <v>593</v>
      </c>
    </row>
    <row r="84" customFormat="false" ht="15" hidden="false" customHeight="false" outlineLevel="0" collapsed="false">
      <c r="A84" s="4" t="s">
        <v>817</v>
      </c>
      <c r="B84" s="4"/>
      <c r="C84" s="4" t="s">
        <v>20</v>
      </c>
      <c r="D84" s="4" t="s">
        <v>13</v>
      </c>
      <c r="E84" s="4" t="n">
        <v>65</v>
      </c>
      <c r="F84" s="4" t="s">
        <v>818</v>
      </c>
      <c r="G84" s="4" t="s">
        <v>95</v>
      </c>
      <c r="H84" s="4"/>
      <c r="I84" s="4" t="s">
        <v>31</v>
      </c>
      <c r="J84" s="4" t="s">
        <v>819</v>
      </c>
      <c r="K84" s="4" t="s">
        <v>224</v>
      </c>
      <c r="L84" s="4" t="n">
        <v>1</v>
      </c>
      <c r="M84" s="4" t="n">
        <v>5</v>
      </c>
      <c r="N84" s="4" t="s">
        <v>820</v>
      </c>
      <c r="O84" s="4" t="s">
        <v>593</v>
      </c>
    </row>
    <row r="85" customFormat="false" ht="15" hidden="false" customHeight="false" outlineLevel="0" collapsed="false">
      <c r="A85" s="4" t="s">
        <v>822</v>
      </c>
      <c r="B85" s="4"/>
      <c r="C85" s="4" t="s">
        <v>20</v>
      </c>
      <c r="D85" s="4" t="s">
        <v>13</v>
      </c>
      <c r="E85" s="4" t="n">
        <v>65</v>
      </c>
      <c r="F85" s="4" t="s">
        <v>823</v>
      </c>
      <c r="G85" s="4" t="s">
        <v>95</v>
      </c>
      <c r="H85" s="4"/>
      <c r="I85" s="4" t="s">
        <v>30</v>
      </c>
      <c r="J85" s="4" t="s">
        <v>825</v>
      </c>
      <c r="K85" s="4" t="s">
        <v>224</v>
      </c>
      <c r="L85" s="4" t="n">
        <v>1</v>
      </c>
      <c r="M85" s="4" t="n">
        <v>5</v>
      </c>
      <c r="N85" s="4" t="s">
        <v>826</v>
      </c>
      <c r="O85" s="4" t="s">
        <v>593</v>
      </c>
    </row>
    <row r="86" customFormat="false" ht="15" hidden="false" customHeight="false" outlineLevel="0" collapsed="false">
      <c r="A86" s="4" t="s">
        <v>828</v>
      </c>
      <c r="B86" s="4"/>
      <c r="C86" s="4" t="s">
        <v>20</v>
      </c>
      <c r="D86" s="4" t="s">
        <v>13</v>
      </c>
      <c r="E86" s="4" t="n">
        <v>65</v>
      </c>
      <c r="F86" s="4" t="s">
        <v>829</v>
      </c>
      <c r="G86" s="4" t="s">
        <v>95</v>
      </c>
      <c r="H86" s="4" t="s">
        <v>830</v>
      </c>
      <c r="I86" s="4" t="s">
        <v>30</v>
      </c>
      <c r="J86" s="4" t="s">
        <v>832</v>
      </c>
      <c r="K86" s="4" t="s">
        <v>224</v>
      </c>
      <c r="L86" s="4" t="n">
        <v>1</v>
      </c>
      <c r="M86" s="4" t="n">
        <v>5</v>
      </c>
      <c r="N86" s="4" t="s">
        <v>833</v>
      </c>
      <c r="O86" s="4" t="s">
        <v>593</v>
      </c>
    </row>
    <row r="87" customFormat="false" ht="15" hidden="false" customHeight="false" outlineLevel="0" collapsed="false">
      <c r="A87" s="4" t="s">
        <v>835</v>
      </c>
      <c r="B87" s="4"/>
      <c r="C87" s="4" t="s">
        <v>26</v>
      </c>
      <c r="D87" s="4" t="s">
        <v>13</v>
      </c>
      <c r="E87" s="4" t="n">
        <v>65</v>
      </c>
      <c r="F87" s="4" t="s">
        <v>836</v>
      </c>
      <c r="G87" s="4" t="s">
        <v>80</v>
      </c>
      <c r="H87" s="4"/>
      <c r="I87" s="4" t="s">
        <v>29</v>
      </c>
      <c r="J87" s="4" t="s">
        <v>838</v>
      </c>
      <c r="K87" s="4" t="s">
        <v>152</v>
      </c>
      <c r="L87" s="4" t="n">
        <v>1</v>
      </c>
      <c r="M87" s="4" t="n">
        <v>5</v>
      </c>
      <c r="N87" s="4" t="s">
        <v>840</v>
      </c>
      <c r="O87" s="4" t="s">
        <v>593</v>
      </c>
    </row>
    <row r="88" customFormat="false" ht="15" hidden="false" customHeight="false" outlineLevel="0" collapsed="false">
      <c r="A88" s="4" t="s">
        <v>842</v>
      </c>
      <c r="B88" s="4"/>
      <c r="C88" s="4" t="s">
        <v>23</v>
      </c>
      <c r="D88" s="4" t="s">
        <v>13</v>
      </c>
      <c r="E88" s="4" t="n">
        <v>65</v>
      </c>
      <c r="F88" s="4" t="s">
        <v>843</v>
      </c>
      <c r="G88" s="4" t="s">
        <v>80</v>
      </c>
      <c r="H88" s="4" t="s">
        <v>844</v>
      </c>
      <c r="I88" s="4" t="s">
        <v>31</v>
      </c>
      <c r="J88" s="4" t="s">
        <v>847</v>
      </c>
      <c r="K88" s="4" t="s">
        <v>848</v>
      </c>
      <c r="L88" s="4"/>
      <c r="M88" s="4"/>
      <c r="N88" s="4" t="s">
        <v>849</v>
      </c>
      <c r="O88" s="4" t="s">
        <v>851</v>
      </c>
    </row>
    <row r="89" customFormat="false" ht="15" hidden="false" customHeight="false" outlineLevel="0" collapsed="false">
      <c r="A89" s="4" t="s">
        <v>853</v>
      </c>
      <c r="B89" s="4"/>
      <c r="C89" s="4" t="s">
        <v>22</v>
      </c>
      <c r="D89" s="4" t="s">
        <v>13</v>
      </c>
      <c r="E89" s="4" t="n">
        <v>65</v>
      </c>
      <c r="F89" s="4" t="s">
        <v>854</v>
      </c>
      <c r="G89" s="4" t="s">
        <v>80</v>
      </c>
      <c r="H89" s="4" t="s">
        <v>855</v>
      </c>
      <c r="I89" s="4" t="s">
        <v>31</v>
      </c>
      <c r="J89" s="4" t="s">
        <v>858</v>
      </c>
      <c r="K89" s="4" t="s">
        <v>205</v>
      </c>
      <c r="L89" s="4"/>
      <c r="M89" s="4"/>
      <c r="N89" s="4" t="s">
        <v>859</v>
      </c>
      <c r="O89" s="4" t="s">
        <v>851</v>
      </c>
    </row>
    <row r="90" customFormat="false" ht="15" hidden="false" customHeight="false" outlineLevel="0" collapsed="false">
      <c r="A90" s="4" t="s">
        <v>861</v>
      </c>
      <c r="B90" s="4"/>
      <c r="C90" s="4" t="s">
        <v>20</v>
      </c>
      <c r="D90" s="4" t="s">
        <v>13</v>
      </c>
      <c r="E90" s="4" t="n">
        <v>60</v>
      </c>
      <c r="F90" s="4" t="s">
        <v>862</v>
      </c>
      <c r="G90" s="4" t="s">
        <v>95</v>
      </c>
      <c r="H90" s="4"/>
      <c r="I90" s="4" t="s">
        <v>30</v>
      </c>
      <c r="J90" s="4" t="s">
        <v>863</v>
      </c>
      <c r="K90" s="4" t="s">
        <v>864</v>
      </c>
      <c r="L90" s="4" t="n">
        <v>43</v>
      </c>
      <c r="M90" s="4" t="n">
        <v>5</v>
      </c>
      <c r="N90" s="4" t="s">
        <v>866</v>
      </c>
      <c r="O90" s="4" t="s">
        <v>752</v>
      </c>
    </row>
    <row r="91" customFormat="false" ht="15" hidden="false" customHeight="false" outlineLevel="0" collapsed="false">
      <c r="A91" s="4" t="s">
        <v>868</v>
      </c>
      <c r="B91" s="4"/>
      <c r="C91" s="4" t="s">
        <v>21</v>
      </c>
      <c r="D91" s="4" t="s">
        <v>13</v>
      </c>
      <c r="E91" s="4" t="n">
        <v>60</v>
      </c>
      <c r="F91" s="4" t="s">
        <v>869</v>
      </c>
      <c r="G91" s="4" t="s">
        <v>80</v>
      </c>
      <c r="H91" s="4"/>
      <c r="I91" s="4" t="s">
        <v>30</v>
      </c>
      <c r="J91" s="4" t="s">
        <v>871</v>
      </c>
      <c r="K91" s="4" t="s">
        <v>872</v>
      </c>
      <c r="L91" s="4" t="n">
        <v>32</v>
      </c>
      <c r="M91" s="4" t="n">
        <v>3.7</v>
      </c>
      <c r="N91" s="4" t="s">
        <v>874</v>
      </c>
      <c r="O91" s="4" t="s">
        <v>593</v>
      </c>
    </row>
    <row r="92" customFormat="false" ht="15" hidden="false" customHeight="false" outlineLevel="0" collapsed="false">
      <c r="A92" s="4" t="s">
        <v>876</v>
      </c>
      <c r="B92" s="4"/>
      <c r="C92" s="4" t="s">
        <v>20</v>
      </c>
      <c r="D92" s="4" t="s">
        <v>13</v>
      </c>
      <c r="E92" s="4" t="n">
        <v>60</v>
      </c>
      <c r="F92" s="4" t="s">
        <v>877</v>
      </c>
      <c r="G92" s="4" t="s">
        <v>95</v>
      </c>
      <c r="H92" s="4"/>
      <c r="I92" s="4" t="s">
        <v>29</v>
      </c>
      <c r="J92" s="4" t="s">
        <v>878</v>
      </c>
      <c r="K92" s="4" t="s">
        <v>224</v>
      </c>
      <c r="L92" s="4" t="n">
        <v>30</v>
      </c>
      <c r="M92" s="4" t="n">
        <v>4.3</v>
      </c>
      <c r="N92" s="4" t="s">
        <v>881</v>
      </c>
      <c r="O92" s="4" t="s">
        <v>882</v>
      </c>
    </row>
    <row r="93" customFormat="false" ht="15" hidden="false" customHeight="false" outlineLevel="0" collapsed="false">
      <c r="A93" s="4" t="s">
        <v>884</v>
      </c>
      <c r="B93" s="4"/>
      <c r="C93" s="4" t="s">
        <v>21</v>
      </c>
      <c r="D93" s="4" t="s">
        <v>13</v>
      </c>
      <c r="E93" s="4" t="n">
        <v>60</v>
      </c>
      <c r="F93" s="4" t="s">
        <v>885</v>
      </c>
      <c r="G93" s="4" t="s">
        <v>80</v>
      </c>
      <c r="H93" s="4"/>
      <c r="I93" s="4" t="s">
        <v>29</v>
      </c>
      <c r="J93" s="4" t="s">
        <v>887</v>
      </c>
      <c r="K93" s="4" t="s">
        <v>888</v>
      </c>
      <c r="L93" s="4" t="n">
        <v>27</v>
      </c>
      <c r="M93" s="4" t="n">
        <v>3.7</v>
      </c>
      <c r="N93" s="4" t="s">
        <v>890</v>
      </c>
      <c r="O93" s="4" t="s">
        <v>593</v>
      </c>
    </row>
    <row r="94" customFormat="false" ht="15" hidden="false" customHeight="false" outlineLevel="0" collapsed="false">
      <c r="A94" s="4" t="s">
        <v>892</v>
      </c>
      <c r="B94" s="4"/>
      <c r="C94" s="4" t="s">
        <v>22</v>
      </c>
      <c r="D94" s="4" t="s">
        <v>13</v>
      </c>
      <c r="E94" s="4" t="n">
        <v>60</v>
      </c>
      <c r="F94" s="4" t="s">
        <v>893</v>
      </c>
      <c r="G94" s="4" t="s">
        <v>95</v>
      </c>
      <c r="H94" s="4"/>
      <c r="I94" s="4" t="s">
        <v>29</v>
      </c>
      <c r="J94" s="4" t="s">
        <v>878</v>
      </c>
      <c r="K94" s="4" t="s">
        <v>265</v>
      </c>
      <c r="L94" s="4" t="n">
        <v>27</v>
      </c>
      <c r="M94" s="4" t="n">
        <v>4.2</v>
      </c>
      <c r="N94" s="4" t="s">
        <v>895</v>
      </c>
      <c r="O94" s="4" t="s">
        <v>882</v>
      </c>
    </row>
    <row r="95" customFormat="false" ht="15" hidden="false" customHeight="false" outlineLevel="0" collapsed="false">
      <c r="A95" s="4" t="s">
        <v>897</v>
      </c>
      <c r="B95" s="4"/>
      <c r="C95" s="4" t="s">
        <v>25</v>
      </c>
      <c r="D95" s="4" t="s">
        <v>13</v>
      </c>
      <c r="E95" s="4" t="n">
        <v>60</v>
      </c>
      <c r="F95" s="4"/>
      <c r="G95" s="4" t="s">
        <v>716</v>
      </c>
      <c r="H95" s="4" t="s">
        <v>898</v>
      </c>
      <c r="I95" s="4" t="s">
        <v>33</v>
      </c>
      <c r="J95" s="4" t="s">
        <v>901</v>
      </c>
      <c r="K95" s="4" t="s">
        <v>902</v>
      </c>
      <c r="L95" s="4" t="n">
        <v>26</v>
      </c>
      <c r="M95" s="4" t="n">
        <v>4.3</v>
      </c>
      <c r="N95" s="4" t="s">
        <v>903</v>
      </c>
      <c r="O95" s="4" t="s">
        <v>905</v>
      </c>
    </row>
    <row r="96" customFormat="false" ht="15" hidden="false" customHeight="false" outlineLevel="0" collapsed="false">
      <c r="A96" s="4" t="s">
        <v>907</v>
      </c>
      <c r="B96" s="4"/>
      <c r="C96" s="4" t="s">
        <v>20</v>
      </c>
      <c r="D96" s="4" t="s">
        <v>13</v>
      </c>
      <c r="E96" s="4" t="n">
        <v>60</v>
      </c>
      <c r="F96" s="4"/>
      <c r="G96" s="4" t="s">
        <v>716</v>
      </c>
      <c r="H96" s="4" t="s">
        <v>908</v>
      </c>
      <c r="I96" s="4" t="s">
        <v>31</v>
      </c>
      <c r="J96" s="4" t="s">
        <v>910</v>
      </c>
      <c r="K96" s="4" t="s">
        <v>184</v>
      </c>
      <c r="L96" s="4" t="n">
        <v>15</v>
      </c>
      <c r="M96" s="4" t="n">
        <v>2.7</v>
      </c>
      <c r="N96" s="4" t="s">
        <v>912</v>
      </c>
      <c r="O96" s="4" t="s">
        <v>725</v>
      </c>
    </row>
    <row r="97" customFormat="false" ht="15" hidden="false" customHeight="false" outlineLevel="0" collapsed="false">
      <c r="A97" s="4" t="s">
        <v>915</v>
      </c>
      <c r="B97" s="4"/>
      <c r="C97" s="4" t="s">
        <v>20</v>
      </c>
      <c r="D97" s="4" t="s">
        <v>13</v>
      </c>
      <c r="E97" s="4" t="n">
        <v>60</v>
      </c>
      <c r="F97" s="4"/>
      <c r="G97" s="4" t="s">
        <v>716</v>
      </c>
      <c r="H97" s="4" t="s">
        <v>916</v>
      </c>
      <c r="I97" s="4" t="s">
        <v>31</v>
      </c>
      <c r="J97" s="4" t="s">
        <v>918</v>
      </c>
      <c r="K97" s="4" t="s">
        <v>224</v>
      </c>
      <c r="L97" s="4" t="n">
        <v>13</v>
      </c>
      <c r="M97" s="4" t="n">
        <v>4.5</v>
      </c>
      <c r="N97" s="4" t="s">
        <v>919</v>
      </c>
      <c r="O97" s="4" t="s">
        <v>759</v>
      </c>
    </row>
    <row r="98" customFormat="false" ht="15" hidden="false" customHeight="false" outlineLevel="0" collapsed="false">
      <c r="A98" s="4" t="s">
        <v>364</v>
      </c>
      <c r="B98" s="4" t="s">
        <v>364</v>
      </c>
      <c r="C98" s="4" t="s">
        <v>22</v>
      </c>
      <c r="D98" s="4" t="s">
        <v>13</v>
      </c>
      <c r="E98" s="4" t="n">
        <v>55</v>
      </c>
      <c r="F98" s="4"/>
      <c r="G98" s="4" t="s">
        <v>716</v>
      </c>
      <c r="H98" s="4" t="s">
        <v>921</v>
      </c>
      <c r="I98" s="4" t="s">
        <v>29</v>
      </c>
      <c r="J98" s="4" t="s">
        <v>923</v>
      </c>
      <c r="K98" s="4" t="s">
        <v>205</v>
      </c>
      <c r="L98" s="4" t="n">
        <v>958</v>
      </c>
      <c r="M98" s="4" t="n">
        <v>4.5</v>
      </c>
      <c r="N98" s="4" t="s">
        <v>924</v>
      </c>
      <c r="O98" s="4" t="s">
        <v>925</v>
      </c>
    </row>
    <row r="99" customFormat="false" ht="15" hidden="false" customHeight="false" outlineLevel="0" collapsed="false">
      <c r="A99" s="4" t="s">
        <v>927</v>
      </c>
      <c r="B99" s="4"/>
      <c r="C99" s="4" t="s">
        <v>20</v>
      </c>
      <c r="D99" s="4" t="s">
        <v>13</v>
      </c>
      <c r="E99" s="4" t="n">
        <v>55</v>
      </c>
      <c r="F99" s="4"/>
      <c r="G99" s="4" t="s">
        <v>716</v>
      </c>
      <c r="H99" s="4" t="s">
        <v>928</v>
      </c>
      <c r="I99" s="4" t="s">
        <v>29</v>
      </c>
      <c r="J99" s="4" t="s">
        <v>599</v>
      </c>
      <c r="K99" s="4" t="s">
        <v>184</v>
      </c>
      <c r="L99" s="4" t="n">
        <v>28</v>
      </c>
      <c r="M99" s="4" t="n">
        <v>4.6</v>
      </c>
      <c r="N99" s="4" t="s">
        <v>930</v>
      </c>
      <c r="O99" s="4" t="s">
        <v>905</v>
      </c>
    </row>
    <row r="100" customFormat="false" ht="15" hidden="false" customHeight="false" outlineLevel="0" collapsed="false">
      <c r="A100" s="4" t="s">
        <v>933</v>
      </c>
      <c r="B100" s="4"/>
      <c r="C100" s="4" t="s">
        <v>20</v>
      </c>
      <c r="D100" s="4" t="s">
        <v>13</v>
      </c>
      <c r="E100" s="4" t="n">
        <v>55</v>
      </c>
      <c r="F100" s="4" t="s">
        <v>934</v>
      </c>
      <c r="G100" s="4" t="s">
        <v>95</v>
      </c>
      <c r="H100" s="4"/>
      <c r="I100" s="4" t="s">
        <v>30</v>
      </c>
      <c r="J100" s="4" t="s">
        <v>936</v>
      </c>
      <c r="K100" s="4" t="s">
        <v>224</v>
      </c>
      <c r="L100" s="4" t="n">
        <v>4</v>
      </c>
      <c r="M100" s="4" t="n">
        <v>3</v>
      </c>
      <c r="N100" s="4" t="s">
        <v>937</v>
      </c>
      <c r="O100" s="4" t="s">
        <v>593</v>
      </c>
    </row>
    <row r="101" customFormat="false" ht="15" hidden="false" customHeight="false" outlineLevel="0" collapsed="false">
      <c r="A101" s="4" t="s">
        <v>939</v>
      </c>
      <c r="B101" s="4"/>
      <c r="C101" s="4" t="s">
        <v>21</v>
      </c>
      <c r="D101" s="4" t="s">
        <v>13</v>
      </c>
      <c r="E101" s="4" t="n">
        <v>55</v>
      </c>
      <c r="F101" s="4" t="s">
        <v>940</v>
      </c>
      <c r="G101" s="4" t="s">
        <v>80</v>
      </c>
      <c r="H101" s="4"/>
      <c r="I101" s="4" t="s">
        <v>29</v>
      </c>
      <c r="J101" s="4" t="s">
        <v>942</v>
      </c>
      <c r="K101" s="4" t="s">
        <v>943</v>
      </c>
      <c r="L101" s="4" t="n">
        <v>1</v>
      </c>
      <c r="M101" s="4" t="n">
        <v>4</v>
      </c>
      <c r="N101" s="4" t="s">
        <v>945</v>
      </c>
      <c r="O101" s="4" t="s">
        <v>752</v>
      </c>
    </row>
    <row r="102" customFormat="false" ht="15" hidden="false" customHeight="false" outlineLevel="0" collapsed="false">
      <c r="A102" s="4" t="s">
        <v>947</v>
      </c>
      <c r="B102" s="4"/>
      <c r="C102" s="4" t="s">
        <v>22</v>
      </c>
      <c r="D102" s="4" t="s">
        <v>13</v>
      </c>
      <c r="E102" s="4" t="n">
        <v>55</v>
      </c>
      <c r="F102" s="4"/>
      <c r="G102" s="4" t="s">
        <v>716</v>
      </c>
      <c r="H102" s="4" t="s">
        <v>948</v>
      </c>
      <c r="I102" s="4" t="s">
        <v>31</v>
      </c>
      <c r="J102" s="4" t="s">
        <v>950</v>
      </c>
      <c r="K102" s="4" t="s">
        <v>86</v>
      </c>
      <c r="L102" s="4" t="n">
        <v>1</v>
      </c>
      <c r="M102" s="4" t="n">
        <v>5</v>
      </c>
      <c r="N102" s="4" t="s">
        <v>951</v>
      </c>
      <c r="O102" s="4" t="s">
        <v>759</v>
      </c>
    </row>
    <row r="103" customFormat="false" ht="15" hidden="false" customHeight="false" outlineLevel="0" collapsed="false">
      <c r="A103" s="4" t="s">
        <v>953</v>
      </c>
      <c r="B103" s="4"/>
      <c r="C103" s="4" t="s">
        <v>24</v>
      </c>
      <c r="D103" s="4" t="s">
        <v>13</v>
      </c>
      <c r="E103" s="4" t="n">
        <v>55</v>
      </c>
      <c r="F103" s="4" t="s">
        <v>954</v>
      </c>
      <c r="G103" s="4" t="s">
        <v>80</v>
      </c>
      <c r="H103" s="4"/>
      <c r="I103" s="4" t="s">
        <v>29</v>
      </c>
      <c r="J103" s="4" t="s">
        <v>955</v>
      </c>
      <c r="K103" s="4" t="s">
        <v>152</v>
      </c>
      <c r="L103" s="4" t="n">
        <v>1</v>
      </c>
      <c r="M103" s="4" t="n">
        <v>4</v>
      </c>
      <c r="N103" s="4" t="s">
        <v>956</v>
      </c>
      <c r="O103" s="4" t="s">
        <v>752</v>
      </c>
    </row>
    <row r="104" customFormat="false" ht="15" hidden="false" customHeight="false" outlineLevel="0" collapsed="false">
      <c r="A104" s="4" t="s">
        <v>958</v>
      </c>
      <c r="B104" s="4"/>
      <c r="C104" s="4" t="s">
        <v>26</v>
      </c>
      <c r="D104" s="4" t="s">
        <v>13</v>
      </c>
      <c r="E104" s="4" t="n">
        <v>55</v>
      </c>
      <c r="F104" s="4" t="s">
        <v>959</v>
      </c>
      <c r="G104" s="4" t="s">
        <v>80</v>
      </c>
      <c r="H104" s="4"/>
      <c r="I104" s="4" t="s">
        <v>31</v>
      </c>
      <c r="J104" s="4" t="s">
        <v>960</v>
      </c>
      <c r="K104" s="4" t="s">
        <v>133</v>
      </c>
      <c r="L104" s="4" t="n">
        <v>1</v>
      </c>
      <c r="M104" s="4" t="n">
        <v>5</v>
      </c>
      <c r="N104" s="4" t="s">
        <v>961</v>
      </c>
      <c r="O104" s="4" t="s">
        <v>752</v>
      </c>
    </row>
    <row r="105" customFormat="false" ht="15" hidden="false" customHeight="false" outlineLevel="0" collapsed="false">
      <c r="A105" s="4" t="s">
        <v>963</v>
      </c>
      <c r="B105" s="4"/>
      <c r="C105" s="4" t="s">
        <v>20</v>
      </c>
      <c r="D105" s="4" t="s">
        <v>13</v>
      </c>
      <c r="E105" s="4" t="n">
        <v>55</v>
      </c>
      <c r="F105" s="4" t="s">
        <v>964</v>
      </c>
      <c r="G105" s="4" t="s">
        <v>80</v>
      </c>
      <c r="H105" s="4"/>
      <c r="I105" s="4" t="s">
        <v>30</v>
      </c>
      <c r="J105" s="4" t="s">
        <v>966</v>
      </c>
      <c r="K105" s="4" t="s">
        <v>694</v>
      </c>
      <c r="L105" s="4" t="n">
        <v>1</v>
      </c>
      <c r="M105" s="4" t="n">
        <v>4</v>
      </c>
      <c r="N105" s="4" t="s">
        <v>967</v>
      </c>
      <c r="O105" s="4" t="s">
        <v>752</v>
      </c>
    </row>
    <row r="106" customFormat="false" ht="15" hidden="false" customHeight="false" outlineLevel="0" collapsed="false">
      <c r="A106" s="4" t="s">
        <v>969</v>
      </c>
      <c r="B106" s="4"/>
      <c r="C106" s="4" t="s">
        <v>25</v>
      </c>
      <c r="D106" s="4" t="s">
        <v>13</v>
      </c>
      <c r="E106" s="4" t="n">
        <v>55</v>
      </c>
      <c r="F106" s="4" t="s">
        <v>970</v>
      </c>
      <c r="G106" s="4" t="s">
        <v>80</v>
      </c>
      <c r="H106" s="4"/>
      <c r="I106" s="4" t="s">
        <v>33</v>
      </c>
      <c r="J106" s="4" t="s">
        <v>971</v>
      </c>
      <c r="K106" s="4"/>
      <c r="L106" s="4" t="n">
        <v>1</v>
      </c>
      <c r="M106" s="4" t="n">
        <v>5</v>
      </c>
      <c r="N106" s="4" t="s">
        <v>972</v>
      </c>
      <c r="O106" s="4" t="s">
        <v>973</v>
      </c>
    </row>
    <row r="107" customFormat="false" ht="15" hidden="false" customHeight="false" outlineLevel="0" collapsed="false">
      <c r="A107" s="4" t="s">
        <v>975</v>
      </c>
      <c r="B107" s="4"/>
      <c r="C107" s="4" t="s">
        <v>27</v>
      </c>
      <c r="D107" s="4" t="s">
        <v>13</v>
      </c>
      <c r="E107" s="4" t="n">
        <v>50</v>
      </c>
      <c r="F107" s="4" t="s">
        <v>976</v>
      </c>
      <c r="G107" s="4" t="s">
        <v>80</v>
      </c>
      <c r="H107" s="4"/>
      <c r="I107" s="4" t="s">
        <v>34</v>
      </c>
      <c r="J107" s="4" t="s">
        <v>977</v>
      </c>
      <c r="K107" s="4" t="s">
        <v>978</v>
      </c>
      <c r="L107" s="4" t="n">
        <v>36</v>
      </c>
      <c r="M107" s="4" t="n">
        <v>3.5</v>
      </c>
      <c r="N107" s="4" t="s">
        <v>979</v>
      </c>
      <c r="O107" s="4" t="s">
        <v>752</v>
      </c>
    </row>
    <row r="108" customFormat="false" ht="15" hidden="false" customHeight="false" outlineLevel="0" collapsed="false">
      <c r="A108" s="4" t="s">
        <v>981</v>
      </c>
      <c r="B108" s="4"/>
      <c r="C108" s="4" t="s">
        <v>20</v>
      </c>
      <c r="D108" s="4" t="s">
        <v>13</v>
      </c>
      <c r="E108" s="4" t="n">
        <v>50</v>
      </c>
      <c r="F108" s="4" t="s">
        <v>982</v>
      </c>
      <c r="G108" s="4" t="s">
        <v>80</v>
      </c>
      <c r="H108" s="4"/>
      <c r="I108" s="4" t="s">
        <v>29</v>
      </c>
      <c r="J108" s="4" t="s">
        <v>983</v>
      </c>
      <c r="K108" s="4" t="s">
        <v>984</v>
      </c>
      <c r="L108" s="4"/>
      <c r="M108" s="4"/>
      <c r="N108" s="4" t="s">
        <v>986</v>
      </c>
      <c r="O108" s="4" t="s">
        <v>987</v>
      </c>
    </row>
    <row r="109" customFormat="false" ht="15" hidden="false" customHeight="false" outlineLevel="0" collapsed="false">
      <c r="A109" s="4" t="s">
        <v>989</v>
      </c>
      <c r="B109" s="4"/>
      <c r="C109" s="4" t="s">
        <v>21</v>
      </c>
      <c r="D109" s="4" t="s">
        <v>13</v>
      </c>
      <c r="E109" s="4" t="n">
        <v>50</v>
      </c>
      <c r="F109" s="4" t="s">
        <v>990</v>
      </c>
      <c r="G109" s="4" t="s">
        <v>95</v>
      </c>
      <c r="H109" s="4" t="s">
        <v>991</v>
      </c>
      <c r="I109" s="4" t="s">
        <v>29</v>
      </c>
      <c r="J109" s="4" t="s">
        <v>994</v>
      </c>
      <c r="K109" s="4" t="s">
        <v>995</v>
      </c>
      <c r="L109" s="4"/>
      <c r="M109" s="4"/>
      <c r="N109" s="4" t="s">
        <v>997</v>
      </c>
      <c r="O109" s="4" t="s">
        <v>987</v>
      </c>
    </row>
    <row r="110" customFormat="false" ht="15" hidden="false" customHeight="false" outlineLevel="0" collapsed="false">
      <c r="A110" s="4" t="s">
        <v>1000</v>
      </c>
      <c r="B110" s="4"/>
      <c r="C110" s="4" t="s">
        <v>25</v>
      </c>
      <c r="D110" s="4" t="s">
        <v>13</v>
      </c>
      <c r="E110" s="4" t="n">
        <v>50</v>
      </c>
      <c r="F110" s="4" t="s">
        <v>1001</v>
      </c>
      <c r="G110" s="4" t="s">
        <v>95</v>
      </c>
      <c r="H110" s="4" t="s">
        <v>1002</v>
      </c>
      <c r="I110" s="4" t="s">
        <v>29</v>
      </c>
      <c r="J110" s="4" t="s">
        <v>1005</v>
      </c>
      <c r="K110" s="4" t="s">
        <v>1006</v>
      </c>
      <c r="L110" s="4"/>
      <c r="M110" s="4"/>
      <c r="N110" s="4" t="s">
        <v>1009</v>
      </c>
      <c r="O110" s="4" t="s">
        <v>987</v>
      </c>
    </row>
    <row r="111" customFormat="false" ht="15" hidden="false" customHeight="false" outlineLevel="0" collapsed="false">
      <c r="A111" s="4" t="s">
        <v>1011</v>
      </c>
      <c r="B111" s="4"/>
      <c r="C111" s="4" t="s">
        <v>20</v>
      </c>
      <c r="D111" s="4" t="s">
        <v>13</v>
      </c>
      <c r="E111" s="4" t="n">
        <v>50</v>
      </c>
      <c r="F111" s="4" t="s">
        <v>1012</v>
      </c>
      <c r="G111" s="4" t="s">
        <v>95</v>
      </c>
      <c r="H111" s="4"/>
      <c r="I111" s="4" t="s">
        <v>31</v>
      </c>
      <c r="J111" s="4" t="s">
        <v>1014</v>
      </c>
      <c r="K111" s="4" t="s">
        <v>224</v>
      </c>
      <c r="L111" s="4"/>
      <c r="M111" s="4"/>
      <c r="N111" s="4" t="s">
        <v>1016</v>
      </c>
      <c r="O111" s="4" t="s">
        <v>987</v>
      </c>
    </row>
    <row r="112" customFormat="false" ht="15" hidden="false" customHeight="false" outlineLevel="0" collapsed="false">
      <c r="A112" s="4" t="s">
        <v>1019</v>
      </c>
      <c r="B112" s="4"/>
      <c r="C112" s="4" t="s">
        <v>20</v>
      </c>
      <c r="D112" s="4" t="s">
        <v>13</v>
      </c>
      <c r="E112" s="4" t="n">
        <v>50</v>
      </c>
      <c r="F112" s="4" t="s">
        <v>1020</v>
      </c>
      <c r="G112" s="4" t="s">
        <v>95</v>
      </c>
      <c r="H112" s="4"/>
      <c r="I112" s="4" t="s">
        <v>30</v>
      </c>
      <c r="J112" s="4" t="s">
        <v>1021</v>
      </c>
      <c r="K112" s="4" t="s">
        <v>184</v>
      </c>
      <c r="L112" s="4"/>
      <c r="M112" s="4"/>
      <c r="N112" s="4" t="s">
        <v>1022</v>
      </c>
      <c r="O112" s="4" t="s">
        <v>987</v>
      </c>
    </row>
    <row r="113" customFormat="false" ht="15" hidden="false" customHeight="false" outlineLevel="0" collapsed="false">
      <c r="A113" s="4" t="s">
        <v>1024</v>
      </c>
      <c r="B113" s="4"/>
      <c r="C113" s="4" t="s">
        <v>20</v>
      </c>
      <c r="D113" s="4" t="s">
        <v>13</v>
      </c>
      <c r="E113" s="4" t="n">
        <v>50</v>
      </c>
      <c r="F113" s="4"/>
      <c r="G113" s="4" t="s">
        <v>716</v>
      </c>
      <c r="H113" s="4" t="s">
        <v>1026</v>
      </c>
      <c r="I113" s="4" t="s">
        <v>30</v>
      </c>
      <c r="J113" s="4" t="s">
        <v>1029</v>
      </c>
      <c r="K113" s="4" t="s">
        <v>711</v>
      </c>
      <c r="L113" s="4"/>
      <c r="M113" s="4"/>
      <c r="N113" s="4" t="s">
        <v>1030</v>
      </c>
      <c r="O113" s="4" t="s">
        <v>1031</v>
      </c>
    </row>
    <row r="114" customFormat="false" ht="15" hidden="false" customHeight="false" outlineLevel="0" collapsed="false">
      <c r="A114" s="4" t="s">
        <v>1033</v>
      </c>
      <c r="B114" s="4"/>
      <c r="C114" s="4" t="s">
        <v>20</v>
      </c>
      <c r="D114" s="4" t="s">
        <v>13</v>
      </c>
      <c r="E114" s="4" t="n">
        <v>50</v>
      </c>
      <c r="F114" s="4" t="s">
        <v>1034</v>
      </c>
      <c r="G114" s="4" t="s">
        <v>95</v>
      </c>
      <c r="H114" s="4"/>
      <c r="I114" s="4" t="s">
        <v>30</v>
      </c>
      <c r="J114" s="4" t="s">
        <v>1035</v>
      </c>
      <c r="K114" s="4" t="s">
        <v>184</v>
      </c>
      <c r="L114" s="4"/>
      <c r="M114" s="4"/>
      <c r="N114" s="4" t="s">
        <v>1037</v>
      </c>
      <c r="O114" s="4" t="s">
        <v>987</v>
      </c>
    </row>
    <row r="115" customFormat="false" ht="15" hidden="false" customHeight="false" outlineLevel="0" collapsed="false">
      <c r="A115" s="4" t="s">
        <v>1039</v>
      </c>
      <c r="B115" s="4"/>
      <c r="C115" s="4" t="s">
        <v>24</v>
      </c>
      <c r="D115" s="4" t="s">
        <v>13</v>
      </c>
      <c r="E115" s="4" t="n">
        <v>50</v>
      </c>
      <c r="F115" s="4" t="s">
        <v>1040</v>
      </c>
      <c r="G115" s="4" t="s">
        <v>95</v>
      </c>
      <c r="H115" s="4"/>
      <c r="I115" s="4" t="s">
        <v>33</v>
      </c>
      <c r="J115" s="4" t="s">
        <v>1042</v>
      </c>
      <c r="K115" s="4"/>
      <c r="L115" s="4"/>
      <c r="M115" s="4"/>
      <c r="N115" s="4" t="s">
        <v>1044</v>
      </c>
      <c r="O115" s="4" t="s">
        <v>1046</v>
      </c>
    </row>
    <row r="116" customFormat="false" ht="15" hidden="false" customHeight="false" outlineLevel="0" collapsed="false">
      <c r="A116" s="4" t="s">
        <v>1048</v>
      </c>
      <c r="B116" s="4"/>
      <c r="C116" s="4" t="s">
        <v>24</v>
      </c>
      <c r="D116" s="4" t="s">
        <v>13</v>
      </c>
      <c r="E116" s="4" t="n">
        <v>50</v>
      </c>
      <c r="F116" s="4" t="s">
        <v>1049</v>
      </c>
      <c r="G116" s="4" t="s">
        <v>95</v>
      </c>
      <c r="H116" s="4"/>
      <c r="I116" s="4" t="s">
        <v>33</v>
      </c>
      <c r="J116" s="4" t="s">
        <v>1050</v>
      </c>
      <c r="K116" s="4"/>
      <c r="L116" s="4"/>
      <c r="M116" s="4"/>
      <c r="N116" s="4" t="s">
        <v>1051</v>
      </c>
      <c r="O116" s="4" t="s">
        <v>1046</v>
      </c>
    </row>
    <row r="117" customFormat="false" ht="15" hidden="false" customHeight="false" outlineLevel="0" collapsed="false">
      <c r="A117" s="4" t="s">
        <v>1053</v>
      </c>
      <c r="B117" s="4"/>
      <c r="C117" s="4" t="s">
        <v>20</v>
      </c>
      <c r="D117" s="4" t="s">
        <v>13</v>
      </c>
      <c r="E117" s="4" t="n">
        <v>50</v>
      </c>
      <c r="F117" s="4" t="s">
        <v>1054</v>
      </c>
      <c r="G117" s="4" t="s">
        <v>95</v>
      </c>
      <c r="H117" s="4"/>
      <c r="I117" s="4" t="s">
        <v>29</v>
      </c>
      <c r="J117" s="4" t="s">
        <v>1055</v>
      </c>
      <c r="K117" s="4" t="s">
        <v>184</v>
      </c>
      <c r="L117" s="4"/>
      <c r="M117" s="4"/>
      <c r="N117" s="4" t="s">
        <v>1057</v>
      </c>
      <c r="O117" s="4" t="s">
        <v>987</v>
      </c>
    </row>
    <row r="118" customFormat="false" ht="15" hidden="false" customHeight="false" outlineLevel="0" collapsed="false">
      <c r="A118" s="4" t="s">
        <v>1059</v>
      </c>
      <c r="B118" s="4"/>
      <c r="C118" s="4" t="s">
        <v>26</v>
      </c>
      <c r="D118" s="4" t="s">
        <v>13</v>
      </c>
      <c r="E118" s="4" t="n">
        <v>50</v>
      </c>
      <c r="F118" s="4" t="s">
        <v>1060</v>
      </c>
      <c r="G118" s="4" t="s">
        <v>95</v>
      </c>
      <c r="H118" s="4"/>
      <c r="I118" s="4" t="s">
        <v>29</v>
      </c>
      <c r="J118" s="4" t="s">
        <v>1061</v>
      </c>
      <c r="K118" s="4" t="s">
        <v>1062</v>
      </c>
      <c r="L118" s="4"/>
      <c r="M118" s="4"/>
      <c r="N118" s="4" t="s">
        <v>1064</v>
      </c>
      <c r="O118" s="4" t="s">
        <v>987</v>
      </c>
    </row>
    <row r="119" customFormat="false" ht="15" hidden="false" customHeight="false" outlineLevel="0" collapsed="false">
      <c r="A119" s="4" t="s">
        <v>1066</v>
      </c>
      <c r="B119" s="4"/>
      <c r="C119" s="4" t="s">
        <v>22</v>
      </c>
      <c r="D119" s="4" t="s">
        <v>13</v>
      </c>
      <c r="E119" s="4" t="n">
        <v>45</v>
      </c>
      <c r="F119" s="4" t="s">
        <v>1067</v>
      </c>
      <c r="G119" s="4" t="s">
        <v>80</v>
      </c>
      <c r="H119" s="4"/>
      <c r="I119" s="4" t="s">
        <v>35</v>
      </c>
      <c r="J119" s="4" t="s">
        <v>1068</v>
      </c>
      <c r="K119" s="4" t="s">
        <v>265</v>
      </c>
      <c r="L119" s="4" t="n">
        <v>29</v>
      </c>
      <c r="M119" s="4" t="n">
        <v>3.9</v>
      </c>
      <c r="N119" s="4" t="s">
        <v>1070</v>
      </c>
      <c r="O119" s="4" t="s">
        <v>882</v>
      </c>
    </row>
    <row r="120" customFormat="false" ht="15" hidden="false" customHeight="false" outlineLevel="0" collapsed="false">
      <c r="A120" s="4" t="s">
        <v>1072</v>
      </c>
      <c r="B120" s="4"/>
      <c r="C120" s="4" t="s">
        <v>24</v>
      </c>
      <c r="D120" s="4" t="s">
        <v>13</v>
      </c>
      <c r="E120" s="4" t="n">
        <v>45</v>
      </c>
      <c r="F120" s="4"/>
      <c r="G120" s="4" t="s">
        <v>716</v>
      </c>
      <c r="H120" s="4" t="s">
        <v>1073</v>
      </c>
      <c r="I120" s="4" t="s">
        <v>30</v>
      </c>
      <c r="J120" s="4" t="s">
        <v>1076</v>
      </c>
      <c r="K120" s="4" t="s">
        <v>152</v>
      </c>
      <c r="L120" s="4" t="n">
        <v>8</v>
      </c>
      <c r="M120" s="4" t="n">
        <v>2.9</v>
      </c>
      <c r="N120" s="4" t="s">
        <v>1077</v>
      </c>
      <c r="O120" s="4" t="s">
        <v>759</v>
      </c>
    </row>
    <row r="121" customFormat="false" ht="15" hidden="false" customHeight="false" outlineLevel="0" collapsed="false">
      <c r="A121" s="4" t="s">
        <v>1079</v>
      </c>
      <c r="B121" s="4"/>
      <c r="C121" s="4" t="s">
        <v>21</v>
      </c>
      <c r="D121" s="4" t="s">
        <v>13</v>
      </c>
      <c r="E121" s="4" t="n">
        <v>45</v>
      </c>
      <c r="F121" s="4" t="s">
        <v>1080</v>
      </c>
      <c r="G121" s="4" t="s">
        <v>80</v>
      </c>
      <c r="H121" s="4"/>
      <c r="I121" s="4" t="s">
        <v>34</v>
      </c>
      <c r="J121" s="4" t="s">
        <v>1082</v>
      </c>
      <c r="K121" s="4" t="s">
        <v>1083</v>
      </c>
      <c r="L121" s="4" t="n">
        <v>2</v>
      </c>
      <c r="M121" s="4" t="n">
        <v>3.5</v>
      </c>
      <c r="N121" s="4" t="s">
        <v>1084</v>
      </c>
      <c r="O121" s="4" t="s">
        <v>752</v>
      </c>
    </row>
    <row r="122" customFormat="false" ht="15" hidden="false" customHeight="false" outlineLevel="0" collapsed="false">
      <c r="A122" s="4" t="s">
        <v>1086</v>
      </c>
      <c r="B122" s="4"/>
      <c r="C122" s="4" t="s">
        <v>21</v>
      </c>
      <c r="D122" s="4" t="s">
        <v>13</v>
      </c>
      <c r="E122" s="4" t="n">
        <v>45</v>
      </c>
      <c r="F122" s="4" t="s">
        <v>1087</v>
      </c>
      <c r="G122" s="4" t="s">
        <v>80</v>
      </c>
      <c r="H122" s="4"/>
      <c r="I122" s="4" t="s">
        <v>33</v>
      </c>
      <c r="J122" s="4" t="s">
        <v>1088</v>
      </c>
      <c r="K122" s="4"/>
      <c r="L122" s="4" t="n">
        <v>1</v>
      </c>
      <c r="M122" s="4" t="n">
        <v>4</v>
      </c>
      <c r="N122" s="4" t="s">
        <v>1089</v>
      </c>
      <c r="O122" s="4" t="s">
        <v>1091</v>
      </c>
    </row>
    <row r="123" customFormat="false" ht="15" hidden="false" customHeight="false" outlineLevel="0" collapsed="false">
      <c r="A123" s="4" t="s">
        <v>1093</v>
      </c>
      <c r="B123" s="4"/>
      <c r="C123" s="4" t="s">
        <v>22</v>
      </c>
      <c r="D123" s="4" t="s">
        <v>13</v>
      </c>
      <c r="E123" s="4" t="n">
        <v>40</v>
      </c>
      <c r="F123" s="4" t="s">
        <v>1094</v>
      </c>
      <c r="G123" s="4" t="s">
        <v>95</v>
      </c>
      <c r="H123" s="4"/>
      <c r="I123" s="4" t="s">
        <v>31</v>
      </c>
      <c r="J123" s="4" t="s">
        <v>1095</v>
      </c>
      <c r="K123" s="4" t="s">
        <v>265</v>
      </c>
      <c r="L123" s="4"/>
      <c r="M123" s="4"/>
      <c r="N123" s="4" t="s">
        <v>1096</v>
      </c>
      <c r="O123" s="4" t="s">
        <v>1098</v>
      </c>
    </row>
    <row r="124" customFormat="false" ht="15" hidden="false" customHeight="false" outlineLevel="0" collapsed="false">
      <c r="A124" s="4" t="s">
        <v>1100</v>
      </c>
      <c r="B124" s="4"/>
      <c r="C124" s="4" t="s">
        <v>22</v>
      </c>
      <c r="D124" s="4" t="s">
        <v>13</v>
      </c>
      <c r="E124" s="4" t="n">
        <v>40</v>
      </c>
      <c r="F124" s="4" t="s">
        <v>1101</v>
      </c>
      <c r="G124" s="4" t="s">
        <v>80</v>
      </c>
      <c r="H124" s="4"/>
      <c r="I124" s="4" t="s">
        <v>29</v>
      </c>
      <c r="J124" s="4" t="s">
        <v>1102</v>
      </c>
      <c r="K124" s="4" t="s">
        <v>205</v>
      </c>
      <c r="L124" s="4"/>
      <c r="M124" s="4"/>
      <c r="N124" s="4" t="s">
        <v>1103</v>
      </c>
      <c r="O124" s="4" t="s">
        <v>1098</v>
      </c>
    </row>
    <row r="125" customFormat="false" ht="15" hidden="false" customHeight="false" outlineLevel="0" collapsed="false">
      <c r="A125" s="4" t="s">
        <v>1106</v>
      </c>
      <c r="B125" s="4"/>
      <c r="C125" s="4" t="s">
        <v>20</v>
      </c>
      <c r="D125" s="4" t="s">
        <v>13</v>
      </c>
      <c r="E125" s="4" t="n">
        <v>40</v>
      </c>
      <c r="F125" s="4" t="s">
        <v>1107</v>
      </c>
      <c r="G125" s="4" t="s">
        <v>80</v>
      </c>
      <c r="H125" s="4"/>
      <c r="I125" s="4" t="s">
        <v>31</v>
      </c>
      <c r="J125" s="4" t="s">
        <v>1108</v>
      </c>
      <c r="K125" s="4" t="s">
        <v>694</v>
      </c>
      <c r="L125" s="4"/>
      <c r="M125" s="4"/>
      <c r="N125" s="4" t="s">
        <v>1109</v>
      </c>
      <c r="O125" s="4" t="s">
        <v>1098</v>
      </c>
    </row>
    <row r="126" customFormat="false" ht="15" hidden="false" customHeight="false" outlineLevel="0" collapsed="false">
      <c r="A126" s="4" t="s">
        <v>1111</v>
      </c>
      <c r="B126" s="4"/>
      <c r="C126" s="4" t="s">
        <v>20</v>
      </c>
      <c r="D126" s="4" t="s">
        <v>13</v>
      </c>
      <c r="E126" s="4" t="n">
        <v>40</v>
      </c>
      <c r="F126" s="4" t="s">
        <v>1112</v>
      </c>
      <c r="G126" s="4" t="s">
        <v>95</v>
      </c>
      <c r="H126" s="4"/>
      <c r="I126" s="4" t="s">
        <v>29</v>
      </c>
      <c r="J126" s="4" t="s">
        <v>1113</v>
      </c>
      <c r="K126" s="4" t="s">
        <v>224</v>
      </c>
      <c r="L126" s="4"/>
      <c r="M126" s="4"/>
      <c r="N126" s="4" t="s">
        <v>1114</v>
      </c>
      <c r="O126" s="4" t="s">
        <v>1115</v>
      </c>
    </row>
    <row r="127" customFormat="false" ht="15" hidden="false" customHeight="false" outlineLevel="0" collapsed="false">
      <c r="A127" s="4" t="s">
        <v>1117</v>
      </c>
      <c r="B127" s="4"/>
      <c r="C127" s="4" t="s">
        <v>20</v>
      </c>
      <c r="D127" s="4" t="s">
        <v>13</v>
      </c>
      <c r="E127" s="4" t="n">
        <v>40</v>
      </c>
      <c r="F127" s="4" t="s">
        <v>1118</v>
      </c>
      <c r="G127" s="4" t="s">
        <v>95</v>
      </c>
      <c r="H127" s="4"/>
      <c r="I127" s="4" t="s">
        <v>30</v>
      </c>
      <c r="J127" s="4" t="s">
        <v>1119</v>
      </c>
      <c r="K127" s="4" t="s">
        <v>1120</v>
      </c>
      <c r="L127" s="4"/>
      <c r="M127" s="4"/>
      <c r="N127" s="4" t="s">
        <v>1122</v>
      </c>
      <c r="O127" s="4" t="s">
        <v>1115</v>
      </c>
    </row>
    <row r="128" customFormat="false" ht="15" hidden="false" customHeight="false" outlineLevel="0" collapsed="false">
      <c r="A128" s="4" t="s">
        <v>1124</v>
      </c>
      <c r="B128" s="4"/>
      <c r="C128" s="4" t="s">
        <v>21</v>
      </c>
      <c r="D128" s="4" t="s">
        <v>14</v>
      </c>
      <c r="E128" s="4" t="n">
        <v>100</v>
      </c>
      <c r="F128" s="4" t="s">
        <v>1127</v>
      </c>
      <c r="G128" s="4" t="s">
        <v>80</v>
      </c>
      <c r="H128" s="4" t="s">
        <v>1128</v>
      </c>
      <c r="I128" s="4" t="s">
        <v>39</v>
      </c>
      <c r="J128" s="4" t="s">
        <v>1131</v>
      </c>
      <c r="K128" s="4" t="s">
        <v>286</v>
      </c>
      <c r="L128" s="4" t="n">
        <v>885</v>
      </c>
      <c r="M128" s="4" t="n">
        <v>4.4</v>
      </c>
      <c r="N128" s="4" t="s">
        <v>1133</v>
      </c>
      <c r="O128" s="4" t="s">
        <v>125</v>
      </c>
    </row>
    <row r="129" customFormat="false" ht="15" hidden="false" customHeight="false" outlineLevel="0" collapsed="false">
      <c r="A129" s="4" t="s">
        <v>1135</v>
      </c>
      <c r="B129" s="4"/>
      <c r="C129" s="4" t="s">
        <v>20</v>
      </c>
      <c r="D129" s="4" t="s">
        <v>14</v>
      </c>
      <c r="E129" s="4" t="n">
        <v>100</v>
      </c>
      <c r="F129" s="4" t="s">
        <v>1136</v>
      </c>
      <c r="G129" s="4" t="s">
        <v>80</v>
      </c>
      <c r="H129" s="4" t="s">
        <v>1137</v>
      </c>
      <c r="I129" s="4" t="s">
        <v>40</v>
      </c>
      <c r="J129" s="4" t="s">
        <v>1139</v>
      </c>
      <c r="K129" s="4" t="s">
        <v>224</v>
      </c>
      <c r="L129" s="4" t="n">
        <v>301</v>
      </c>
      <c r="M129" s="4" t="n">
        <v>4</v>
      </c>
      <c r="N129" s="4" t="s">
        <v>1141</v>
      </c>
      <c r="O129" s="4"/>
    </row>
    <row r="130" customFormat="false" ht="15" hidden="false" customHeight="false" outlineLevel="0" collapsed="false">
      <c r="A130" s="4" t="s">
        <v>1143</v>
      </c>
      <c r="B130" s="4"/>
      <c r="C130" s="4" t="s">
        <v>23</v>
      </c>
      <c r="D130" s="4" t="s">
        <v>14</v>
      </c>
      <c r="E130" s="4" t="n">
        <v>100</v>
      </c>
      <c r="F130" s="4" t="s">
        <v>1144</v>
      </c>
      <c r="G130" s="4" t="s">
        <v>80</v>
      </c>
      <c r="H130" s="4" t="s">
        <v>1145</v>
      </c>
      <c r="I130" s="4" t="s">
        <v>39</v>
      </c>
      <c r="J130" s="4" t="s">
        <v>1148</v>
      </c>
      <c r="K130" s="4" t="s">
        <v>793</v>
      </c>
      <c r="L130" s="4" t="n">
        <v>205</v>
      </c>
      <c r="M130" s="4" t="n">
        <v>4.1</v>
      </c>
      <c r="N130" s="4" t="s">
        <v>1151</v>
      </c>
      <c r="O130" s="4"/>
    </row>
    <row r="131" customFormat="false" ht="15" hidden="false" customHeight="false" outlineLevel="0" collapsed="false">
      <c r="A131" s="4" t="s">
        <v>1153</v>
      </c>
      <c r="B131" s="4"/>
      <c r="C131" s="4" t="s">
        <v>23</v>
      </c>
      <c r="D131" s="4" t="s">
        <v>14</v>
      </c>
      <c r="E131" s="4" t="n">
        <v>100</v>
      </c>
      <c r="F131" s="4" t="s">
        <v>1154</v>
      </c>
      <c r="G131" s="4" t="s">
        <v>80</v>
      </c>
      <c r="H131" s="4" t="s">
        <v>1155</v>
      </c>
      <c r="I131" s="4" t="s">
        <v>43</v>
      </c>
      <c r="J131" s="4" t="s">
        <v>1157</v>
      </c>
      <c r="K131" s="4" t="s">
        <v>793</v>
      </c>
      <c r="L131" s="4" t="n">
        <v>191</v>
      </c>
      <c r="M131" s="4" t="n">
        <v>4.7</v>
      </c>
      <c r="N131" s="4" t="s">
        <v>1160</v>
      </c>
      <c r="O131" s="4"/>
    </row>
    <row r="132" customFormat="false" ht="15" hidden="false" customHeight="false" outlineLevel="0" collapsed="false">
      <c r="A132" s="4" t="s">
        <v>1162</v>
      </c>
      <c r="B132" s="4"/>
      <c r="C132" s="4" t="s">
        <v>21</v>
      </c>
      <c r="D132" s="4" t="s">
        <v>14</v>
      </c>
      <c r="E132" s="4" t="n">
        <v>100</v>
      </c>
      <c r="F132" s="4" t="s">
        <v>1163</v>
      </c>
      <c r="G132" s="4" t="s">
        <v>95</v>
      </c>
      <c r="H132" s="4" t="s">
        <v>1164</v>
      </c>
      <c r="I132" s="4" t="s">
        <v>36</v>
      </c>
      <c r="J132" s="4" t="s">
        <v>1166</v>
      </c>
      <c r="K132" s="4" t="s">
        <v>1167</v>
      </c>
      <c r="L132" s="4" t="n">
        <v>139</v>
      </c>
      <c r="M132" s="4" t="n">
        <v>4.9</v>
      </c>
      <c r="N132" s="4" t="s">
        <v>1169</v>
      </c>
      <c r="O132" s="4"/>
    </row>
    <row r="133" customFormat="false" ht="15" hidden="false" customHeight="false" outlineLevel="0" collapsed="false">
      <c r="A133" s="4" t="s">
        <v>1171</v>
      </c>
      <c r="B133" s="4"/>
      <c r="C133" s="4" t="s">
        <v>23</v>
      </c>
      <c r="D133" s="4" t="s">
        <v>14</v>
      </c>
      <c r="E133" s="4" t="n">
        <v>100</v>
      </c>
      <c r="F133" s="4" t="s">
        <v>1172</v>
      </c>
      <c r="G133" s="4" t="s">
        <v>95</v>
      </c>
      <c r="H133" s="4" t="s">
        <v>1173</v>
      </c>
      <c r="I133" s="4" t="s">
        <v>41</v>
      </c>
      <c r="J133" s="4" t="s">
        <v>1175</v>
      </c>
      <c r="K133" s="4" t="s">
        <v>793</v>
      </c>
      <c r="L133" s="4" t="n">
        <v>91</v>
      </c>
      <c r="M133" s="4" t="n">
        <v>4.3</v>
      </c>
      <c r="N133" s="4" t="s">
        <v>1178</v>
      </c>
      <c r="O133" s="4"/>
    </row>
    <row r="134" customFormat="false" ht="15" hidden="false" customHeight="false" outlineLevel="0" collapsed="false">
      <c r="A134" s="4" t="s">
        <v>1180</v>
      </c>
      <c r="B134" s="4"/>
      <c r="C134" s="4" t="s">
        <v>23</v>
      </c>
      <c r="D134" s="4" t="s">
        <v>14</v>
      </c>
      <c r="E134" s="4" t="n">
        <v>100</v>
      </c>
      <c r="F134" s="4" t="s">
        <v>1181</v>
      </c>
      <c r="G134" s="4" t="s">
        <v>95</v>
      </c>
      <c r="H134" s="4" t="s">
        <v>1182</v>
      </c>
      <c r="I134" s="4" t="s">
        <v>36</v>
      </c>
      <c r="J134" s="4" t="s">
        <v>1185</v>
      </c>
      <c r="K134" s="4" t="s">
        <v>793</v>
      </c>
      <c r="L134" s="4" t="n">
        <v>59</v>
      </c>
      <c r="M134" s="4" t="n">
        <v>4.5</v>
      </c>
      <c r="N134" s="4" t="s">
        <v>1187</v>
      </c>
      <c r="O134" s="4"/>
    </row>
    <row r="135" customFormat="false" ht="15" hidden="false" customHeight="false" outlineLevel="0" collapsed="false">
      <c r="A135" s="4" t="s">
        <v>1189</v>
      </c>
      <c r="B135" s="4"/>
      <c r="C135" s="4" t="s">
        <v>23</v>
      </c>
      <c r="D135" s="4" t="s">
        <v>14</v>
      </c>
      <c r="E135" s="4" t="n">
        <v>95</v>
      </c>
      <c r="F135" s="4" t="s">
        <v>1190</v>
      </c>
      <c r="G135" s="4" t="s">
        <v>80</v>
      </c>
      <c r="H135" s="4" t="s">
        <v>1191</v>
      </c>
      <c r="I135" s="4" t="s">
        <v>40</v>
      </c>
      <c r="J135" s="4" t="s">
        <v>1194</v>
      </c>
      <c r="K135" s="4" t="s">
        <v>1195</v>
      </c>
      <c r="L135" s="4" t="n">
        <v>46</v>
      </c>
      <c r="M135" s="4" t="n">
        <v>4.1</v>
      </c>
      <c r="N135" s="4" t="s">
        <v>1197</v>
      </c>
      <c r="O135" s="4"/>
    </row>
    <row r="136" customFormat="false" ht="15" hidden="false" customHeight="false" outlineLevel="0" collapsed="false">
      <c r="A136" s="4" t="s">
        <v>1199</v>
      </c>
      <c r="B136" s="4"/>
      <c r="C136" s="4" t="s">
        <v>21</v>
      </c>
      <c r="D136" s="4" t="s">
        <v>14</v>
      </c>
      <c r="E136" s="4" t="n">
        <v>95</v>
      </c>
      <c r="F136" s="4" t="s">
        <v>1200</v>
      </c>
      <c r="G136" s="4" t="s">
        <v>95</v>
      </c>
      <c r="H136" s="4" t="s">
        <v>1201</v>
      </c>
      <c r="I136" s="4" t="s">
        <v>36</v>
      </c>
      <c r="J136" s="4" t="s">
        <v>1203</v>
      </c>
      <c r="K136" s="4" t="s">
        <v>550</v>
      </c>
      <c r="L136" s="4" t="n">
        <v>13</v>
      </c>
      <c r="M136" s="4" t="n">
        <v>4.7</v>
      </c>
      <c r="N136" s="4" t="s">
        <v>1204</v>
      </c>
      <c r="O136" s="4"/>
    </row>
    <row r="137" customFormat="false" ht="15" hidden="false" customHeight="false" outlineLevel="0" collapsed="false">
      <c r="A137" s="4" t="s">
        <v>1206</v>
      </c>
      <c r="B137" s="4"/>
      <c r="C137" s="4" t="s">
        <v>23</v>
      </c>
      <c r="D137" s="4" t="s">
        <v>14</v>
      </c>
      <c r="E137" s="4" t="n">
        <v>90</v>
      </c>
      <c r="F137" s="4" t="s">
        <v>1207</v>
      </c>
      <c r="G137" s="4" t="s">
        <v>80</v>
      </c>
      <c r="H137" s="4" t="s">
        <v>1208</v>
      </c>
      <c r="I137" s="4" t="s">
        <v>44</v>
      </c>
      <c r="J137" s="4" t="s">
        <v>1211</v>
      </c>
      <c r="K137" s="4" t="s">
        <v>265</v>
      </c>
      <c r="L137" s="4" t="n">
        <v>86</v>
      </c>
      <c r="M137" s="4" t="n">
        <v>4.5</v>
      </c>
      <c r="N137" s="4" t="s">
        <v>1212</v>
      </c>
      <c r="O137" s="4" t="s">
        <v>370</v>
      </c>
    </row>
    <row r="138" customFormat="false" ht="15" hidden="false" customHeight="false" outlineLevel="0" collapsed="false">
      <c r="A138" s="4" t="s">
        <v>1214</v>
      </c>
      <c r="B138" s="4" t="s">
        <v>190</v>
      </c>
      <c r="C138" s="4" t="s">
        <v>25</v>
      </c>
      <c r="D138" s="4" t="s">
        <v>14</v>
      </c>
      <c r="E138" s="4" t="n">
        <v>90</v>
      </c>
      <c r="F138" s="4" t="s">
        <v>1216</v>
      </c>
      <c r="G138" s="4" t="s">
        <v>80</v>
      </c>
      <c r="H138" s="4" t="s">
        <v>192</v>
      </c>
      <c r="I138" s="4" t="s">
        <v>33</v>
      </c>
      <c r="J138" s="4" t="s">
        <v>1217</v>
      </c>
      <c r="K138" s="4" t="s">
        <v>1218</v>
      </c>
      <c r="L138" s="4" t="n">
        <v>6</v>
      </c>
      <c r="M138" s="4" t="n">
        <v>4</v>
      </c>
      <c r="N138" s="4" t="s">
        <v>1220</v>
      </c>
      <c r="O138" s="4"/>
    </row>
    <row r="139" customFormat="false" ht="15" hidden="false" customHeight="false" outlineLevel="0" collapsed="false">
      <c r="A139" s="4" t="s">
        <v>1223</v>
      </c>
      <c r="B139" s="4"/>
      <c r="C139" s="4" t="s">
        <v>23</v>
      </c>
      <c r="D139" s="4" t="s">
        <v>14</v>
      </c>
      <c r="E139" s="4" t="n">
        <v>90</v>
      </c>
      <c r="F139" s="4" t="s">
        <v>1224</v>
      </c>
      <c r="G139" s="4" t="s">
        <v>80</v>
      </c>
      <c r="H139" s="4" t="s">
        <v>1225</v>
      </c>
      <c r="I139" s="4" t="s">
        <v>45</v>
      </c>
      <c r="J139" s="4" t="s">
        <v>1228</v>
      </c>
      <c r="K139" s="4" t="s">
        <v>793</v>
      </c>
      <c r="L139" s="4" t="n">
        <v>3</v>
      </c>
      <c r="M139" s="4" t="n">
        <v>5</v>
      </c>
      <c r="N139" s="4" t="s">
        <v>1230</v>
      </c>
      <c r="O139" s="4"/>
    </row>
    <row r="140" customFormat="false" ht="15" hidden="false" customHeight="false" outlineLevel="0" collapsed="false">
      <c r="A140" s="4" t="s">
        <v>1232</v>
      </c>
      <c r="B140" s="4"/>
      <c r="C140" s="4" t="s">
        <v>21</v>
      </c>
      <c r="D140" s="4" t="s">
        <v>14</v>
      </c>
      <c r="E140" s="4" t="n">
        <v>90</v>
      </c>
      <c r="F140" s="4" t="s">
        <v>1233</v>
      </c>
      <c r="G140" s="4" t="s">
        <v>95</v>
      </c>
      <c r="H140" s="4" t="s">
        <v>1234</v>
      </c>
      <c r="I140" s="4" t="s">
        <v>46</v>
      </c>
      <c r="J140" s="4" t="s">
        <v>1237</v>
      </c>
      <c r="K140" s="4" t="s">
        <v>286</v>
      </c>
      <c r="L140" s="4" t="n">
        <v>3</v>
      </c>
      <c r="M140" s="4" t="n">
        <v>5</v>
      </c>
      <c r="N140" s="4" t="s">
        <v>1239</v>
      </c>
      <c r="O140" s="4"/>
    </row>
    <row r="141" customFormat="false" ht="15" hidden="false" customHeight="false" outlineLevel="0" collapsed="false">
      <c r="A141" s="4" t="s">
        <v>1241</v>
      </c>
      <c r="B141" s="4"/>
      <c r="C141" s="4" t="s">
        <v>20</v>
      </c>
      <c r="D141" s="4" t="s">
        <v>14</v>
      </c>
      <c r="E141" s="4" t="n">
        <v>85</v>
      </c>
      <c r="F141" s="4" t="s">
        <v>1243</v>
      </c>
      <c r="G141" s="4" t="s">
        <v>95</v>
      </c>
      <c r="H141" s="4" t="s">
        <v>1244</v>
      </c>
      <c r="I141" s="4"/>
      <c r="J141" s="4"/>
      <c r="K141" s="4" t="s">
        <v>224</v>
      </c>
      <c r="L141" s="4" t="n">
        <v>164</v>
      </c>
      <c r="M141" s="4" t="n">
        <v>5</v>
      </c>
      <c r="N141" s="4" t="s">
        <v>1249</v>
      </c>
      <c r="O141" s="4" t="s">
        <v>401</v>
      </c>
    </row>
    <row r="142" customFormat="false" ht="15" hidden="false" customHeight="false" outlineLevel="0" collapsed="false">
      <c r="A142" s="4" t="s">
        <v>1251</v>
      </c>
      <c r="B142" s="4"/>
      <c r="C142" s="4" t="s">
        <v>20</v>
      </c>
      <c r="D142" s="4" t="s">
        <v>14</v>
      </c>
      <c r="E142" s="4" t="n">
        <v>60</v>
      </c>
      <c r="F142" s="4" t="s">
        <v>1252</v>
      </c>
      <c r="G142" s="4" t="s">
        <v>95</v>
      </c>
      <c r="H142" s="4" t="s">
        <v>1253</v>
      </c>
      <c r="I142" s="4"/>
      <c r="J142" s="4"/>
      <c r="K142" s="4" t="s">
        <v>224</v>
      </c>
      <c r="L142" s="4"/>
      <c r="M142" s="4"/>
      <c r="N142" s="4" t="s">
        <v>1257</v>
      </c>
      <c r="O142" s="4" t="s">
        <v>1258</v>
      </c>
    </row>
    <row r="143" customFormat="false" ht="15" hidden="false" customHeight="false" outlineLevel="0" collapsed="false">
      <c r="A143" s="4" t="s">
        <v>1260</v>
      </c>
      <c r="B143" s="4"/>
      <c r="C143" s="4" t="s">
        <v>23</v>
      </c>
      <c r="D143" s="4" t="s">
        <v>14</v>
      </c>
      <c r="E143" s="4" t="n">
        <v>45</v>
      </c>
      <c r="F143" s="4"/>
      <c r="G143" s="4" t="s">
        <v>716</v>
      </c>
      <c r="H143" s="4"/>
      <c r="I143" s="4" t="s">
        <v>41</v>
      </c>
      <c r="J143" s="4" t="s">
        <v>1261</v>
      </c>
      <c r="K143" s="4" t="s">
        <v>888</v>
      </c>
      <c r="L143" s="4" t="n">
        <v>30</v>
      </c>
      <c r="M143" s="4" t="n">
        <v>4.4</v>
      </c>
      <c r="N143" s="4" t="s">
        <v>1263</v>
      </c>
      <c r="O143" s="4" t="s">
        <v>1264</v>
      </c>
    </row>
    <row r="144" customFormat="false" ht="15" hidden="false" customHeight="false" outlineLevel="0" collapsed="false">
      <c r="A144" s="4" t="s">
        <v>1266</v>
      </c>
      <c r="B144" s="4"/>
      <c r="C144" s="4" t="s">
        <v>22</v>
      </c>
      <c r="D144" s="4" t="s">
        <v>14</v>
      </c>
      <c r="E144" s="4" t="n">
        <v>45</v>
      </c>
      <c r="F144" s="4"/>
      <c r="G144" s="4" t="s">
        <v>716</v>
      </c>
      <c r="H144" s="4"/>
      <c r="I144" s="4" t="s">
        <v>29</v>
      </c>
      <c r="J144" s="4" t="s">
        <v>1268</v>
      </c>
      <c r="K144" s="4" t="s">
        <v>86</v>
      </c>
      <c r="L144" s="4" t="n">
        <v>19</v>
      </c>
      <c r="M144" s="4" t="n">
        <v>4.6</v>
      </c>
      <c r="N144" s="4" t="s">
        <v>1269</v>
      </c>
      <c r="O144" s="4" t="s">
        <v>1264</v>
      </c>
    </row>
    <row r="145" customFormat="false" ht="15" hidden="false" customHeight="false" outlineLevel="0" collapsed="false">
      <c r="A145" s="4" t="s">
        <v>1272</v>
      </c>
      <c r="B145" s="4"/>
      <c r="C145" s="4" t="s">
        <v>20</v>
      </c>
      <c r="D145" s="4" t="s">
        <v>14</v>
      </c>
      <c r="E145" s="4" t="n">
        <v>35</v>
      </c>
      <c r="F145" s="4"/>
      <c r="G145" s="4" t="s">
        <v>716</v>
      </c>
      <c r="H145" s="4"/>
      <c r="I145" s="4" t="s">
        <v>29</v>
      </c>
      <c r="J145" s="4" t="s">
        <v>1274</v>
      </c>
      <c r="K145" s="4" t="s">
        <v>224</v>
      </c>
      <c r="L145" s="4" t="n">
        <v>23</v>
      </c>
      <c r="M145" s="4" t="n">
        <v>4.5</v>
      </c>
      <c r="N145" s="4" t="s">
        <v>1275</v>
      </c>
      <c r="O145" s="4" t="s">
        <v>1276</v>
      </c>
    </row>
    <row r="146" customFormat="false" ht="15" hidden="false" customHeight="false" outlineLevel="0" collapsed="false">
      <c r="A146" s="4" t="s">
        <v>1278</v>
      </c>
      <c r="B146" s="4"/>
      <c r="C146" s="4" t="s">
        <v>20</v>
      </c>
      <c r="D146" s="4" t="s">
        <v>14</v>
      </c>
      <c r="E146" s="4" t="n">
        <v>35</v>
      </c>
      <c r="F146" s="4" t="s">
        <v>1279</v>
      </c>
      <c r="G146" s="4" t="s">
        <v>95</v>
      </c>
      <c r="H146" s="4"/>
      <c r="I146" s="4"/>
      <c r="J146" s="4"/>
      <c r="K146" s="4" t="s">
        <v>224</v>
      </c>
      <c r="L146" s="4"/>
      <c r="M146" s="4"/>
      <c r="N146" s="4" t="s">
        <v>1281</v>
      </c>
      <c r="O146" s="4" t="s">
        <v>1115</v>
      </c>
    </row>
    <row r="147" customFormat="false" ht="15" hidden="false" customHeight="false" outlineLevel="0" collapsed="false">
      <c r="A147" s="4" t="s">
        <v>1283</v>
      </c>
      <c r="B147" s="4"/>
      <c r="C147" s="4" t="s">
        <v>22</v>
      </c>
      <c r="D147" s="4" t="s">
        <v>14</v>
      </c>
      <c r="E147" s="4" t="n">
        <v>30</v>
      </c>
      <c r="F147" s="4"/>
      <c r="G147" s="4" t="s">
        <v>716</v>
      </c>
      <c r="H147" s="4"/>
      <c r="I147" s="4" t="s">
        <v>29</v>
      </c>
      <c r="J147" s="4" t="s">
        <v>599</v>
      </c>
      <c r="K147" s="4" t="s">
        <v>86</v>
      </c>
      <c r="L147" s="4" t="n">
        <v>20</v>
      </c>
      <c r="M147" s="4" t="n">
        <v>4.1</v>
      </c>
      <c r="N147" s="4" t="s">
        <v>1285</v>
      </c>
      <c r="O147" s="4" t="s">
        <v>1286</v>
      </c>
    </row>
    <row r="148" customFormat="false" ht="15" hidden="false" customHeight="false" outlineLevel="0" collapsed="false">
      <c r="A148" s="4" t="s">
        <v>1288</v>
      </c>
      <c r="B148" s="4"/>
      <c r="C148" s="4" t="s">
        <v>22</v>
      </c>
      <c r="D148" s="4" t="s">
        <v>14</v>
      </c>
      <c r="E148" s="4" t="n">
        <v>30</v>
      </c>
      <c r="F148" s="4"/>
      <c r="G148" s="4" t="s">
        <v>716</v>
      </c>
      <c r="H148" s="4"/>
      <c r="I148" s="4" t="s">
        <v>31</v>
      </c>
      <c r="J148" s="4" t="s">
        <v>1289</v>
      </c>
      <c r="K148" s="4" t="s">
        <v>205</v>
      </c>
      <c r="L148" s="4" t="n">
        <v>5</v>
      </c>
      <c r="M148" s="4" t="n">
        <v>5</v>
      </c>
      <c r="N148" s="4" t="s">
        <v>1290</v>
      </c>
      <c r="O148" s="4" t="s">
        <v>1276</v>
      </c>
    </row>
    <row r="149" customFormat="false" ht="15" hidden="false" customHeight="false" outlineLevel="0" collapsed="false">
      <c r="A149" s="4" t="s">
        <v>1292</v>
      </c>
      <c r="B149" s="4"/>
      <c r="C149" s="4" t="s">
        <v>22</v>
      </c>
      <c r="D149" s="4" t="s">
        <v>14</v>
      </c>
      <c r="E149" s="4" t="n">
        <v>30</v>
      </c>
      <c r="F149" s="4"/>
      <c r="G149" s="4" t="s">
        <v>716</v>
      </c>
      <c r="H149" s="4"/>
      <c r="I149" s="4" t="s">
        <v>29</v>
      </c>
      <c r="J149" s="4" t="s">
        <v>1293</v>
      </c>
      <c r="K149" s="4" t="s">
        <v>86</v>
      </c>
      <c r="L149" s="4" t="n">
        <v>3</v>
      </c>
      <c r="M149" s="4" t="n">
        <v>4.7</v>
      </c>
      <c r="N149" s="4" t="s">
        <v>1294</v>
      </c>
      <c r="O149" s="4" t="s">
        <v>1276</v>
      </c>
    </row>
    <row r="150" customFormat="false" ht="15" hidden="false" customHeight="false" outlineLevel="0" collapsed="false">
      <c r="A150" s="4" t="s">
        <v>1296</v>
      </c>
      <c r="B150" s="4"/>
      <c r="C150" s="4" t="s">
        <v>20</v>
      </c>
      <c r="D150" s="4" t="s">
        <v>14</v>
      </c>
      <c r="E150" s="4" t="n">
        <v>30</v>
      </c>
      <c r="F150" s="4"/>
      <c r="G150" s="4" t="s">
        <v>716</v>
      </c>
      <c r="H150" s="4"/>
      <c r="I150" s="4" t="s">
        <v>29</v>
      </c>
      <c r="J150" s="4" t="s">
        <v>1297</v>
      </c>
      <c r="K150" s="4" t="s">
        <v>184</v>
      </c>
      <c r="L150" s="4" t="n">
        <v>1</v>
      </c>
      <c r="M150" s="4" t="n">
        <v>5</v>
      </c>
      <c r="N150" s="4" t="s">
        <v>1300</v>
      </c>
      <c r="O150" s="4" t="s">
        <v>1286</v>
      </c>
    </row>
    <row r="151" customFormat="false" ht="15" hidden="false" customHeight="false" outlineLevel="0" collapsed="false">
      <c r="A151" s="4" t="s">
        <v>1302</v>
      </c>
      <c r="B151" s="4"/>
      <c r="C151" s="4" t="s">
        <v>20</v>
      </c>
      <c r="D151" s="4" t="s">
        <v>14</v>
      </c>
      <c r="E151" s="4" t="n">
        <v>30</v>
      </c>
      <c r="F151" s="4"/>
      <c r="G151" s="4" t="s">
        <v>716</v>
      </c>
      <c r="H151" s="4"/>
      <c r="I151" s="4" t="s">
        <v>29</v>
      </c>
      <c r="J151" s="4" t="s">
        <v>1304</v>
      </c>
      <c r="K151" s="4" t="s">
        <v>224</v>
      </c>
      <c r="L151" s="4" t="n">
        <v>1</v>
      </c>
      <c r="M151" s="4" t="n">
        <v>5</v>
      </c>
      <c r="N151" s="4" t="s">
        <v>1305</v>
      </c>
      <c r="O151" s="4" t="s">
        <v>1276</v>
      </c>
    </row>
    <row r="152" customFormat="false" ht="15" hidden="false" customHeight="false" outlineLevel="0" collapsed="false">
      <c r="A152" s="4" t="s">
        <v>1307</v>
      </c>
      <c r="B152" s="4"/>
      <c r="C152" s="4" t="s">
        <v>20</v>
      </c>
      <c r="D152" s="4" t="s">
        <v>14</v>
      </c>
      <c r="E152" s="4" t="n">
        <v>30</v>
      </c>
      <c r="F152" s="4"/>
      <c r="G152" s="4" t="s">
        <v>716</v>
      </c>
      <c r="H152" s="4"/>
      <c r="I152" s="4" t="s">
        <v>31</v>
      </c>
      <c r="J152" s="4" t="s">
        <v>1308</v>
      </c>
      <c r="K152" s="4" t="s">
        <v>224</v>
      </c>
      <c r="L152" s="4" t="n">
        <v>1</v>
      </c>
      <c r="M152" s="4" t="n">
        <v>5</v>
      </c>
      <c r="N152" s="4" t="s">
        <v>1309</v>
      </c>
      <c r="O152" s="4" t="s">
        <v>1276</v>
      </c>
    </row>
    <row r="153" customFormat="false" ht="15" hidden="false" customHeight="false" outlineLevel="0" collapsed="false">
      <c r="A153" s="4" t="s">
        <v>1311</v>
      </c>
      <c r="B153" s="4"/>
      <c r="C153" s="4" t="s">
        <v>20</v>
      </c>
      <c r="D153" s="4" t="s">
        <v>14</v>
      </c>
      <c r="E153" s="4" t="n">
        <v>30</v>
      </c>
      <c r="F153" s="4"/>
      <c r="G153" s="4" t="s">
        <v>716</v>
      </c>
      <c r="H153" s="4"/>
      <c r="I153" s="4" t="s">
        <v>30</v>
      </c>
      <c r="J153" s="4" t="s">
        <v>1313</v>
      </c>
      <c r="K153" s="4" t="s">
        <v>224</v>
      </c>
      <c r="L153" s="4" t="n">
        <v>1</v>
      </c>
      <c r="M153" s="4" t="n">
        <v>5</v>
      </c>
      <c r="N153" s="4" t="s">
        <v>1314</v>
      </c>
      <c r="O153" s="4" t="s">
        <v>1276</v>
      </c>
    </row>
    <row r="154" customFormat="false" ht="15" hidden="false" customHeight="false" outlineLevel="0" collapsed="false">
      <c r="A154" s="4" t="s">
        <v>1316</v>
      </c>
      <c r="B154" s="4"/>
      <c r="C154" s="4" t="s">
        <v>22</v>
      </c>
      <c r="D154" s="4" t="s">
        <v>14</v>
      </c>
      <c r="E154" s="4" t="n">
        <v>30</v>
      </c>
      <c r="F154" s="4"/>
      <c r="G154" s="4" t="s">
        <v>716</v>
      </c>
      <c r="H154" s="4"/>
      <c r="I154" s="4" t="s">
        <v>29</v>
      </c>
      <c r="J154" s="4" t="s">
        <v>1317</v>
      </c>
      <c r="K154" s="4"/>
      <c r="L154" s="4" t="n">
        <v>1</v>
      </c>
      <c r="M154" s="4" t="n">
        <v>5</v>
      </c>
      <c r="N154" s="4" t="s">
        <v>1318</v>
      </c>
      <c r="O154" s="4" t="s">
        <v>1319</v>
      </c>
    </row>
    <row r="155" customFormat="false" ht="15" hidden="false" customHeight="false" outlineLevel="0" collapsed="false">
      <c r="A155" s="4" t="s">
        <v>1321</v>
      </c>
      <c r="B155" s="4"/>
      <c r="C155" s="4" t="s">
        <v>20</v>
      </c>
      <c r="D155" s="4" t="s">
        <v>14</v>
      </c>
      <c r="E155" s="4" t="n">
        <v>25</v>
      </c>
      <c r="F155" s="4"/>
      <c r="G155" s="4" t="s">
        <v>716</v>
      </c>
      <c r="H155" s="4"/>
      <c r="I155" s="4" t="s">
        <v>29</v>
      </c>
      <c r="J155" s="4" t="s">
        <v>599</v>
      </c>
      <c r="K155" s="4" t="s">
        <v>152</v>
      </c>
      <c r="L155" s="4" t="n">
        <v>207</v>
      </c>
      <c r="M155" s="4" t="n">
        <v>3.6</v>
      </c>
      <c r="N155" s="4" t="s">
        <v>1323</v>
      </c>
      <c r="O155" s="4" t="s">
        <v>1286</v>
      </c>
    </row>
    <row r="156" customFormat="false" ht="15" hidden="false" customHeight="false" outlineLevel="0" collapsed="false">
      <c r="A156" s="4" t="s">
        <v>1326</v>
      </c>
      <c r="B156" s="4"/>
      <c r="C156" s="4" t="s">
        <v>24</v>
      </c>
      <c r="D156" s="4" t="s">
        <v>14</v>
      </c>
      <c r="E156" s="4" t="n">
        <v>25</v>
      </c>
      <c r="F156" s="4"/>
      <c r="G156" s="4" t="s">
        <v>716</v>
      </c>
      <c r="H156" s="4"/>
      <c r="I156" s="4" t="s">
        <v>29</v>
      </c>
      <c r="J156" s="4" t="s">
        <v>599</v>
      </c>
      <c r="K156" s="4" t="s">
        <v>152</v>
      </c>
      <c r="L156" s="4" t="n">
        <v>151</v>
      </c>
      <c r="M156" s="4" t="n">
        <v>3.8</v>
      </c>
      <c r="N156" s="4" t="s">
        <v>1327</v>
      </c>
      <c r="O156" s="4" t="s">
        <v>1286</v>
      </c>
    </row>
    <row r="157" customFormat="false" ht="15" hidden="false" customHeight="false" outlineLevel="0" collapsed="false">
      <c r="A157" s="4" t="s">
        <v>1329</v>
      </c>
      <c r="B157" s="4"/>
      <c r="C157" s="4" t="s">
        <v>22</v>
      </c>
      <c r="D157" s="4" t="s">
        <v>14</v>
      </c>
      <c r="E157" s="4" t="n">
        <v>25</v>
      </c>
      <c r="F157" s="4"/>
      <c r="G157" s="4" t="s">
        <v>716</v>
      </c>
      <c r="H157" s="4" t="s">
        <v>1330</v>
      </c>
      <c r="I157" s="4" t="s">
        <v>29</v>
      </c>
      <c r="J157" s="4" t="s">
        <v>1332</v>
      </c>
      <c r="K157" s="4" t="s">
        <v>205</v>
      </c>
      <c r="L157" s="4"/>
      <c r="M157" s="4"/>
      <c r="N157" s="4" t="s">
        <v>1334</v>
      </c>
      <c r="O157" s="4" t="s">
        <v>1336</v>
      </c>
    </row>
    <row r="158" customFormat="false" ht="15" hidden="false" customHeight="false" outlineLevel="0" collapsed="false">
      <c r="A158" s="4" t="s">
        <v>1338</v>
      </c>
      <c r="B158" s="4"/>
      <c r="C158" s="4" t="s">
        <v>20</v>
      </c>
      <c r="D158" s="4" t="s">
        <v>14</v>
      </c>
      <c r="E158" s="4" t="n">
        <v>25</v>
      </c>
      <c r="F158" s="4"/>
      <c r="G158" s="4" t="s">
        <v>716</v>
      </c>
      <c r="H158" s="4"/>
      <c r="I158" s="4" t="s">
        <v>31</v>
      </c>
      <c r="J158" s="4" t="s">
        <v>1339</v>
      </c>
      <c r="K158" s="4" t="s">
        <v>224</v>
      </c>
      <c r="L158" s="4"/>
      <c r="M158" s="4"/>
      <c r="N158" s="4" t="s">
        <v>1340</v>
      </c>
      <c r="O158" s="4" t="s">
        <v>1336</v>
      </c>
    </row>
    <row r="159" customFormat="false" ht="15" hidden="false" customHeight="false" outlineLevel="0" collapsed="false">
      <c r="A159" s="4" t="s">
        <v>1343</v>
      </c>
      <c r="B159" s="4"/>
      <c r="C159" s="4" t="s">
        <v>20</v>
      </c>
      <c r="D159" s="4" t="s">
        <v>14</v>
      </c>
      <c r="E159" s="4" t="n">
        <v>25</v>
      </c>
      <c r="F159" s="4"/>
      <c r="G159" s="4" t="s">
        <v>716</v>
      </c>
      <c r="H159" s="4"/>
      <c r="I159" s="4" t="s">
        <v>30</v>
      </c>
      <c r="J159" s="4" t="s">
        <v>1344</v>
      </c>
      <c r="K159" s="4" t="s">
        <v>224</v>
      </c>
      <c r="L159" s="4"/>
      <c r="M159" s="4"/>
      <c r="N159" s="4" t="s">
        <v>1345</v>
      </c>
      <c r="O159" s="4" t="s">
        <v>1336</v>
      </c>
    </row>
    <row r="160" customFormat="false" ht="15" hidden="false" customHeight="false" outlineLevel="0" collapsed="false">
      <c r="A160" s="4" t="s">
        <v>1347</v>
      </c>
      <c r="B160" s="4"/>
      <c r="C160" s="4" t="s">
        <v>25</v>
      </c>
      <c r="D160" s="4" t="s">
        <v>14</v>
      </c>
      <c r="E160" s="4" t="n">
        <v>20</v>
      </c>
      <c r="F160" s="4"/>
      <c r="G160" s="4" t="s">
        <v>716</v>
      </c>
      <c r="H160" s="4"/>
      <c r="I160" s="4" t="s">
        <v>32</v>
      </c>
      <c r="J160" s="4" t="s">
        <v>1348</v>
      </c>
      <c r="K160" s="4" t="s">
        <v>99</v>
      </c>
      <c r="L160" s="4" t="n">
        <v>24</v>
      </c>
      <c r="M160" s="4" t="n">
        <v>4.7</v>
      </c>
      <c r="N160" s="4" t="s">
        <v>1349</v>
      </c>
      <c r="O160" s="4" t="s">
        <v>1350</v>
      </c>
    </row>
    <row r="161" customFormat="false" ht="15" hidden="false" customHeight="false" outlineLevel="0" collapsed="false">
      <c r="A161" s="4" t="s">
        <v>1352</v>
      </c>
      <c r="B161" s="4"/>
      <c r="C161" s="4" t="s">
        <v>25</v>
      </c>
      <c r="D161" s="4" t="s">
        <v>14</v>
      </c>
      <c r="E161" s="4" t="n">
        <v>20</v>
      </c>
      <c r="F161" s="4"/>
      <c r="G161" s="4" t="s">
        <v>716</v>
      </c>
      <c r="H161" s="4"/>
      <c r="I161" s="4" t="s">
        <v>33</v>
      </c>
      <c r="J161" s="4" t="s">
        <v>1088</v>
      </c>
      <c r="K161" s="4" t="s">
        <v>1353</v>
      </c>
      <c r="L161" s="4" t="n">
        <v>5</v>
      </c>
      <c r="M161" s="4" t="n">
        <v>5</v>
      </c>
      <c r="N161" s="4" t="s">
        <v>1354</v>
      </c>
      <c r="O161" s="4" t="s">
        <v>1350</v>
      </c>
    </row>
    <row r="162" customFormat="false" ht="15" hidden="false" customHeight="false" outlineLevel="0" collapsed="false">
      <c r="A162" s="4" t="s">
        <v>1356</v>
      </c>
      <c r="B162" s="4"/>
      <c r="C162" s="4" t="s">
        <v>20</v>
      </c>
      <c r="D162" s="4" t="s">
        <v>14</v>
      </c>
      <c r="E162" s="4" t="n">
        <v>20</v>
      </c>
      <c r="F162" s="4"/>
      <c r="G162" s="4" t="s">
        <v>716</v>
      </c>
      <c r="H162" s="4"/>
      <c r="I162" s="4" t="s">
        <v>29</v>
      </c>
      <c r="J162" s="4" t="s">
        <v>1357</v>
      </c>
      <c r="K162" s="4" t="s">
        <v>984</v>
      </c>
      <c r="L162" s="4" t="n">
        <v>3</v>
      </c>
      <c r="M162" s="4" t="n">
        <v>3.3</v>
      </c>
      <c r="N162" s="4" t="s">
        <v>1359</v>
      </c>
      <c r="O162" s="4" t="s">
        <v>1276</v>
      </c>
    </row>
    <row r="163" customFormat="false" ht="15" hidden="false" customHeight="false" outlineLevel="0" collapsed="false">
      <c r="A163" s="4" t="s">
        <v>1361</v>
      </c>
      <c r="B163" s="4"/>
      <c r="C163" s="4" t="s">
        <v>20</v>
      </c>
      <c r="D163" s="4" t="s">
        <v>14</v>
      </c>
      <c r="E163" s="4" t="n">
        <v>20</v>
      </c>
      <c r="F163" s="4"/>
      <c r="G163" s="4" t="s">
        <v>716</v>
      </c>
      <c r="H163" s="4"/>
      <c r="I163" s="4" t="s">
        <v>31</v>
      </c>
      <c r="J163" s="4" t="s">
        <v>1362</v>
      </c>
      <c r="K163" s="4" t="s">
        <v>224</v>
      </c>
      <c r="L163" s="4" t="n">
        <v>2</v>
      </c>
      <c r="M163" s="4" t="n">
        <v>5</v>
      </c>
      <c r="N163" s="4" t="s">
        <v>1363</v>
      </c>
      <c r="O163" s="4" t="s">
        <v>1350</v>
      </c>
    </row>
    <row r="164" customFormat="false" ht="15" hidden="false" customHeight="false" outlineLevel="0" collapsed="false">
      <c r="A164" s="4" t="s">
        <v>1365</v>
      </c>
      <c r="B164" s="4"/>
      <c r="C164" s="4" t="s">
        <v>25</v>
      </c>
      <c r="D164" s="4" t="s">
        <v>14</v>
      </c>
      <c r="E164" s="4" t="n">
        <v>20</v>
      </c>
      <c r="F164" s="4"/>
      <c r="G164" s="4" t="s">
        <v>716</v>
      </c>
      <c r="H164" s="4"/>
      <c r="I164" s="4" t="s">
        <v>33</v>
      </c>
      <c r="J164" s="4" t="s">
        <v>1366</v>
      </c>
      <c r="K164" s="4" t="s">
        <v>1367</v>
      </c>
      <c r="L164" s="4" t="n">
        <v>2</v>
      </c>
      <c r="M164" s="4" t="n">
        <v>3.5</v>
      </c>
      <c r="N164" s="4" t="s">
        <v>1368</v>
      </c>
      <c r="O164" s="4" t="s">
        <v>1276</v>
      </c>
    </row>
    <row r="165" customFormat="false" ht="15" hidden="false" customHeight="false" outlineLevel="0" collapsed="false">
      <c r="A165" s="4" t="s">
        <v>1370</v>
      </c>
      <c r="B165" s="4"/>
      <c r="C165" s="4" t="s">
        <v>21</v>
      </c>
      <c r="D165" s="4" t="s">
        <v>14</v>
      </c>
      <c r="E165" s="4" t="n">
        <v>15</v>
      </c>
      <c r="F165" s="4"/>
      <c r="G165" s="4" t="s">
        <v>716</v>
      </c>
      <c r="H165" s="4"/>
      <c r="I165" s="4" t="s">
        <v>47</v>
      </c>
      <c r="J165" s="4" t="s">
        <v>1372</v>
      </c>
      <c r="K165" s="4"/>
      <c r="L165" s="4"/>
      <c r="M165" s="4"/>
      <c r="N165" s="4" t="s">
        <v>1373</v>
      </c>
      <c r="O165" s="4" t="s">
        <v>1374</v>
      </c>
    </row>
    <row r="166" customFormat="false" ht="15" hidden="false" customHeight="false" outlineLevel="0" collapsed="false">
      <c r="A166" s="4" t="s">
        <v>1376</v>
      </c>
      <c r="B166" s="4"/>
      <c r="C166" s="4" t="s">
        <v>20</v>
      </c>
      <c r="D166" s="4" t="s">
        <v>14</v>
      </c>
      <c r="E166" s="4" t="n">
        <v>15</v>
      </c>
      <c r="F166" s="4"/>
      <c r="G166" s="4" t="s">
        <v>716</v>
      </c>
      <c r="H166" s="4"/>
      <c r="I166" s="4" t="s">
        <v>29</v>
      </c>
      <c r="J166" s="4" t="s">
        <v>1377</v>
      </c>
      <c r="K166" s="4" t="s">
        <v>184</v>
      </c>
      <c r="L166" s="4"/>
      <c r="M166" s="4"/>
      <c r="N166" s="4" t="s">
        <v>1378</v>
      </c>
      <c r="O166" s="4" t="s">
        <v>1379</v>
      </c>
    </row>
    <row r="167" customFormat="false" ht="15" hidden="false" customHeight="false" outlineLevel="0" collapsed="false">
      <c r="A167" s="4" t="s">
        <v>1381</v>
      </c>
      <c r="B167" s="4"/>
      <c r="C167" s="4" t="s">
        <v>24</v>
      </c>
      <c r="D167" s="4" t="s">
        <v>14</v>
      </c>
      <c r="E167" s="4" t="n">
        <v>10</v>
      </c>
      <c r="F167" s="4"/>
      <c r="G167" s="4" t="s">
        <v>716</v>
      </c>
      <c r="H167" s="4"/>
      <c r="I167" s="4" t="s">
        <v>29</v>
      </c>
      <c r="J167" s="4" t="s">
        <v>878</v>
      </c>
      <c r="K167" s="4" t="s">
        <v>1382</v>
      </c>
      <c r="L167" s="4" t="n">
        <v>4</v>
      </c>
      <c r="M167" s="4" t="n">
        <v>3.8</v>
      </c>
      <c r="N167" s="4" t="s">
        <v>1383</v>
      </c>
      <c r="O167" s="4" t="s">
        <v>1350</v>
      </c>
    </row>
    <row r="168" customFormat="false" ht="15" hidden="false" customHeight="false" outlineLevel="0" collapsed="false">
      <c r="A168" s="4" t="s">
        <v>1385</v>
      </c>
      <c r="B168" s="4"/>
      <c r="C168" s="4" t="s">
        <v>22</v>
      </c>
      <c r="D168" s="4" t="s">
        <v>14</v>
      </c>
      <c r="E168" s="4" t="n">
        <v>5</v>
      </c>
      <c r="F168" s="4"/>
      <c r="G168" s="4" t="s">
        <v>716</v>
      </c>
      <c r="H168" s="4"/>
      <c r="I168" s="4" t="s">
        <v>29</v>
      </c>
      <c r="J168" s="4" t="s">
        <v>1386</v>
      </c>
      <c r="K168" s="4" t="s">
        <v>265</v>
      </c>
      <c r="L168" s="4"/>
      <c r="M168" s="4"/>
      <c r="N168" s="4" t="s">
        <v>1387</v>
      </c>
      <c r="O168" s="4" t="s">
        <v>1388</v>
      </c>
    </row>
    <row r="169" customFormat="false" ht="15" hidden="false" customHeight="false" outlineLevel="0" collapsed="false">
      <c r="A169" s="4" t="s">
        <v>1390</v>
      </c>
      <c r="B169" s="4"/>
      <c r="C169" s="4" t="s">
        <v>22</v>
      </c>
      <c r="D169" s="4" t="s">
        <v>14</v>
      </c>
      <c r="E169" s="4" t="n">
        <v>5</v>
      </c>
      <c r="F169" s="4"/>
      <c r="G169" s="4" t="s">
        <v>716</v>
      </c>
      <c r="H169" s="4"/>
      <c r="I169" s="4" t="s">
        <v>29</v>
      </c>
      <c r="J169" s="4" t="s">
        <v>1391</v>
      </c>
      <c r="K169" s="4" t="s">
        <v>205</v>
      </c>
      <c r="L169" s="4"/>
      <c r="M169" s="4"/>
      <c r="N169" s="4" t="s">
        <v>1392</v>
      </c>
      <c r="O169" s="4" t="s">
        <v>1388</v>
      </c>
    </row>
    <row r="170" customFormat="false" ht="15" hidden="false" customHeight="false" outlineLevel="0" collapsed="false">
      <c r="A170" s="4" t="s">
        <v>1394</v>
      </c>
      <c r="B170" s="4"/>
      <c r="C170" s="4" t="s">
        <v>20</v>
      </c>
      <c r="D170" s="4" t="s">
        <v>14</v>
      </c>
      <c r="E170" s="4" t="n">
        <v>5</v>
      </c>
      <c r="F170" s="4"/>
      <c r="G170" s="4" t="s">
        <v>716</v>
      </c>
      <c r="H170" s="4"/>
      <c r="I170" s="4" t="s">
        <v>29</v>
      </c>
      <c r="J170" s="4" t="s">
        <v>1395</v>
      </c>
      <c r="K170" s="4" t="s">
        <v>224</v>
      </c>
      <c r="L170" s="4"/>
      <c r="M170" s="4"/>
      <c r="N170" s="4" t="s">
        <v>1396</v>
      </c>
      <c r="O170" s="4" t="s">
        <v>1388</v>
      </c>
    </row>
    <row r="171" customFormat="false" ht="15" hidden="false" customHeight="false" outlineLevel="0" collapsed="false">
      <c r="A171" s="4" t="s">
        <v>1398</v>
      </c>
      <c r="B171" s="4"/>
      <c r="C171" s="4" t="s">
        <v>24</v>
      </c>
      <c r="D171" s="4" t="s">
        <v>14</v>
      </c>
      <c r="E171" s="4" t="n">
        <v>5</v>
      </c>
      <c r="F171" s="4"/>
      <c r="G171" s="4" t="s">
        <v>716</v>
      </c>
      <c r="H171" s="4"/>
      <c r="I171" s="4" t="s">
        <v>33</v>
      </c>
      <c r="J171" s="4" t="s">
        <v>1088</v>
      </c>
      <c r="K171" s="4"/>
      <c r="L171" s="4"/>
      <c r="M171" s="4"/>
      <c r="N171" s="4" t="s">
        <v>1399</v>
      </c>
      <c r="O171" s="4" t="s">
        <v>1400</v>
      </c>
    </row>
  </sheetData>
  <autoFilter ref="A1:O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45"/>
    <col collapsed="false" customWidth="true" hidden="false" outlineLevel="0" max="3" min="3" style="0" width="12"/>
    <col collapsed="false" customWidth="true" hidden="false" outlineLevel="0" max="6" min="4" style="0" width="45"/>
    <col collapsed="false" customWidth="true" hidden="false" outlineLevel="0" max="7" min="7" style="0" width="17"/>
    <col collapsed="false" customWidth="true" hidden="false" outlineLevel="0" max="8" min="8" style="0" width="45"/>
  </cols>
  <sheetData>
    <row r="1" customFormat="false" ht="30" hidden="false" customHeight="true" outlineLevel="0" collapsed="false">
      <c r="A1" s="8" t="s">
        <v>50</v>
      </c>
      <c r="B1" s="8" t="s">
        <v>51</v>
      </c>
      <c r="C1" s="8" t="s">
        <v>10</v>
      </c>
      <c r="D1" s="8" t="s">
        <v>54</v>
      </c>
      <c r="E1" s="8" t="s">
        <v>68</v>
      </c>
      <c r="F1" s="8" t="s">
        <v>63</v>
      </c>
      <c r="G1" s="8" t="s">
        <v>56</v>
      </c>
      <c r="H1" s="8" t="s">
        <v>72</v>
      </c>
    </row>
    <row r="2" customFormat="false" ht="15" hidden="false" customHeight="false" outlineLevel="0" collapsed="false">
      <c r="A2" s="4" t="s">
        <v>1402</v>
      </c>
      <c r="B2" s="4" t="s">
        <v>1402</v>
      </c>
      <c r="C2" s="4" t="s">
        <v>15</v>
      </c>
      <c r="D2" s="4" t="s">
        <v>1403</v>
      </c>
      <c r="E2" s="4" t="s">
        <v>1409</v>
      </c>
      <c r="F2" s="4" t="s">
        <v>1407</v>
      </c>
      <c r="G2" s="4" t="s">
        <v>1404</v>
      </c>
      <c r="H2" s="4" t="s">
        <v>1411</v>
      </c>
    </row>
    <row r="3" customFormat="false" ht="15" hidden="false" customHeight="false" outlineLevel="0" collapsed="false">
      <c r="A3" s="4" t="s">
        <v>1413</v>
      </c>
      <c r="B3" s="4" t="s">
        <v>1413</v>
      </c>
      <c r="C3" s="4" t="s">
        <v>15</v>
      </c>
      <c r="D3" s="4" t="s">
        <v>1414</v>
      </c>
      <c r="E3" s="4" t="s">
        <v>196</v>
      </c>
      <c r="F3" s="4" t="s">
        <v>1419</v>
      </c>
      <c r="G3" s="4" t="s">
        <v>1415</v>
      </c>
      <c r="H3" s="4" t="s">
        <v>1421</v>
      </c>
    </row>
    <row r="4" customFormat="false" ht="15" hidden="false" customHeight="false" outlineLevel="0" collapsed="false">
      <c r="A4" s="4" t="s">
        <v>1423</v>
      </c>
      <c r="B4" s="4" t="s">
        <v>1423</v>
      </c>
      <c r="C4" s="4" t="s">
        <v>15</v>
      </c>
      <c r="D4" s="4" t="s">
        <v>1425</v>
      </c>
      <c r="E4" s="4" t="s">
        <v>1431</v>
      </c>
      <c r="F4" s="4" t="s">
        <v>1430</v>
      </c>
      <c r="G4" s="4" t="s">
        <v>1426</v>
      </c>
      <c r="H4" s="4" t="s">
        <v>1433</v>
      </c>
    </row>
    <row r="5" customFormat="false" ht="15" hidden="false" customHeight="false" outlineLevel="0" collapsed="false">
      <c r="A5" s="4" t="s">
        <v>1435</v>
      </c>
      <c r="B5" s="4" t="s">
        <v>1435</v>
      </c>
      <c r="C5" s="4" t="s">
        <v>15</v>
      </c>
      <c r="D5" s="4" t="s">
        <v>1436</v>
      </c>
      <c r="E5" s="4" t="s">
        <v>1442</v>
      </c>
      <c r="F5" s="4" t="s">
        <v>1441</v>
      </c>
      <c r="G5" s="4" t="s">
        <v>1437</v>
      </c>
      <c r="H5" s="4" t="s">
        <v>1444</v>
      </c>
    </row>
    <row r="6" customFormat="false" ht="15" hidden="false" customHeight="false" outlineLevel="0" collapsed="false">
      <c r="A6" s="4" t="s">
        <v>1446</v>
      </c>
      <c r="B6" s="4" t="s">
        <v>1446</v>
      </c>
      <c r="C6" s="4" t="s">
        <v>15</v>
      </c>
      <c r="D6" s="4" t="s">
        <v>1447</v>
      </c>
      <c r="E6" s="4" t="s">
        <v>1453</v>
      </c>
      <c r="F6" s="4" t="s">
        <v>1452</v>
      </c>
      <c r="G6" s="4" t="s">
        <v>1448</v>
      </c>
      <c r="H6" s="4" t="s">
        <v>1454</v>
      </c>
    </row>
    <row r="7" customFormat="false" ht="15" hidden="false" customHeight="false" outlineLevel="0" collapsed="false">
      <c r="A7" s="4" t="s">
        <v>1456</v>
      </c>
      <c r="B7" s="4" t="s">
        <v>1456</v>
      </c>
      <c r="C7" s="4" t="s">
        <v>15</v>
      </c>
      <c r="D7" s="4" t="s">
        <v>1457</v>
      </c>
      <c r="E7" s="4" t="s">
        <v>1463</v>
      </c>
      <c r="F7" s="4" t="s">
        <v>1462</v>
      </c>
      <c r="G7" s="4" t="s">
        <v>1458</v>
      </c>
      <c r="H7" s="4" t="s">
        <v>1464</v>
      </c>
    </row>
    <row r="8" customFormat="false" ht="15" hidden="false" customHeight="false" outlineLevel="0" collapsed="false">
      <c r="A8" s="4" t="s">
        <v>1424</v>
      </c>
      <c r="B8" s="4" t="s">
        <v>1424</v>
      </c>
      <c r="C8" s="4" t="s">
        <v>15</v>
      </c>
      <c r="D8" s="4" t="s">
        <v>1425</v>
      </c>
      <c r="E8" s="4" t="s">
        <v>1468</v>
      </c>
      <c r="F8" s="4"/>
      <c r="G8" s="4" t="s">
        <v>1426</v>
      </c>
      <c r="H8" s="4" t="s">
        <v>1470</v>
      </c>
    </row>
    <row r="9" customFormat="false" ht="15" hidden="false" customHeight="false" outlineLevel="0" collapsed="false">
      <c r="A9" s="4" t="s">
        <v>1472</v>
      </c>
      <c r="B9" s="4" t="s">
        <v>1472</v>
      </c>
      <c r="C9" s="4" t="s">
        <v>15</v>
      </c>
      <c r="D9" s="4" t="s">
        <v>1473</v>
      </c>
      <c r="E9" s="4" t="s">
        <v>1478</v>
      </c>
      <c r="F9" s="4" t="s">
        <v>1477</v>
      </c>
      <c r="G9" s="4" t="s">
        <v>1474</v>
      </c>
      <c r="H9" s="4" t="s">
        <v>1479</v>
      </c>
    </row>
    <row r="10" customFormat="false" ht="15" hidden="false" customHeight="false" outlineLevel="0" collapsed="false">
      <c r="A10" s="4" t="s">
        <v>1482</v>
      </c>
      <c r="B10" s="4" t="s">
        <v>1482</v>
      </c>
      <c r="C10" s="4" t="s">
        <v>15</v>
      </c>
      <c r="D10" s="4" t="s">
        <v>1483</v>
      </c>
      <c r="E10" s="4" t="s">
        <v>172</v>
      </c>
      <c r="F10" s="4" t="s">
        <v>1488</v>
      </c>
      <c r="G10" s="4" t="s">
        <v>1484</v>
      </c>
      <c r="H10" s="4" t="s">
        <v>1490</v>
      </c>
    </row>
    <row r="11" customFormat="false" ht="15" hidden="false" customHeight="false" outlineLevel="0" collapsed="false">
      <c r="A11" s="4" t="s">
        <v>1492</v>
      </c>
      <c r="B11" s="4" t="s">
        <v>1492</v>
      </c>
      <c r="C11" s="4" t="s">
        <v>15</v>
      </c>
      <c r="D11" s="4" t="s">
        <v>1493</v>
      </c>
      <c r="E11" s="4" t="s">
        <v>1496</v>
      </c>
      <c r="F11" s="4" t="s">
        <v>1495</v>
      </c>
      <c r="G11" s="4" t="s">
        <v>1494</v>
      </c>
      <c r="H11" s="4" t="s">
        <v>1498</v>
      </c>
    </row>
    <row r="12" customFormat="false" ht="15" hidden="false" customHeight="false" outlineLevel="0" collapsed="false">
      <c r="A12" s="4" t="s">
        <v>1500</v>
      </c>
      <c r="B12" s="4" t="s">
        <v>1500</v>
      </c>
      <c r="C12" s="4" t="s">
        <v>15</v>
      </c>
      <c r="D12" s="4" t="s">
        <v>1501</v>
      </c>
      <c r="E12" s="4" t="s">
        <v>1507</v>
      </c>
      <c r="F12" s="4" t="s">
        <v>1505</v>
      </c>
      <c r="G12" s="4" t="s">
        <v>1502</v>
      </c>
      <c r="H12" s="4" t="s">
        <v>1509</v>
      </c>
    </row>
    <row r="13" customFormat="false" ht="15" hidden="false" customHeight="false" outlineLevel="0" collapsed="false">
      <c r="A13" s="4" t="s">
        <v>1511</v>
      </c>
      <c r="B13" s="4" t="s">
        <v>1511</v>
      </c>
      <c r="C13" s="4" t="s">
        <v>15</v>
      </c>
      <c r="D13" s="4" t="s">
        <v>1512</v>
      </c>
      <c r="E13" s="4" t="s">
        <v>1516</v>
      </c>
      <c r="F13" s="4" t="s">
        <v>1515</v>
      </c>
      <c r="G13" s="4" t="s">
        <v>1513</v>
      </c>
      <c r="H13" s="4" t="s">
        <v>1518</v>
      </c>
    </row>
    <row r="14" customFormat="false" ht="15" hidden="false" customHeight="false" outlineLevel="0" collapsed="false">
      <c r="A14" s="4" t="s">
        <v>1520</v>
      </c>
      <c r="B14" s="4" t="s">
        <v>1520</v>
      </c>
      <c r="C14" s="4" t="s">
        <v>15</v>
      </c>
      <c r="D14" s="4" t="s">
        <v>1425</v>
      </c>
      <c r="E14" s="4" t="s">
        <v>1431</v>
      </c>
      <c r="F14" s="4" t="s">
        <v>1522</v>
      </c>
      <c r="G14" s="4" t="s">
        <v>1521</v>
      </c>
      <c r="H14" s="4" t="s">
        <v>1524</v>
      </c>
    </row>
    <row r="15" customFormat="false" ht="15" hidden="false" customHeight="false" outlineLevel="0" collapsed="false">
      <c r="A15" s="4" t="s">
        <v>1526</v>
      </c>
      <c r="B15" s="4" t="s">
        <v>1526</v>
      </c>
      <c r="C15" s="4" t="s">
        <v>15</v>
      </c>
      <c r="D15" s="4" t="s">
        <v>1527</v>
      </c>
      <c r="E15" s="4" t="s">
        <v>1529</v>
      </c>
      <c r="F15" s="4" t="s">
        <v>1088</v>
      </c>
      <c r="G15" s="4" t="s">
        <v>1528</v>
      </c>
      <c r="H15" s="4" t="s">
        <v>1531</v>
      </c>
    </row>
    <row r="16" customFormat="false" ht="15" hidden="false" customHeight="false" outlineLevel="0" collapsed="false">
      <c r="A16" s="4" t="s">
        <v>1533</v>
      </c>
      <c r="B16" s="4" t="s">
        <v>1533</v>
      </c>
      <c r="C16" s="4" t="s">
        <v>15</v>
      </c>
      <c r="D16" s="4" t="s">
        <v>1425</v>
      </c>
      <c r="E16" s="4" t="s">
        <v>1431</v>
      </c>
      <c r="F16" s="4" t="s">
        <v>1536</v>
      </c>
      <c r="G16" s="4" t="s">
        <v>1534</v>
      </c>
      <c r="H16" s="4" t="s">
        <v>1538</v>
      </c>
    </row>
    <row r="17" customFormat="false" ht="15" hidden="false" customHeight="false" outlineLevel="0" collapsed="false">
      <c r="A17" s="4" t="s">
        <v>1540</v>
      </c>
      <c r="B17" s="4" t="s">
        <v>1540</v>
      </c>
      <c r="C17" s="4" t="s">
        <v>15</v>
      </c>
      <c r="D17" s="4" t="s">
        <v>1541</v>
      </c>
      <c r="E17" s="4" t="s">
        <v>86</v>
      </c>
      <c r="F17" s="4" t="s">
        <v>1542</v>
      </c>
      <c r="G17" s="4" t="s">
        <v>1494</v>
      </c>
      <c r="H17" s="4" t="s">
        <v>1544</v>
      </c>
    </row>
    <row r="18" customFormat="false" ht="15" hidden="false" customHeight="false" outlineLevel="0" collapsed="false">
      <c r="A18" s="4" t="s">
        <v>1546</v>
      </c>
      <c r="B18" s="4" t="s">
        <v>1546</v>
      </c>
      <c r="C18" s="4" t="s">
        <v>15</v>
      </c>
      <c r="D18" s="4" t="s">
        <v>1425</v>
      </c>
      <c r="E18" s="4" t="s">
        <v>1431</v>
      </c>
      <c r="F18" s="4" t="s">
        <v>1549</v>
      </c>
      <c r="G18" s="4" t="s">
        <v>1547</v>
      </c>
      <c r="H18" s="4" t="s">
        <v>1551</v>
      </c>
    </row>
    <row r="19" customFormat="false" ht="15" hidden="false" customHeight="false" outlineLevel="0" collapsed="false">
      <c r="A19" s="4" t="s">
        <v>1553</v>
      </c>
      <c r="B19" s="4" t="s">
        <v>1553</v>
      </c>
      <c r="C19" s="4" t="s">
        <v>15</v>
      </c>
      <c r="D19" s="4" t="s">
        <v>1554</v>
      </c>
      <c r="E19" s="4" t="s">
        <v>1559</v>
      </c>
      <c r="F19" s="4" t="s">
        <v>1558</v>
      </c>
      <c r="G19" s="4"/>
      <c r="H19" s="4" t="s">
        <v>1560</v>
      </c>
    </row>
    <row r="20" customFormat="false" ht="15" hidden="false" customHeight="false" outlineLevel="0" collapsed="false">
      <c r="A20" s="4" t="s">
        <v>1562</v>
      </c>
      <c r="B20" s="4" t="s">
        <v>1562</v>
      </c>
      <c r="C20" s="4" t="s">
        <v>15</v>
      </c>
      <c r="D20" s="4" t="s">
        <v>1563</v>
      </c>
      <c r="E20" s="4" t="s">
        <v>86</v>
      </c>
      <c r="F20" s="4" t="s">
        <v>1564</v>
      </c>
      <c r="G20" s="4"/>
      <c r="H20" s="4" t="s">
        <v>1566</v>
      </c>
    </row>
    <row r="21" customFormat="false" ht="15" hidden="false" customHeight="false" outlineLevel="0" collapsed="false">
      <c r="A21" s="4" t="s">
        <v>1568</v>
      </c>
      <c r="B21" s="4" t="s">
        <v>1568</v>
      </c>
      <c r="C21" s="4" t="s">
        <v>16</v>
      </c>
      <c r="D21" s="4" t="s">
        <v>1569</v>
      </c>
      <c r="E21" s="4" t="s">
        <v>1576</v>
      </c>
      <c r="F21" s="4" t="s">
        <v>1575</v>
      </c>
      <c r="G21" s="4" t="s">
        <v>1570</v>
      </c>
      <c r="H21" s="4" t="s">
        <v>1577</v>
      </c>
    </row>
    <row r="22" customFormat="false" ht="15" hidden="false" customHeight="false" outlineLevel="0" collapsed="false">
      <c r="A22" s="4" t="s">
        <v>1579</v>
      </c>
      <c r="B22" s="4" t="s">
        <v>1579</v>
      </c>
      <c r="C22" s="4" t="s">
        <v>16</v>
      </c>
      <c r="D22" s="4" t="s">
        <v>1580</v>
      </c>
      <c r="E22" s="4" t="s">
        <v>265</v>
      </c>
      <c r="F22" s="4" t="s">
        <v>1583</v>
      </c>
      <c r="G22" s="4"/>
      <c r="H22" s="4" t="s">
        <v>1584</v>
      </c>
    </row>
    <row r="23" customFormat="false" ht="15" hidden="false" customHeight="false" outlineLevel="0" collapsed="false">
      <c r="A23" s="4" t="s">
        <v>1586</v>
      </c>
      <c r="B23" s="4" t="s">
        <v>1586</v>
      </c>
      <c r="C23" s="4" t="s">
        <v>16</v>
      </c>
      <c r="D23" s="4" t="s">
        <v>1587</v>
      </c>
      <c r="E23" s="4" t="s">
        <v>120</v>
      </c>
      <c r="F23" s="4" t="s">
        <v>599</v>
      </c>
      <c r="G23" s="4"/>
      <c r="H23" s="4" t="s">
        <v>1588</v>
      </c>
    </row>
    <row r="24" customFormat="false" ht="15" hidden="false" customHeight="false" outlineLevel="0" collapsed="false">
      <c r="A24" s="4" t="s">
        <v>1590</v>
      </c>
      <c r="B24" s="4" t="s">
        <v>1590</v>
      </c>
      <c r="C24" s="4" t="s">
        <v>16</v>
      </c>
      <c r="D24" s="4" t="s">
        <v>1591</v>
      </c>
      <c r="E24" s="4" t="s">
        <v>184</v>
      </c>
      <c r="F24" s="4" t="s">
        <v>1592</v>
      </c>
      <c r="G24" s="4"/>
      <c r="H24" s="4" t="s">
        <v>1593</v>
      </c>
    </row>
    <row r="25" customFormat="false" ht="15" hidden="false" customHeight="false" outlineLevel="0" collapsed="false">
      <c r="A25" s="4" t="s">
        <v>1595</v>
      </c>
      <c r="B25" s="4" t="s">
        <v>1595</v>
      </c>
      <c r="C25" s="4" t="s">
        <v>16</v>
      </c>
      <c r="D25" s="4" t="s">
        <v>1596</v>
      </c>
      <c r="E25" s="4" t="s">
        <v>1598</v>
      </c>
      <c r="F25" s="4" t="s">
        <v>1597</v>
      </c>
      <c r="G25" s="4"/>
      <c r="H25" s="4" t="s">
        <v>1599</v>
      </c>
    </row>
    <row r="26" customFormat="false" ht="15" hidden="false" customHeight="false" outlineLevel="0" collapsed="false">
      <c r="A26" s="4" t="s">
        <v>1602</v>
      </c>
      <c r="B26" s="4" t="s">
        <v>1602</v>
      </c>
      <c r="C26" s="4" t="s">
        <v>16</v>
      </c>
      <c r="D26" s="4" t="s">
        <v>1603</v>
      </c>
      <c r="E26" s="4"/>
      <c r="F26" s="4" t="s">
        <v>599</v>
      </c>
      <c r="G26" s="4"/>
      <c r="H26" s="4" t="s">
        <v>1604</v>
      </c>
    </row>
  </sheetData>
  <autoFilter ref="A1:H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3"/>
    <col collapsed="false" customWidth="true" hidden="false" outlineLevel="0" max="2" min="2" style="0" width="110"/>
  </cols>
  <sheetData>
    <row r="1" customFormat="false" ht="30" hidden="false" customHeight="true" outlineLevel="0" collapsed="false">
      <c r="A1" s="8" t="s">
        <v>1605</v>
      </c>
      <c r="B1" s="8" t="s">
        <v>1606</v>
      </c>
    </row>
    <row r="2" customFormat="false" ht="15" hidden="false" customHeight="false" outlineLevel="0" collapsed="false">
      <c r="A2" s="4" t="s">
        <v>49</v>
      </c>
      <c r="B2" s="4" t="s">
        <v>1607</v>
      </c>
    </row>
    <row r="3" customFormat="false" ht="15" hidden="false" customHeight="false" outlineLevel="0" collapsed="false">
      <c r="A3" s="4" t="s">
        <v>50</v>
      </c>
      <c r="B3" s="4" t="s">
        <v>1608</v>
      </c>
    </row>
    <row r="4" customFormat="false" ht="15" hidden="false" customHeight="false" outlineLevel="0" collapsed="false">
      <c r="A4" s="4" t="s">
        <v>51</v>
      </c>
      <c r="B4" s="4" t="s">
        <v>1609</v>
      </c>
    </row>
    <row r="5" customFormat="false" ht="15" hidden="false" customHeight="false" outlineLevel="0" collapsed="false">
      <c r="A5" s="4" t="s">
        <v>52</v>
      </c>
      <c r="B5" s="4" t="s">
        <v>1610</v>
      </c>
    </row>
    <row r="6" customFormat="false" ht="15" hidden="false" customHeight="false" outlineLevel="0" collapsed="false">
      <c r="A6" s="4" t="s">
        <v>53</v>
      </c>
      <c r="B6" s="4" t="s">
        <v>1611</v>
      </c>
    </row>
    <row r="7" customFormat="false" ht="15" hidden="false" customHeight="false" outlineLevel="0" collapsed="false">
      <c r="A7" s="4" t="s">
        <v>17</v>
      </c>
      <c r="B7" s="4" t="s">
        <v>1612</v>
      </c>
    </row>
    <row r="8" customFormat="false" ht="15" hidden="false" customHeight="false" outlineLevel="0" collapsed="false">
      <c r="A8" s="4" t="s">
        <v>10</v>
      </c>
      <c r="B8" s="4" t="s">
        <v>1613</v>
      </c>
    </row>
    <row r="9" customFormat="false" ht="15" hidden="false" customHeight="false" outlineLevel="0" collapsed="false">
      <c r="A9" s="4" t="s">
        <v>54</v>
      </c>
      <c r="B9" s="4" t="s">
        <v>1614</v>
      </c>
    </row>
    <row r="10" customFormat="false" ht="15" hidden="false" customHeight="false" outlineLevel="0" collapsed="false">
      <c r="A10" s="4" t="s">
        <v>55</v>
      </c>
      <c r="B10" s="4" t="s">
        <v>1615</v>
      </c>
    </row>
    <row r="11" customFormat="false" ht="15" hidden="false" customHeight="false" outlineLevel="0" collapsed="false">
      <c r="A11" s="4" t="s">
        <v>56</v>
      </c>
      <c r="B11" s="4" t="s">
        <v>1616</v>
      </c>
    </row>
    <row r="12" customFormat="false" ht="15" hidden="false" customHeight="false" outlineLevel="0" collapsed="false">
      <c r="A12" s="4" t="s">
        <v>57</v>
      </c>
      <c r="B12" s="4" t="s">
        <v>1617</v>
      </c>
    </row>
    <row r="13" customFormat="false" ht="15" hidden="false" customHeight="false" outlineLevel="0" collapsed="false">
      <c r="A13" s="4" t="s">
        <v>60</v>
      </c>
      <c r="B13" s="4" t="s">
        <v>1618</v>
      </c>
    </row>
    <row r="14" customFormat="false" ht="15" hidden="false" customHeight="false" outlineLevel="0" collapsed="false">
      <c r="A14" s="4" t="s">
        <v>1619</v>
      </c>
      <c r="B14" s="4" t="s">
        <v>1620</v>
      </c>
    </row>
    <row r="15" customFormat="false" ht="15" hidden="false" customHeight="false" outlineLevel="0" collapsed="false">
      <c r="A15" s="4" t="s">
        <v>64</v>
      </c>
      <c r="B15" s="4" t="s">
        <v>1621</v>
      </c>
    </row>
    <row r="16" customFormat="false" ht="15" hidden="false" customHeight="false" outlineLevel="0" collapsed="false">
      <c r="A16" s="4" t="s">
        <v>73</v>
      </c>
      <c r="B16" s="4" t="s">
        <v>1622</v>
      </c>
    </row>
    <row r="17" customFormat="false" ht="15" hidden="false" customHeight="false" outlineLevel="0" collapsed="false">
      <c r="A17" s="4" t="s">
        <v>74</v>
      </c>
      <c r="B17" s="4" t="s">
        <v>1623</v>
      </c>
    </row>
    <row r="18" customFormat="false" ht="15" hidden="false" customHeight="false" outlineLevel="0" collapsed="false">
      <c r="A18" s="4" t="s">
        <v>75</v>
      </c>
      <c r="B18" s="4" t="s">
        <v>1624</v>
      </c>
    </row>
    <row r="19" customFormat="false" ht="15" hidden="false" customHeight="false" outlineLevel="0" collapsed="false">
      <c r="A19" s="4" t="s">
        <v>1625</v>
      </c>
      <c r="B19" s="4" t="s">
        <v>1626</v>
      </c>
    </row>
  </sheetData>
  <autoFilter ref="A1:B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7"/>
    <col collapsed="false" customWidth="true" hidden="false" outlineLevel="0" max="3" min="3" style="0" width="110"/>
  </cols>
  <sheetData>
    <row r="1" customFormat="false" ht="30" hidden="false" customHeight="true" outlineLevel="0" collapsed="false">
      <c r="A1" s="8" t="s">
        <v>1627</v>
      </c>
      <c r="B1" s="8" t="s">
        <v>1628</v>
      </c>
      <c r="C1" s="8" t="s">
        <v>1629</v>
      </c>
    </row>
    <row r="2" customFormat="false" ht="15" hidden="false" customHeight="false" outlineLevel="0" collapsed="false">
      <c r="A2" s="4" t="s">
        <v>1630</v>
      </c>
      <c r="B2" s="4" t="n">
        <v>344</v>
      </c>
      <c r="C2" s="4" t="s">
        <v>1631</v>
      </c>
    </row>
    <row r="3" customFormat="false" ht="15" hidden="false" customHeight="false" outlineLevel="0" collapsed="false">
      <c r="A3" s="4" t="s">
        <v>1632</v>
      </c>
      <c r="B3" s="4" t="n">
        <v>48</v>
      </c>
      <c r="C3" s="4" t="s">
        <v>1633</v>
      </c>
    </row>
    <row r="4" customFormat="false" ht="15" hidden="false" customHeight="false" outlineLevel="0" collapsed="false">
      <c r="A4" s="4" t="s">
        <v>1634</v>
      </c>
      <c r="B4" s="4" t="n">
        <v>101</v>
      </c>
      <c r="C4" s="4" t="s">
        <v>1635</v>
      </c>
    </row>
    <row r="5" customFormat="false" ht="15" hidden="false" customHeight="false" outlineLevel="0" collapsed="false">
      <c r="A5" s="4" t="s">
        <v>1636</v>
      </c>
      <c r="B5" s="4" t="n">
        <v>195</v>
      </c>
      <c r="C5" s="4" t="s">
        <v>1637</v>
      </c>
    </row>
    <row r="6" customFormat="false" ht="15" hidden="false" customHeight="false" outlineLevel="0" collapsed="false">
      <c r="A6" s="4" t="s">
        <v>1638</v>
      </c>
      <c r="B6" s="4" t="n">
        <v>195</v>
      </c>
      <c r="C6" s="4" t="s">
        <v>1639</v>
      </c>
    </row>
    <row r="7" customFormat="false" ht="15" hidden="false" customHeight="false" outlineLevel="0" collapsed="false">
      <c r="A7" s="4" t="s">
        <v>1640</v>
      </c>
      <c r="B7" s="4" t="n">
        <v>6</v>
      </c>
      <c r="C7" s="4" t="s">
        <v>1641</v>
      </c>
    </row>
    <row r="8" customFormat="false" ht="15" hidden="false" customHeight="false" outlineLevel="0" collapsed="false">
      <c r="A8" s="4" t="s">
        <v>1642</v>
      </c>
      <c r="B8" s="4" t="n">
        <v>144</v>
      </c>
      <c r="C8" s="4" t="s">
        <v>1643</v>
      </c>
    </row>
    <row r="9" customFormat="false" ht="15" hidden="false" customHeight="false" outlineLevel="0" collapsed="false">
      <c r="A9" s="4" t="s">
        <v>1644</v>
      </c>
      <c r="B9" s="4" t="n">
        <v>7</v>
      </c>
      <c r="C9" s="4" t="s">
        <v>1645</v>
      </c>
    </row>
    <row r="10" customFormat="false" ht="15" hidden="false" customHeight="false" outlineLevel="0" collapsed="false">
      <c r="A10" s="4" t="s">
        <v>1646</v>
      </c>
      <c r="B10" s="4" t="n">
        <v>195</v>
      </c>
      <c r="C10" s="4" t="s">
        <v>1647</v>
      </c>
    </row>
    <row r="11" customFormat="false" ht="15" hidden="false" customHeight="false" outlineLevel="0" collapsed="false">
      <c r="A11" s="4" t="s">
        <v>1648</v>
      </c>
      <c r="B11" s="4" t="n">
        <v>16</v>
      </c>
      <c r="C11" s="4" t="s">
        <v>1649</v>
      </c>
    </row>
  </sheetData>
  <autoFilter ref="A1:C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2026-10-06T02:59:31Z</dcterms:created>
  <dc:creator>openpyxl</dc:creator>
  <dc:description/>
  <dc:language>en-US</dc:language>
  <cp:lastModifiedBy/>
  <dcterms:modified xsi:type="dcterms:W3CDTF">2026-10-06T02:59:31Z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