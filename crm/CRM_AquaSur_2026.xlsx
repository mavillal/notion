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ntactos" sheetId="1" state="visible" r:id="rId3"/>
    <sheet name="Oportunidades" sheetId="2" state="visible" r:id="rId4"/>
    <sheet name="Resumen" sheetId="3" state="visible" r:id="rId5"/>
    <sheet name="Evento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<sst xmlns="http://schemas.openxmlformats.org/spreadsheetml/2006/main" count="6330" uniqueCount="1809">
  <si>
    <t xml:space="preserve">ID</t>
  </si>
  <si>
    <t xml:space="preserve">Nombre</t>
  </si>
  <si>
    <t xml:space="preserve">Cargo</t>
  </si>
  <si>
    <t xml:space="preserve">Empresa</t>
  </si>
  <si>
    <t xml:space="preserve">País</t>
  </si>
  <si>
    <t xml:space="preserve">Email</t>
  </si>
  <si>
    <t xml:space="preserve">LinkedIn</t>
  </si>
  <si>
    <t xml:space="preserve">Origen</t>
  </si>
  <si>
    <t xml:space="preserve">Estado</t>
  </si>
  <si>
    <t xml:space="preserve">Prioridad</t>
  </si>
  <si>
    <t xml:space="preserve">Próxima acción</t>
  </si>
  <si>
    <t xml:space="preserve">Notas</t>
  </si>
  <si>
    <t xml:space="preserve">Segmento SafetyMind</t>
  </si>
  <si>
    <t xml:space="preserve">Stand(s)</t>
  </si>
  <si>
    <t xml:space="preserve">N° stands</t>
  </si>
  <si>
    <t xml:space="preserve">Rubro AquaSur</t>
  </si>
  <si>
    <t xml:space="preserve">Descripción</t>
  </si>
  <si>
    <t xml:space="preserve">Teléfono(s)</t>
  </si>
  <si>
    <t xml:space="preserve">Cruce otros CRM</t>
  </si>
  <si>
    <t xml:space="preserve">AQUACHILE</t>
  </si>
  <si>
    <t xml:space="preserve">Chile</t>
  </si>
  <si>
    <t xml:space="preserve">AquaSur 2026</t>
  </si>
  <si>
    <t xml:space="preserve">Prospecto</t>
  </si>
  <si>
    <t xml:space="preserve">Alta</t>
  </si>
  <si>
    <t xml:space="preserve">Mapear Gerente de Personas/SSOMA y centros de cultivo; proponer piloto (buceo, cosecha, wellboat)</t>
  </si>
  <si>
    <t xml:space="preserve">AquaSur 2026. Sin contacto publicado.</t>
  </si>
  <si>
    <t xml:space="preserve">Cliente final – productor acuícola</t>
  </si>
  <si>
    <t xml:space="preserve">N-32</t>
  </si>
  <si>
    <t xml:space="preserve">Producción acuícola, pesquera y alimentos › Productores / procesadores acuícolas</t>
  </si>
  <si>
    <t xml:space="preserve">AquaChile empresa nacida en el sur de Chile Líder en la producción de salmón a nivel nacional y mundial. Conformada por un equipo de personas apasionadas y comprometidas, convencidas de que la innovación es parte esencial del ADN. En AquaChile existe un profundo orgullo por su origen, por su gente y por el rol que cumple llevando salmón chileno de alta calidad a los mercados internacionales</t>
  </si>
  <si>
    <t xml:space="preserve">No</t>
  </si>
  <si>
    <t xml:space="preserve">BLUMAR</t>
  </si>
  <si>
    <t xml:space="preserve">AquaSur 2026. Sin stand asignado en el listado. Sin contacto publicado.</t>
  </si>
  <si>
    <t xml:space="preserve">Sin stand</t>
  </si>
  <si>
    <t xml:space="preserve">Blumar es una compañía chilena con más de 75 años de trayectoria en pesca y acuicultura. Integra toda su cadena productiva, desde la captura y elaboración de harina y aceite de pescado hasta la salmonicultura en el sur austral. Con presencia en Chile y mercados internacionales, impulsa una operación sostenible, innovadora y comprometida con el cuidado del océano y el trabajo con las comunidades.</t>
  </si>
  <si>
    <t xml:space="preserve">ALO RENTAL</t>
  </si>
  <si>
    <t xml:space="preserve">Identificar Gerente HSE/Prevención en LinkedIn y proponer demo (faenas marítimas de alto riesgo)</t>
  </si>
  <si>
    <t xml:space="preserve">AquaSur 2026. También expone en Exponor 2026 (ID 16). Sin contacto publicado.</t>
  </si>
  <si>
    <t xml:space="preserve">Cliente potencial – contratista / operación de alto riesgo</t>
  </si>
  <si>
    <t xml:space="preserve">AD-04</t>
  </si>
  <si>
    <t xml:space="preserve">Equipos e insumos industriales › Ingeniería / mantenimiento</t>
  </si>
  <si>
    <t xml:space="preserve">En ALO Group, hemos liderado el sector de soluciones para trabajos en altura desde 2004, ofreciendo servicios integrales que garantizan seguridad y eficiencia en cada proyecto. Nos dedicamos a elevar personas y proyectos, brindando certeza y confianza a través de soluciones integrales en plataformas para trabajo en altura y manipuladores telescópicos.</t>
  </si>
  <si>
    <t xml:space="preserve">Exponor (ID 16)</t>
  </si>
  <si>
    <t xml:space="preserve">ASENAV</t>
  </si>
  <si>
    <t xml:space="preserve">A-36</t>
  </si>
  <si>
    <t xml:space="preserve">Infraestructura marina y equipamiento acuícola › Servicios / equipos marítimos</t>
  </si>
  <si>
    <t xml:space="preserve">ASENAV es un astillero chileno con más de 50 años de experiencia en el diseño y construcción de embarcaciones especializadas. Destaca por su ingeniería propia, soluciones a medida y altos estándares de calidad, innovación y sostenibilidad, atendiendo clientes de la industria acuícola y marítima a nivel internacional.</t>
  </si>
  <si>
    <t xml:space="preserve">ASMAR SHIPYARDS</t>
  </si>
  <si>
    <t xml:space="preserve">J-49</t>
  </si>
  <si>
    <t xml:space="preserve">Infraestructura marina y equipamiento acuícola › Jaulas / flotación / estructuras</t>
  </si>
  <si>
    <t xml:space="preserve">Astilleros y Maestranzas de la Armada – ASMAR, es un astillero estatal chileno, cuya actividad principal es satisfacer las necesidades de mantenimiento y construcción de buques para la Armada de Chile. Además, ASMAR repara, carena, transforma y moderniza buques pesqueros y mercantes, junto a plataformas de ensilajes, pontones y otros artefactos navales.</t>
  </si>
  <si>
    <t xml:space="preserve">BELATOR</t>
  </si>
  <si>
    <t xml:space="preserve">M-36</t>
  </si>
  <si>
    <t xml:space="preserve">Servicios empresariales y consultoría › Servicios operacionales / abastecimiento</t>
  </si>
  <si>
    <t xml:space="preserve">Aseguramos la continuidad operacional del negocio gracias al alto nivel de nuestros operadores, y a la optimización de los procesos a través de tecnología de vanguardia que permite prevenir posibles riesgos. Siendo lo primordial la seguridad anticipativa de la mano del modelo de seguridad basada en la supervivencia urbana.</t>
  </si>
  <si>
    <t xml:space="preserve">COMERCIAL INDUSTRIAL TERRAMAR SPA - WALBUSCH S.A</t>
  </si>
  <si>
    <t xml:space="preserve">B-18</t>
  </si>
  <si>
    <t xml:space="preserve">Infraestructura marina y equipamiento acuícola › Redes / cabos / fondeo</t>
  </si>
  <si>
    <t xml:space="preserve">Walbusch S.A. Desde 1996, hemos sido pioneros en servicios marítimos para la industria salmonicultura, adaptándonos a las crecientes demandas del sector. Con una amplia experiencia en el montaje de sistemas de fondeo.</t>
  </si>
  <si>
    <t xml:space="preserve">DIVING AUSTRAL</t>
  </si>
  <si>
    <t xml:space="preserve">S-16</t>
  </si>
  <si>
    <t xml:space="preserve">Instituciones, medios y certificación › Certificación / bienestar animal</t>
  </si>
  <si>
    <t xml:space="preserve">Somos una empresa especializada en ingeniería y construcción submarina, que entrega soluciones integrales en los ámbitos industrial, portuario y energético. Operamos bajo altos estándares de seguridad y calidad, con buzos certificados y respaldo técnico. Contamos con certificación Oil Spill Response (OSR), que acredita nuestra capacidad operativa ante emergencias ambientales en el medio marino.</t>
  </si>
  <si>
    <t xml:space="preserve">DYC INGENIERIA</t>
  </si>
  <si>
    <t xml:space="preserve">G-24</t>
  </si>
  <si>
    <t xml:space="preserve">Transporte y logística › Transporte acuícola / wellboats</t>
  </si>
  <si>
    <t xml:space="preserve">Trabajos de Ingenieria en Electronica y Automatizacion Industrial en Piscicultura, plantas de proceso de salmones y Wellboat.</t>
  </si>
  <si>
    <t xml:space="preserve">FABRIMAQ</t>
  </si>
  <si>
    <t xml:space="preserve">C-02</t>
  </si>
  <si>
    <t xml:space="preserve">FABRIMAQ es una empresa de ingeniería fabricación y servicios de maestranza orientada a la industria acuícola y alimenticia. Desarrolla proyectos llave en mano para el manejo de peces, sistemas de bombeo, transporte y procesos productivos, aplicados a Pisciculturas, Wellboats y Plantas de Proceso, integrando ingeniería, modelamiento 3D, fabricación en acero inoxidable y soluciones en HDPE.</t>
  </si>
  <si>
    <t xml:space="preserve">FYT TRANSPORTES</t>
  </si>
  <si>
    <t xml:space="preserve">ST-96</t>
  </si>
  <si>
    <t xml:space="preserve">Transporte y logística › Transporte especializado / grúas</t>
  </si>
  <si>
    <t xml:space="preserve">Nos dedicamos al transporte especial, tenemos distintas grúas, y también tenemos movimiento de tierra, contamos con moto niveladora y demás,</t>
  </si>
  <si>
    <t xml:space="preserve">Kafra Robotica spa</t>
  </si>
  <si>
    <t xml:space="preserve">ST-102</t>
  </si>
  <si>
    <t xml:space="preserve">Somos una empresa dedicada a la robotica submarina, instalacion de sistema de oxigenación , certificacion de cebtro de cultivo los servicios que contamos son los siguientes: *Inspección y costura de red lobera y pecera. *inspeccion de lineas de fondeos y certificación *extracción de mortalidad y observación de alimentación. *instalacion y desmontaje de oxigenación.</t>
  </si>
  <si>
    <t xml:space="preserve">NACHIPA</t>
  </si>
  <si>
    <t xml:space="preserve">G-27</t>
  </si>
  <si>
    <t xml:space="preserve">NACHIPA Wellboats nace con el objetivo de entregar el más alto estándar de transporte, siembra, tratamiento y cosechas de peces vivos. Con sede en Puerto Montt, pero con mirada hacia Chile y el mundo; en nuestra empresa confluyen 70 años de experiencia de dos grandes actores del mundo naviero, Naviera Chilena del Pacífico S.A., (Nachipa) y Solvtrans AS.</t>
  </si>
  <si>
    <t xml:space="preserve">NAVAL PRO SPA</t>
  </si>
  <si>
    <t xml:space="preserve">ST-79</t>
  </si>
  <si>
    <t xml:space="preserve">OCEANICAPRO/NAVALPRO EMPRESAS DE CONSULTORIA NAVAL Y MARITIMA ENFOCADA EN EL DISEÑO Y VALIDACION ESTRUCTURAL.</t>
  </si>
  <si>
    <t xml:space="preserve">PELICANOS</t>
  </si>
  <si>
    <t xml:space="preserve">M-24</t>
  </si>
  <si>
    <t xml:space="preserve">Pelícanos Ltda. Ubicados en la Región de los Lagos, desde 2009 realizamos estudios de oceanografía: correntometría, viento, oleaje, mareas y batimetría exploratoria. Trabajamos con empresas salmoneras como Camanchaca, Mowi, AquaChile, Salmones Austral, Cermaq y Australis; además de prestar servicios a los puertos de Arica, Quintero y San Antonio.</t>
  </si>
  <si>
    <t xml:space="preserve">Portuaria Cabo Froward</t>
  </si>
  <si>
    <t xml:space="preserve">G-52</t>
  </si>
  <si>
    <t xml:space="preserve">PORTUARIA CABO FROWARD, AGUNSA y CMC pertenecen al Grupo Empresas Navieras S.A., holding que tiene una destacada presencia en el rubro marítimo, portuario y aeroportuario tanto nacional como internacional, con presencia en más de 20 países.</t>
  </si>
  <si>
    <t xml:space="preserve">SISDEF</t>
  </si>
  <si>
    <t xml:space="preserve">J-50</t>
  </si>
  <si>
    <t xml:space="preserve">SISDEF Ltda., es una empresa chilena con más de 42 años en Chile, relacionada con ASMAR, fundada en septiembre de 1983 para desarrollar soluciones de Ingeniería principalmente para la defensa, seguridad electrónica, ámbito marítimo e industrial</t>
  </si>
  <si>
    <t xml:space="preserve">SITRANS LTDA.</t>
  </si>
  <si>
    <t xml:space="preserve">AquaSur 2026. También expone en Exponor 2026 (ID 67). Sin contacto publicado.</t>
  </si>
  <si>
    <t xml:space="preserve">B-36</t>
  </si>
  <si>
    <t xml:space="preserve">Envases, embalaje y materiales › Packaging / materiales</t>
  </si>
  <si>
    <t xml:space="preserve">Sitrans es una empresa logística chilena del Holding Ultramar con más de 40 años de experiencia. Especialista en contenedores, transporte y almacenaje multindustria, cuenta con terminales desde Arica a Puerto Montt y un equipo de excelencia. Ofrece servicios flexibles, eficientes y a medida, basados en innovación, procesos y tecnología.</t>
  </si>
  <si>
    <t xml:space="preserve">Exponor (ID 67)</t>
  </si>
  <si>
    <t xml:space="preserve">SOCIBER</t>
  </si>
  <si>
    <t xml:space="preserve">K-10</t>
  </si>
  <si>
    <t xml:space="preserve">Sociber, Dique flotante ubicado en puerto de Valparaíso, empresa dedicada a mantenciones y reparaciones de naves, artefactos navales e instalaciones marítimas.</t>
  </si>
  <si>
    <t xml:space="preserve">TECH MARINE AND LOGISTICS SpA</t>
  </si>
  <si>
    <t xml:space="preserve">D-56</t>
  </si>
  <si>
    <t xml:space="preserve">Automatización, robótica y monitoreo › ROV / robótica</t>
  </si>
  <si>
    <t xml:space="preserve">TML entrega soluciones de respaldo energético y continuidad operacional 24/7 para industrias críticas. Con experiencia en entornos exigentes, apoyamos a nuestros clientes con arriendo de generadores, soporte técnico inmediato, logística confiable, además contamos con una red de proveedores para repuestos en todo el mundo, asegurando operación continua, seguridad y cumplimiento en cada faena.</t>
  </si>
  <si>
    <t xml:space="preserve">TEKNICA</t>
  </si>
  <si>
    <t xml:space="preserve">AquaSur 2026. También expone en Exponor 2026 (ID 1246). Sin contacto publicado.</t>
  </si>
  <si>
    <t xml:space="preserve">A-07</t>
  </si>
  <si>
    <t xml:space="preserve">Seguridad, protección y emergencia › Protección industrial / seguridad</t>
  </si>
  <si>
    <t xml:space="preserve">TEKNICA, nuestro propósito es "Hacer que el corazón de Chile nunca se detenga". Con más de 450 colaboradores, trabajamos para garantizar un 100% de continuidad operacional para los sistemas críticos de nuestros clientes. Nos especializamos en 5 áreas claves, UPS &amp; Power Quality, Climatización de Precisión e Industrial, Sistemas Contra Incendios, Monitoreo &amp; Control, y Soluciones Modulares.</t>
  </si>
  <si>
    <t xml:space="preserve">Exponor (ID 1246)</t>
  </si>
  <si>
    <t xml:space="preserve">TOPTAINER</t>
  </si>
  <si>
    <t xml:space="preserve">B-24</t>
  </si>
  <si>
    <t xml:space="preserve">TOPTAINER es una empresa de logística que conecta las regiones australes del sur de Chile con soluciones multimodales eficientes y confiables. Integra transporte terrestre y marítimo, infraestructura operativa y experiencia en terreno, brindando un servicio de calidad enfocado en el cliente.</t>
  </si>
  <si>
    <t xml:space="preserve">UNDERDEEP</t>
  </si>
  <si>
    <t xml:space="preserve">A-38</t>
  </si>
  <si>
    <t xml:space="preserve">Instituciones, medios y certificación › Asociaciones / sector público</t>
  </si>
  <si>
    <t xml:space="preserve">Grupo de Empresas dedicadas a la exploración de fondos marinos, operaciones marítimas y submarinas de amplia envergadura; así como operaciones logísticas y de transporte a través de todo el país. Brindamos soluciones, tecnología y soporte especializado para estudios geofísicos y marinos, hidrografía de alta resolución, buceo comercial, vehículos de operación remota (ROV), cámara hiperbárica</t>
  </si>
  <si>
    <t xml:space="preserve">IMENCO</t>
  </si>
  <si>
    <t xml:space="preserve">Mapear oferta: evaluar integración (cámaras, IoT, ROV) o competencia</t>
  </si>
  <si>
    <t xml:space="preserve">AquaSur 2026. Varios stands (mayor inversión). Sin contacto publicado.</t>
  </si>
  <si>
    <t xml:space="preserve">Partner tecnológico / competidor</t>
  </si>
  <si>
    <t xml:space="preserve">H-28, M39A</t>
  </si>
  <si>
    <t xml:space="preserve">Imenco Aqua es un holding noruego fundado en 1979, socio estratégico de la acuicultura global. Desarrolla soluciones tecnológicas en cámaras, alimentación, oxigenación, monitoreo y bienestar animal. Opera globalmente, con fuerte presencia en Chile desde 1995, y foco en sostenibilidad, ciencia e innovación.</t>
  </si>
  <si>
    <t xml:space="preserve">ACE AQUATEC</t>
  </si>
  <si>
    <t xml:space="preserve">K-35</t>
  </si>
  <si>
    <t xml:space="preserve">Automatización, robótica y monitoreo › Sensores / instrumentación / monitoreo</t>
  </si>
  <si>
    <t xml:space="preserve">Ace Aquatec es una empresa líder y galardonada en tecnología avanzada para la acuicultura y las industrias marinas. Trabajamos junto a expertos de referencia mundial en diversas disciplinas científicas para transformar los últimos avances tecnológicos en soluciones prácticas, eficientes y sostenibles para el sector.</t>
  </si>
  <si>
    <t xml:space="preserve">ADENTU</t>
  </si>
  <si>
    <t xml:space="preserve">J-10</t>
  </si>
  <si>
    <t xml:space="preserve">Energía, climatización e iluminación › Energía / combustibles / electrificación</t>
  </si>
  <si>
    <t xml:space="preserve">Adentu es una empresa especializada en la venta e integración de equipos ROV, sensores y accesorios para operaciones submarinas. Con más de 10 años de experiencia, entregamos soluciones tecnológicas avanzadas para inspección, monitoreo e intervención en sectores como acuicultura, energía y minería, con foco en confiabilidad y soporte experto.</t>
  </si>
  <si>
    <t xml:space="preserve">AISBERG</t>
  </si>
  <si>
    <t xml:space="preserve">N-26</t>
  </si>
  <si>
    <t xml:space="preserve">Tecnología digital y telecom › IA / analítica</t>
  </si>
  <si>
    <t xml:space="preserve">Empresa de desarrollo tecnológico, con especialidad en uso de herramientas de Inteligencia Artifical, visión artificial, big data, machine learning y sensores inteligentes que apuntan a la optimización y automatización de procesos de producción acuícola</t>
  </si>
  <si>
    <t xml:space="preserve">AKVA GROUP</t>
  </si>
  <si>
    <t xml:space="preserve">G-28</t>
  </si>
  <si>
    <t xml:space="preserve">AKVA group es el mayor proveedor mundial de soluciones y servicios para la acuicultura. Con presencia global y profundo conocimiento de la industria, ofrece infraestructura marina, sistemas de alimentación de precisión, proyectos integrales de smolt y engorda, y plataformas digitales avanzadas que optimizan la producción en mar y tierra impulsando una acuicultura más eficiente y sostenible.</t>
  </si>
  <si>
    <t xml:space="preserve">ALFAPEOPLE</t>
  </si>
  <si>
    <t xml:space="preserve">AquaSur 2026. También expone en Exponor 2026 (ID 384). Sin contacto publicado.</t>
  </si>
  <si>
    <t xml:space="preserve">P-18</t>
  </si>
  <si>
    <t xml:space="preserve">AlfaPeople es una consultora internacional especializada en Microsoft Dynamics 365 y soluciones de IA. Acompañamos a empresas en la modernización de sus procesos de negocio mediante ERP, CRM, Copilot y analítica avanzada, combinando experiencia sectorial, enfoque estratégico y ejecución orientada a resultados.</t>
  </si>
  <si>
    <t xml:space="preserve">Exponor (ID 384)</t>
  </si>
  <si>
    <t xml:space="preserve">AQUABYTE</t>
  </si>
  <si>
    <t xml:space="preserve">G-10</t>
  </si>
  <si>
    <t xml:space="preserve">Aquabyte es líder en el suministro de sistemas para estimación de biomasa, monitoreo de bienestar y comportamiento, y conteo de Caligus para los productores de peces.</t>
  </si>
  <si>
    <t xml:space="preserve">Automation Anywhere</t>
  </si>
  <si>
    <t xml:space="preserve">P-27</t>
  </si>
  <si>
    <t xml:space="preserve">Automation Anywhere es un software de automatización inteligente que permite crear y gestionar bots capaces de ejecutar procesos digitales emulando el comportamiento humano. Combina RPA, IA y analítica para integrar sistemas, automatizar tareas repetitivas y orquestar flujos de trabajo de forma segura, escalable y centralizada.</t>
  </si>
  <si>
    <t xml:space="preserve">BASELINE</t>
  </si>
  <si>
    <t xml:space="preserve">N-44</t>
  </si>
  <si>
    <t xml:space="preserve">Tecnología digital y telecom › Software / TI / ciberseguridad</t>
  </si>
  <si>
    <t xml:space="preserve">Baseline Cybersecurity es una compañía especializada en ciberseguridad con amplia experiencia en la protección de entornos digitales. Nuestras soluciones y servicios son transversales a las distintas industrias del mercado chileno y se adaptan a los nuevos desafíos que la ciberseguridad representa para el sector público y privado.</t>
  </si>
  <si>
    <t xml:space="preserve">BIOCEANOR</t>
  </si>
  <si>
    <t xml:space="preserve">F-16</t>
  </si>
  <si>
    <t xml:space="preserve">Bioceanor ha desarrollado una serie de servicios basados en IA y orientados y dedicados a la calidad del agua. Estos análisis y pronósticos dan soporte y apoyan operaciones de acuicultura mas eficiente y sostenibles en todo el mundo</t>
  </si>
  <si>
    <t xml:space="preserve">BlueDATAB</t>
  </si>
  <si>
    <t xml:space="preserve">Croacia</t>
  </si>
  <si>
    <t xml:space="preserve">E-17</t>
  </si>
  <si>
    <t xml:space="preserve">BlueDataB Inc. ofrece la primera y única solución automática de conteo de peces para la acuicultura comercial. Su Fish Counting Robot analiza imágenes submarinas desde cualquier cámara, entregando conteos con hasta 98 % de precisión en horas o casi en tiempo real. Sin manipulación de peces, sin suposiciones — datos precisos para optimizar la alimentación y operar de forma más sustentable.</t>
  </si>
  <si>
    <t xml:space="preserve">CAPTA HYDRO SPA</t>
  </si>
  <si>
    <t xml:space="preserve">P-45</t>
  </si>
  <si>
    <t xml:space="preserve">Capta Hydro es una empresa dedicada al desarrollo de soluciones tecnológicas para la captación, monitoreo y gestión eficiente del recurso hídrico. Integramos sistemas de medición, automatización y análisis de datos que permiten optimizar operaciones, cumplir normativas y promover una gestión sostenible del agua.</t>
  </si>
  <si>
    <t xml:space="preserve">CONFIABILIDAD</t>
  </si>
  <si>
    <t xml:space="preserve">AquaSur 2026. También expone en Exponor 2026 (ID 497). Sin contacto publicado.</t>
  </si>
  <si>
    <t xml:space="preserve">GA-37</t>
  </si>
  <si>
    <t xml:space="preserve">SOMOS ESPECIALISTAS EN SOLUCIONES PARA EL MONITOREO PREDICTIVO INALÁMBRICO/CABLEADO Y GESTIÓN DE ACTIVOS INDUSTRIALES.</t>
  </si>
  <si>
    <t xml:space="preserve">Exponor (ID 497)</t>
  </si>
  <si>
    <t xml:space="preserve">DATAQU</t>
  </si>
  <si>
    <t xml:space="preserve">E-10</t>
  </si>
  <si>
    <t xml:space="preserve">DataQu es una empresa especializada en analítica avanzada, inteligencia artificial y desarrollo de software a medida. Trabajamos con diversas industrias y, entre ellas, ayudamos a la acuícola a transformar sus datos en decisiones operativas y estratégicas, optimizando procesos, productividad y sostenibilidad mediante soluciones tecnológicas aplicadas al negocio.</t>
  </si>
  <si>
    <t xml:space="preserve">DATASCOPE</t>
  </si>
  <si>
    <t xml:space="preserve">ST-81</t>
  </si>
  <si>
    <t xml:space="preserve">DataScope es una plataforma para digitalizar y controlar operaciones industriales (seguridad, calidad, mantenimiento y servicios en terreno). Permite crear checklists e inspecciones en minutos, capturar evidencias (fotos, GPS, firmas), automatizar reportes en PDF y visualizar KPIs en tiempo real. Integra equipos, contratistas y clientes en una sola solución.</t>
  </si>
  <si>
    <t xml:space="preserve">DEEP TREKKER SPA</t>
  </si>
  <si>
    <t xml:space="preserve">AquaSur 2026. También expone en Exponor 2026 (ID 103). Sin contacto publicado.</t>
  </si>
  <si>
    <t xml:space="preserve">L-35</t>
  </si>
  <si>
    <t xml:space="preserve">Deep Trekker SpA es la filial en Chile de Deep Trekker Inc., especializada en robótica submarina y soluciones de inspección remota. Ofrecemos ROVs compactos, sensores y soporte técnico para acuicultura, puertos, minería y energía, mejorando seguridad, continuidad operativa y calidad de datos en entornos exigentes.</t>
  </si>
  <si>
    <t xml:space="preserve">Exponor (ID 103)</t>
  </si>
  <si>
    <t xml:space="preserve">ECTO, INC.</t>
  </si>
  <si>
    <t xml:space="preserve">Estados Unidos</t>
  </si>
  <si>
    <t xml:space="preserve">G-39</t>
  </si>
  <si>
    <t xml:space="preserve">Ecto es una empresa de EEUU especializada en Data &amp; Analytics para acuicultura con presencia en múltiples países. Permite digitalizar la recolección de datos con formularios inteligentes personalizados que funcionan con o sin internet, generar dashboards y reportes a la medida, conectarse con múltiples fuentes de información (ERP, sensores, etc.) y generar análisis y modelos predictivos.</t>
  </si>
  <si>
    <t xml:space="preserve">ELECTRONICA MARINA ITECH LIMITADA</t>
  </si>
  <si>
    <t xml:space="preserve">J-48</t>
  </si>
  <si>
    <t xml:space="preserve">Automatización, robótica y monitoreo › Automatización / control</t>
  </si>
  <si>
    <t xml:space="preserve">Ofrecemos una gama completa de servicios técnicos y equipamientos para asegurar la navegación segura de su flota. Desde instalación y reparación hasta mantenimiento rutinario, nuestro equipo está preparado para brindar el soporte que necesita. Estamos presentes en todos los principales puertos de Chile para asegurar un tiempo de respuesta rápido para el soporte técnico.</t>
  </si>
  <si>
    <t xml:space="preserve">ENTEL</t>
  </si>
  <si>
    <t xml:space="preserve">AquaSur 2026. También expone en Exponor 2026 (ID 108). También expone en ExpoMina 2026 (ID 42). Sin contacto publicado.</t>
  </si>
  <si>
    <t xml:space="preserve">PY-00, Sin stand</t>
  </si>
  <si>
    <t xml:space="preserve">Tecnología digital y telecom › Telecomunicaciones / conectividad</t>
  </si>
  <si>
    <t xml:space="preserve">Entel es una empresa líder en telecomunicaciones y soluciones tecnológicas en Chile y Perú. Ofrece servicios de conectividad, tecnología y transformación tecnológica para personas, empresas y el sector público, impulsando la innovación, la productividad y el desarrollo sostenible.</t>
  </si>
  <si>
    <t xml:space="preserve">Exponor (ID 108); ExpoMina (ID 42)</t>
  </si>
  <si>
    <t xml:space="preserve">FondeApp</t>
  </si>
  <si>
    <t xml:space="preserve">ST-122</t>
  </si>
  <si>
    <t xml:space="preserve">Se trata de una plataforma digital como puente entre la ingeniería, la gerencia de operaciones y terreno. La aplicación ofrece un entorno colaborativo permitiendo: - Gestión de Proyectos en Tiempo Real. - Trazabilidad de Materiales (Cumplimiento Res. 1821). - Logística y Control de Inventario. - Auditoría de Calidad (QA/QC) permitiendo el seguimiento de observaciones y pruebas de tracción.</t>
  </si>
  <si>
    <t xml:space="preserve">FRACTTAL</t>
  </si>
  <si>
    <t xml:space="preserve">AquaSur 2026. También expone en Exponor 2026 (ID 112). Sin contacto publicado.</t>
  </si>
  <si>
    <t xml:space="preserve">B-12</t>
  </si>
  <si>
    <t xml:space="preserve">Fracttal es una compañía tecnológica dedicada al desarrollo de soluciones digitales para la gestión del mantenimiento. A través de la innovación constante, la inteligencia artificial y el internet de las cosas (IoT), impulsamos a las organizaciones a mantener el mundo en movimiento.</t>
  </si>
  <si>
    <t xml:space="preserve">Exponor (ID 112)</t>
  </si>
  <si>
    <t xml:space="preserve">GREENFOX MARINE</t>
  </si>
  <si>
    <t xml:space="preserve">Noruega</t>
  </si>
  <si>
    <t xml:space="preserve">M-45</t>
  </si>
  <si>
    <t xml:space="preserve">By use of medical ultrasound and AI, GreenFox Marine delivers fully automated gender sorting, early detection of sexual maturation and nephrocalcinosis in the same process. This solution is scalable up to 40 000 fish/hr. We can sort fish from 20-500 grams, with 95 % precision. The technology is modular and adaptable and can be fully integrated in Lumic vaccination machines.</t>
  </si>
  <si>
    <t xml:space="preserve">GTD / TELSUR</t>
  </si>
  <si>
    <t xml:space="preserve">H-50</t>
  </si>
  <si>
    <t xml:space="preserve">Telsur, Gtd en el sur, es una empresa de tecnología y telecomunicaciones con 132 años de trayectoria y presencia en Latinoamérica y Europa. Atiende a más de 300.000 clientes de distintos sectores, ofreciendo conectividad estable, soluciones de ciberseguridad, servicios TI, multi-nube híbrida, transformación digital y una red de 11 data centers en la región.</t>
  </si>
  <si>
    <t xml:space="preserve">IFM ELECTRONIC SPA</t>
  </si>
  <si>
    <t xml:space="preserve">Alemania</t>
  </si>
  <si>
    <t xml:space="preserve">B-31</t>
  </si>
  <si>
    <t xml:space="preserve">ifm electronic es una empresa líder en automatización industrial, especializada en sensores, sistemas de control y soluciones IIoT. Acompañamos a nuestros clientes con tecnología confiable, innovación constante y soporte cercano, optimizando procesos en diversas industrias. Close to you.</t>
  </si>
  <si>
    <t xml:space="preserve">INCLUSIVE SECURITY</t>
  </si>
  <si>
    <t xml:space="preserve">H-02</t>
  </si>
  <si>
    <t xml:space="preserve">Conteo inteligente de peces con IA - Supervisión térmica - Optimiza el control de procesos desde la superficie hasta el fondo de cultivo</t>
  </si>
  <si>
    <t xml:space="preserve">INNOVASEA</t>
  </si>
  <si>
    <t xml:space="preserve">E-18</t>
  </si>
  <si>
    <t xml:space="preserve">Impulsada por el compromiso con un futuro más sostenible, Innovasea está a la vanguardia en el desarrollo de tecnologías revolucionarias que alimentan al mundo y protegen nuestros océanos. Con más de 250 colaboradores en todo el mundo, ofrecemos soluciones integrales para todas las etapas de la producción acuícola, que optimizan las operaciones, reducen costos y mejoran la rentabilidad.</t>
  </si>
  <si>
    <t xml:space="preserve">INNOVEX SPA</t>
  </si>
  <si>
    <t xml:space="preserve">AquaSur 2026. También expone en Exponor 2026 (ID 800). Sin contacto publicado.</t>
  </si>
  <si>
    <t xml:space="preserve">E-07</t>
  </si>
  <si>
    <t xml:space="preserve">Innovex es una empresa líder en el desarrollo de soluciones tecnológicas para la acuicultura, especializada en instrumental oceanográfico. Estamos presentes en el 90% de la industria salmonera, entregando monitoreo en tiempo real, registro continuo de datos y plataformas digitales propias. Diseñamos soluciones a medida, integrando sensores, software y soporte técnico integral.</t>
  </si>
  <si>
    <t xml:space="preserve">Exponor (ID 800)</t>
  </si>
  <si>
    <t xml:space="preserve">INTERTELECOM</t>
  </si>
  <si>
    <t xml:space="preserve">E-41</t>
  </si>
  <si>
    <t xml:space="preserve">Intertelecom es una empresa que comenzó en 2022 y se especializa en la distribución e integración de servicios de internet y tecnología. Ofrecemos soluciones rápidas gracias a nuestra capacidad técnica y flexibilidad. La empresa opera como una startup y trabaja con tecnologías como Starlink, SD-Wan y redes 5G.</t>
  </si>
  <si>
    <t xml:space="preserve">ITG CHILE</t>
  </si>
  <si>
    <t xml:space="preserve">A-48</t>
  </si>
  <si>
    <t xml:space="preserve">Impulsamos la acuicultura con soluciones que combinan innovación tecnológica, sustentabilidad, experiencia y compromiso. Nuestras áreas de acción están orientadas al bienestar animal, la alimentación de precisión, la producción eficiente y el soporte técnico. Contamos con soluciones como sistemas inteligentes de: monitoreo submarino (cámaras y sensores), de oxigenación, y muchas cosas más.</t>
  </si>
  <si>
    <t xml:space="preserve">KNURO AS</t>
  </si>
  <si>
    <t xml:space="preserve">L-42</t>
  </si>
  <si>
    <t xml:space="preserve">Knuro AS is a Norwegian technology and machinery supplier developing solutions for automation and efficiency in salmon and trout processing plants. The company delivers machines for gutting and post cleaning, monitoring systems, and software that improve production efficiency, HSE standards, and reduce manual labor, serving customers worldwide.</t>
  </si>
  <si>
    <t xml:space="preserve">LANIKS SPA.</t>
  </si>
  <si>
    <t xml:space="preserve">B-08</t>
  </si>
  <si>
    <t xml:space="preserve">Empresa proveedora de tecnología avanzada, especializada en soluciones de automatización y optimización de procesos productivos.</t>
  </si>
  <si>
    <t xml:space="preserve">LYTHIUM</t>
  </si>
  <si>
    <t xml:space="preserve">F-08</t>
  </si>
  <si>
    <t xml:space="preserve">Lythium aplica inteligencia artificial en imágenes para optimizar procesos en la industria acuícola. Sus soluciones permiten evaluar la calidad del salmón, automatizar la segregación y generar datos trazables en tiempo real, mejorando eficiencia, rendimiento y toma de decisiones.</t>
  </si>
  <si>
    <t xml:space="preserve">MARINE CONNECTIONS</t>
  </si>
  <si>
    <t xml:space="preserve">N-39</t>
  </si>
  <si>
    <t xml:space="preserve">Marine Connection desarrolla tecnología ROV en el sur de Chile. Diseñamos y fabricamos vehículos submarinos a medida, integrando sonares, cámaras 4K, luces, láseres, herramientas de corte y brazos manipuladores. Ofrecemos equipos robustos, servicio técnico especializado y respaldo confiable para la industria marina y acuícola, con servicios aplicados también a acuicultura y minería submarina</t>
  </si>
  <si>
    <t xml:space="preserve">MARINE ROV</t>
  </si>
  <si>
    <t xml:space="preserve">J-02</t>
  </si>
  <si>
    <t xml:space="preserve">Somos una empresa de Robótica Submarina y además somos representantes de ventas para LATAM de la empresa Meox Noruega , dedicada a la fabricación e innovación de equipos Rovs para la industria acuícola</t>
  </si>
  <si>
    <t xml:space="preserve">Marine View Robotics</t>
  </si>
  <si>
    <t xml:space="preserve">D-61</t>
  </si>
  <si>
    <t xml:space="preserve">Es una empresa especializada en la comercialización de sistemas robóticos avanzados para aplicaciones marinas. Ofrece ROVs y tecnologías asociadas para inspección, mantenimiento y operaciones en entornos submarinos, orientadas a la ingeniería offshore, la acuicultura y la industria naval, integrando innovación, robustez y precisión para mejorar la seguridad y eficiencia operativa.</t>
  </si>
  <si>
    <t xml:space="preserve">Metaverso</t>
  </si>
  <si>
    <t xml:space="preserve">P-14</t>
  </si>
  <si>
    <t xml:space="preserve">Aquaverso es una empresa tecnológica, spin-off de Minverso, orientada a la industria acuícola. Desarrolla soluciones basadas en metaverso, inteligencia artificial e IoT para apoyar la capacitación, optimización de procesos y toma de decisiones, adaptando tecnologías ya probadas en otras industrias a los desafíos reales de la acuicultura.</t>
  </si>
  <si>
    <t xml:space="preserve">METROCAPITAL</t>
  </si>
  <si>
    <t xml:space="preserve">ST-94</t>
  </si>
  <si>
    <t xml:space="preserve">MetroCapital Intelligence Automation es una empresa especializada en inteligencia artificial y automatización de procesos, que ayuda a las organizaciones a optimizar su operación, reducir tareas manuales y crear equipos de alto rendimiento. Diseñamos soluciones prácticas con tecnología avanzada para acelerar la toma de decisiones, mejorar la eficiencia y generar ventajas competitivas sostenibles.</t>
  </si>
  <si>
    <t xml:space="preserve">NAGU CORP</t>
  </si>
  <si>
    <t xml:space="preserve">H-12</t>
  </si>
  <si>
    <t xml:space="preserve">Junto a FURUNO, empresa global y pionera en tecnología marina, ofrecemos la forma más rápida de la industria para medir el peso real de los peces en jaulas: hasta 8 jaulas por día con una sola cámara, sin conexiones fijas ni manipulación de peces.</t>
  </si>
  <si>
    <t xml:space="preserve">NUCLEO ROJO</t>
  </si>
  <si>
    <t xml:space="preserve">K-41</t>
  </si>
  <si>
    <t xml:space="preserve">Empresa dedicada al rubro de la Ciberseguridad en entornos de las Tecnologías de la Información (TI) &amp; Operación (TO), ofrecemos soluciones para implementar, mantener y dar cumplimiento a los controles relacionados a normativas de la familia ISO27000-ISA62443-NIST2-LEY MARCO CIBERSEGURIDAD 21663.</t>
  </si>
  <si>
    <t xml:space="preserve">OPTOSCALE</t>
  </si>
  <si>
    <t xml:space="preserve">L-46</t>
  </si>
  <si>
    <t xml:space="preserve">Salud animal, biotecnología y laboratorio › Vacunas / salud animal</t>
  </si>
  <si>
    <t xml:space="preserve">OptoScale es una tecnológica noruega que revoluciona la acuicultura con sensores 3D e IA. Ofrece monitoreo no invasivo en biomasa, conteo de parásitos externos y salud animal en tiempo real. Su tecnología permite optimizar la alimentación y cosecha, sustituyendo estimaciones manuales por datos exactos para una producción más eficiente y sostenible.</t>
  </si>
  <si>
    <t xml:space="preserve">ORCA TECNOLOGIA</t>
  </si>
  <si>
    <t xml:space="preserve">S-30</t>
  </si>
  <si>
    <t xml:space="preserve">Desarrollo e integración de soluciones que transforman la acuicultura mediante digitalización, monitoreo inteligente y automatización de procesos, asegurando integridad tecnológica. Con 17 años de experiencia y basados en Puerto Montt, hemos optimizado la gestión de centros de cultivo, mejorando la eficiencia y seguridad en las operaciones y producción de salmón.</t>
  </si>
  <si>
    <t xml:space="preserve">OXYGUARD COBALIA WATER</t>
  </si>
  <si>
    <t xml:space="preserve">Dinamarca</t>
  </si>
  <si>
    <t xml:space="preserve">C-23</t>
  </si>
  <si>
    <t xml:space="preserve">OxyGuard International produces advanced water quality control and monitoring systems for aquaculture and other water-critical industries. With more than 35 years of innovation, our technology solutions include Cobália, a digital platform that collects and structures your farms data. This gives fish farmers insights to improve performance, sustainability and compliance worldwide.</t>
  </si>
  <si>
    <t xml:space="preserve">People Sync Spa</t>
  </si>
  <si>
    <t xml:space="preserve">ST-84</t>
  </si>
  <si>
    <t xml:space="preserve">En PeopleSync entregamos soluciones tecnológicas y consultivas para la gestión y el cumplimiento laboral. Integramos tecnología, automatización e innovación para asegurar control, trazabilidad y respaldo normativo en empresas mandantes, contratistas y subcontratistas, con foco en la eficiencia operativa.</t>
  </si>
  <si>
    <t xml:space="preserve">PRAXIA SUR</t>
  </si>
  <si>
    <t xml:space="preserve">ST-89</t>
  </si>
  <si>
    <t xml:space="preserve">Servicios empresariales y consultoría › Consultoría / capacitación</t>
  </si>
  <si>
    <t xml:space="preserve">Somos una empresa de producción audiovisual y desarrollo de Realidad Virtual. Ofrecemos servicios de capacitación para trabajadores de la industria a través de la realidad virtual, bajando costos y disminuyendo riesgos.</t>
  </si>
  <si>
    <t xml:space="preserve">Quila TI SpA</t>
  </si>
  <si>
    <t xml:space="preserve">ST-100</t>
  </si>
  <si>
    <t xml:space="preserve">3TI asegura la continuidad tecnológica de tu operación. Diseñamos, protegemos y operamos infraestructura crítica para que tu empresa no se detenga ante fallas, ataques o incidentes. Convertimos el riesgo tecnológico en tranquilidad operativa y decisiones defendibles</t>
  </si>
  <si>
    <t xml:space="preserve">QYSEA Technology</t>
  </si>
  <si>
    <t xml:space="preserve">China</t>
  </si>
  <si>
    <t xml:space="preserve">D-60</t>
  </si>
  <si>
    <t xml:space="preserve">Founded in 2016, QYSEA is an AI-driven marine technology leader, designing and manufacturing advanced ROVs, sensors, and smart solutions. We empower professionals and enthusiasts across aquaculture, offshore infrastructure, and marine science &amp; conservation with innovative underwater robotics for precise inspection, monitoring, and efficient operations.</t>
  </si>
  <si>
    <t xml:space="preserve">ReelData AI</t>
  </si>
  <si>
    <t xml:space="preserve">Canadá</t>
  </si>
  <si>
    <t xml:space="preserve">P-34</t>
  </si>
  <si>
    <t xml:space="preserve">ReelData is a AI-driven technology solutions provider for aquaculture. Our products help land-based farmers make better, more informed decisions by turning real-time data into actionable insights. ReelData uses computer vision, artificial intelligence, and advanced analytics to optimize critical processes such as feeding and weight estimation to improve overall operational efficiency.</t>
  </si>
  <si>
    <t xml:space="preserve">REY-AGUIRRE</t>
  </si>
  <si>
    <t xml:space="preserve">ST-106</t>
  </si>
  <si>
    <t xml:space="preserve">Soluciones de inteligencia artificial diseñadas desde adentro de la industria acuícola. Transformamos datos operativos en decisiones estratégicas en tiempo real, eliminando cuellos de botella y optimizando cada proceso productivo de su operación.</t>
  </si>
  <si>
    <t xml:space="preserve">ROBOTICA MARINA NEXSUB SPA</t>
  </si>
  <si>
    <t xml:space="preserve">GA-22</t>
  </si>
  <si>
    <t xml:space="preserve">En NEXSUB somos representantes y distribuidores autorizados de Chasing Innovation en Chile, especializados en soluciones industriales de tecnología de robótica submarina. Comercializamos equipos y repuestos, ofrecemos arriendo de unidades y brindamos servicio técnico postventa certificado.</t>
  </si>
  <si>
    <t xml:space="preserve">SIMTECH</t>
  </si>
  <si>
    <t xml:space="preserve">L-02</t>
  </si>
  <si>
    <t xml:space="preserve">Agua, ambiente y sostenibilidad › Tratamiento de agua / efluentes</t>
  </si>
  <si>
    <t xml:space="preserve">SIMTECH ofrece soluciones de instrumentación, monitoreo de calidad de agua y dosificación para industria, minería y sanitarias. Integra sensores, analizadores, bombas y sistemas IoT, entregando asesoría técnica, soporte, instalación y servicio postventa para optimizar procesos y asegurar cumplimiento operativo.</t>
  </si>
  <si>
    <t xml:space="preserve">Telemetria MS Spa</t>
  </si>
  <si>
    <t xml:space="preserve">ST-83</t>
  </si>
  <si>
    <t xml:space="preserve">Macrosens desarrolla soluciones IoT para la acuicultura que permiten monitorear en tiempo real variables críticas del agua —como oxígeno disuelto, pH, temperatura o salinidad— mediante sensores y plataformas digitales, optimizando la gestión productiva, la salud de los peces y la eficiencia operativa de los centros de cultivo.</t>
  </si>
  <si>
    <t xml:space="preserve">TIDALX</t>
  </si>
  <si>
    <t xml:space="preserve">G-18</t>
  </si>
  <si>
    <t xml:space="preserve">TidalX AI, surgida de X (fábrica de proyectos de Google/Alphabet), es líder en IA y robótica para optimizar la acuicultura de salmón. Ofrece soluciones avanzadas (IA, visión artificial, robótica autónoma) para prácticas sostenibles, eficientes, centradas en alimentación autónoma y bienestar animal global. Opera en Silicon Valley, Bergen, Trondheim y Chile.</t>
  </si>
  <si>
    <t xml:space="preserve">TIGABYTES</t>
  </si>
  <si>
    <t xml:space="preserve">GA-66</t>
  </si>
  <si>
    <t xml:space="preserve">Tigabytes es un Google Cloud Partner líder en Latinoamérica, especializado en acelerar la transformación digital de las organizaciones. Ofrece soluciones en la nube ágiles, seguras y escalables, que optimizan la infraestructura y elevan la productividad. Integra inteligencia artificial para impulsar el análisis de datos y la innovación, brindando a sus clientes una ventaja competitiva sostenible.</t>
  </si>
  <si>
    <t xml:space="preserve">ULTRASEA</t>
  </si>
  <si>
    <t xml:space="preserve">R-21</t>
  </si>
  <si>
    <t xml:space="preserve">Ultrasea, con más de 10 años de experiencia, es líder en soluciones integrales para la industria acuícola y marítima. Contamos con flota especializada, ROV de última generación y tecnología de posicionamiento submarino. Realizamos instalaciones de fondeos con ROV, reflotamiento de estructuras e inspecciones precisas a gran profundidad, garantizando seguridad, eficiencia y sostenibilidad.</t>
  </si>
  <si>
    <t xml:space="preserve">Volvix SpA</t>
  </si>
  <si>
    <t xml:space="preserve">ST-92</t>
  </si>
  <si>
    <t xml:space="preserve">Salud animal, biotecnología y laboratorio › Diagnóstico / laboratorio</t>
  </si>
  <si>
    <t xml:space="preserve">Volvix es una empresa científico-tecnológica especializada en la reproducción y el desarrollo embrionario de salmónidos. Integra análisis de laboratorio, analítica avanzada de datos, desarrollo de software y trazabilidad para transformar información compleja en decisiones productivas oportunas. Su propósito es aportar mayor predictibilidad, eficiencia y valor a cada programa productivo.</t>
  </si>
  <si>
    <t xml:space="preserve">VORTEX SPA</t>
  </si>
  <si>
    <t xml:space="preserve">L-33</t>
  </si>
  <si>
    <t xml:space="preserve">MacArtney Inc. es un proveedor global de productos y sistemas de tecnología subacuática, especializado en soluciones para los sectores marino y offshore, ciencia oceánica y aplicaciones navales.</t>
  </si>
  <si>
    <t xml:space="preserve">Wisely</t>
  </si>
  <si>
    <t xml:space="preserve">ST-104</t>
  </si>
  <si>
    <t xml:space="preserve">Digitalización industrial usando sensores IoT y cámaras con visión por computador. Integramos captura de datos, conectividad y plataforma para monitoreo en tiempo real, alertas y trazabilidad. Ayudamos a reducir detenciones y aumentar eficiencia operativa, con despliegue en terreno e integración a otros sistemas.</t>
  </si>
  <si>
    <t xml:space="preserve">Ovun</t>
  </si>
  <si>
    <t xml:space="preserve">We develop and manufacture complete, integrated high tech solutions for use over and under water. Designed and manufactured in Norway.</t>
  </si>
  <si>
    <t xml:space="preserve">TecnoROV</t>
  </si>
  <si>
    <t xml:space="preserve">TecnoROV desarrolla soluciones robóticas para la industria acuícola y marina, orientadas a mejorar la seguridad, continuidad operacional y eficiencia de las faenas submarinas. Diseñamos y fabricamos tecnología propia para la ejecución remota de tareas submarinas, reduciendo la exposición de buzos y optimizando tiempos mediante sistemas de control, electrónica y mecanismos especializados.</t>
  </si>
  <si>
    <t xml:space="preserve">Acuiestudios SpA</t>
  </si>
  <si>
    <t xml:space="preserve">Explorar alianza comercial / reventa a sus clientes salmoneros</t>
  </si>
  <si>
    <t xml:space="preserve">Canal / aliado – consultoría SST</t>
  </si>
  <si>
    <t xml:space="preserve">ST-128</t>
  </si>
  <si>
    <t xml:space="preserve">Empresa especializada en asesorías en el ámbito sanitario, productivo, ambiental, comercio exterior y jurídico de la pesca y acuicultura, altamente comprometida con el desarrollo de esta actividad estratégica del país. Para esto contamos con un equipo de trabajo multidisciplinario de reconocida trayectoria a nivel nacional e internacional.</t>
  </si>
  <si>
    <t xml:space="preserve">CINDER CAPACITACION</t>
  </si>
  <si>
    <t xml:space="preserve">ST-126</t>
  </si>
  <si>
    <t xml:space="preserve">Enroka</t>
  </si>
  <si>
    <t xml:space="preserve">ST-124</t>
  </si>
  <si>
    <t xml:space="preserve">Servicios empresariales y consultoría › Reclutamiento / staffing</t>
  </si>
  <si>
    <t xml:space="preserve">Ayudamos a empresas medianas y grandes a gestionar el envejecimiento laboral y la salida planificada de talentos +50 en cargos críticos, al ofrecer programas de Age Management que trabajan con la organización y con las personas, asegurando continuidad operacional, bienestar organizacional y transferencia estratégica de conocimiento.</t>
  </si>
  <si>
    <t xml:space="preserve">FERNANDEZ Y ALEUY CAPACITACION</t>
  </si>
  <si>
    <t xml:space="preserve">N-38</t>
  </si>
  <si>
    <t xml:space="preserve">Grupo CONFIAL es una consultora estratégica y OTEC de alto nivel, especializada en capacitación, liderazgo y gestión de personas para la industria productiva. Contamos con equipos senior y más de 20 años de experiencia, entregando soluciones aplicadas, medibles y alineadas a resultados del negocio.</t>
  </si>
  <si>
    <t xml:space="preserve">INCAR</t>
  </si>
  <si>
    <t xml:space="preserve">ST-78</t>
  </si>
  <si>
    <t xml:space="preserve">El Centro de Investigación Aplicada INCAR² desarrolla soluciones científicas y tecnológicas para los principales desafíos de la acuicultura chilena, creando vacunas, herramientas para reducir el uso de antimicrobianos, modelos ambientales y estrategias de resiliencia climática, con foco en soluciones sostenibles, competitividad, bienestar animal y transferencia efectiva al sector productivo.</t>
  </si>
  <si>
    <t xml:space="preserve">INTERTEK</t>
  </si>
  <si>
    <t xml:space="preserve">D-11</t>
  </si>
  <si>
    <t xml:space="preserve">Intertek es un proveedor líder en Aseguramiento Total de la Calidad para las industrias al rededor del mundo. A través de nuestra red de más de 44,000 colaboradores, más de 1,000 laboratorios y oficinas en más de 100 países, brindamos soluciones innovadoras y hechas a la medida en Aseguramiento, Pruebas, Inspección y Certificación para las operaciones y cadenas de suministro de nuestros clientes.</t>
  </si>
  <si>
    <t xml:space="preserve">LEYTON INSURANCE</t>
  </si>
  <si>
    <t xml:space="preserve">P-36</t>
  </si>
  <si>
    <t xml:space="preserve">Finanzas, seguros y leasing › Seguros</t>
  </si>
  <si>
    <t xml:space="preserve">LEYTON &amp; ASOCIADOS Corredores de Seguros es especialista en Seguros para riesgos productivos e industriales de alta complejidad, tales como Plantas y Equipos, Seguro de Crédito, Responsabilidad Civil Corporativa, Naves Marítimas, Aéreas y otros Riesgos Facultativos, para lo que contamos con la colaboración Aseguradores en el «Mercado» nacional e internacional.</t>
  </si>
  <si>
    <t xml:space="preserve">OTIC CCC</t>
  </si>
  <si>
    <t xml:space="preserve">M-15</t>
  </si>
  <si>
    <t xml:space="preserve">El OTIC CChC es el aliado líder de la industria salmonera en el sur de Chile. Acompañamos a las empresas del rubro en una gestión experta de la franquicia tributaria, conectándolas con capacitación pertinente, eficiente y de alto impacto para fortalecer la productividad, seguridad y sostenibilidad de sus equipos.</t>
  </si>
  <si>
    <t xml:space="preserve">PROFISUR</t>
  </si>
  <si>
    <t xml:space="preserve">B-10</t>
  </si>
  <si>
    <t xml:space="preserve">Profisur entrega soluciones integrales a la industria acuícola mediante la selección, gestión y dirección de personal calificado para plantas de proceso. Coordinamos su traslado, equipamiento y condiciones de trabajo, asegurando operaciones seguras, eficientes y alineadas a los objetivos productivos, con foco en la sustentabilidad y el cuidado de las personas.</t>
  </si>
  <si>
    <t xml:space="preserve">SAMS ENTERPRISE</t>
  </si>
  <si>
    <t xml:space="preserve">Reino Unido</t>
  </si>
  <si>
    <t xml:space="preserve">E-24</t>
  </si>
  <si>
    <t xml:space="preserve">SAMS Enterprise es el brazo comercial de la Scottish Association for Marine Science, dedicado a transformar la investigación marina de vanguardia en soluciones reales que beneficien a las personas y al planeta. Nuestro trabajo en acuicultura, y especialmente en el cultivo de salmón, respalda prácticas sostenibles, rentables y resilientes, al mismo tiempo que positiva para las comunidades locales.</t>
  </si>
  <si>
    <t xml:space="preserve">SGS CHILE</t>
  </si>
  <si>
    <t xml:space="preserve">pe.info@sgs.com</t>
  </si>
  <si>
    <t xml:space="preserve">AquaSur 2026. También en CRM Directorio SSO 2026 (ID 254); contacto heredado = filial Perú.</t>
  </si>
  <si>
    <t xml:space="preserve">J-12</t>
  </si>
  <si>
    <t xml:space="preserve">SGS es líder mundial en inspección, ensayos y certificación. Apoyamos a la industria acuícola con servicios para inocuidad, calidad, sostenibilidad y cumplimiento normativo: análisis ambientales y de agua, control sanitario, certificaciones y soluciones para una producción responsable, sostenible y eficiente.</t>
  </si>
  <si>
    <t xml:space="preserve">5171900 / 999979079</t>
  </si>
  <si>
    <t xml:space="preserve">Directorio SSO (ID 254)</t>
  </si>
  <si>
    <t xml:space="preserve">SINGULARES SPA</t>
  </si>
  <si>
    <t xml:space="preserve">J-19</t>
  </si>
  <si>
    <t xml:space="preserve">Singulares SpA es una consultora estratégica certificada como Empresa B, con más de 15 años de experiencia acompañando a empresas a crecer con foco en resultados, personas y sostenibilidad. Diseñamos e implementamos soluciones en estrategia, gestión, liderazgo y talento, generando impacto real en la competitividad y el desarrollo de organizaciones de la industria acuícola y productiva.</t>
  </si>
  <si>
    <t xml:space="preserve">SMART TRAINING</t>
  </si>
  <si>
    <t xml:space="preserve">N-31</t>
  </si>
  <si>
    <t xml:space="preserve">Smartraining es una OTEC especializada en academias corporativas con tecnología educativa avanzada y aprendizaje experiencial. Mediante franquicia tributaria SENCE, capacita a empresas del sector salmonero con programas 100% financiados, enfocados en seguridad, productividad, cumplimiento normativo y sostenibilidad, asegurando aprendizaje efectivo y aplicable en el puesto de trabajo.</t>
  </si>
  <si>
    <t xml:space="preserve">STIM CHILE</t>
  </si>
  <si>
    <t xml:space="preserve">E-32</t>
  </si>
  <si>
    <t xml:space="preserve">STIM Chile es una filial de una empresa global especializada en salud y bienestar de peces para la acuicultura, con foco en la salmonicultura. Desde Puerto Montt, impulsa soluciones y tecnologías innovadoras que mejoran el rendimiento, bienestar y sostenibilidad de la producción acuícola, respaldadas por investigación y desarrollo científico.</t>
  </si>
  <si>
    <t xml:space="preserve">UNIVERSIDAD DE CHILE</t>
  </si>
  <si>
    <t xml:space="preserve">J-41</t>
  </si>
  <si>
    <t xml:space="preserve">El Proyecto PHAGENET, corresponde a una iniciativa Anillo Tecnológico de ANID, código ACT240045. Este núcleo integra especialistas de distintas áreas y universidades del país, comprometidos con impulsar la investigación aplicada, la innovación biotecnológica y la transferencia de conocimiento al entorno productivo.</t>
  </si>
  <si>
    <t xml:space="preserve">UNIVERSIDAD DE CONCEPCIÓN</t>
  </si>
  <si>
    <t xml:space="preserve">N-12</t>
  </si>
  <si>
    <t xml:space="preserve">El Centro para la Industria 4.0 (C4i) conecta investigación aplicada con desafíos de la industria nacional, apoyando a empresas mediante extensionismo, implementación tecnológica e I+D. En acuicultura desarrolla IA y visión computacional, IoT y monitoreo en tiempo real, diseño y manufactura avanzada, y AR/XR para operación y mantenimiento. Además, CAD/CAM y energía limpia para operaciones.</t>
  </si>
  <si>
    <t xml:space="preserve">WSP GLOBAL</t>
  </si>
  <si>
    <t xml:space="preserve">E-46</t>
  </si>
  <si>
    <t xml:space="preserve">WSP es una de las principales empresas de servicios profesionales del mundo, que cuenta con un equipo de más de 77,000 destacados ingenieros, asesores y científicos. Su propósito es dar forma a las comunidades y avanzar a la humanidad mediante el enfoque Future Ready®, impulsado por el compromiso de generar un impacto positivo y apoyar a sus clientes a innovar y enfrentar desafíos reales.</t>
  </si>
  <si>
    <t xml:space="preserve">MANPOWER GROUP</t>
  </si>
  <si>
    <t xml:space="preserve">ManpowerGroup es líder global en soluciones de talento humano, con más de 70 años de experiencia y presencia en más de 70 países. En Chile apoyamos a empresas en la atracción, gestión y desarrollo del talento, combinando enfoque consultivo B2B, conocimiento del mercado laboral y especialización en talento tecnológico para impulsar su crecimiento y adaptación.</t>
  </si>
  <si>
    <t xml:space="preserve">ANCORA</t>
  </si>
  <si>
    <t xml:space="preserve">Media</t>
  </si>
  <si>
    <t xml:space="preserve">Explorar integración con equipos (visión + telemetría en pontones, wellboats, jaulas)</t>
  </si>
  <si>
    <t xml:space="preserve">Partner OEM – equipos acuícolas y marinos</t>
  </si>
  <si>
    <t xml:space="preserve">D-45, D-44</t>
  </si>
  <si>
    <t xml:space="preserve">Automatización, robótica y monitoreo › ROV / robótica | Infraestructura marina y equipamiento acuícola › Servicios / equipos marítimos</t>
  </si>
  <si>
    <t xml:space="preserve">ANCORA CHILE, en una nueva etapa de crecimiento y consolidación en la industria marítima continuamos liderando con innovación y soluciones de alta calidad, brindando un servicio integral que responde a las exigencias del sector y a la evolución de las necesidades de nuestros clientes. En la actualidad representamos alrededor de 16 marcas exclusivas, proveedores integrales de equipamiento naval.</t>
  </si>
  <si>
    <t xml:space="preserve">PATAGONIA IMPORTACIONES</t>
  </si>
  <si>
    <t xml:space="preserve">B-50, AD-06</t>
  </si>
  <si>
    <t xml:space="preserve">Venta de Motores Marinos, Gruas Marinas, Grupos Generadores, Cajas Marinas, Accesorios Marinos, Electronica Naval y Repuestos en General</t>
  </si>
  <si>
    <t xml:space="preserve">ABB S.A.</t>
  </si>
  <si>
    <t xml:space="preserve">contact.center@pe.abb.com</t>
  </si>
  <si>
    <t xml:space="preserve">AquaSur 2026. También expone en Exponor 2026 (ID 361). También en CRM Directorio SSO 2026 (ID 512); contacto heredado = filial Perú.</t>
  </si>
  <si>
    <t xml:space="preserve">G-48</t>
  </si>
  <si>
    <t xml:space="preserve">En ABB hacemos un futuro más eficiente y sostenible en el uso de los recursos. Conectando su dominio de la ingeniería y de la digitalización, ABB contribuye a que las industrias funcionen a alto rendimiento, al tiempo que mejoran su eficiencia, productividad y sostenibilidad, para superar sus resultados. En ABB, lo llamamos “Engineered to Outrun”.</t>
  </si>
  <si>
    <t xml:space="preserve">4155100</t>
  </si>
  <si>
    <t xml:space="preserve">Exponor (ID 361); Directorio SSO (ID 512)</t>
  </si>
  <si>
    <t xml:space="preserve">ADRIA WINCH</t>
  </si>
  <si>
    <t xml:space="preserve">P-20</t>
  </si>
  <si>
    <t xml:space="preserve">Adria Winch d.o.o. is a Croatian manufacturer of deck machinery and winches for maritime, offshore, naval and energy sectors. Founded in 1993 and based in Split, the company delivers robust, custom-engineered solutions worldwide, trusted for reliability in demanding operating environments.</t>
  </si>
  <si>
    <t xml:space="preserve">BADINOTTI</t>
  </si>
  <si>
    <t xml:space="preserve">A-28</t>
  </si>
  <si>
    <t xml:space="preserve">Soluciones fiables para sistemas de contención en el agua y servicios relacionados</t>
  </si>
  <si>
    <t xml:space="preserve">BOSSAQUA</t>
  </si>
  <si>
    <t xml:space="preserve">Nueva Zelanda</t>
  </si>
  <si>
    <t xml:space="preserve">J-14</t>
  </si>
  <si>
    <t xml:space="preserve">We design and manufacture AutoBoss™, specialised net washing equipment for the global Aquaculture industry. We focus on designing and producing world-class net washing equipment, with a strong emphasis on research and design. Our V4 model has generated exponential growth and significant offshore market penetration and is the ONLY self-contained autonomous net-cleaning solution in the market.</t>
  </si>
  <si>
    <t xml:space="preserve">BZ NAVAL ENGINEERING</t>
  </si>
  <si>
    <t xml:space="preserve">G-44</t>
  </si>
  <si>
    <t xml:space="preserve">BZ Naval ofrece soluciones para el ámbito Marítimo, Portuario y Astilleros. proporcionando servicios de Ingeniería, Concesiones Marítimas y representaciones de reconocidas compañías internacionales. Estará junto a HamiltonJet, pionera en propulsión por chorro de agua (waterjet), que también presentará sus sistemas híbridos-eléctricos para clientes que buscan una propulsión eficiente y ecológica.</t>
  </si>
  <si>
    <t xml:space="preserve">CFLOW FISH</t>
  </si>
  <si>
    <t xml:space="preserve">G-30</t>
  </si>
  <si>
    <t xml:space="preserve">Compañía noruega con más de 20 años de trayectoria global. Nos especializamos en diseñar soluciones estratégicas e innovadoras que transforman y optimizan los procesos productivos de nuestros clientes.</t>
  </si>
  <si>
    <t xml:space="preserve">DERCOMAQ S.A.</t>
  </si>
  <si>
    <t xml:space="preserve">J-36</t>
  </si>
  <si>
    <t xml:space="preserve">Equipos e insumos industriales › Construcción / estructuras</t>
  </si>
  <si>
    <t xml:space="preserve">Dercomaq es una empresa líder en la comercialización de maquinaria, camiones, repuestos y soluciones integrales para los sectores agrícola, construcción, minería y transporte. con una amplia red de sucursales en Chile, Representa marcas de prestigio internacional y ofrece servicios de postventa, arriendo de equipos y soporte técnico especializado.</t>
  </si>
  <si>
    <t xml:space="preserve">DISTRIBUIDORA CUMMINS CHILE S.A.</t>
  </si>
  <si>
    <t xml:space="preserve">L-34</t>
  </si>
  <si>
    <t xml:space="preserve">Cummins Chile es la filial y distribuidor oficial de Cummins en el país. Provee soluciones de energía y potencia, con venta, servicio y soporte técnico de motores diésel, grupos electrógenos, repuestos y componentes, además de arriendo de equipos y contratos de mantenimiento para sectores como minería, transporte, energía e industria.</t>
  </si>
  <si>
    <t xml:space="preserve">ELECTRORIDERS</t>
  </si>
  <si>
    <t xml:space="preserve">P-03</t>
  </si>
  <si>
    <t xml:space="preserve">ElectroRiders es una empresa chilena de ingeniería y soluciones tecnológicas especializada en propulsión eléctrica marina para acuicultura. Desarrollamos sistemas de baterías, motores fuera de borda eléctricos y reconversiones de embarcaciones de apoyo, integrando electrónica de potencia, control y monitoreo. Enfocados en eficiencia, seguridad y reducción de emisiones, ruido y costos operacionales</t>
  </si>
  <si>
    <t xml:space="preserve">FEEDING SYSTEMS SL</t>
  </si>
  <si>
    <t xml:space="preserve">España</t>
  </si>
  <si>
    <t xml:space="preserve">A-06</t>
  </si>
  <si>
    <t xml:space="preserve">Nutrición y alimentación acuícola › Alimentos balanceados / procesamiento</t>
  </si>
  <si>
    <t xml:space="preserve">En FishFarmFeeder diseñamos y fabricamos sistemas automáticos de alimentación para peces y camarones desde 2008. Somos especialistas en soluciones adaptadas a todas las etapas de cultivo —desde la cría hasta el engorde— y en todo tipo de instalaciones, tanto en tierra como en mar</t>
  </si>
  <si>
    <t xml:space="preserve">FERNANDEZ JOVE</t>
  </si>
  <si>
    <t xml:space="preserve">H-51</t>
  </si>
  <si>
    <t xml:space="preserve">FJ | Fernández Jove, fabricante e integrador español con 50 años de experiencia, desarrolla sistemas de control remoto, soluciones hidráulicas y válvulas Saval de alto rendimiento. Distribuye HTS para sellado de cables y tuberías. Su enfoque en ingeniería, calidad e innovación lo convierte en un socio fiable en los sectores naval, marítimo e industrial.</t>
  </si>
  <si>
    <t xml:space="preserve">FINNING CHILE S.A</t>
  </si>
  <si>
    <t xml:space="preserve">E-48</t>
  </si>
  <si>
    <t xml:space="preserve">Finning es el mayor distribuidor mundial de Caterpillar y lleva más de 90 años prestando un servicio inigualable. Vendemos, alquilamos y proporcionamos piezas y servicio para equipos y motores a clientes de diversas industrias, incluyendo minería, construcción, petróleo, silvicultura y una amplia gama de aplicaciones de sistemas de energía.</t>
  </si>
  <si>
    <t xml:space="preserve">FJORD MARITIME</t>
  </si>
  <si>
    <t xml:space="preserve">J-09</t>
  </si>
  <si>
    <t xml:space="preserve">Empresa de tecnología con énfasis en la sustentabilidad, se enfoca en la reducción de CO2 a través del manejo y optimización del uso de la energía y ahorro en el uso de combustibles fósiles, asegurando energía limpia y estable, a través de su sistema Fjord hybrid para la industria acuícola</t>
  </si>
  <si>
    <t xml:space="preserve">FRAMO</t>
  </si>
  <si>
    <t xml:space="preserve">M-48</t>
  </si>
  <si>
    <t xml:space="preserve">Framo is a Norwegian pump manufacturer headquartered in Bergen. Founded in 1938, Framo is today a global supplier of advanced submerged pumping systems for marine, offshore, and aquaculture industries. With strong engineering expertise and close customer collaboration, Framo develops reliable and efficient solutions for demanding applications. Framo is part of the Alfa Laval Group.</t>
  </si>
  <si>
    <t xml:space="preserve">HAOSAIL MACHINERY CHILE</t>
  </si>
  <si>
    <t xml:space="preserve">F-44</t>
  </si>
  <si>
    <t xml:space="preserve">Líderes en soluciones integrales de ingeniería para la industria offshore, acuícola y de energía. En Haosail nos especializamos en diseño de proyectos, control de calidad y suministro de sistemas de fondeo de alta resistencia: cadenas, cables, herrajes, soluciones de amarre marino y tecnología. Innovación y confiabilidad para enfrentar los entornos oceánicos más exigentes del mundo.</t>
  </si>
  <si>
    <t xml:space="preserve">INDUSMAR</t>
  </si>
  <si>
    <t xml:space="preserve">J-46</t>
  </si>
  <si>
    <t xml:space="preserve">Repuestos y Servicios Indusmar Ltda. es una empresa chilena especializada en el suministro de repuestos y equipos de alta calidad para la industria marítima, acuícola, naval e industrial. Representamos marcas líderes y ofrecemos soporte técnico y logístico desde Chile y EE.UU. para toda Latinoamérica.</t>
  </si>
  <si>
    <t xml:space="preserve">JORLE INDUSTRIAL</t>
  </si>
  <si>
    <t xml:space="preserve">F-48</t>
  </si>
  <si>
    <t xml:space="preserve">JorLe Industrial es una empresa dedicada a la fabricación de maquinaria de cubierta, a la comercialización de equipos, suministro de repuestos y servicio técnico 24/7 para el Sector Marítimo. Representamos marcas líderes a nivel mundial como FURUNO, COBHAM SATCOM, SAILOR, TH COMPANY. Contamos con repuestos originales y garantía. Empresa internacional con presencia en Perú y en Chile.</t>
  </si>
  <si>
    <t xml:space="preserve">LUMIC</t>
  </si>
  <si>
    <t xml:space="preserve">M-43, Sin stand</t>
  </si>
  <si>
    <t xml:space="preserve">Seguridad, protección y emergencia › PPE / seguridad industrial | Salud animal, biotecnología y laboratorio › Vacunas / salud animal</t>
  </si>
  <si>
    <t xml:space="preserve">Lumic is a leading supplier of vaccination solutions for the global aquaculture industry. We deliver fully automatic, semi-automatic, and manual vaccination machines engineered for precision, high capacity, and reliability for salmonids and other species—supporting fish welfare, hygienic design, and efficiency. Our machines can also be equipped with integrated gender-sorting from GreenFox Marine.</t>
  </si>
  <si>
    <t xml:space="preserve">MACKAY MARINE</t>
  </si>
  <si>
    <t xml:space="preserve">L-37</t>
  </si>
  <si>
    <t xml:space="preserve">Marine Eletronic service and supplier Representatives of the major Brands Global presence with more than 40’offices around the world .</t>
  </si>
  <si>
    <t xml:space="preserve">NOGVA MOTOR</t>
  </si>
  <si>
    <t xml:space="preserve">M39D</t>
  </si>
  <si>
    <t xml:space="preserve">NOGVA is a supplier with long traditions in supplying complete marine solutions within propulsion and auxiliary machinery. We represent several engine brands such as Nanni, John Deere, Scania, Cummins and Yanmar, in addition to representing Veth Propulsion in Norway. We also produce our own CPP gearboxes and propellers.</t>
  </si>
  <si>
    <t xml:space="preserve">OCEIN AS</t>
  </si>
  <si>
    <t xml:space="preserve">M-38</t>
  </si>
  <si>
    <t xml:space="preserve">We are developing technology and smart solutions for seawater fish farming.</t>
  </si>
  <si>
    <t xml:space="preserve">POSEIDON ACUICULTURA</t>
  </si>
  <si>
    <t xml:space="preserve">D-28</t>
  </si>
  <si>
    <t xml:space="preserve">Poseidon Ocean Systems desarrolla soluciones innovadoras de clase mundial para la acuicultura moderna. Impulsamos una producción eficiente y responsable, mejorando el bienestar de los peces y reduciendo el impacto ambiental para entregar proteína nutritiva y sostenible al mundo.</t>
  </si>
  <si>
    <t xml:space="preserve">PTG FRIONORDICA</t>
  </si>
  <si>
    <t xml:space="preserve">F-18</t>
  </si>
  <si>
    <t xml:space="preserve">SOLUCIONES A SU MEDIDA PARA PROCESOS DE ENFRIAMIENTO POR MEDIO DE AGUA DE MAR O AGUA FRESCA EN PLANTAS DE PROCESO, WELLBOATS, BUQUES PESQUEROS Y PARA ENFRIAR O CALENTAR AGUA EN PISCICULTURAS TODOS NUESTROS EQUIPOS ESTAN BASADOS EN UNA SOLUCIÓN CON AHORRO DE ENERGIA Y ALTAMENTE EFICIENTES.</t>
  </si>
  <si>
    <t xml:space="preserve">ROBERT BOSCH S.A.</t>
  </si>
  <si>
    <t xml:space="preserve">GA-18</t>
  </si>
  <si>
    <t xml:space="preserve">Calderas Industriales: Soluciones eficientes en generación de vapor y agua caliente industrial, diseñadas para máxima disponibilidad, control preciso y ahorro energético. Calidad alemana respaldada por soporte técnico global Power Tools: Herramientas eléctricas y accesorios profesionales para construcción, industria y bricolaje, con alto rendimiento, durabilidad y seguridad para cualquier desafío.</t>
  </si>
  <si>
    <t xml:space="preserve">ROCKWELL AUTOMATION</t>
  </si>
  <si>
    <t xml:space="preserve">A-42</t>
  </si>
  <si>
    <t xml:space="preserve">Equipos e insumos industriales › Maquinaria / insumos industriales</t>
  </si>
  <si>
    <t xml:space="preserve">Rockwell Automation es un líder global en automatización industrial y transformación digital. Conectamos la imaginación de las personas con el potencial de la tecnología para expandir lo que es humanamente posible, haciendo que el mundo sea más productivo y sostenible.</t>
  </si>
  <si>
    <t xml:space="preserve">SALFA SUR</t>
  </si>
  <si>
    <t xml:space="preserve">AD-02</t>
  </si>
  <si>
    <t xml:space="preserve">Automotriz Salfa Sur, con casa matriz en Puerto Montt, cuenta con más de 40 años de trayectoria en el sur de Chile. Presente desde Valdivia hasta Chiloé, ofrecemos venta de vehículos livianos, alta gama y pesados, además de repuestos y accesorios. Incluye financiamiento, servicio técnico, desabolladura y pintura, y Rent a Car para personas y empresas.</t>
  </si>
  <si>
    <t xml:space="preserve">GSP CHILE</t>
  </si>
  <si>
    <t xml:space="preserve">Evaluar como canal de distribución hacia acuicultura/industria</t>
  </si>
  <si>
    <t xml:space="preserve">AquaSur 2026. Varios stands (mayor inversión). También expone en Exponor 2026 (ID 704). Sin contacto publicado.</t>
  </si>
  <si>
    <t xml:space="preserve">Canal / distribuidor EPP</t>
  </si>
  <si>
    <t xml:space="preserve">A-33, A-33A</t>
  </si>
  <si>
    <t xml:space="preserve">Seguridad, protección y emergencia › PPE / seguridad industrial</t>
  </si>
  <si>
    <t xml:space="preserve">GSP-CHILE empresa comercializadora de Ropa de Trabajo y EPP con más de 15 años de experiencia en seguridad industrial. Distribuidor exclusivo de marcas europeas líderes con estándar superior en durabilidad, ergonomía, cumplimiento normativo y cuidado del medioambiente, para una máxima protección en entornos laborales exigentes y condiciones extremas. Encuentra Botas Dunlop, ropa impermeable y más.</t>
  </si>
  <si>
    <t xml:space="preserve">Exponor (ID 704)</t>
  </si>
  <si>
    <t xml:space="preserve">AGROFOR - BEKINA BOOTS</t>
  </si>
  <si>
    <t xml:space="preserve">F-36</t>
  </si>
  <si>
    <t xml:space="preserve">Somos una importadora especializada en artículos de Seguridad Industrial y Ferretería. Contamos con una amplia gama de productos de reconocidas marcas, tales como BEKINA BOOTS, TRUPER, TRIVI y JIT.</t>
  </si>
  <si>
    <t xml:space="preserve">AMSEC</t>
  </si>
  <si>
    <t xml:space="preserve">AquaSur 2026. También expone en Exponor 2026 (ID 397). Sin contacto publicado.</t>
  </si>
  <si>
    <t xml:space="preserve">D-65</t>
  </si>
  <si>
    <t xml:space="preserve">En seis años, Amsec ha consolidado su posicionamiento en el mercado del calzado de seguridad, destacándose por su crecimiento sostenido, productos de calidad y diseño valorados por distribuidores. Su estrategia comercial audaz permitió ampliar clientes, expandirse territorialmente y fortalecer la marca a nivel nacional, apoyada por un equipo presente en todo el país.</t>
  </si>
  <si>
    <t xml:space="preserve">Exponor (ID 397)</t>
  </si>
  <si>
    <t xml:space="preserve">APRO</t>
  </si>
  <si>
    <t xml:space="preserve">AquaSur 2026. También expone en Exponor 2026 (ID 406). Sin contacto publicado.</t>
  </si>
  <si>
    <t xml:space="preserve">E-44</t>
  </si>
  <si>
    <t xml:space="preserve">APRO, fundada en 1980, es líder en Chile en la comercialización de Elementos de Protección Personal y artículos de seguridad industrial. Nació de la preocupación por la seguridad de los trabajadores y hoy, mediante alianzas estratégicas y marcas reconocidas, ofrece una amplia gama de soluciones de protección personal.</t>
  </si>
  <si>
    <t xml:space="preserve">Exponor (ID 406)</t>
  </si>
  <si>
    <t xml:space="preserve">BAÑADOS Y CIA LTDA</t>
  </si>
  <si>
    <t xml:space="preserve">G-42</t>
  </si>
  <si>
    <t xml:space="preserve">Agua, ambiente y sostenibilidad › Ozono / desinfección</t>
  </si>
  <si>
    <t xml:space="preserve">Ofrecemos un completo portafolio de soluciones en limpieza e higiene industrial como químicos especializados para limpieza y desinfección, cepillos técnicos y utensilios de grado alimenticio, equipos de aplicación y dilución, elementos de protección personal, productos para tratamiento de pisos, cuidado textil y automotriz, garantizando seguridad, eficiencia y sustentabilidad.</t>
  </si>
  <si>
    <t xml:space="preserve">FORUS S.A. - NORSEG</t>
  </si>
  <si>
    <t xml:space="preserve">L-04</t>
  </si>
  <si>
    <t xml:space="preserve">Norseg es líder en Chile en calzado de seguridad y EPP. Con décadas de trayectoria, destaca por integrar materiales que unen cumplimiento normativo y confort excepcional. Su propuesta equilibra la robustez necesaria para el trabajo pesado con una estética moderna, ofreciendo productos duraderos que se adaptan a las exigentes condiciones climáticas y geográficas de todo el territorio nacional.</t>
  </si>
  <si>
    <t xml:space="preserve">MACME</t>
  </si>
  <si>
    <t xml:space="preserve">AquaSur 2026. También expone en Exponor 2026 (ID 888). Sin contacto publicado.</t>
  </si>
  <si>
    <t xml:space="preserve">K-30</t>
  </si>
  <si>
    <t xml:space="preserve">Somos una empresa chilena líder con más de 40 años de trayectoria, expertos en calzado de seguridad, vestuario y accesorios. A través de nuestras marcas Climber, Proflex y Tempest ofrecemos soluciones certificadas para la industria, mientras que Oryx está enfocada en ropa y calzado outdoor, combinando tecnología, protección y diseño.</t>
  </si>
  <si>
    <t xml:space="preserve">Exponor (ID 888)</t>
  </si>
  <si>
    <t xml:space="preserve">MARYUN SEGURIDAD INDUSTRIAL LIMITADA</t>
  </si>
  <si>
    <t xml:space="preserve">K-12</t>
  </si>
  <si>
    <t xml:space="preserve">Maryun Seguridad Industrial es una empresa chilena con más de 40 años de trayectoria en seguridad industrial. Ofrecemos un portafolio completo: EPP, protección en altura, vestuario y calzado de seguridad, higiene industrial, herramientas, cuchillos, papelería y maquinaria. Contamos con 9 sucursales a nivel nacional y asesoría experta para la acuicultura y la industria.</t>
  </si>
  <si>
    <t xml:space="preserve">MAX SERVICE</t>
  </si>
  <si>
    <t xml:space="preserve">AquaSur 2026. También expone en Exponor 2026 (ID 915). Sin contacto publicado.</t>
  </si>
  <si>
    <t xml:space="preserve">B-37</t>
  </si>
  <si>
    <t xml:space="preserve">Con más de 30 años, Max Service es referente en EPP en Chile. Especialistas en protección personal, entregamos productos certificados, marcas líderes, personalización y asesoría técnica, con cobertura nacional a través de nuestra red de sucursales, apoyando la seguridad de los trabajadores y la eficiencia de las empresas.</t>
  </si>
  <si>
    <t xml:space="preserve">Exponor (ID 915)</t>
  </si>
  <si>
    <t xml:space="preserve">NOVA SEGURIDAD LIMITADA</t>
  </si>
  <si>
    <t xml:space="preserve">GA-30</t>
  </si>
  <si>
    <t xml:space="preserve">SOMOS NOVA SEGURIDAD, EMPRESA CON MAS DE 30 AÑOS DE EXPERIENCIA EN DISTRIBUCIÓN DE ELEMENTOS DE PROTECCION PERSONAL Y ROPA CORPORATIVA. CONTAMOS CON TODO LO NECESARIO PARA EQUIPAR A SUS TRABAJADORES DE MANERA SEGURA. ESTAMOS ENTRE LAS GRANDES EMPRESAS DEL RUBRO CONTAMOS CON SUCURSALES A NIVEL NACIONAL EL EQUIPO DE VENTA ES TECNICO Y REALIZAN CAPACITACIONES DISTRIBUIMOS TODAS LAS MARCAS DE EPP</t>
  </si>
  <si>
    <t xml:space="preserve">PONSA</t>
  </si>
  <si>
    <t xml:space="preserve">H-38</t>
  </si>
  <si>
    <t xml:space="preserve">a family owned Spanish multinational founded in 1828. 5 manufacturing plants strategically based in Spain, Romania, Sweden, China and Trinidad &amp; Tobago. The core business. Manufacturing technical textiles webbings with last generation fibers. The manufactured webbings are used for applications like; lifting, lashing, Personal Protective Equipment (PPE), industry, etc.</t>
  </si>
  <si>
    <t xml:space="preserve">SEGURYCEL S.A</t>
  </si>
  <si>
    <t xml:space="preserve">AquaSur 2026. También expone en Exponor 2026 (ID 279). Sin contacto publicado.</t>
  </si>
  <si>
    <t xml:space="preserve">K-27</t>
  </si>
  <si>
    <t xml:space="preserve">Segurycel es una empresa chilena especializada en seguridad industrial (EPP). Protegemos la vida y salud de las personas con un portafolio completo de protección personal, vestuario técnico y calzado de seguridad, más asesoría técnica y abastecimiento para industrias como acuicultura, minería y construcción, con cobertura y servicio a nivel nacional.</t>
  </si>
  <si>
    <t xml:space="preserve">Exponor (ID 279)</t>
  </si>
  <si>
    <t xml:space="preserve">SIRIAN</t>
  </si>
  <si>
    <t xml:space="preserve">C-44</t>
  </si>
  <si>
    <t xml:space="preserve">Sirian Ferretería Industrial es un socio estratégico para la industria acuícola e industrial. Entregamos soluciones integrales en herramientas, EPP, fijaciones y suministros técnicos, con asesoría experta, stock confiable y un fuerte compromiso con el servicio, la continuidad operativa y el trabajo en terreno.</t>
  </si>
  <si>
    <t xml:space="preserve">TRECK S.A.</t>
  </si>
  <si>
    <t xml:space="preserve">AquaSur 2026. También expone en Exponor 2026 (ID 1272). Sin contacto publicado.</t>
  </si>
  <si>
    <t xml:space="preserve">A-39</t>
  </si>
  <si>
    <t xml:space="preserve">En Treck S.A. somos especialistas en calzado de seguridad, vestuario técnico y equipos de protección personal (EPP) para minería, construcción, logística, forestal, entre otras industrias en Chile. Nuestro catálogo incluye botas y zapatos de seguridad, ropa ignífuga, parkas de alta visibilidad, guantes, cascos, arneses, mascarillas, protección auditiva y visual, detectores de gases y señalización.</t>
  </si>
  <si>
    <t xml:space="preserve">Exponor (ID 1272)</t>
  </si>
  <si>
    <t xml:space="preserve">GSP-CHILE / DUNLOP PROTECTIVE FOOTWEAR</t>
  </si>
  <si>
    <t xml:space="preserve">Marca mundial líder en botas de seguridad impermeables, reconocida por su comodidad, calidad y protección en condiciones extremas. Su tecnología exclusiva Purofort® ofrece botas más livianas, flexibles y durables. Con más de 130 años de innovación y más de 100 modelos específicos para industrias exigentes. GSP-CHILE es su distribuidor exclusivo en el país.</t>
  </si>
  <si>
    <t xml:space="preserve">GANDARA CHILE</t>
  </si>
  <si>
    <t xml:space="preserve">Evaluar co-venta o integración de soluciones</t>
  </si>
  <si>
    <t xml:space="preserve">Aliado complementario – seguridad</t>
  </si>
  <si>
    <t xml:space="preserve">C-22</t>
  </si>
  <si>
    <t xml:space="preserve">Con mas de 40 años de experiencia en seguridad marítima, Gandara ofrece soluciones especializadas en los rubros navieros, salmoneros, pesqueros e industriales y de todos aquellos que requieran productos que protejan la vida y los negocios en el mar. Todos cumplen con los estándares exigidos en términos de certificación y calidad .</t>
  </si>
  <si>
    <t xml:space="preserve">Gestion Control Seguridad S.A. - GCS</t>
  </si>
  <si>
    <t xml:space="preserve">M-30</t>
  </si>
  <si>
    <t xml:space="preserve">servicio de seguridad privada, servicios acuícolas, y capacitaciones</t>
  </si>
  <si>
    <t xml:space="preserve">GSC CHILE - SEGURIDAD PRIVADA</t>
  </si>
  <si>
    <t xml:space="preserve">GA-50</t>
  </si>
  <si>
    <t xml:space="preserve">GSC Chile Seguridad Privada presta servicios mediante Guardias de Seguridad OS10 y Marítimos-portuarios, ambos acreditados por las autoridades fiscalizadoras, a través de nuestro OTEC ejecutamos formación y perfeccionamiento para GG.SS., integramos vigilancia aérea con DRONES, certificados como empresa AOC, Además, del servicio de anfitriones en atención de público en diversas instalaciones.</t>
  </si>
  <si>
    <t xml:space="preserve">INGETECO</t>
  </si>
  <si>
    <t xml:space="preserve">AquaSur 2026. También expone en Exponor 2026 (ID 796). Sin contacto publicado.</t>
  </si>
  <si>
    <t xml:space="preserve">M-34</t>
  </si>
  <si>
    <t xml:space="preserve">INGETECO SpA es una empresa líder en Chile, con más de 15 años de experiencia, especializada en ingeniería, suministro, montaje y puesta en marcha de sistemas de detección y extinción de incendios. Representa marcas de clase mundial como Stat-X, Janus Fire Systems, Autofirex, Securiton y Bosch, entregando soluciones certificadas para infraestructura crítica e industrial.</t>
  </si>
  <si>
    <t xml:space="preserve">Exponor (ID 796)</t>
  </si>
  <si>
    <t xml:space="preserve">LOCKERPLUS</t>
  </si>
  <si>
    <t xml:space="preserve">AquaSur 2026. También expone en Exponor 2026 (ID 874). Sin contacto publicado.</t>
  </si>
  <si>
    <t xml:space="preserve">F-35</t>
  </si>
  <si>
    <t xml:space="preserve">Lockerplus SpA ofrece soluciones de lockers industriales diseñadas para la industria pesquera en Chile, con alta resistencia a humedad, corrosión y uso intensivo. Sus sistemas optimizan el orden, la higiene y la seguridad del personal en plantas de proceso y centros operativos.</t>
  </si>
  <si>
    <t xml:space="preserve">Exponor (ID 874)</t>
  </si>
  <si>
    <t xml:space="preserve">REPRESENTACIONES AEROTECH LIMITADA</t>
  </si>
  <si>
    <t xml:space="preserve">K-45</t>
  </si>
  <si>
    <t xml:space="preserve">Aerotech entrega soluciones tecnológicas avanzadas para seguridad e industria, representando fabricantes líderes a nivel mundial. Con presencia en Chile, Perú y Brasil, cuenta con amplia experiencia, soporte especializado y un enfoque integral orientado a la eficiencia, continuidad operativa y confiabilidad.</t>
  </si>
  <si>
    <t xml:space="preserve">RM SEGURIDAD CHILE</t>
  </si>
  <si>
    <t xml:space="preserve">P-37</t>
  </si>
  <si>
    <t xml:space="preserve">Somos una empresa de seguridad privada fundada en la cuidad de Puerto Montt, conformada por un equipo de expertos con amplia trayectoria en seguridad pública y privada. Nuestro principal objetivo es prevenir delitos, proteger bienes materiales y garantizar la seguridad en cada una de las instalaciones que resguardamos a lo largo de todo Chile.</t>
  </si>
  <si>
    <t xml:space="preserve">MI DOCTOR</t>
  </si>
  <si>
    <t xml:space="preserve">Evaluar alianza en salud ocupacional / fatiga</t>
  </si>
  <si>
    <t xml:space="preserve">Aliado complementario – salud</t>
  </si>
  <si>
    <t xml:space="preserve">P-32</t>
  </si>
  <si>
    <t xml:space="preserve">Salud animal, biotecnología y laboratorio › Servicios médicos ocupacionales</t>
  </si>
  <si>
    <t xml:space="preserve">miDoctor es una empresa que realiza Atenciones Médicas Presenciales y Permanentes en plantas productivas, con el foco puesto en la Prevención, en el Bienestar y por sobre todo en las Personas. Logramos bajas significativas en el Ausentismo (hasta un 50% menos), disminución en la duración de Licencias médicas y hemos sido elegidos por quinto año consecutivo como el Mejor Beneficio entregado.</t>
  </si>
  <si>
    <t xml:space="preserve">Innovation Norway</t>
  </si>
  <si>
    <t xml:space="preserve">Networking institucional; identificar contacto</t>
  </si>
  <si>
    <t xml:space="preserve">Institución / gremio / pabellón país</t>
  </si>
  <si>
    <t xml:space="preserve">M39E, M-39</t>
  </si>
  <si>
    <t xml:space="preserve">Innovation Norway helps Norwegian companies grow by providing funding, expertise, and international business opportunities. They support innovation, sustainability, and global expansion across all industries.</t>
  </si>
  <si>
    <t xml:space="preserve">ABRA - BRASIL</t>
  </si>
  <si>
    <t xml:space="preserve">Brasil</t>
  </si>
  <si>
    <t xml:space="preserve">N-28</t>
  </si>
  <si>
    <t xml:space="preserve">The Brazilian Renderers Association – ABRA represents the Brazilian Rendering Industries that produces animal meals, fats, gelatines, palatants and blood products. It is a non-profit entity. With 270 associated industries, about 80% Brazil production, the association promote the Brazilian Rendering industry through strategic actions, increasing competition in the national and international markets</t>
  </si>
  <si>
    <t xml:space="preserve">AMICHILE</t>
  </si>
  <si>
    <t xml:space="preserve">R-25</t>
  </si>
  <si>
    <t xml:space="preserve">La Asociación de Mitilicultores de Chile, AmiChile, es una red de pequeños, medianos y grandes productores de mejillón chileno (Mytilus chilensis), comúnmente conocido como chorito. AmiChile trabaja para fomentar el desarrollo de la mitilicultura desde la Región de Los Lagos hacia todo Chile y el mundo.</t>
  </si>
  <si>
    <t xml:space="preserve">B2B MEDIA GROUP SPA</t>
  </si>
  <si>
    <t xml:space="preserve">B-23</t>
  </si>
  <si>
    <t xml:space="preserve">Instituciones, medios y certificación › Medios especializados</t>
  </si>
  <si>
    <t xml:space="preserve">Medios AQUA, a través de www.aqua.cl y Revista AQUA, es el principal medio especializado en acuicultura y pesca en Chile y Latinoamérica. Con más de 37 años de trayectoria, conecta a empresas, ejecutivos y proveedores con información estratégica del sector. Su plataforma integra portal web, newsletter y revista impresa y digital, llegando directamente a tomadores de decisión de la industria.</t>
  </si>
  <si>
    <t xml:space="preserve">BOMBEROS DE PUERTO VARAS</t>
  </si>
  <si>
    <t xml:space="preserve">AD-05</t>
  </si>
  <si>
    <t xml:space="preserve">BOTE SALVAVIDAS</t>
  </si>
  <si>
    <t xml:space="preserve">P-08</t>
  </si>
  <si>
    <t xml:space="preserve">El Cuerpo de Voluntarios de los Botes Salvavidas de Puerto Montt salvaguarda la vida y la integridad de las personas en entornos acuáticos. Con 23 años de experiencia en emergencias comunales, regionales y nacionales, incluyendo terremotos, tsunamis y erupciones volcánicas, somos una organización 100% voluntaria dedicada a la prevención, seguridad y rescate de la comunidad.</t>
  </si>
  <si>
    <t xml:space="preserve">CAMARA CHILENO SUIZA DE COMERCIO A.G.</t>
  </si>
  <si>
    <t xml:space="preserve">L-18</t>
  </si>
  <si>
    <t xml:space="preserve">Creamos valor para la sociedad chilena, siendo puente de negocios y de buenas prácticas, promoviendo el sello suizo y fomentando la sostenibilidad para las futuras generaciones.</t>
  </si>
  <si>
    <t xml:space="preserve">CERTIFIED HUMANE</t>
  </si>
  <si>
    <t xml:space="preserve">J-16</t>
  </si>
  <si>
    <t xml:space="preserve">Programa de certificación de bienestar de animales de granja presente en más de 30 países</t>
  </si>
  <si>
    <t xml:space="preserve">CLUB INNOVACION ACUICOLA</t>
  </si>
  <si>
    <t xml:space="preserve">P-02</t>
  </si>
  <si>
    <t xml:space="preserve">Club Innovación Acuícola fortalece la capacidad individual y asociativa de sus miembros para innovar, sobre la base de la construcción de capital social al interior del club y en los ecosistemas de I+D+i nacional y extranjeros, para el desarrollo de una acuicultura competitiva y sostenible.</t>
  </si>
  <si>
    <t xml:space="preserve">CORFO - SALMON SUSTENTABLE</t>
  </si>
  <si>
    <t xml:space="preserve">S-28</t>
  </si>
  <si>
    <t xml:space="preserve">Corfo Los Lagos impulsa el desarrollo productivo, la innovación y el emprendimiento con foco en sostenibilidad. En el sector acuícola apoya programas que fortalecen la competitividad mediante tecnología, economía circular, eficiencia energética, diversificación y desarrollo de proveedores, promoviendo una industria más sostenible y con mayor valor agregado.</t>
  </si>
  <si>
    <t xml:space="preserve">DANISH EMBASSY</t>
  </si>
  <si>
    <t xml:space="preserve">D-26</t>
  </si>
  <si>
    <t xml:space="preserve">Danish Export - Fish Tech is an export network gathering Danish export companies specialized in innovative and sustainable solutions as well as services for the international aquaculture, fish processing and commercial fisheries industries. Danish Export - Fish Tech/Pavilion of Denmark at Aqua Sur is your one point of contact to strong Danish competences and know-how within the target industries.</t>
  </si>
  <si>
    <t xml:space="preserve">DIRECTEMAR</t>
  </si>
  <si>
    <t xml:space="preserve">R-16</t>
  </si>
  <si>
    <t xml:space="preserve">Agua, ambiente y sostenibilidad › Servicios ambientales / mitigación</t>
  </si>
  <si>
    <t xml:space="preserve">DIRECTEMAR es el organismo de la Armada de Chile, que cautela el cumplimiento de leyes y acuerdos internacionales, para proteger la vida humana en el mar, ríos y lagos; preservar el medio ambiente acuático y recursos naturales marinos; ejerce la policía marítima, fiscaliza y regula las actividades dentro de su jurisdicción, con el propósito de contribuir al desarrollo marítimo de la nación.</t>
  </si>
  <si>
    <t xml:space="preserve">EL CONQUISTADOR</t>
  </si>
  <si>
    <t xml:space="preserve">GA-32</t>
  </si>
  <si>
    <t xml:space="preserve">Poseemos 6 estaciones de Radio el Conquistador Fm desde Osorno a Quellon Poseemos 4 estaciones de Radio Cooperativa, Provincia de Llanquihue y Provincia de Chiloe</t>
  </si>
  <si>
    <t xml:space="preserve">Endeavor Aquatech Cluster</t>
  </si>
  <si>
    <t xml:space="preserve">N-46, Sin stand</t>
  </si>
  <si>
    <t xml:space="preserve">Instituciones, medios y certificación › Asociaciones / sector público | Nutrición y alimentación acuícola › Ingredientes / aditivos / probióticos | Salud animal, biotecnología y laboratorio › Biotecnología aplicada | Agua, ambiente y sostenibilidad › Tratamiento de agua / efluentes</t>
  </si>
  <si>
    <t xml:space="preserve">Codebreaker Bioscience transforms the microbiome into actionable biological intelligence. By sequencing DNA and integrating production data, we improve animal survival and performance while reducing risk, using the animal as the ultimate sensor. This enables producers to optimize resources, make better decisions, and increase productivity and sustainability through precise biological control.</t>
  </si>
  <si>
    <t xml:space="preserve">FACH - FUERZA AEREA DE CHILE</t>
  </si>
  <si>
    <t xml:space="preserve">ST-120</t>
  </si>
  <si>
    <t xml:space="preserve">GLOBAL AQUA</t>
  </si>
  <si>
    <t xml:space="preserve">M-41</t>
  </si>
  <si>
    <t xml:space="preserve">The new international arena for aquaculture! Global Aqua is the new global meeting place for aquaculture, where producers, technology leaders, researchers, decision-makers, and investors come together to accelerate the solutions the world needs to secure the future supply of healthy and responsibly produced seafood.</t>
  </si>
  <si>
    <t xml:space="preserve">HAVEXPO</t>
  </si>
  <si>
    <t xml:space="preserve">M39B</t>
  </si>
  <si>
    <t xml:space="preserve">HavExpo 2026 will be bigger and better than before. HavExpo 2026 promises to be the best trade fair for the aquaculture and fisheries industries to date with significant expansions and improvements based on experience and feedback from previous events. The area has been used for four annual trade fairs since 2014.</t>
  </si>
  <si>
    <t xml:space="preserve">INFO SALMON</t>
  </si>
  <si>
    <t xml:space="preserve">L-22</t>
  </si>
  <si>
    <t xml:space="preserve">InfoSALMON es la plataforma líder en medios de comunicación acuícolas a nivel mundial, con información estratégica y multicanal para CEOs y tomadores de decisión de toda la cadena de valor. InfoSALMON is the world’s leading aquaculture media platform, delivering strategic, multichannel intelligence for CEOs and decision-makers across the entire value chain.</t>
  </si>
  <si>
    <t xml:space="preserve">MUNDO ACUICOLA</t>
  </si>
  <si>
    <t xml:space="preserve">F-10</t>
  </si>
  <si>
    <t xml:space="preserve">Mundo Acuícola es un medio especializado en acuicultura y pesca con 26 años de trayectoria. Integra revista impresa y digital, portal web y app móvil. Su plataforma tecnológica ofrece contenidos dinámicos, interacción en redes y notificaciones en tiempo real, conectando a la industria con información oportuna y de alto valor.</t>
  </si>
  <si>
    <t xml:space="preserve">MUNICIPALIDAD DE PUERTO MONTT</t>
  </si>
  <si>
    <t xml:space="preserve">GA-46</t>
  </si>
  <si>
    <t xml:space="preserve">MUNICIPALIDAD DE PUERTO VARAS</t>
  </si>
  <si>
    <t xml:space="preserve">GA-42</t>
  </si>
  <si>
    <t xml:space="preserve">La oficina Municipal de información turística de Puerto Varas asesora al visitante en materia del destino Puerto Varas y de la zona ZOIT cuenca lago Llanquihue.</t>
  </si>
  <si>
    <t xml:space="preserve">Pabellón Brasil (MAPA)</t>
  </si>
  <si>
    <t xml:space="preserve">N-22</t>
  </si>
  <si>
    <t xml:space="preserve">El Ministerio de Agricultura e Pecuária (MAPA) impulsa políticas que fortalecen la agropecuaria y el agronegocio en Brasil, integrando dimensiones económicas, tecnológicas, sanitarias, científicas y ambientales. Promueve innovación, sostenibilidad y competitividad, garantizando la seguridad alimentaria, consolidando el sector productivo y ampliando la presencia internacional del país.</t>
  </si>
  <si>
    <t xml:space="preserve">PROCHILE</t>
  </si>
  <si>
    <t xml:space="preserve">S-24</t>
  </si>
  <si>
    <t xml:space="preserve">ProChile es la institución del Ministerio de Relaciones Exteriores que promueve la internacionalización de las empresas chilenas, a través de acciones de promoción de bienes y servicios, junto al apoyo de la atracción de la inversión extranjera, el turismo y el fortalecimiento de la imagen país. Cuenta con oficinas regionales a lo largo de Chile y una red de Oficinas en el extranjero.</t>
  </si>
  <si>
    <t xml:space="preserve">RADIO PATAGONIA</t>
  </si>
  <si>
    <t xml:space="preserve">GA-52</t>
  </si>
  <si>
    <t xml:space="preserve">Patagonia Radio es una emisora del sur de Chile con base en Puerto Montt. Entrega información local, actualidad, entrevistas, cultura y música, conectando a la Región de Los Lagos con una mirada cercana, plural y comprometida con su comunidad.</t>
  </si>
  <si>
    <t xml:space="preserve">REVISTA PUERTO A PUERTO</t>
  </si>
  <si>
    <t xml:space="preserve">R-18</t>
  </si>
  <si>
    <t xml:space="preserve">REVISTA PUERTO A PUERTO ES UN MEDIO DIGITAL E IMPRESO, CON 20 AÑOS DE TRAYECTORIA. PUBLICAMOS 4 EDICIONES EN EL AÑO. 6000 EJEMPLARES CADA IMPRESION. PUBLICAMOS TEMAS MISCELANEOS DE CARACTER TRANSVERSAL. CON SUSCRIPCION EN TODO CHILE, Y EN ARGENTINA BARICLOCHE-PUERTO MADRYN- USHUAIA-RIO GRANDE. GRAN TIRAJE EN LAS REGIONES DE LOS LAGOS- AYSEN-MAGALLANES. OFICINAS EN PUERTO MONTT - PUNTA ARENAS</t>
  </si>
  <si>
    <t xml:space="preserve">SALMONEXPERT</t>
  </si>
  <si>
    <t xml:space="preserve">E-35</t>
  </si>
  <si>
    <t xml:space="preserve">Somos un medio de comunicación independiente, técnico y objetivo, con más de 15 años de trayectoria informando sobre la industria del salmón en Chile y el mundo. Forma parte del grupo Oceanspace Media, holding internacional de medios especializados en pesca, acuicultura, logística y construcción de barcos con presencia en Chile, Noruega, Escocia y Dinamarca, cuya primera publicación data de 1976.</t>
  </si>
  <si>
    <t xml:space="preserve">SERNAPESCA</t>
  </si>
  <si>
    <t xml:space="preserve">P-22</t>
  </si>
  <si>
    <t xml:space="preserve">El Servicio Nacional de Pesca y Acuicultura es una entidad dependiente del Ministerio de Economía, Fomento y Turismo, cuya misión es “contribuir a la sustentabilidad del sector y a la protección de los recursos hidrobiológicos y su medio ambiente, a través de una fiscalización integral y gestión sanitaria que influye en el comportamiento sectorial promoviendo el cumplimiento de las normas”.</t>
  </si>
  <si>
    <t xml:space="preserve">VC MAGAZINE</t>
  </si>
  <si>
    <t xml:space="preserve">S-25</t>
  </si>
  <si>
    <t xml:space="preserve">Medio de comunicación multisectorial y multiplataforma de alcance nacional que visibiliza cómo empresas, industrias, emprendimientos y territorios generan impacto económico, social y ambiental positivo en Chile. A través de contenidos editoriales, reportajes, entrevistas y cobertura en distintos formatos —revista impresa y digital, plataformas audiovisuales y redes sociales.</t>
  </si>
  <si>
    <t xml:space="preserve">VERTICE TV</t>
  </si>
  <si>
    <t xml:space="preserve">S-18</t>
  </si>
  <si>
    <t xml:space="preserve">Vértice Media es un grupo de multimedios que integra Vértice TV, canal de televisión abierta, con su noticiero especializado El Pulso Acuícola. Además, cuenta con diarios digitales regionales y portal web. Desarrolla contenidos multiplataforma, producción audiovisual (videos, spots, podcast) y servicios de streaming para eventos y seminarios.</t>
  </si>
  <si>
    <t xml:space="preserve">AQUABENCH</t>
  </si>
  <si>
    <t xml:space="preserve">Alianza Yelcho: Iniciativa público-privada pionera en la salmonicultura. Buscamos nuevas soluciones inmunológicas que controlen eficazmente la Piscirickettsiosis (SRS) que afecta al salmón de cultivo en Chile, para disminuir el uso de antibióticos.</t>
  </si>
  <si>
    <t xml:space="preserve">EILERS</t>
  </si>
  <si>
    <t xml:space="preserve">Baja</t>
  </si>
  <si>
    <t xml:space="preserve">Nutrir con contenido; sin acción comercial inmediata</t>
  </si>
  <si>
    <t xml:space="preserve">Proveedor industrial (equipos/insumos)</t>
  </si>
  <si>
    <t xml:space="preserve">A-13, B-14</t>
  </si>
  <si>
    <t xml:space="preserve">Con más de 30 años de experiencia, somos un referente en la distribución de equipos y productos marinos de la más alta calidad, de mercados tan prestigiosos como Alemania, Corea, Estados Unidos e Italia. Nuestro compromiso con la excelencia nos impulsa a brindar un servicio personalizado, apoyado por un equipo de expertos dispuestos a asesorarles en cada paso del camino.</t>
  </si>
  <si>
    <t xml:space="preserve">GREENVOLUTION</t>
  </si>
  <si>
    <t xml:space="preserve">ST-76, ST-77</t>
  </si>
  <si>
    <t xml:space="preserve">Nutrición y alimentación acuícola › Ingredientes / aditivos / probióticos</t>
  </si>
  <si>
    <t xml:space="preserve">En Greenvolution nos dedicamos a la formulación y elaboración de mezclas de aditivos funcionales sostenibles que optimizan el bienestar, la eficiencia productiva y el cumplimiento de los más altos estándares internacionales de calidad. Nuestra misión es transformar la industria a través de soluciones innovadoras que mejoren la salud y productividad de los animales y reduzcan el impacto ambiental.</t>
  </si>
  <si>
    <t xml:space="preserve">A-MI CORP</t>
  </si>
  <si>
    <t xml:space="preserve">Corea del Sur</t>
  </si>
  <si>
    <t xml:space="preserve">J-38</t>
  </si>
  <si>
    <t xml:space="preserve">A-MI Corporation from South Korea manufactures high-quality aquaculture equipment, including air blowers, diffusers, oxygen meters, and titanium heaters. Our products ensure optimal performance for fish farming. We accept PayPal and Bitcoin, and ship worldwide via UPS, FedEx, or EMS.</t>
  </si>
  <si>
    <t xml:space="preserve">ABASTIBLE</t>
  </si>
  <si>
    <t xml:space="preserve">AquaSur 2026. También expone en Exponor 2026 (ID 360). Sin contacto publicado.</t>
  </si>
  <si>
    <t xml:space="preserve">A-02</t>
  </si>
  <si>
    <t xml:space="preserve">En Abastible, impulsamos operaciones más eficientes y competitivas mediante soluciones energéticas confiables y adaptadas a cada proceso, transformándonos en socio estratégico de la industria acuícola, con una red logística robusta y foco en continuidad operacional, aportando a un crecimiento sostenible del sector.</t>
  </si>
  <si>
    <t xml:space="preserve">Exponor (ID 360)</t>
  </si>
  <si>
    <t xml:space="preserve">ACONSER OZONO</t>
  </si>
  <si>
    <t xml:space="preserve">S-20</t>
  </si>
  <si>
    <t xml:space="preserve">Somos una empresa con base en Puerto Montt y amplia experiencia en tratamiento de aguas y RILES para la industria. Diseñamos, construimos y operamos plantas, entregando soluciones eficientes y sustentables que optimizan procesos y aseguran cumplimiento normativo. Complementamos nuestra propuesta con Chiloé Recicla en valorización y transporte de residuos y Aconser Ozono en desinfección industrial.</t>
  </si>
  <si>
    <t xml:space="preserve">ADCLEAN</t>
  </si>
  <si>
    <t xml:space="preserve">M-06</t>
  </si>
  <si>
    <t xml:space="preserve">AdTech, división industrial de AdClean, ofrece soluciones de bioseguridad, limpieza y tratamiento de agua para salmoneras y acuicultura. Nuestra tecnología innovadora y segura reemplaza químicos agresivos (cloro, alcohol, soda cáustica y amonio cuaternario), mejora la inocuidad en toda la cadena productiva y reduce riesgos, costos e impacto ambiental.</t>
  </si>
  <si>
    <t xml:space="preserve">AERZEN CHILE SPA</t>
  </si>
  <si>
    <t xml:space="preserve">A-18</t>
  </si>
  <si>
    <t xml:space="preserve">AERZEN cuenta con más de 160 años de experiencia en soluciones de aire y gases. Para la acuicultura, ofrece sopladores y compresores de alta eficiencia que optimizan los procesos de alimentación de salmones a través de la tecnología de transporte neumático, contribuyendo a procesos más sostenibles, confiables y energéticamente eficientes.</t>
  </si>
  <si>
    <t xml:space="preserve">AGF FREEZERS</t>
  </si>
  <si>
    <t xml:space="preserve">K-39</t>
  </si>
  <si>
    <t xml:space="preserve">Energía, climatización e iluminación › Refrigeración / HVAC</t>
  </si>
  <si>
    <t xml:space="preserve">AGF Freezers Ltd. is a global food freezing manufacturer. Utilizing global engineering technology and practices, AGF Freezers follows sanitary design principles for enhanced hygiene and optimized construction to ensure high performance. Custom-built Spiral freezers and IQF tunnels are engineered to ensure food businesses can produce safe, quality products to match their market needs.</t>
  </si>
  <si>
    <t xml:space="preserve">AIR PRODUCTS - INDURA</t>
  </si>
  <si>
    <t xml:space="preserve">B-35</t>
  </si>
  <si>
    <t xml:space="preserve">Empresa de gases, máquinas y capacitación</t>
  </si>
  <si>
    <t xml:space="preserve">AKER BIOMARINE</t>
  </si>
  <si>
    <t xml:space="preserve">K-46</t>
  </si>
  <si>
    <t xml:space="preserve">Aker Qrill Company es una empresa dedicada a la producción de ingredientes marinos de alta calidad derivados de krill antártico. Nuestro producto QRILL Aqua, es un ingrediente innovador rico en proteínas, fosfolípidos y nutrientes esenciales que mejora el bienestar, salud, crecimiento y rendimiento de peces y camarones de cultivo.</t>
  </si>
  <si>
    <t xml:space="preserve">AKOTEK SPA</t>
  </si>
  <si>
    <t xml:space="preserve">J-28</t>
  </si>
  <si>
    <t xml:space="preserve">Somos un proveedor global líder en tecnología de medición para procesos y laboratorios. Ofrecemos un amplio portafolio de instrumentación, soluciones y servicios que ayudan a nuestros clientes de la industria de procesos a mejorar sus productos y fabricarlos de forma más eficiente. Como la empresa familiar que somos, también somos sinónimo de fiabilidad, colaboraciones a largo plazo y estabilidad.</t>
  </si>
  <si>
    <t xml:space="preserve">ALFA GROUP</t>
  </si>
  <si>
    <t xml:space="preserve">L-08</t>
  </si>
  <si>
    <t xml:space="preserve">En ALFA Group® lideramos la industria de alimentos en Latinoamérica con 65 años de experiencia. Desde Chile y Argentina, proveemos ingredientes y soluciones a medida con certificación FSSC 22000. Destacamos en la industria del salmón con maquinaria y envases especializados, además de soluciones para carnes, lácteos y retail. Somos el socio estratégico para el éxito de tu negocio.</t>
  </si>
  <si>
    <t xml:space="preserve">ALL4RECYCLE</t>
  </si>
  <si>
    <t xml:space="preserve">C-34</t>
  </si>
  <si>
    <t xml:space="preserve">We take your company’s recycling philosophy to the next level. We offer a range of machines that compress plastic film, cardboard, foam, plastic containers, metal cans, and hard plastic. Our machines also prepare reject/dust materials for recycling. We develop a variety of solutions to suit your company and its needs. We buy and sell recycled material.</t>
  </si>
  <si>
    <t xml:space="preserve">ALUMICHEM</t>
  </si>
  <si>
    <t xml:space="preserve">C-20</t>
  </si>
  <si>
    <t xml:space="preserve">Meet your RAS water discharge limits Alumichem delivers high-performance, turnkey water treatment solutions for land-based fish farms of all species. Engineered to meet strict discharge requirements, our solutions are powered by 40+ years of proven expertise and a global network of specialists in water treatment chemicals, equipment, and consulting.</t>
  </si>
  <si>
    <t xml:space="preserve">AMBIENTE OZONO</t>
  </si>
  <si>
    <t xml:space="preserve">P-07</t>
  </si>
  <si>
    <t xml:space="preserve">AMBIPAR</t>
  </si>
  <si>
    <t xml:space="preserve">N-18</t>
  </si>
  <si>
    <t xml:space="preserve">Ambipar es una empresa líder global en soluciones medioambientales que impulsa la transformación ecológica de organizaciones y territorios. Integra gestión de residuos, economía circular, respuesta a emergencias y soluciones sostenibles para proteger el medio ambiente, garantizar la continuidad operativa y generar impacto positivo en las personas y el planeta.</t>
  </si>
  <si>
    <t xml:space="preserve">AMRISA</t>
  </si>
  <si>
    <t xml:space="preserve">K-42</t>
  </si>
  <si>
    <t xml:space="preserve">Ingeniería y diseño de plantas frigoríficas industriales y marinas</t>
  </si>
  <si>
    <t xml:space="preserve">ANAM - ECORILES</t>
  </si>
  <si>
    <t xml:space="preserve">M-02</t>
  </si>
  <si>
    <t xml:space="preserve">ANAM y Ecoriles son filiales del grupo Aguas y Veolia. ANAM destaca por sus laboratorios acreditados y servicios de análisis de agua, aire, suelos y residuos, con más de 20 años de experiencia. Ecoriles se especializa en tratamiento de aguas industriales, con enfoque en economía circular y continuidad operacional para diversas industrias.</t>
  </si>
  <si>
    <t xml:space="preserve">ANDRITZ</t>
  </si>
  <si>
    <t xml:space="preserve">J-06</t>
  </si>
  <si>
    <t xml:space="preserve">Equipos e insumos industriales › Soldadura / termofusión</t>
  </si>
  <si>
    <t xml:space="preserve">ANDRITZ es un grupo tecnológico global que ofrece soluciones innovadoras para la industria acuícola. Con más de 180 años de experiencia, actúa como un socio confiable, entregando soluciones integrales desde el análisis de materias primas hasta procesos de alta capacidad como molienda, extrusión, secado y peletización, además de tecnologías de automatización.</t>
  </si>
  <si>
    <t xml:space="preserve">ANGELNET</t>
  </si>
  <si>
    <t xml:space="preserve">Polonia</t>
  </si>
  <si>
    <t xml:space="preserve">GA-23</t>
  </si>
  <si>
    <t xml:space="preserve">Angelnet is a family company which manufactures twisted ropes, braided lines and fishing gear. Angelnet offers ropes for such sectors as fishing, aquaculture, building, industry and many others. Our focus is the production of floatlines and sinking weight down braided and twisted ropes. We also specialize in rigging these ropes for nets by hands or by machinery with splicing and hand-sewing.</t>
  </si>
  <si>
    <t xml:space="preserve">ANPHOTEROL</t>
  </si>
  <si>
    <t xml:space="preserve">K-18</t>
  </si>
  <si>
    <t xml:space="preserve">Laboratorio Kasem desarrolla y comercializa soluciones de primeros auxilios orientadas a la protección y cuidado de las personas que trabajan diariamente con sustancias peligrosas. Sus productos están diseñados para la atención inmediata de emergencias químicas, contribuyendo a detener el avance de las quemaduras químicas, destacando entre ellos ANPHOTEROL® como solución especializada.</t>
  </si>
  <si>
    <t xml:space="preserve">ANTALIS</t>
  </si>
  <si>
    <t xml:space="preserve">D-12</t>
  </si>
  <si>
    <t xml:space="preserve">Antalis forma parte del grupo japonés Kokusai Pulp &amp; Paper, líder mundial en papel, embalaje y comunicación visual. Es el primer distribuidor B2B de papel y embalaje industrial en Europa, Canadá y Latinoamérica. Con sede en París, opera en 31 países, atiende a más de 100.000 clientes y cuenta con 4.000 empleados y 83 centros eco-responsables.</t>
  </si>
  <si>
    <t xml:space="preserve">APOLLO - IMPEX</t>
  </si>
  <si>
    <t xml:space="preserve">D-54</t>
  </si>
  <si>
    <t xml:space="preserve">Equipos e insumos industriales › Bombas / válvulas / tuberías</t>
  </si>
  <si>
    <t xml:space="preserve">Fabricacion de clasificadoras de peces y ovas , Filtros rotatorios , Bombas y contadoras de Peces</t>
  </si>
  <si>
    <t xml:space="preserve">AQUA PHARMA / AQUATIQ</t>
  </si>
  <si>
    <t xml:space="preserve">K-28</t>
  </si>
  <si>
    <t xml:space="preserve">Aqua Pharma es una empresa especializada en soluciones sanitarias y tratamientos para la acuicultura, enfocada en la salud y bienestar de peces y camarones. Ofrece productos y servicios innovadores, seguros y sustentables, apoyando una producción acuícola eficiente y responsable a nivel global.</t>
  </si>
  <si>
    <t xml:space="preserve">AQUAFIND</t>
  </si>
  <si>
    <t xml:space="preserve">A-30</t>
  </si>
  <si>
    <t xml:space="preserve">Empresa provedora de equipos de segunda mano o reuso en la industria acuicola en Noruega y Chile.</t>
  </si>
  <si>
    <t xml:space="preserve">AQUALABO</t>
  </si>
  <si>
    <t xml:space="preserve">Francia</t>
  </si>
  <si>
    <t xml:space="preserve">A-20</t>
  </si>
  <si>
    <t xml:space="preserve">Experiencia en el tratamiento del agua Desde el diseño hasta la instalación de sus equipos AQUALABO diseña, fabrica y comercializa una amplia gama de equipos e instrumentos para el control y el análisis del agua. Nuestra filosofía, nuestro valor añadido: el control del agua se vuelve sencillo, económico, innovador y de bajo consumo.</t>
  </si>
  <si>
    <t xml:space="preserve">AQUALIFE</t>
  </si>
  <si>
    <t xml:space="preserve">D-43</t>
  </si>
  <si>
    <t xml:space="preserve">Magic Valley Heli-Arc is the manufacturer of world-renowned Aqua-Life Products. From the world's #1 rated fish and shrimp transfer or harvesting systems, to the extensive Aqua-Life Fish Pump line offering 37 models of both submersible and non-submersible pumps. Aqua-Life has the solutions to meet the needs of today's fast-growing Aquaculture Industry.</t>
  </si>
  <si>
    <t xml:space="preserve">AQUATECHNOLOGY</t>
  </si>
  <si>
    <t xml:space="preserve">G-20</t>
  </si>
  <si>
    <t xml:space="preserve">Durante más de dos décadas, Atlantium Technologies ha ayudado a garantizar la bioseguridad del agua con su innovadora tecnología UV HOD™ (desinfección hidroóptica) y su novedoso enfoque de rendimiento, monitoreo y control. Las soluciones superiores y avanzadas de tratamiento de agua de Atlantium garantizan una producción estable, eficiente y confiable.</t>
  </si>
  <si>
    <t xml:space="preserve">AQUATEST</t>
  </si>
  <si>
    <t xml:space="preserve">P-06</t>
  </si>
  <si>
    <t xml:space="preserve">Laboratorio de ensayos mecanicos, especializados en materiales de la industria acuicola, ensayos de traccion, compresion y flexo-compresion con maquina universal de 200 toneladas</t>
  </si>
  <si>
    <t xml:space="preserve">AQUATIQ</t>
  </si>
  <si>
    <t xml:space="preserve">Aquatiq es una empresa noruega de origen familiar, fundada en 1987, con presencia internacional y más de 30 años de experiencia en seguridad alimentaria. Es experta en control de Listeria y otros microorganismos críticos, integrando productos, sistemas y soporte técnico para higiene, desinfección y prevención de riesgos en la industria alimentaria y acuícola.</t>
  </si>
  <si>
    <t xml:space="preserve">ARCOTEX</t>
  </si>
  <si>
    <t xml:space="preserve">AquaSur 2026. También expone en Exponor 2026 (ID 410). Sin contacto publicado.</t>
  </si>
  <si>
    <t xml:space="preserve">C-21</t>
  </si>
  <si>
    <t xml:space="preserve">Arcotex cuenta con más de 40 años de experiencia en el mercado industrial y minero, ofreciendo soluciones completas como puertas de rollo rápido, plegables y seccionales, cortinas, lamas de PVC, sellos y niveladores de andén, diseñados para brindar eficiencia, seguridad y durabilidad.</t>
  </si>
  <si>
    <t xml:space="preserve">Exponor (ID 410)</t>
  </si>
  <si>
    <t xml:space="preserve">ASIA CORDAGE</t>
  </si>
  <si>
    <t xml:space="preserve">India</t>
  </si>
  <si>
    <t xml:space="preserve">G-36</t>
  </si>
  <si>
    <t xml:space="preserve">Asia Cordage Pvt. Ltd. – Premium synthetic ropes from India. Braided &amp; twisted rope and twine in Nylon, Polyester, Polypropylene &amp; PP+Polyester mix. DanPro® ropes are stronger, smoother &amp; reliable for fishing &amp; aquaculture. Cuerdas sintéticas premium de India. Resistentes, suaves y confiables. info@asiacordage.com +1-(289)-668-6224</t>
  </si>
  <si>
    <t xml:space="preserve">AUSTRAL CHEMICALS CHILE S.A.</t>
  </si>
  <si>
    <t xml:space="preserve">AquaSur 2026. También expone en Exponor 2026 (ID 426). Sin contacto publicado.</t>
  </si>
  <si>
    <t xml:space="preserve">G-02</t>
  </si>
  <si>
    <t xml:space="preserve">Austral Food Safety es la división de Austral dedicada en la industria agroalimentaria, agropecuaria y acuícola con una solución integral para la inocuidad alimentaria. Proveemos detergentes y desinfectantes registrados por el ISP y Directemar, como también equipos automatizados de media presión para la limpieza y sanitización y sistemas de control y monitoreo microbiano. Certificación ISO 22000.</t>
  </si>
  <si>
    <t xml:space="preserve">Exponor (ID 426)</t>
  </si>
  <si>
    <t xml:space="preserve">AUSTRAL MOTO SPORT</t>
  </si>
  <si>
    <t xml:space="preserve">AD-01</t>
  </si>
  <si>
    <t xml:space="preserve">Empresa dedicada a la comercialización de Motores Fuera de Borda y Post venta.-</t>
  </si>
  <si>
    <t xml:space="preserve">AUSTRAL PACK</t>
  </si>
  <si>
    <t xml:space="preserve">G-32</t>
  </si>
  <si>
    <t xml:space="preserve">Empresa con más de 10 años de experiencia en desarrollo e innovación en Packaging. Ofrecemos soluciones integrales en el área de envasado de productos alimenticios. Contamos con soluciones certificadas y validadas en los mercados mas exigentes del mundo.</t>
  </si>
  <si>
    <t xml:space="preserve">AyT SERVICIOS</t>
  </si>
  <si>
    <t xml:space="preserve">N-09</t>
  </si>
  <si>
    <t xml:space="preserve">AyT es una empresa especializada en soluciones tecnológicas para el monitoreo ambiental. Líder en instrumentación, sistemas de monitoreo de calidad del aire, emisiones (CEMS) y agua, operación, aseguramiento de calidad y gestión de datos. Contamos con laboratorio acreditado ISO 17025 y acompañamos a nuestros clientes en todo el ciclo del cumplimiento ambiental, con innovación y soporte local.</t>
  </si>
  <si>
    <t xml:space="preserve">AZING</t>
  </si>
  <si>
    <t xml:space="preserve">G-04</t>
  </si>
  <si>
    <t xml:space="preserve">AZ Ingeniería es una empresa especializada en el tratamiento y valorización de subproductos animales. Diseñamos y fabricamos equipos industriales a medida, integrando soluciones de cocción, secado, evaporación y control ambiental con un enfoque en eficiencia energética, sostenibilidad y alto rendimiento operativo.</t>
  </si>
  <si>
    <t xml:space="preserve">BANCO SANTANDER</t>
  </si>
  <si>
    <t xml:space="preserve">COWORK-P</t>
  </si>
  <si>
    <t xml:space="preserve">Finanzas, seguros y leasing › Banca / servicios financieros</t>
  </si>
  <si>
    <t xml:space="preserve">BEKAERT</t>
  </si>
  <si>
    <t xml:space="preserve">C-50</t>
  </si>
  <si>
    <t xml:space="preserve">Bekaert se posiciona como el mayor fabricante de cables de acero del mundo, con fuerte presencia en los sectores de Oil &amp; Gas, Grúas, Minería, Industria y Pesca. Además de cables de acero, Bekaert fabrica eslingas sintéticas, estrobos, lubricantes, advanced cords y cuenta con una división de servicios llamada Ropes 360.</t>
  </si>
  <si>
    <t xml:space="preserve">BENCHMARK</t>
  </si>
  <si>
    <t xml:space="preserve">M-40</t>
  </si>
  <si>
    <t xml:space="preserve">Salud animal, biotecnología y laboratorio › Genética / reproducción</t>
  </si>
  <si>
    <t xml:space="preserve">Benchmark Genetics Chile, es parte de Benchmark Genetics global. Empresa líder en la producción de ovas de salmón atlántico en Noruega e Islandia; a su vez, ofrece servicios genéticos a la acuicultura mundial. En Chile, BMK ofrece: Diseño y gestión de programas de reproducción, Servicios de criopreservación, Servicios de genotipificado y Análisis bioeconómicos a la industria acuícola.</t>
  </si>
  <si>
    <t xml:space="preserve">BIOCHEMTECH SPA</t>
  </si>
  <si>
    <t xml:space="preserve">C-43</t>
  </si>
  <si>
    <t xml:space="preserve">Biochem Technology es una empresa chilena que ofrece soluciones integrales para el tratamiento y purificación de aguas. Suministra insumos, equipos y proyectos de pretratamiento, DAF, ultrafiltración, nanofiltración, ósmosis inversa, desalación y tratamiento de lodos para plantas de aguas servidas, potables e industriales, con asesoría especializada y enfoque sustentable.</t>
  </si>
  <si>
    <t xml:space="preserve">BIOLED SPA</t>
  </si>
  <si>
    <t xml:space="preserve">J-22</t>
  </si>
  <si>
    <t xml:space="preserve">Bioled Photoperiod es una empresa tecnológica de gran escala especializada en la técnica del fotoperiodo para la acuicultura. Con base científica sólida, desarrolla sistemas de iluminación LED y control automatizado que optimizan la producción de manera sustentable. Cuenta con certificaciones internacionales y enfoca sus desarrollos y asesorías en el bienestar y la fisiología de los peces.</t>
  </si>
  <si>
    <t xml:space="preserve">BIOLIFT</t>
  </si>
  <si>
    <t xml:space="preserve">M-37</t>
  </si>
  <si>
    <t xml:space="preserve">BioLift es una empresa enfocada en la prevención de impactos en los fondos marinos asociados a la acuicultura. Implementa tecnologías para capturar lodos antes de que se acumulen, reduciendo materia orgánica y riesgo de anaerobiosis, evitando INFAs negativas, mejorando el desempeño ambiental de los centros y valorizando los residuos en soluciones energéticas y productivas sostenibles.</t>
  </si>
  <si>
    <t xml:space="preserve">BIOSUR COMERCIAL</t>
  </si>
  <si>
    <t xml:space="preserve">M-10</t>
  </si>
  <si>
    <t xml:space="preserve">BIOSUR es una empresa especializada en tratamiento de agua, separación centrífuga y transferencia de calor para industrias y sector sanitario. Ofrecemos ingeniería, servicio técnico, postventa y montaje, acompañando al cliente desde el diagnóstico hasta la operación.</t>
  </si>
  <si>
    <t xml:space="preserve">BIOTEC</t>
  </si>
  <si>
    <t xml:space="preserve">C-37</t>
  </si>
  <si>
    <t xml:space="preserve">Somos una compañía enfocada en el desarrollo de programas y soluciones Integrales para garantizar la Inocuidad Alimentaria y proteger la Higiene Industrial. Con más de 30 años de experiencia, innovación, acompañamiento constante y calidad técnica, estamos hoy junto a nuestros clientes, en cada una de sus plantas, monitoreando la seguridad de sus productos, procesos, personas e infraestructura.</t>
  </si>
  <si>
    <t xml:space="preserve">BOANERGES</t>
  </si>
  <si>
    <t xml:space="preserve">H-33</t>
  </si>
  <si>
    <t xml:space="preserve">Pioneros en Chile desde 2013: Ofrecemos servicios de Mantenimiento Industrial Especializado en el rubro salmonero, fabricamos componentes para tu planta de procesos salmonero de calidad, alta durabilidad, apto a las exigencias sanitarias y de producción. Aseguramos la producción de calidad de tu planta salmonera.</t>
  </si>
  <si>
    <t xml:space="preserve">BOMBAS GRUNDFOS CHILE LTDA.</t>
  </si>
  <si>
    <t xml:space="preserve">D-27</t>
  </si>
  <si>
    <t xml:space="preserve">Grundfos is a global leader in energy-efficient pump solutions, redefining the future of water management. With electronic pump systems, Grundfos ensures high performance and energy efficiency while cutting emissions. In aquaculture, with over 20 years of expertise, our broad range of pumps meets all your needs, whether for seawater, freshwater, reuse, cleaning, or temperature control.</t>
  </si>
  <si>
    <t xml:space="preserve">Boudet Ingenieros</t>
  </si>
  <si>
    <t xml:space="preserve">D-04</t>
  </si>
  <si>
    <t xml:space="preserve">Empresa de Refrigeracion Industrial con 30 años de experiencia en construccion de frigorificos en Amoniaco y en HFC, participando en proyectos de más 5.000kW de potencia instalada de refrigeración. Con representación y servicio técnico autorizado de equipos mayores Snowman con sus marcas Snowkey, SRMTec y Refcomp, que incluyen compresores, condensadores, máquinas de hielo, chillers.</t>
  </si>
  <si>
    <t xml:space="preserve">BURG SpA</t>
  </si>
  <si>
    <t xml:space="preserve">B-42</t>
  </si>
  <si>
    <t xml:space="preserve">BURG SPA es una compañía chilena con raíces alemanas y más de 10 años de experiencia. Nos especializamos en grupos electrógenos, arriendo de equipos, servicio técnico, proyectos multimarca y repuestos industriales. Ofrecemos además bombas de fluidos para diversas industrias. La postventa y servicio al cliente son nuestro principal sello, respaldados por un equipo altamente capacitado.</t>
  </si>
  <si>
    <t xml:space="preserve">BURKERT</t>
  </si>
  <si>
    <t xml:space="preserve">C-45</t>
  </si>
  <si>
    <t xml:space="preserve">Bürkert desarrolla soluciones para medir y controlar fluidos, impulsando una economía regenerativa. En acuicultura, garantiza procesos estables y sostenibles mediante el control preciso de caudales, oxigenación y calidad del agua. Con válvulas, sensores y sistemas como FLOWave, optimiza recursos y mejora la eficiencia para una producción responsable.</t>
  </si>
  <si>
    <t xml:space="preserve">CATALINA FOOD SOLUTIONS</t>
  </si>
  <si>
    <t xml:space="preserve">P-24</t>
  </si>
  <si>
    <t xml:space="preserve">At Catalina Food Solutions, we drive progress in the food industry through next-generation innovation. We develop natural and sustainable ingredients that improve quality, safety, and flavor. Our solutions help food manufacturers worldwide respond to market needs and evolving consumer expectations.</t>
  </si>
  <si>
    <t xml:space="preserve">CAV S.A.</t>
  </si>
  <si>
    <t xml:space="preserve">N-16</t>
  </si>
  <si>
    <t xml:space="preserve">Club de vinos más importante de Chile, con más de 34000 socios a lo largo del país Nuestra misión dar a conocer nuestro patrimonio, el vino Chileno. Educando para un consumo responsable y siendo una ventana para los productores a nivel nacional, grandes y pequeñas viñas</t>
  </si>
  <si>
    <t xml:space="preserve">CAXTOR</t>
  </si>
  <si>
    <t xml:space="preserve">AquaSur 2026. También expone en Exponor 2026 (ID 485). Sin contacto publicado.</t>
  </si>
  <si>
    <t xml:space="preserve">GA-19</t>
  </si>
  <si>
    <t xml:space="preserve">Energía, climatización e iluminación › Iluminación / fotoperiodo</t>
  </si>
  <si>
    <t xml:space="preserve">Líder en infraestructura marítima con soluciones de Ayudas a la Navegación (AtoN). Destaca por sus balizas y boyas de alta resistencia, iluminación LED y sistemas de energía solar. Incluyendo Elementos de fondeo, Equipos para la Contención de Derrames y sistemas de monitoreo electrónico (AIS), lo que garantiza operaciones portuarias seguras, eficientes y sustentables.</t>
  </si>
  <si>
    <t xml:space="preserve">Exponor (ID 485)</t>
  </si>
  <si>
    <t xml:space="preserve">CIA DE LEASING TATTERSALL S.A. EUROPCAR</t>
  </si>
  <si>
    <t xml:space="preserve">P-04</t>
  </si>
  <si>
    <t xml:space="preserve">Finanzas, seguros y leasing › Leasing / movilidad corporativa</t>
  </si>
  <si>
    <t xml:space="preserve">Tattersall Leasing es una empresa que cuenta con más de 35 años de reconocida experiencia en el mercado de Leasing Operativo y Rent a Car. Tattersall Leasing ofrece soluciones de movilidad y la mayor cobertura nacional del mercado. Cuenta con oficinas en los principales ciudades y aeropuertos del país.</t>
  </si>
  <si>
    <t xml:space="preserve">CINTAC SAIC</t>
  </si>
  <si>
    <t xml:space="preserve">A-52</t>
  </si>
  <si>
    <t xml:space="preserve">Con mas de 60 años de experiencia, Cintac es empresa líder en la fabricación y comercialización de sistemas constructivos e insumos para la construcción. Con presencia en Chile y Perú, destacan dentro de su amplia línea de productos: Tubos y Perfiles, Perfiles Metalcon, Tubest, Cubiertas y Revestimientos Instapanel, Planchas de Acero, Defensas Camineras y Productos para el Agro.</t>
  </si>
  <si>
    <t xml:space="preserve">Citrex</t>
  </si>
  <si>
    <t xml:space="preserve">F-37</t>
  </si>
  <si>
    <t xml:space="preserve">Citrex Chile desarrolla soluciones innovadoras, seguras y biodegradables para la industria acuícola, enfocadas en optimizar procesos y reducir el uso de recursos. Nuestro compromiso con la calidad está respaldado por la certificación IFS Food V8, garantizando altos estándares en seguridad alimentaria y eficiencia operativa.</t>
  </si>
  <si>
    <t xml:space="preserve">CITTADINI</t>
  </si>
  <si>
    <t xml:space="preserve">Italia</t>
  </si>
  <si>
    <t xml:space="preserve">E-02</t>
  </si>
  <si>
    <t xml:space="preserve">CITTADINI es una Empresa Italiana Fabricante de redes de alta Tecnología y calidad textil, para la Industria Acuícola en Chile, Noruega y el Mediterráneo. Nuestras soluciones de redes están diseñadas para enfrentar los entornos más exigentes, fabricadas y confeccionadas con materiales de alto rendimiento como son las redes en Dyneema® Trosar Uhmwpe Nylon SK Supernudo HDPE Poliéster</t>
  </si>
  <si>
    <t xml:space="preserve">CLAUGER CHILE</t>
  </si>
  <si>
    <t xml:space="preserve">J-34</t>
  </si>
  <si>
    <t xml:space="preserve">Clauger Chile ofrece soluciones a la medida en refrigeración industrial y tratamiento de aire de proceso (acondicionamiento de aire) para el sector alimentario principalmente. Contamos con presencia en el resto de América Latina y especialmente con oficinas en México y Colombia trabajando con el mismo enfoque: eficiencia y optimización energética.</t>
  </si>
  <si>
    <t xml:space="preserve">CLIVIO SOLUTIONS</t>
  </si>
  <si>
    <t xml:space="preserve">K-14</t>
  </si>
  <si>
    <t xml:space="preserve">Brindamos soluciones integrales de ingeniería y tecnología para la optimización de procesos industriales. Acompañamos a nuestros clientes desde el diseño hasta la implementación, combinando consultoría técnica, experiencia en planta y tecnologías de punta, con foco en eficiencia operativa, reducción de costos y resultados concretos, trabajando de forma cercana y colaborativa.</t>
  </si>
  <si>
    <t xml:space="preserve">CMPC CORRUGADOS</t>
  </si>
  <si>
    <t xml:space="preserve">L-32</t>
  </si>
  <si>
    <t xml:space="preserve">Su Socio Estratégico en Packaging Sustentable. En CMCP Corrugados estamos dedicados a brindarle solucionas integrales de embalaje a base de fibras naturales. Somo parte del Holding global Empresas CMPC.</t>
  </si>
  <si>
    <t xml:space="preserve">CODELPA CHILE S.A</t>
  </si>
  <si>
    <t xml:space="preserve">AquaSur 2026. También expone en Exponor 2026 (ID 513). También expone en ExpoMina 2026 (ID 171). Sin contacto publicado.</t>
  </si>
  <si>
    <t xml:space="preserve">H-44</t>
  </si>
  <si>
    <t xml:space="preserve">Jotun es una marca líder a nivel mundial en pinturas y recubrimientos marinos e industriales, reconocida por su calidad e innovación. Con más de 40 años en Chile y 12 en Perú, Codelpa fabrica y comercializa Jotun en ambos países, ofreciendo soluciones para el área marina, industrial, infraestructura, pisos y polvo electroestático, con tecnología de clase mundial.</t>
  </si>
  <si>
    <t xml:space="preserve">Exponor (ID 513); ExpoMina (ID 171)</t>
  </si>
  <si>
    <t xml:space="preserve">COFAMA</t>
  </si>
  <si>
    <t xml:space="preserve">M-12</t>
  </si>
  <si>
    <t xml:space="preserve">Silentium es una empresa chilena líder en ingeniería acústica especializada en control de ruido, vibraciones y restricción sísmica para equipamiento industrial. Somos el representante oficial y exclusivo de Mason Industries en Chile para soluciones de control de vibraciones y restricción sísmica.</t>
  </si>
  <si>
    <t xml:space="preserve">COMERCIAL ASES SPA</t>
  </si>
  <si>
    <t xml:space="preserve">ST-116</t>
  </si>
  <si>
    <t xml:space="preserve">Somos una empresa que se especializa en la distribución de lubricantes, filtros y baterías de marcas líderes a nivel mundial. Creemos que la calidad, la confianza y el respaldo técnico son la mejor forma de cuidar tu motor y asegurar un rendimiento óptimo en cada kilómetro.</t>
  </si>
  <si>
    <t xml:space="preserve">COMIND INDUSTRIES</t>
  </si>
  <si>
    <t xml:space="preserve">M-16</t>
  </si>
  <si>
    <t xml:space="preserve">En Aquasur 2026 exhibimos soluciones de ingeniería en calefacción industrial, sistemas de medición y control de temperatura y ventilación industrial. Desarrollos a medida, orientados a eficiencia térmica, confiabilidad operativa y continuidad de procesos en la industria acuícola.</t>
  </si>
  <si>
    <t xml:space="preserve">CONTENEDORES SAN FERNANDO SPA</t>
  </si>
  <si>
    <t xml:space="preserve">K-24</t>
  </si>
  <si>
    <t xml:space="preserve">Empresa dedicada a la fabricación de envases y embalajes, principalmente cajas de cartón corrugado para fruta de exportación y otros sectores sensibles, además de, contenedores plásticos para la industria, lo que exige altos estándares de inocuidad y logística. La empresa cuenta con certificaciones ambientales y de cadena forestal, lo que permite asegurar origen sostenible de los materiales.</t>
  </si>
  <si>
    <t xml:space="preserve">CONTROLCLICK</t>
  </si>
  <si>
    <t xml:space="preserve">H-41</t>
  </si>
  <si>
    <t xml:space="preserve">ControlClick es una empresa chilena fundada en 2021, creada para satisfacer la necesidad de innovar y ofrecer soluciones confiables en el ámbito de la automatización industrial. Nos especializamos en la comercialización de productos de excelente calidad a precios competitivos. Somos distribuidores oficiales en chile de las marcas DELTA, WECON y MICNO, empresas lideres en automatización industrial</t>
  </si>
  <si>
    <t xml:space="preserve">COPEC</t>
  </si>
  <si>
    <t xml:space="preserve">AquaSur 2026. También expone en Exponor 2026 (ID 536). Sin contacto publicado.</t>
  </si>
  <si>
    <t xml:space="preserve">GA-04</t>
  </si>
  <si>
    <t xml:space="preserve">Copec es líder en soluciones energéticas para la industria. Contamos con la red de estaciones, puertos y flota de embarcaciones más grande del país para el suministro de combustible. Nuestro portafolio incluye combustibles con aprobación Top Tier+, lubricantes Mobil y soluciones energéticas orientadas a la eficiencia y sostenibilidad, que aportan al desarrollo de la industria salmonera en Chile.</t>
  </si>
  <si>
    <t xml:space="preserve">Exponor (ID 536)</t>
  </si>
  <si>
    <t xml:space="preserve">CORELINE</t>
  </si>
  <si>
    <t xml:space="preserve">C-24</t>
  </si>
  <si>
    <t xml:space="preserve">Coreline A/S is a Danish company with many years of experience in the development and supply of valves and flow solutions for demanding industrial applications. At Aqua Sur 2026 in Puerto Montt, the company will present a wide range of valves that are particularly well suited for the aquaculture industry, where high requirements for materials, functionality, and service life are crucial.</t>
  </si>
  <si>
    <t xml:space="preserve">CORREOS DE CHILE</t>
  </si>
  <si>
    <t xml:space="preserve">S-38</t>
  </si>
  <si>
    <t xml:space="preserve">Transporte y logística › Carga / courier / forwarding</t>
  </si>
  <si>
    <t xml:space="preserve">CorreosChile es la empresa estatal encargada de servicios postales en Chile, ofreciendo envío de documentos, paquetería y giros de dinero a nivel nacional e internacional, con amplia cobertura, seguimiento en línea y múltiples puntos de atención en todo el país.</t>
  </si>
  <si>
    <t xml:space="preserve">CORRUPAC</t>
  </si>
  <si>
    <t xml:space="preserve">L-06</t>
  </si>
  <si>
    <t xml:space="preserve">En Corrupac desarrollamos y fabricamos soluciones de embalaje de origen reciclado y reciclable diseñadas para mejorar la competitividad, garantizar la confiabilidad en la cadena de suministro y apoyar el compromiso de sostenibilidad de nuestros clientes. Con un servicio cercano y personalizado, ofrecemos soluciones innovadoras adaptadas a las necesidades específicas de cada cliente.</t>
  </si>
  <si>
    <t xml:space="preserve">CORTLAND INTERNATIONAL</t>
  </si>
  <si>
    <t xml:space="preserve">C-33</t>
  </si>
  <si>
    <t xml:space="preserve">Somos diseñadores, fabricantes y proveedor global de redes y cuerdas de fibra sintética de alto rendimiento, con aplicaciones en el sector industrial, marítimo, pesquero, acuícola y deportivo. Nuestra cultura inclusiva centrada en las personas promueve el cuidado mutuo, compromiso con nuestros clientes, impacto positivo en nuestras comunidades y en el medio ambiente.</t>
  </si>
  <si>
    <t xml:space="preserve">COSESA</t>
  </si>
  <si>
    <t xml:space="preserve">M-44</t>
  </si>
  <si>
    <t xml:space="preserve">COSESA es un proveedor integral en el sistema de transporte de materiales. Su gama de productos, sumado al soporte y servicio técnico que brindan, otorga la confiabilidad y continuidad operacional que nuestra clientela busca. Contamos con las más prestigiosas representadas tanto de Europa como de Norte América, probadas ampliamente a nivel mundial y también a lo largo de todo Chile.</t>
  </si>
  <si>
    <t xml:space="preserve">COVEPA SPA</t>
  </si>
  <si>
    <t xml:space="preserve">K-48</t>
  </si>
  <si>
    <t xml:space="preserve">Amplia gama de soluciones para la industria acuícola. Venta de equipos, insumos y servicios asociados. Disponemos de sistemas de generación de oxígeno, sistemas de desinfección mediante UV y Ozono, bombas de peces, seleccionadoras, contadores de peces, difusores, sensores de oxígeno y temperatura y mucho más.</t>
  </si>
  <si>
    <t xml:space="preserve">CPI EQUIPMENT</t>
  </si>
  <si>
    <t xml:space="preserve">GA-63</t>
  </si>
  <si>
    <t xml:space="preserve">Equipos e insumos industriales › Aire / compresión / sopladores</t>
  </si>
  <si>
    <t xml:space="preserve">CPI Equipment es una empresa especializada en soluciones tecnológicas para la acuicultura, enfocada en sistemas de aireación y oxigenación avanzados. Desarrollamos e implementamos tecnologías que optimizan el oxígeno disuelto, previenen eventos de hipoxia y apoyan la sostenibilidad productiva, acompañando a nuestros clientes con ingeniería aplicada y soporte en terreno.</t>
  </si>
  <si>
    <t xml:space="preserve">CROSSPIPE SYSTEMS</t>
  </si>
  <si>
    <t xml:space="preserve">AquaSur 2026. También expone en Exponor 2026 (ID 546). Sin contacto publicado.</t>
  </si>
  <si>
    <t xml:space="preserve">F-42</t>
  </si>
  <si>
    <t xml:space="preserve">Con base en Chile y con más de 10 años de experiencia, Crosspipe Systems S.A. es fabricante líder de tuberías PE-Xa bajo la marca Pexgol, diseñadas para la Industria Salmonera. Su alta resistencia a la abrasión permite sistemas de alimentación libres de mantención durante todo el ciclo de engorda, reutilizables por más de tres ciclos, reduciendo quebrados y finos del alimento y eficiencia total</t>
  </si>
  <si>
    <t xml:space="preserve">Exponor (ID 546)</t>
  </si>
  <si>
    <t xml:space="preserve">CS LAB</t>
  </si>
  <si>
    <t xml:space="preserve">L-16</t>
  </si>
  <si>
    <t xml:space="preserve">CSLAB es un laboratorio de Verificación Oficial de SERNAPESCA, entregando servicios analíticos confiables y trazables para el control de calidad de productos hidrobiológicos de exportación. Cuenta con infraestructura, equipamiento y personal competente para realizar análisis microbiológicos y físico-organolépticos, químicos y de control de residuos farmacéuticos en Santiago y Puerto Montt.</t>
  </si>
  <si>
    <t xml:space="preserve">CTI PROCESS</t>
  </si>
  <si>
    <t xml:space="preserve">D-35</t>
  </si>
  <si>
    <t xml:space="preserve">CTi Process Aps is a Custom Thermo Integrator offering the following products: -IQF Edge Drive Spiral Freezer -IQF Tunnel Freezer -IQC Steam Tunnel Cooker -Thermo Thawing Tanks -Shrimp Cooking &amp; Freezing Line We believe in the power of design to solve problems, and the value of construction built to last. We assure value to our customers through consistency, accuracy, and product integrity.</t>
  </si>
  <si>
    <t xml:space="preserve">CULLIGAN</t>
  </si>
  <si>
    <t xml:space="preserve">H-48</t>
  </si>
  <si>
    <t xml:space="preserve">Culligan ofrece dispensadores y purificadores diseñados para ambientes operativos exigentes, asegurando agua 99.9999 % libre de virus y bacterias y un suministro continuo conectado a la red, para la operación acuícola. Sostenibilidad y cumplimiento ambiental, reducción de desechos plásticos y estándares de gestión sostenible para certificaciones y auditorías en la industria.</t>
  </si>
  <si>
    <t xml:space="preserve">CUMBRE GASES</t>
  </si>
  <si>
    <t xml:space="preserve">G-37</t>
  </si>
  <si>
    <t xml:space="preserve">Cumbre Gases SpA es una compañía chilena especializada en la venta, distribución y arriendo de gases criogénicos principalmente oxígeno líquido y nitrógeno líquido, además de equipos asociados como Isotanques, Portacryos y Termos. Posee soluciones para la producción in-situ de oxígeno y opera con logística propia en el sur de Chile y brinda atención 24/7, los 365 días del año.</t>
  </si>
  <si>
    <t xml:space="preserve">DANUS CONEXIONES</t>
  </si>
  <si>
    <t xml:space="preserve">AquaSur 2026. También expone en Exponor 2026 (ID 554). Sin contacto publicado.</t>
  </si>
  <si>
    <t xml:space="preserve">J-39</t>
  </si>
  <si>
    <t xml:space="preserve">Danus Conexiones es una empresa chilena con más de 65 años de experiencia, dedicada a la fabricación y comercialización de conexiones, fittings, acoples, instrumentación, válvulas, tubos, cilindros neumáticos, línea de aire comprimido, mangueras e hidráulica. Certificada bajo la norma ISO 9001:2015, ofrece servicio técnico especializado, instalaciones en terreno y fabricación de piezas especiales.</t>
  </si>
  <si>
    <t xml:space="preserve">Exponor (ID 554)</t>
  </si>
  <si>
    <t xml:space="preserve">DARTEL ELECTRICIDAD S.A.</t>
  </si>
  <si>
    <t xml:space="preserve">AquaSur 2026. También expone en ExpoMina 2026 (ID 411). Sin contacto publicado.</t>
  </si>
  <si>
    <t xml:space="preserve">R-28</t>
  </si>
  <si>
    <t xml:space="preserve">Dartel Electricidad comercializa materiales eléctricos, dando soluciones tecnológicas de última generación para proyectos de fuerza, automatización, redes e iluminación. Con las mejores marcas del mercado, satisfacemos necesidades de cada sector productivo. Contamos con 18 puntos de venta a nivel nacional con alto stock y el mayor centro de distribución del rubro en Chile. Líderes desde 1970.</t>
  </si>
  <si>
    <t xml:space="preserve">ExpoMina (ID 411)</t>
  </si>
  <si>
    <t xml:space="preserve">DEMAC</t>
  </si>
  <si>
    <t xml:space="preserve">ST-114</t>
  </si>
  <si>
    <t xml:space="preserve">DEMAC + Competitividad es un aliado estratégico con más de 10 años optimizando organizaciones industriales y de servicios. Implementamos modelos de excelencia operacional basados en tres pilares: alineamiento estratégico, procesos eficientes y desarrollo de personas. Transformamos tus operaciones con resultados concretos, sostenibles y de alto valor.</t>
  </si>
  <si>
    <t xml:space="preserve">DEMARKA S.A.</t>
  </si>
  <si>
    <t xml:space="preserve">G-34</t>
  </si>
  <si>
    <t xml:space="preserve">Hace más de 45 años iniciamos nuestra historia fabricando etiquetas autoadhesivas. Con el tiempo, hemos ampliado nuestra propuesta de valor para responder a las necesidades de clientes de diversas industrias. Hoy, nuestro enfoque se centra en tres áreas clave: codificación, identificación y trazabilidad.</t>
  </si>
  <si>
    <t xml:space="preserve">DILACO</t>
  </si>
  <si>
    <t xml:space="preserve">K-22</t>
  </si>
  <si>
    <t xml:space="preserve">DILACO, más de 50 años impulsando mejores resultados frente a los desafíos analíticos más exigentes. Ofrecemos soluciones innovadoras para el control de calidad de aguas para laboratorio y terreno asegurando la continuidad operativa en tus procesos. Nuestros sistemas entregan resultados confiables, orientados a optimizar tiempo, materias primas y calidad del producto final.</t>
  </si>
  <si>
    <t xml:space="preserve">DIMARSA</t>
  </si>
  <si>
    <t xml:space="preserve">GA-06</t>
  </si>
  <si>
    <t xml:space="preserve">Dimarsa corresponde a un holding de tiendas especializadas por departamento, que desarrolla su actividad comercial a través de varias áreas de negocio, definiéndose como un retail de marcas y abarcando los rubros de vestuario, calzado, deporte, hogar, electrónica, ferretería, construcción y náutica (Dimarine).</t>
  </si>
  <si>
    <t xml:space="preserve">DIMERCO</t>
  </si>
  <si>
    <t xml:space="preserve">D-36</t>
  </si>
  <si>
    <t xml:space="preserve">Dimerco es una empresa de larga trayectoria que provee ingredientes, productos y servicios para empresas procesadoras de alimentos, pesca industrial, salmoneras, alimentos para peces y acuicultura en general. Ofrecemos productos que dan valor agregado como sistemas de empanizados, condimentos, enzimas, salsas, etc. Proveemos maquinaria: mezcladores y biodigestores para las empresas productoras.</t>
  </si>
  <si>
    <t xml:space="preserve">DISTRIBUIDORA DIMET LTDA.</t>
  </si>
  <si>
    <t xml:space="preserve">K-20</t>
  </si>
  <si>
    <t xml:space="preserve">Distribución de Motores Eléctricos, Motovibradores, Reductores, Variadores de Frecuencia, Partidores Suaves, Acoples, Generadores Diesel. Desde 1991 en la Industria Nacional</t>
  </si>
  <si>
    <t xml:space="preserve">DOLEZYCH</t>
  </si>
  <si>
    <t xml:space="preserve">AquaSur 2026. También expone en Exponor 2026 (ID 570). Sin contacto publicado.</t>
  </si>
  <si>
    <t xml:space="preserve">A-41</t>
  </si>
  <si>
    <t xml:space="preserve">Dolezych Empresa líder en el desarrollo de tecnologías para el elevación y transporte seguro. Nuestra empresa cuenta con 90 años de experiencia en la fabricación y comercialización de equipos para elevar o amarrar cargas. Ofrecemos un amplio surtido de soluciones, altos estándares de calidad, la información técnica más actualizada y una grata experiencia de compra.</t>
  </si>
  <si>
    <t xml:space="preserve">Exponor (ID 570)</t>
  </si>
  <si>
    <t xml:space="preserve">DSI DANTECH</t>
  </si>
  <si>
    <t xml:space="preserve">D-14</t>
  </si>
  <si>
    <t xml:space="preserve">SU ÚNICO PROVEEDOR GLOBAL DE CONGELACIÓN, ENFRIAMIENTO Y CALENTAMIENTO DE PRODUCTOS DEL MAR DE ALTA CALIDAD Somos DSI Dantech. Ofrecemos soluciones mecánicas, criogénicas y de placas para congelación, enfriamiento y calentamiento de productos del mar, cubriendo producciones IQF, en bloque y a granel, con foco en calidad y seguridad alimentaria.</t>
  </si>
  <si>
    <t xml:space="preserve">EATON</t>
  </si>
  <si>
    <t xml:space="preserve">AquaSur 2026. También expone en Exponor 2026 (ID 581). Sin contacto publicado.</t>
  </si>
  <si>
    <t xml:space="preserve">GA-28</t>
  </si>
  <si>
    <t xml:space="preserve">Eaton es una compañía de administración inteligente de la energía que se dedica a mejorar la calidad de vida de las personas de todo el mundo y proteger el medio ambiente. Nos guiamos por nuestro compromiso de hacer bien los negocios, operar de manera sostenible y ayudar a nuestros clientes a administrar la energía, tanto hoy como en el futuro.</t>
  </si>
  <si>
    <t xml:space="preserve">Exponor (ID 581)</t>
  </si>
  <si>
    <t xml:space="preserve">EBRO Stafsjö Valves CHILE</t>
  </si>
  <si>
    <t xml:space="preserve">G-50</t>
  </si>
  <si>
    <t xml:space="preserve">EBRO Stafsjo Valves Chile Ltda. Es una empresa Chilena filial del grupo Alemán Brõer, dedicada a la comercialización de válvulas de mariposa EBRO Armaturen, válvulas de guillotina Stafsjo, actuadores neumáticos y eléctricos con tecnología de automatización para la industria Salmonera, Pesquera y Astilleros. Fundada en 2009, con 15 empleados. Sitio web https://www.broeer-group.com</t>
  </si>
  <si>
    <t xml:space="preserve">ECOCEAN</t>
  </si>
  <si>
    <t xml:space="preserve">F-15</t>
  </si>
  <si>
    <t xml:space="preserve">ECOCEAN is a marine solutions company providing integrated eco-friendly antifouling coatings and the design and manufacturing of aquaculture cage nets. Our solutions reduce biofouling, lower maintenance costs, and improve operational efficiency. Built on field-proven technology, we aim to be a reliable partner for the global aquaculture industry.</t>
  </si>
  <si>
    <t xml:space="preserve">ECOMAS Calor Sustentable</t>
  </si>
  <si>
    <t xml:space="preserve">GA-36</t>
  </si>
  <si>
    <t xml:space="preserve">Somos líderes en la industria del pellet en Chile, con más de 15 años de experiencia. Producimos pellet de alta calidad, ofreciendo soluciones avanzadas para la calefacción del hogar. Innovamos y crecemos junto al mercado, siempre enfocados en la eficiencia energética y la responsabilidad ambiental. Nos posicionamos como expertos en calefacción sostenible.</t>
  </si>
  <si>
    <t xml:space="preserve">ECOPRIAL</t>
  </si>
  <si>
    <t xml:space="preserve">A-35</t>
  </si>
  <si>
    <t xml:space="preserve">Ecoprial es una empresa especializada en el tratamiento y valorización de residuos orgánicos de la industria acuícola, mediante procesos de digestión anaeróbica que aseguran continuidad operacional, gestión trazable y cumplimiento normativo, aportando a la economía circular del sector.</t>
  </si>
  <si>
    <t xml:space="preserve">ECORILES</t>
  </si>
  <si>
    <t xml:space="preserve">M-02, Sin stand</t>
  </si>
  <si>
    <t xml:space="preserve">EcoRiles es una empresa líder en Chile en gestión y tratamiento de todo tipo de efluentes. Entrega soluciones integrales a la industria, enfocadas en cumplimiento normativo, sustentabilidad y continuidad operacional, con amplia experiencia en operación, mantenimiento y upgrade de plantas de tratamiento a nivel nacional.</t>
  </si>
  <si>
    <t xml:space="preserve">EDELPA</t>
  </si>
  <si>
    <t xml:space="preserve">L-10</t>
  </si>
  <si>
    <t xml:space="preserve">Fabricación de Envases Flexibles</t>
  </si>
  <si>
    <t xml:space="preserve">EECOL INDUSTRIAL ELECTRIC SUDAMERICA LTDA.</t>
  </si>
  <si>
    <t xml:space="preserve">L-20</t>
  </si>
  <si>
    <t xml:space="preserve">Eecol Electric parte del grupo WESCO, empresa líder de clase mundial en el suministro de productos eléctricos, automatización y control, comunicación de datos, mantenimiento en general, reparación y operación de equipos eléctricos. Además, somos el proveedor líder de soluciones eléctricas para la gran industria, desarrollando soluciones, tales como: Salas Eléctricas, Subestaciones y mucho más.</t>
  </si>
  <si>
    <t xml:space="preserve">EMPACK FLEXIBLE</t>
  </si>
  <si>
    <t xml:space="preserve">J-32</t>
  </si>
  <si>
    <t xml:space="preserve">Somos parte del Holding Empack, Empack limitada soluciones integrales de Packaging y Empack Flexibles planta productiva de envases Flexibles, con mas de 40 años en el Mercado Chileno proveemos soluciones que aportan valor a diferentes mercados entre los principales : Salmon, Carnico, Lacteo, Embotelladoras.</t>
  </si>
  <si>
    <t xml:space="preserve">EMPORMONTT</t>
  </si>
  <si>
    <t xml:space="preserve">C-38</t>
  </si>
  <si>
    <t xml:space="preserve">El puerto alberga diversas empresas que, en conjunto, conforman un hub logístico portuario, orientado tanto a la carga general como al apoyo de la industria acuícola. En este entorno se articulan servicios clave como carga y descarga de naves, estiba y desestiba, acopio en bodegas, suministro de combustible y agua, además de servicios de desinfección, asegurando una operación integrada y eficiente</t>
  </si>
  <si>
    <t xml:space="preserve">ENERPRY</t>
  </si>
  <si>
    <t xml:space="preserve">G-08</t>
  </si>
  <si>
    <t xml:space="preserve">Enerpry es una empresa chilena innovadora dedicada al diseño, investigación y desarrollo de soluciones tecnológicas para la industria salmonera y otros sectores de alta exigencia. Desarrollamos equipamiento eléctrico y electrónico avanzado, con tecnología propia, enfocado en eficiencia energética, confiabilidad operativa e innovación aplicada en terreno.</t>
  </si>
  <si>
    <t xml:space="preserve">ENEX</t>
  </si>
  <si>
    <t xml:space="preserve">AquaSur 2026. También expone en Exponor 2026 (ID 603). Sin contacto publicado.</t>
  </si>
  <si>
    <t xml:space="preserve">E-39</t>
  </si>
  <si>
    <t xml:space="preserve">Empresa Nacional de Energía Enex S.A. tiene como actividad la distribución de combustibles y lubricantes tanto a nivel industrial como retail y una importante participación en el negocio de tiendas de conveniencia. Enex es una compañía comprometida con la innovación, la sostenibilidad y la utilización de energías renovables, entregando soluciones de eficiencia energética, electromovilidad</t>
  </si>
  <si>
    <t xml:space="preserve">Exponor (ID 603)</t>
  </si>
  <si>
    <t xml:space="preserve">EPSUR</t>
  </si>
  <si>
    <t xml:space="preserve">GA-15</t>
  </si>
  <si>
    <t xml:space="preserve">EPSUR es el nuevo polo logístico e industrial del sur de Chile, ubicado estratégicamente entre Puerto Montt y Puerto Varas. Ofrece venta y arriendo de sitios con alta conectividad y proyección de valor. Es la sede oficial de AquaSur 2026, posicionándose como el nuevo punto neurálgico de la industria y el principal hub empresarial de la Región de Los Lagos.</t>
  </si>
  <si>
    <t xml:space="preserve">EQUINDO</t>
  </si>
  <si>
    <t xml:space="preserve">C-48</t>
  </si>
  <si>
    <t xml:space="preserve">Empresa dedicada a la venta y servicils tecnicos de maquinaria de alimentación</t>
  </si>
  <si>
    <t xml:space="preserve">EQUIPOS INDUSTRIALES</t>
  </si>
  <si>
    <t xml:space="preserve">J-37</t>
  </si>
  <si>
    <t xml:space="preserve">Equipos Industriales S.A.C.I. distribuidor de empresas internacionales, las cuales proveen diferentes tipos de productos : Equipos medidores en el agua (oxigeno-ph-CO2-TGP-Ozono etc), Equipos de comunicaciones VHF y UHF (ICOM), Balizas Solares, Cuchillos para industria del salmon, cabos e hilos nylon y polipropileno, además podemos destacar que somos fabricantes de plásticos (pallets-Bins)</t>
  </si>
  <si>
    <t xml:space="preserve">ESMAX</t>
  </si>
  <si>
    <t xml:space="preserve">AquaSur 2026. También expone en Exponor 2026 (ID 614). Sin contacto publicado.</t>
  </si>
  <si>
    <t xml:space="preserve">A-32</t>
  </si>
  <si>
    <t xml:space="preserve">Esmax es una empresa chilena con más de 100 años de trayectoria, dedicada a la venta y distribución de combustibles y lubricantes, así como a la operación de tiendas de conveniencia. En marzo de 2024 pasó a ser una empresa Aramco, fortaleciendo así su compromiso con la excelencia y la innovación en el sector energético.</t>
  </si>
  <si>
    <t xml:space="preserve">Exponor (ID 614)</t>
  </si>
  <si>
    <t xml:space="preserve">ETMA</t>
  </si>
  <si>
    <t xml:space="preserve">GA-25</t>
  </si>
  <si>
    <t xml:space="preserve">ETMA, es una empresa de servicios especializados en monitoreo de calidad de aguas y en convenio con Laboratorios de ensayos acreditados según NCh-ISO IEC 17025:2017, ejecutamos servicios que son objeto de cumplimientos sanitarios y normativos en matrices de Aguas.</t>
  </si>
  <si>
    <t xml:space="preserve">FABRINOX</t>
  </si>
  <si>
    <t xml:space="preserve">K-40</t>
  </si>
  <si>
    <t xml:space="preserve">Grupo Fabrinox, grupo industrial chileno con más de 25 años de experiencia, ofrece soluciones metálicas, fabricación industrial y proyectos productivos para industrias de alta exigencia. Con capacidad productiva propia y amplia red de partners estratégicos como Intralox, Interoll y FPS, desarrolla proyectos de alto estándar llave en mano para la industria acuícola.</t>
  </si>
  <si>
    <t xml:space="preserve">FAL SPA</t>
  </si>
  <si>
    <t xml:space="preserve">K-50</t>
  </si>
  <si>
    <t xml:space="preserve">Comercializadora FAL SPA es una empresa dedicada a la importación, distribución y asesoría técnica de soluciones industriales. Conectamos tecnología con necesidades reales del mercado, entregando equipos, insumos y soporte especializado para mejorar productividad, eficiencia y seguridad, acompañando a nuestros clientes desde el diagnóstico hasta la implementación.</t>
  </si>
  <si>
    <t xml:space="preserve">FAMSUN</t>
  </si>
  <si>
    <t xml:space="preserve">L-13</t>
  </si>
  <si>
    <t xml:space="preserve">FAMSUN es un proveedor de clase mundial de soluciones integrales para las industrias Aquafeed, Petfood y Animal feed, además de soluciones en almacenamiento y procesamiento de granos y semillas. Cuenta con 6 fábricas de producción, centros de I+D y más de 3.000 empleados a nivel global, orientados a atender las necesidades de sus clientes.</t>
  </si>
  <si>
    <t xml:space="preserve">FAV</t>
  </si>
  <si>
    <t xml:space="preserve">E-37</t>
  </si>
  <si>
    <t xml:space="preserve">FAV S.A. y Aquagestión S.A. son empresas pertenecientes a la División Veterinaria de Abbott. Abbott es una compañía farmacéutica estadounidense, fundada en Chicago en 1888 por Wallace Calvin Abbott, con sede en Abbott Park, al norte de Chicago (Illinois, Estados Unidos). Hoy, Abbott cuenta con aproximadamente 100.000 empleados y con presencia en más de 150 países.</t>
  </si>
  <si>
    <t xml:space="preserve">FAVET</t>
  </si>
  <si>
    <t xml:space="preserve">S-22</t>
  </si>
  <si>
    <t xml:space="preserve">La FAVET cumple un rol clave en la formación de profesionales comprometidos con la salud animal y pública, a través de una docencia de excelencia y una sólida labor investigativa. Desarrolla investigación en áreas como enfermedades, producción animal, bienestar y microbiología, integrando el conocimiento científico a la formación académica y al aporte social.</t>
  </si>
  <si>
    <t xml:space="preserve">FBK CHILE</t>
  </si>
  <si>
    <t xml:space="preserve">D-30</t>
  </si>
  <si>
    <t xml:space="preserve">FBK Chile, desde 2001, ofrece soluciones de higiene profesional para la industria alimentaria. Fabricados en Dinamarca, con certificaciones (FDA, BRCGS) y alto estándar para cumplir con requisitos de inocuidad (HACCP). Resistentes, versátiles y en hasta 10 colores: cepillos, baldes, palas, barreaguas de piso y condensación, mangos telescópicos, artículos con paso de agua, metal detectables, etc.</t>
  </si>
  <si>
    <t xml:space="preserve">FERAM</t>
  </si>
  <si>
    <t xml:space="preserve">AquaSur 2026. También expone en Exponor 2026 (ID 637). Sin contacto publicado.</t>
  </si>
  <si>
    <t xml:space="preserve">C-46</t>
  </si>
  <si>
    <t xml:space="preserve">Feram es una ferretería técnica industrial chilena con más de 165 años de trayectoria, especializada en la comercialización, distribución y servicio técnico de herramientas, equipos y soluciones para minería, industria, construcción y otros sectores productivos. Ofrece asesoría técnica, productos de alta calidad y cobertura nacional para satisfacer exigencias industriales.</t>
  </si>
  <si>
    <t xml:space="preserve">Exponor (ID 637)</t>
  </si>
  <si>
    <t xml:space="preserve">FIBRAS INDUSTRIALES CHILE S.A. - FISA - FISA FIBRAS</t>
  </si>
  <si>
    <t xml:space="preserve">L-28</t>
  </si>
  <si>
    <t xml:space="preserve">Fibras Industriales Chile S.A. (FISA) es una empresa peruana con sede en Puerto Montt especializada en la fabricación y comercialización de redes, cabos y productos para los sectores de pesca y acuicultura, con más de 75 años de historia y enfoque en calidad e innovación para satisfacer las necesidades de clientes nacionales e internacionales.</t>
  </si>
  <si>
    <t xml:space="preserve">FIMAR</t>
  </si>
  <si>
    <t xml:space="preserve">D-48</t>
  </si>
  <si>
    <t xml:space="preserve">FIMAR unos de los principales fabricantes de redes, cabos y cordeles para la Industria Pesquera y Acuícola de América. Confeccionamos redes jaulas y redes para control de predadores en diferentes materiales, con soporte técnico e ingeniería. Nuestra planta, hoy la más moderna y tecnológica de la zona, entrega productos de alto performance y en los tiempos que nuestros clientes lo requieren.</t>
  </si>
  <si>
    <t xml:space="preserve">FISHTEC</t>
  </si>
  <si>
    <t xml:space="preserve">E-34</t>
  </si>
  <si>
    <t xml:space="preserve">Fishtec es representante de Flottweg en Chile hace 35 años y somos expertos en separación de fluidos con tecnología de centrifugación. Además, poseemos estaciones de polímeros y bombas para complementar las operaciones de las centrífugas que proveemos.</t>
  </si>
  <si>
    <t xml:space="preserve">FITVALV</t>
  </si>
  <si>
    <t xml:space="preserve">J-24</t>
  </si>
  <si>
    <t xml:space="preserve">Fitvalv es una empresa con 47 años entregando soluciones a la industria, especializada en válvulas, automatización y control de fluidos. Somos distribuidores oficiales de Genebre en Chile. Contamos con un distribuidor en la zona sur, garantizando cobertura nacional, asesoría técnica y productos de alta calidad.</t>
  </si>
  <si>
    <t xml:space="preserve">Flourish Fishing Tackle Co.,Ltd</t>
  </si>
  <si>
    <t xml:space="preserve">B-01</t>
  </si>
  <si>
    <t xml:space="preserve">Servicios empresariales y consultoría › Servicios generales / otros</t>
  </si>
  <si>
    <t xml:space="preserve">Our company with pro/tech talents, follows the "Faith as Basis, Survive By Quality, Effective CreateBenefits, Developing In Innovation" philosophy. It offers fishing products: nylon monofilament fishing lines, fly line, fluorocarbon line, and fishing hooks—all with good quality, fair prices and timely service.</t>
  </si>
  <si>
    <t xml:space="preserve">FLUCTUS</t>
  </si>
  <si>
    <t xml:space="preserve">M39C</t>
  </si>
  <si>
    <t xml:space="preserve">Supplier of fish feeding equipment</t>
  </si>
  <si>
    <t xml:space="preserve">FOSHAN LEADER BIO-TECHNOLOGY CO., LTD.</t>
  </si>
  <si>
    <t xml:space="preserve">P-26</t>
  </si>
  <si>
    <r>
      <rPr>
        <sz val="11"/>
        <color theme="1"/>
        <rFont val="Calibri"/>
        <family val="2"/>
        <charset val="1"/>
      </rPr>
      <t xml:space="preserve">Fundada en 2006, el ámbito de negocio incluye I&amp;D, producción, ventas: aditivos para piensos, aditivos premezclados; comercio interior; Operar y actuar como agente para la importación y exportación de diversas mercancías y tecnologías</t>
    </r>
    <r>
      <rPr>
        <sz val="11"/>
        <color theme="1"/>
        <rFont val="WenQuanYi Zen Hei"/>
        <family val="2"/>
      </rPr>
      <t xml:space="preserve">，</t>
    </r>
    <r>
      <rPr>
        <sz val="11"/>
        <color theme="1"/>
        <rFont val="Calibri"/>
        <family val="2"/>
        <charset val="1"/>
      </rPr>
      <t xml:space="preserve">y los productos se venden bien en 100 países del mundo.</t>
    </r>
  </si>
  <si>
    <t xml:space="preserve">FOULING CURE</t>
  </si>
  <si>
    <t xml:space="preserve">D-22</t>
  </si>
  <si>
    <t xml:space="preserve">FoulingCure permite la autolimpieza de un intercambiador de calor de placas en pleno funcionamiento FoulingCure making plate heat exchangers self cleaning online and during full operation.</t>
  </si>
  <si>
    <t xml:space="preserve">FRANCISCA FERRARI SPA</t>
  </si>
  <si>
    <t xml:space="preserve">ST-110</t>
  </si>
  <si>
    <t xml:space="preserve">Francisca Ferrari redefine la joyería contemporánea a través de la honestidad de los materiales nobles y el rigor del oficio manual. Originaria de Puerto Varas, la marca propone una estética que prescinde de la ostentación para enfocarse en el valor de lo duradero.</t>
  </si>
  <si>
    <t xml:space="preserve">FRIMONT CHILE S.A.</t>
  </si>
  <si>
    <t xml:space="preserve">D-32</t>
  </si>
  <si>
    <t xml:space="preserve">Frimont está presente en el mercado chileno desde abril de 2002, respaldados por décadas de experiencia internacional. Representamos una alternativa moderna, confiable y sustentable para empresas que buscan tecnologías térmicas de alto estándar. Nuestra propuesta se basa en el respaldo técnico, la eficiencia y una red de socios estratégicos de clase mundial.</t>
  </si>
  <si>
    <t xml:space="preserve">GAMA LEASING</t>
  </si>
  <si>
    <t xml:space="preserve">P-16</t>
  </si>
  <si>
    <t xml:space="preserve">Gama Mobility es una empresa dedicada a ofrecer soluciones integrales de movilidad tanto para particulares como para empresas. Su actividad abarca el Leasing Operativo, Renting, Rent a Car y la venta de vehículos usados, adaptándose a las distintas necesidades de cada cliente. Estamos comprometidos a entregar soluciones de movilidad de la más alta calidad, eficiencia y flexibilidad.</t>
  </si>
  <si>
    <t xml:space="preserve">GARWARE TECHNICAL FIBRES CHILE- GWRL CHILE SPA</t>
  </si>
  <si>
    <t xml:space="preserve">B-28</t>
  </si>
  <si>
    <t xml:space="preserve">Garware Technical Fibres proveedora global de redes y cabos, líder en innovación y calidad. Su portafolio de productos ofrece soluciones textiles para: acuicultura, pesca, deportes, minería, defensa, transportes, construcción, geo sintéticos y agricultura. La empresa está listada en bolsa de valores y tiene protagonismo en la acuicultura por más de 30 años y en Chile más de una década.</t>
  </si>
  <si>
    <t xml:space="preserve">GASCO</t>
  </si>
  <si>
    <t xml:space="preserve">AquaSur 2026. También expone en Exponor 2026 (ID 678). Sin contacto publicado.</t>
  </si>
  <si>
    <t xml:space="preserve">F-33</t>
  </si>
  <si>
    <t xml:space="preserve">GASCO, empresa con 170 años de trayectoria, dedicada al desarrollo de soluciones energéticas para la acuicultura y la pesca. Impulsa tecnologías a gas licuado que mejoran la seguridad y eficiencia de las operaciones en el mar, reduciendo costos operacionales, riesgos de derrames y el impacto ambiental en procesos clave de la industria acuícola.</t>
  </si>
  <si>
    <t xml:space="preserve">Exponor (ID 678)</t>
  </si>
  <si>
    <t xml:space="preserve">GEA</t>
  </si>
  <si>
    <t xml:space="preserve">D-02</t>
  </si>
  <si>
    <t xml:space="preserve">Seafood producers are adapting to changing consumer demands and resource scarcity, requiring greater efficiency and new value creation. GEA understands these challenges and offers innovative, collaborative solutions that address labor shortages, supply and demand imbalances, and sustainability—partnering with you to move the market forward.</t>
  </si>
  <si>
    <t xml:space="preserve">GLACIAR REFRIGERACION</t>
  </si>
  <si>
    <t xml:space="preserve">J-35</t>
  </si>
  <si>
    <t xml:space="preserve">Glaciar Refrigeración, fundada en 2012 en Puerto Montt, entrega soluciones en refrigeración y climatización, enfocada en la industria salmonera, mitilicultura y otros sectores. Ofreciendo desarrollo de proyectos, suministro e instalación de equipos, paneles y puertas frigoríficas, asesoría personalizada y soporte postventa, destacando por su compromiso y experiencia en el sur de Chile.</t>
  </si>
  <si>
    <t xml:space="preserve">GLOBAL AUSTRAL</t>
  </si>
  <si>
    <t xml:space="preserve">GA-38</t>
  </si>
  <si>
    <t xml:space="preserve">Centros empresariales y logísticos. Arriendo de soluciones de espacios para el desarrollo y potenciamiento de las empresas. Proyecto nuevo en Puerto Montt con el mejor y más moderno standart en la plaza. Centro con la mejor exposición hacia la ruta 5, conectividad y espacios amplios para las operaciones de las empresas.</t>
  </si>
  <si>
    <t xml:space="preserve">GREEN AQUA</t>
  </si>
  <si>
    <t xml:space="preserve">K-33</t>
  </si>
  <si>
    <t xml:space="preserve">Green Aqua es una compañía de ingeniería. Somos expertos en modelamiento computacional para la industria acuícola y agentes en América de AquaSim. Especializados en el cálculo de fondeos y estructuras para todo tipo de artefactos flotantes, clave para la operación y el cumplimiento de normativa. Contamos con experiencia y herramientas de punta, que nos permite llegar a soluciones óptimas y seguras</t>
  </si>
  <si>
    <t xml:space="preserve">GREENTICKET</t>
  </si>
  <si>
    <t xml:space="preserve">D-39</t>
  </si>
  <si>
    <t xml:space="preserve">La Bolsa Climática Regenerativa de Ecosistemas de la Región de Los Lagos es un modelo de compensación ambiental local de la huella de carbono del sector salmonero de Chile y sus proveedores. Es una iniciativa liderada por SalmonChile S.A. junto a Greenticket, con el apoyo de CORFO y el Programa de Desarrollo Productivo Sostenible del Ministerio de Economía, Fomento y Turismo.</t>
  </si>
  <si>
    <t xml:space="preserve">GRUPO CYG</t>
  </si>
  <si>
    <t xml:space="preserve">M-31</t>
  </si>
  <si>
    <t xml:space="preserve">Empresa dedicada a la innovación tecnológica y a los servicios de seguridad, limpieza industrial y jardinería principalmente, con presencia nacional y mas de 30 años en el mercado.</t>
  </si>
  <si>
    <t xml:space="preserve">GRUPO LAEVO</t>
  </si>
  <si>
    <t xml:space="preserve">P-35</t>
  </si>
  <si>
    <t xml:space="preserve">Grupo Laevo es líder en soluciones de control de aves mediante tecnología láser, ofreciendo sistemas automatizados, seguros y sostenibles para proteger instalaciones industriales, agrícolas y turísticas. Reducimos entre 70% y 95% la presencia de aves, optimizando costos y evitando daños operacionales.</t>
  </si>
  <si>
    <t xml:space="preserve">GTELECOM</t>
  </si>
  <si>
    <t xml:space="preserve">F-38</t>
  </si>
  <si>
    <t xml:space="preserve">Somos un equipo de expertos en Tecnologías de la Información con más de 6 años de experiencia. Especializados en soluciones integrales que abarcan plataformas, Internet Satelital, redes, CCTV, telefonía IP, networking, monitoreo, Ciberseguridad, fibra óptica, datacenters, energías renovable. Nuestro compromiso es ofrecer soluciones personalizadas que impulsen el éxito de nuestros clientes.</t>
  </si>
  <si>
    <t xml:space="preserve">GUNTNER</t>
  </si>
  <si>
    <t xml:space="preserve">México</t>
  </si>
  <si>
    <t xml:space="preserve">E-12</t>
  </si>
  <si>
    <t xml:space="preserve">GÜNTNER 90 AÑOS DE PROGRESO Fundada en 1931 en Múnich como una empresa fabricante de equipos de refrigeración, hoy somos conocidos como expertos en soluciones de calefacción y refrigeración a nivel mundial. Operamos en más de 50 oficinas y 11 fábricas en Europa, Asia y el continente americano.</t>
  </si>
  <si>
    <t xml:space="preserve">HAARSLEV</t>
  </si>
  <si>
    <t xml:space="preserve">D-34</t>
  </si>
  <si>
    <t xml:space="preserve">Haarslev is a global provider of process equipment and turnkey plants for rendering, fish meal, and bio-environmental solutions such as sludge treatment. With more than 100 years of experience, we help customers maximize value from by-products through efficient, reliable and sustainable technology.</t>
  </si>
  <si>
    <t xml:space="preserve">HABASIT</t>
  </si>
  <si>
    <t xml:space="preserve">K-02</t>
  </si>
  <si>
    <t xml:space="preserve">Somos una empresa Suiza, pionera y líder mundial en la fabricación de; Bandas Modulares, Bandas Monolíticas, Bandas Planas, entre otras. Contamos con unidades de producción en varios países alrededor del mundo con la capacidad de poder satisfacer a todos nuestros clientes de una manera rápida y eficaz. Combinamos la mejor tecnología y expertos a nivel mundial junto con un servicio de primer nivel</t>
  </si>
  <si>
    <t xml:space="preserve">HDT</t>
  </si>
  <si>
    <t xml:space="preserve">P-40</t>
  </si>
  <si>
    <t xml:space="preserve">En HDT somos socios estratégicos VAP de Huawei, lideramos el sector solar B2B transformando la visión de las energías renovables a gran escala. Fusionamos tecnología de alto rendimiento con estándares de seguridad de clase mundial para garantizar la máxima rentabilidad en cada proyecto.</t>
  </si>
  <si>
    <t xml:space="preserve">HENDRIX GENETIC S</t>
  </si>
  <si>
    <t xml:space="preserve">B-34</t>
  </si>
  <si>
    <t xml:space="preserve">Hendrix Genetics es un líder mundial en mejoramiento animal, con presencia en más de 25 países y programas avanzados en genética para múltiples especies. Combinamos ciencia, innovación y datos para entregar soluciones sostenibles que impulsen la eficiencia, la resiliencia y el futuro de la producción alimentaria.</t>
  </si>
  <si>
    <t xml:space="preserve">HIDROSERVI</t>
  </si>
  <si>
    <t xml:space="preserve">H-04</t>
  </si>
  <si>
    <t xml:space="preserve">HIDROSERVI LTDA, estamos orientados a satisfacer las necesidades de nuestros clientes apoyándolos en sus proyectos de tratamiento de aguas a través de la Comercialización, Venta de Equipos e Insumos, Servicios de Mantenimiento y Reparación, Diseño y Desarrollo de Proyectos. Para ello contamos con un equipo profesional que trabaja en función de la excelencia y la mejora continua de los procesos</t>
  </si>
  <si>
    <t xml:space="preserve">HUBER LATIN AMERICA</t>
  </si>
  <si>
    <t xml:space="preserve">K-04</t>
  </si>
  <si>
    <t xml:space="preserve">HUBER, con sede en Alemania y más de 150 años de experiencia, es líder global en tratamiento de aguas y lodos, con más de 55.000 equipos instalados. Con 1.600 empleados y presencia en 60 países, ofrece soluciones innovadoras para efluentes en pisciculturas y plantas de salmón, respaldadas por tecnología de alta calidad y soporte técnico especializado.</t>
  </si>
  <si>
    <t xml:space="preserve">HUNAN XINHAI CO., LTD</t>
  </si>
  <si>
    <t xml:space="preserve">E-42A</t>
  </si>
  <si>
    <t xml:space="preserve">Founded in 1977, HUNAN XINHAI CO., LTD. is the most experienced and the biggest manufacturer of fishing nets,completed fishing nets( nets cage, purse seine nets, trawl nets), ropes and twines in China. We have more than 700 workers in our factory and we can produce fishing nets and ropes over 20000 tons per year.</t>
  </si>
  <si>
    <t xml:space="preserve">HYDROIONIC</t>
  </si>
  <si>
    <t xml:space="preserve">M-19</t>
  </si>
  <si>
    <t xml:space="preserve">Hydroionic ofrece soluciones integrales para el tratamiento de aguas y fluidos complejos. Se enfoca en la eliminación de contaminantes y optimización de recursos hídricos, destacando en rubros como minería, acuicultura y agroindustria. Desarrolla sistemas innovadores como intercambio iónico, reúso de agua, osmosis inversa y medios especializados como abatidores de hierro y manganeso sin químicos.</t>
  </si>
  <si>
    <t xml:space="preserve">HYDROTECH BY VEOLIA</t>
  </si>
  <si>
    <t xml:space="preserve">Suecia</t>
  </si>
  <si>
    <t xml:space="preserve">C-25</t>
  </si>
  <si>
    <t xml:space="preserve">Hydrotech by Veolia: with more than 13,000 drum and disc filters installed worldwide across multiple industries, we are the specialist in aquaculture water treatment applications. From inlet water &amp; biosecurity installations, through to process water filtration &amp; sludge dewatering, effluent polishing and discharge compliance, we have the experience and the commitment to partner for your success.</t>
  </si>
  <si>
    <t xml:space="preserve">IDEAL CONTROL</t>
  </si>
  <si>
    <t xml:space="preserve">GA-34</t>
  </si>
  <si>
    <t xml:space="preserve">Ideal Control se posiciona como un socio estratégico para la industria moderna. Transformando la gestión operativa en una ventaja competitiva a través de la eficiencia energética. En un entorno donde la optimización de recursos es crítica, la empresa integra tecnologías de punta para reducir el impacto ambiental y los costos operativos.</t>
  </si>
  <si>
    <t xml:space="preserve">IMATEK SPA</t>
  </si>
  <si>
    <t xml:space="preserve">M-32</t>
  </si>
  <si>
    <t xml:space="preserve">Empresa de servicios acuícolas fundada en Puerto Montt en 2019, con amplia experiencia en sistemas de alimentación de peces, software, datos y control en tiempo real y automatización.</t>
  </si>
  <si>
    <t xml:space="preserve">IMATESA</t>
  </si>
  <si>
    <t xml:space="preserve">B-40</t>
  </si>
  <si>
    <t xml:space="preserve">Imatesa es una empresa líder en soluciones electromecánicas para la industria, con más de 37 años de trayectoria y presencia a nivel nacional. Su portafolio incluye motores eléctricos, reductores de velocidad, variadores, chancadores y equipos de proceso, complementada por un área de servicio técnico de alto estándar y alianzas estratégicas con marcas globales como ABB, Bonfiglioli y Cleangeartech</t>
  </si>
  <si>
    <t xml:space="preserve">IMICAR S.A</t>
  </si>
  <si>
    <t xml:space="preserve">M-08</t>
  </si>
  <si>
    <t xml:space="preserve">IN-SITU</t>
  </si>
  <si>
    <t xml:space="preserve">L-15</t>
  </si>
  <si>
    <t xml:space="preserve">Agua, ambiente y sostenibilidad › Gestión ambiental</t>
  </si>
  <si>
    <t xml:space="preserve">In-Situ manufactures and develops water monitoring instrumentation and software for surface water, coastal, groundwater, drinking water and wastewater applications. Our reliable, low-maintenance equipment, user-friendly mobile app and robust data services platform are designed to work together to make it easy to collect decision-quality data and access it from anywhere. in-situ.com.</t>
  </si>
  <si>
    <t xml:space="preserve">INSAPRO</t>
  </si>
  <si>
    <t xml:space="preserve">N-30</t>
  </si>
  <si>
    <t xml:space="preserve">somos diseñadores y fabricantes de maquinaria y sistemas para el ensilaje de mortalidad del salmón, concretando proyectos de molienda con integración 100% insapro. Todo lo que se necesita para un buen resultado, nosotros Lo tenemos</t>
  </si>
  <si>
    <t xml:space="preserve">INSTRUVALVE SPA</t>
  </si>
  <si>
    <t xml:space="preserve">AquaSur 2026. También expone en Exponor 2026 (ID 803). Sin contacto publicado.</t>
  </si>
  <si>
    <t xml:space="preserve">H-10</t>
  </si>
  <si>
    <t xml:space="preserve">Somos INSTRUVALVE SPA, empresa nacional con presencia en Chile y que cuenta con 20 años de experiencia, entregando soluciones confiables y aportando valor para cubrir las necesidades de nuestros clientes con un equipo humano altamente comprometido, marcas especializadas y servicios técnicos calificado, que nos permite ser reconocidos como lideres en control de fluidos, automatización e instrumenta</t>
  </si>
  <si>
    <t xml:space="preserve">Exponor (ID 803)</t>
  </si>
  <si>
    <t xml:space="preserve">INTERCAL S.A.</t>
  </si>
  <si>
    <t xml:space="preserve">G-12</t>
  </si>
  <si>
    <t xml:space="preserve">FB LATAM es una empresa especializada en refrigeración y climatización industrial.</t>
  </si>
  <si>
    <t xml:space="preserve">INTRALOX</t>
  </si>
  <si>
    <t xml:space="preserve">K-36</t>
  </si>
  <si>
    <t xml:space="preserve">The global conveyance solutions leader, Intralox offers direct service in more than 100 countries. The inventors of Modular Plastic belting, we provide innovative technologies and comprehensive services in every industry where products are moved.</t>
  </si>
  <si>
    <t xml:space="preserve">IRAS</t>
  </si>
  <si>
    <t xml:space="preserve">C-35</t>
  </si>
  <si>
    <t xml:space="preserve">Equipos e insumos industriales › Procesamiento / manejo de materiales</t>
  </si>
  <si>
    <t xml:space="preserve">IRAS is supplying the modern fishing and aquaculture industry with innovative solutions within: Discharging, Classification, Weighing, Ice handling, Storage and Internal Distribution Systems in processing plants. IRAS offers single products or complete systems for raw material handling. Based on decades of experience, IRAS KNOW HOW to handle fish.</t>
  </si>
  <si>
    <t xml:space="preserve">IRCO</t>
  </si>
  <si>
    <t xml:space="preserve">GA-16</t>
  </si>
  <si>
    <t xml:space="preserve">Somos un conglomerado industrial que impulsa la productividad con un ecosistema de tecnologías: aire comprimido, vacío, bombeo, manejo de fluidos, tratamiento de gases y automatización. Nuestras marcas aportan especialización y, mediante un modelo multicanal, ofrecemos soluciones flexibles y adaptadas a cada cliente.</t>
  </si>
  <si>
    <t xml:space="preserve">JCI</t>
  </si>
  <si>
    <t xml:space="preserve">C-42</t>
  </si>
  <si>
    <t xml:space="preserve">Johnson Controls oferece soluções inteligentes em refrigeração industrial, automação e cadeia de frio para os setores de aquicultura, alimentos e farmacêutico. Com tecnologia avançada, ajudamos produtores a preservar qualidade, reduzir custos e garantir eficiência e sustentabilidade.</t>
  </si>
  <si>
    <t xml:space="preserve">Jiangsu G&amp;G Netting Co.,Ltd</t>
  </si>
  <si>
    <t xml:space="preserve">F-50A</t>
  </si>
  <si>
    <t xml:space="preserve">Jiangsu G&amp;G Netting Co., Ltd. was established in 2006 and is equipped with over 20 sets of advanced production, processing- post-treatment facilities (including PU and anti-fouling treatment equipment), and testing equipment for various kinds of fishing nets, ropes, and twines.</t>
  </si>
  <si>
    <t xml:space="preserve">JIMCO</t>
  </si>
  <si>
    <t xml:space="preserve">C-32</t>
  </si>
  <si>
    <t xml:space="preserve">Welcome to JIMCO A/S – your partner in sustainable hygiene solutions for the seafood industry. For more than 30 years we have delivered chemical-free UV-C and ozone technologies for air purification and surface disinfection in fish and aquaculture facilities. Our systems reduce bacteria, biofilm and odour while enabling data logging and documented hygiene with lower water and energy use.</t>
  </si>
  <si>
    <t xml:space="preserve">JOHNSON SCREENS</t>
  </si>
  <si>
    <t xml:space="preserve">F-47</t>
  </si>
  <si>
    <t xml:space="preserve">Johnson Screens ofrece una amplia gama de filtros y accesorios para la separación de líquidos/sólidos y sólidos/sólidos en diversas aplicaciones. Estos filtros de alta calidad para OEM se integran en equipos y cumplen con las especificaciones más exigentes. Disponibles con aberturas de 25 µm a 25 mm, se fabrican en acero inoxidable serie 300 o en aleaciones exóticas según la aplicación.</t>
  </si>
  <si>
    <t xml:space="preserve">JS PROPUTEC</t>
  </si>
  <si>
    <t xml:space="preserve">D-16</t>
  </si>
  <si>
    <t xml:space="preserve">JS Proputec garantía en alta calidad, entrega rápida y rendimiento probado. Fabricamos la bomba lamela original y soluciones para el procesamiento de pescado mundialmente. Con más de 40 años de experiencia, suministramos soluciones eficientes para la descarga, el bombeo, la trituración y el desagüe, de materias primas difíciles y un alto tiempo de actividad. Somos el socio que entiende tu realidad</t>
  </si>
  <si>
    <t xml:space="preserve">KAESER COMPRESORES DE CHILE LTDA.</t>
  </si>
  <si>
    <t xml:space="preserve">info.peru@kaeser.com</t>
  </si>
  <si>
    <t xml:space="preserve">AquaSur 2026. También expone en ExpoMina 2026 (ID 217). También en CRM Directorio SSO 2026 (ID 609); contacto heredado = filial Perú.</t>
  </si>
  <si>
    <t xml:space="preserve">GA-20</t>
  </si>
  <si>
    <t xml:space="preserve">Empresa Alemana fabricante de compresores de tornillo, sopladores de lóbulos, tornillos y turbos. Sistemas de tratamiento de aire comprimido, secadores, filtros, estanques, drenajes, separadores agua aceite. Sistemas de control maestro de compresores y sopladores. Servicio técnico, repuestos, equipos de respaldo y de arriendo.</t>
  </si>
  <si>
    <t xml:space="preserve">7119962 / 95187512</t>
  </si>
  <si>
    <t xml:space="preserve">ExpoMina (ID 217); Directorio SSO (ID 609)</t>
  </si>
  <si>
    <t xml:space="preserve">KEEPEX</t>
  </si>
  <si>
    <t xml:space="preserve">AquaSur 2026. También expone en Exponor 2026 (ID 840). Sin contacto publicado.</t>
  </si>
  <si>
    <t xml:space="preserve">F-12</t>
  </si>
  <si>
    <t xml:space="preserve">Keepex, especialistas en difusión de gases con una fuerte presencia en la industria salmonera. Con más de 17 años innovando con soluciones avanzadas, un servicio especializado en terreno y stock permanente. Destaca KeepPulse, oxigenación remota y controlada en tiempo real, microburbujas para toda la cadena productiva y desalinización, impulsando la eficiencia y la sostenibilidad.</t>
  </si>
  <si>
    <t xml:space="preserve">Exponor (ID 840)</t>
  </si>
  <si>
    <t xml:space="preserve">Kohinoor ropes Pvt Ltd</t>
  </si>
  <si>
    <t xml:space="preserve">G-46</t>
  </si>
  <si>
    <t xml:space="preserve">Investigamos, desarrollamos, fabricamos productos de la más alta calidad en el sector textil, Redes Acuícolas, de Pesca y cabos. Fomentamos y promovemos la mejora continua en el proceso, incluyendo la introducción de productos actualizados y el perfeccionamiento y la mejora de nuestra gama de productos</t>
  </si>
  <si>
    <t xml:space="preserve">KOLFF</t>
  </si>
  <si>
    <t xml:space="preserve">AquaSur 2026. También expone en Exponor 2026 (ID 846). También expone en ExpoMina 2026 (ID 219). Sin contacto publicado.</t>
  </si>
  <si>
    <t xml:space="preserve">GA-40</t>
  </si>
  <si>
    <t xml:space="preserve">KOLFF es una empresa con más de 40 años de experiencia, especializada en soluciones de respaldo y calidad de energía, electromovilidad, energía solar, iluminación de emergencia, baterías industriales y desarrollo de proyectos de ingeniería. Diseñamos e integramos data centers modulares y salas eléctricas, garantizando continuidad operacional y altos estándares de calidad.</t>
  </si>
  <si>
    <t xml:space="preserve">Exponor (ID 846); ExpoMina (ID 219)</t>
  </si>
  <si>
    <t xml:space="preserve">KRAN SPA</t>
  </si>
  <si>
    <t xml:space="preserve">A-24</t>
  </si>
  <si>
    <t xml:space="preserve">Kran es una empresa chilena pionera en la aplicación de nanoburbujas para la salmonicultura. Desde 2017, desarrolla soluciones integradas a procesos que utilizan agua, impactando en la recuperación y prevención del fondo marino, la eficiencia hídrica, energética y en el uso de químicos para pisciculturas y plantas. Entregamos servicio de monitoreo, asegurando continuidad operacional y resultados.</t>
  </si>
  <si>
    <t xml:space="preserve">KSB CHILE</t>
  </si>
  <si>
    <t xml:space="preserve">H-22</t>
  </si>
  <si>
    <t xml:space="preserve">KSB Chile, empresa líder en la fabricación de Bombas, Válvulas y Servicio. Gracias a una línea producción completa para todo tipo de equipos, la que, en conjunto con su stock, permiten responder de manera eficiente y eficaz a sus requerimientos.</t>
  </si>
  <si>
    <t xml:space="preserve">KURA BIOTECH</t>
  </si>
  <si>
    <t xml:space="preserve">J-40</t>
  </si>
  <si>
    <t xml:space="preserve">Kura Biotech es una empresa global de biotecnología especializada en soluciones enzimáticas para preparación y análisis de muestras. En AquaSur, presenta RESIST® Food, un sistema rápido de PCR en 2 pasos para detectar patógenos, diseñado para solucionar desafíos de la industria alimentaria de manera simple y a un costo competitivo y con el respaldo de la certificación internacional AOAC® PTM.</t>
  </si>
  <si>
    <t xml:space="preserve">LAMOR</t>
  </si>
  <si>
    <t xml:space="preserve">B-44</t>
  </si>
  <si>
    <t xml:space="preserve">Lamor es una empresa finlandesa líder en soluciones ambientales, presente en más de 100 países. Se especializa en respuesta a derrames de petróleo, gestión de residuos y tratamiento de aguas, ofreciendo tecnologías sostenibles y servicios integrales para proteger ecosistemas y comunidades en todo el mundo.</t>
  </si>
  <si>
    <t xml:space="preserve">LATAM AIRLINES GROUP S.A.</t>
  </si>
  <si>
    <t xml:space="preserve">GA-14</t>
  </si>
  <si>
    <t xml:space="preserve">En LATAM somos un grupo líder en conectividad y soluciones para personas y empresas en América Latina. Integramos transporte de pasajeros, carga aérea y un ecosistema de fidelización a través de LATAM Pass, conectando la región con el mundo y generando valor para nuestros clientes y socios.</t>
  </si>
  <si>
    <t xml:space="preserve">LEDINDUSTRIAL SPA</t>
  </si>
  <si>
    <t xml:space="preserve">ST-87</t>
  </si>
  <si>
    <t xml:space="preserve">LINDGREN-PITMAN</t>
  </si>
  <si>
    <t xml:space="preserve">H-24</t>
  </si>
  <si>
    <t xml:space="preserve">Somos Lindgren Pitman, empresa de origen estadounidense, con presencia internacional y oficina comercial en Chile. Fabricante del limpiador de redes in situ Stingray Serie E230. Este sistema es el mejor en la limpieza de incrustaciones difíciles y permite una limpieza eficiente de redes, bajo consumo de combustible, reducción de gastos en mantención y mínimo impacto ambiental.</t>
  </si>
  <si>
    <t xml:space="preserve">LIPIGAS</t>
  </si>
  <si>
    <t xml:space="preserve">AquaSur 2026. También expone en Exponor 2026 (ID 872). Sin contacto publicado.</t>
  </si>
  <si>
    <t xml:space="preserve">GA-24</t>
  </si>
  <si>
    <t xml:space="preserve">Lipigas, parte del grupo LipiAndes, entrega soluciones energéticas desde Arica a Punta Arenas. Su foco es el gas licuado para hogares, comercios, industrias y transporte, apoyado por una amplia red. También ofrece gas natural. Comprometida con el clima, busca gases renovables al 2030 y ser carbono neutral al 2050. Además, impulsa una transformación digital para estar más cerca de sus clientes.</t>
  </si>
  <si>
    <t xml:space="preserve">Exponor (ID 872)</t>
  </si>
  <si>
    <t xml:space="preserve">LIVENTUS</t>
  </si>
  <si>
    <t xml:space="preserve">L-36</t>
  </si>
  <si>
    <t xml:space="preserve">Somos una empresa multinacional con más de 30 años en soluciones de atmósfera controlada y packaging para transporte marítimo de productos frescos. Operamos en América, Europa, Asia y África, moviendo ~10.000 contenedores/año. Nuestra tecnología XCA única permite exportar salmón fresco a USA por mar, ahorrando desde 1 USD/kg vs avión y reduciendo 36 veces la huella de carbono.</t>
  </si>
  <si>
    <t xml:space="preserve">LUCSOL</t>
  </si>
  <si>
    <t xml:space="preserve">D-37</t>
  </si>
  <si>
    <t xml:space="preserve">Lucsol es una empresa destinada a la comercialización de repuestos de refrigeración y aire acondicionado.</t>
  </si>
  <si>
    <t xml:space="preserve">LUXMETER</t>
  </si>
  <si>
    <t xml:space="preserve">K-08</t>
  </si>
  <si>
    <t xml:space="preserve">Luxmeter, aliado estratégico para la industria salmonera, entregando soluciones energéticas sostenible, competitivas y sistemas confiables. Expertos en fotoperiodo, dispone de una nueva serie lámparas eficientes, con tecnología de precisión y soluciones integradas que habilitan sistemas completamente alimentados con energía solar.</t>
  </si>
  <si>
    <t xml:space="preserve">LYMFLEX</t>
  </si>
  <si>
    <t xml:space="preserve">N-24</t>
  </si>
  <si>
    <t xml:space="preserve">Lymflex, es una empresa chilena presente en el mercado desde el año 2003, líder en soluciones de alta calidad en suministro e instalación de geosinteticos, carpas de uso industrial y acuícola de PVC, materiales flexibles y lonas para baños de peces.</t>
  </si>
  <si>
    <t xml:space="preserve">LYON</t>
  </si>
  <si>
    <t xml:space="preserve">A-40</t>
  </si>
  <si>
    <t xml:space="preserve">Entregamos soluciones asociadas a los uniformes del personal; renting, lavandería industrial, trazabilidad 360 RFID y dispensación automática de prendas. Automatización, procedimientos y ahorros en un entorno certificado en calidad.</t>
  </si>
  <si>
    <t xml:space="preserve">MAQSUR</t>
  </si>
  <si>
    <t xml:space="preserve">GA-08</t>
  </si>
  <si>
    <t xml:space="preserve">Con más de veinticinco años de experiencia en servicios y mantención de maquinaria industrial, hoy a través de nuestra familia de empresas, entregamos soluciones integrales para la industria acuícola de primer nivel.</t>
  </si>
  <si>
    <t xml:space="preserve">MAREL CHILE - WENGER USA</t>
  </si>
  <si>
    <t xml:space="preserve">K-32</t>
  </si>
  <si>
    <t xml:space="preserve">JBT Marel es un proveedor líder global de tecnología, equipos, software y servicios integrados para la industria de alimentos y bebidas. Con el propósito de transformar el futuro de los alimentos, ayudamos a las empresas a mantenerse competitivas en un mercado en constante evolución.</t>
  </si>
  <si>
    <t xml:space="preserve">MATHIESEN</t>
  </si>
  <si>
    <t xml:space="preserve">K-26</t>
  </si>
  <si>
    <t xml:space="preserve">Empresa dedicada a la comercialización y distribución de insumos químicos y soluciones técnicas, con foco en el tratamiento de agua, tanto en procesos industriales como en aplicaciones especializadas.</t>
  </si>
  <si>
    <t xml:space="preserve">MAYEKAWA</t>
  </si>
  <si>
    <t xml:space="preserve">K-34</t>
  </si>
  <si>
    <t xml:space="preserve">Mayekawa, fundada en 1924, es líder mundial en refrigeración industrial y soluciones con refrigerantes naturales. En Chile opera desde 1980, sumando más de 45 años de experiencia apoyando a sectores productivos con tecnología eficiente y sostenible. [americas.mayekawa.com], [mayekawa.es]</t>
  </si>
  <si>
    <t xml:space="preserve">MCP INDUSTRIAL</t>
  </si>
  <si>
    <t xml:space="preserve">L-11</t>
  </si>
  <si>
    <t xml:space="preserve">MCP es proveedor de soluciones en caucho para la industria acuícola. Fabricamos defensas, boyas y componentes técnicos que protegen infraestructura y embarcaciones, reduciendo costos por impacto y desgaste. Diseñamos productos a medida para operar con máxima resistencia en ambientes marinos exigentes.</t>
  </si>
  <si>
    <t xml:space="preserve">MEGA GOGLIO</t>
  </si>
  <si>
    <t xml:space="preserve">J-44</t>
  </si>
  <si>
    <t xml:space="preserve">Mega Goglio Latam, parte del grupo italiano Goglio, participará en AquaSur 2026 en Puerto Montt junto a su representante en Chile, Dosul Packaging. Exhibirá soluciones de envases flexibles y films técnicos para acuicultura, lácteos, carnes, cecinas, pet food, frutas y alimentos, destacando innovación y sostenibilidad.</t>
  </si>
  <si>
    <t xml:space="preserve">MERIEUX</t>
  </si>
  <si>
    <t xml:space="preserve">D-23</t>
  </si>
  <si>
    <t xml:space="preserve">Red global de laboratorios de análisis de alimentos, dedicados a mejorar su calidad e inocuidad.</t>
  </si>
  <si>
    <t xml:space="preserve">METRICA</t>
  </si>
  <si>
    <t xml:space="preserve">AquaSur 2026. También expone en Exponor 2026 (ID 927). Sin contacto publicado.</t>
  </si>
  <si>
    <t xml:space="preserve">L-40</t>
  </si>
  <si>
    <t xml:space="preserve">Métrica (est.1994) es líder en soluciones de energía crítica en Chile. Diseñamos, integramos y mantenemos sistemas UPS, almacenamiento BESS y microrredes para asegurar la continuidad operacional. Con cobertura nacional y soporte 24/7, podemos responder a todas las necesidades de nuestros clientes, en temas de calidad, respaldo y almacenamiento de energía, cumpliendo con los tiempos comprometidos.</t>
  </si>
  <si>
    <t xml:space="preserve">Exponor (ID 927)</t>
  </si>
  <si>
    <t xml:space="preserve">MHIS</t>
  </si>
  <si>
    <t xml:space="preserve">G-16</t>
  </si>
  <si>
    <t xml:space="preserve">En MHIS somos especialistas en el suministro de productos y servicios para los diferentes sectores industriales y económicos del país. Te asesoramos en la búsqueda de la mejor solución a tus necesidades. Nuestra oferta aborda toda la cadena de valor que tu empresa requiere.</t>
  </si>
  <si>
    <t xml:space="preserve">MICROTEC</t>
  </si>
  <si>
    <t xml:space="preserve">AD-03</t>
  </si>
  <si>
    <t xml:space="preserve">MiCRO Automación impulsa la eficiencia industrial con soluciones de automatización basadas en mecatrónica y 4,0, integrando mecánica, electrónica, informática y control de procesos. Con más de 65 años de experiencia en Latinoamérica y unidades fabriles en Argentina Brasil y Chile ofrecemos a nuestros clientes un sólido respaldo técnico y de capacitación optimizando la productividad de sus procesos</t>
  </si>
  <si>
    <t xml:space="preserve">MNL GROUP</t>
  </si>
  <si>
    <t xml:space="preserve">E-36</t>
  </si>
  <si>
    <t xml:space="preserve">Empresa dedicada a la elaboración de productos funcionales para la salud animal de los peces. Producidos con extractos 100% naturales.</t>
  </si>
  <si>
    <t xml:space="preserve">MOLEAER</t>
  </si>
  <si>
    <t xml:space="preserve">G-14</t>
  </si>
  <si>
    <t xml:space="preserve">Moleaer entrega tecnología de nanoburbujas comprobada que ayuda a las operaciones acuícolas a aumentar la productividad, reducir costos y mejorar la salud de los peces. Con más instalaciones en el mundo que cualquier otro proveedor, nuestras soluciones están validadas independientemente y respaldadas por datos reales de pisciculturas como la tuya.</t>
  </si>
  <si>
    <t xml:space="preserve">Moon Environment Technology Co., Ltd</t>
  </si>
  <si>
    <t xml:space="preserve">L-38</t>
  </si>
  <si>
    <t xml:space="preserve">Moon Environment Technology Co., Ltd was founded in 1956. The main business covers Six industrial clusters such as refrigeration, central air conditioning, environmental heating, energy and chemical equipment, precision casting and smart services.</t>
  </si>
  <si>
    <t xml:space="preserve">MPI CHILE SPA - MAINSTAY</t>
  </si>
  <si>
    <t xml:space="preserve">F-28</t>
  </si>
  <si>
    <t xml:space="preserve">Mainstay es líder global en equipos para limpieza de redes de acuicultura. Está presente en los principales países productores de salmón, como son Noruega, Chile y Escocia, con venta y post-venta, y ha vendido equipos a más de 40 países. Actualmente, a través de su alianza con Weda, también cuenta con equipos para limpieza de piscinas, estanques y reservorios.</t>
  </si>
  <si>
    <t xml:space="preserve">MSD SALUD ANIMAL</t>
  </si>
  <si>
    <t xml:space="preserve">D-24</t>
  </si>
  <si>
    <t xml:space="preserve">MSD Salud Animal es una división de Merck &amp; Co., Inc., Rahway, NJ, EE. UU. A través de su compromiso con The Science of Healthier Animals®, ofrece a veterinarios, granjeros, productores, dueños de mascotas y gobiernos productos farmacéuticos veterinarios, vacunas y servicios, junto a tecnologías de identificación, trazabilidad y monitoreo. Sus productos están disponibles en unos 150 mercados.</t>
  </si>
  <si>
    <t xml:space="preserve">MULTIVAC CHILE S.A.</t>
  </si>
  <si>
    <t xml:space="preserve">E-28</t>
  </si>
  <si>
    <t xml:space="preserve">Multivac Chile es líder en soluciones integrales de envasado y procesamiento para la industria alimentaria, médica y de bienes de consumo. Más que proveer máquinas, integra tecnología, automatización, digitalización, films y servicio técnico especializado para optimizar la productividad de sus clientes a lo largo de toda la cadena de valor.</t>
  </si>
  <si>
    <t xml:space="preserve">Natura Energy</t>
  </si>
  <si>
    <t xml:space="preserve">R-26</t>
  </si>
  <si>
    <t xml:space="preserve">Empresa chilena líder en soluciones de energía renovable, especializada en la importación, diseño e implementación de proyectos fotovoltaicos, iluminación solar y almacenamiento con baterías de litio. Con más de 10 años de experiencia, ofrecen proyectos "llave en mano", bombeo solar y componentes de alta calidad (Growatt, Victron, Dyness), promoviendo la sostenibilidad y eficiencia energética.</t>
  </si>
  <si>
    <t xml:space="preserve">NDU INGENIERIA</t>
  </si>
  <si>
    <t xml:space="preserve">R-30</t>
  </si>
  <si>
    <t xml:space="preserve">Somos comercializadores de materiales electricos, control y automatizacion de baja y media tension. Tambien entregamos soluciones electricas. Estamos presente en puerto montt hace 30 años y contamos con experiencia, stock y soporte tecnico. Trabahamos con marcas lideres impulsando la innovacion, la eficiencia energetica y el cuidado del medio ambiente</t>
  </si>
  <si>
    <t xml:space="preserve">NEOELECTRA</t>
  </si>
  <si>
    <t xml:space="preserve">G-38</t>
  </si>
  <si>
    <t xml:space="preserve">Neoelectra es un grupo energético industrial con más de 20 años de experiencia, que ofrece soluciones integrales en generación eléctrica y térmica, eficiencia energética y servicios especializados. Acompaña a clientes industriales en la optimización de sus costos energéticos, asegurando confiabilidad operativa, competitividad y una transición energética sostenible.</t>
  </si>
  <si>
    <t xml:space="preserve">NEOGEN</t>
  </si>
  <si>
    <t xml:space="preserve">E-14</t>
  </si>
  <si>
    <t xml:space="preserve">NEOGEN® comprometida con impulsar un futuro más brillante para la seguridad alimentaria global, promoviendo el bienestar humano y animal. Mediante el poder de la ciencia y la tecnología, Neogen® ha desarrollado soluciones integrales para los mercados de inocuidad alimentaria, ganadería y salud animal.</t>
  </si>
  <si>
    <t xml:space="preserve">NEOPLAST</t>
  </si>
  <si>
    <t xml:space="preserve">FALTA N°</t>
  </si>
  <si>
    <t xml:space="preserve">Neoplast es una empresa dedicada a la elaboración de productos de FRP, especialmente estanques de diferentes medidas para la industria acuícola. Tiene 20 años como proveedor del rubro acuícola, participando en destacados proyectos. Actualmente en el proyecto PCC2 de la empresa Cermaq.</t>
  </si>
  <si>
    <t xml:space="preserve">NITTO KASEI</t>
  </si>
  <si>
    <t xml:space="preserve">Japón</t>
  </si>
  <si>
    <t xml:space="preserve">K-23</t>
  </si>
  <si>
    <t xml:space="preserve">We have been developing business in the fish net antifouling market for half a century. As an unique company in chemical industry, we are offering a broad product selection from marine antifouling biocide and other raw materials to final products-various types of fish net antifoulings including "Copper-Free" type, based on our experience of half a century, with our focus on fish cultivation.</t>
  </si>
  <si>
    <t xml:space="preserve">NLB CORP</t>
  </si>
  <si>
    <t xml:space="preserve">L-43</t>
  </si>
  <si>
    <t xml:space="preserve">NOVATECH - NOVATECH SERVICIOS ACUICOLAS SPA</t>
  </si>
  <si>
    <t xml:space="preserve">F-46</t>
  </si>
  <si>
    <t xml:space="preserve">Representante de equipos LIFT UP en Chile, líderes mundiales seguridad ambiental.</t>
  </si>
  <si>
    <t xml:space="preserve">NOVOX</t>
  </si>
  <si>
    <t xml:space="preserve">G-26</t>
  </si>
  <si>
    <t xml:space="preserve">Somos proveedores de gases industriales con una planta de oxigeno criogenico ubicada en Puerto Varas. Ademas contamos con la representacion de Biologic, un micronutriente basado en estractos vegetales Canadiense, que permite eliminar rapidamente olores y la reduccion de biosolidos, mejorando los flujos de aguas sin necesidad de introducir bacterias o enzimas.</t>
  </si>
  <si>
    <t xml:space="preserve">OCTAFORM</t>
  </si>
  <si>
    <t xml:space="preserve">E-40</t>
  </si>
  <si>
    <t xml:space="preserve">Octaform es un sistema de encofrado permanente de PVC con revestimiento integrado para tanques de acuicultura. Durante más de 30 años, Octaform ha respaldado algunos de los proyectos de acuicultura en tierra más grandes del mundo, ofreciendo construcción rápida, estructuras duraderas y superficies higiénicas de bajo mantenimiento.</t>
  </si>
  <si>
    <t xml:space="preserve">OFIMASTER</t>
  </si>
  <si>
    <t xml:space="preserve">F-40</t>
  </si>
  <si>
    <t xml:space="preserve">Distribuidora Integral de Productos de Aseo, Oficina, Papel Tissue, Cafeteria, Papel Fotocopia.</t>
  </si>
  <si>
    <t xml:space="preserve">OMNIFISH SOCIEDAD ANONIMA</t>
  </si>
  <si>
    <t xml:space="preserve">A-26</t>
  </si>
  <si>
    <t xml:space="preserve">Innovación y tecnología para una acuicultura que evoluciona. En Omnifish S.A. llevamos más de una década apoyando a la industria acuícola con equipos, tecnología y servicios confiables. Trabajamos codo a codo con nuestros clientes, entendiendo sus desafíos para desarrollar soluciones innovadoras que impulsan una acuicultura más eficiente y sostenible.</t>
  </si>
  <si>
    <t xml:space="preserve">Opticas Haase</t>
  </si>
  <si>
    <t xml:space="preserve">P-39</t>
  </si>
  <si>
    <t xml:space="preserve">Ubicados en mall costanera, somos tu óptica de confianza. Nuestra diferencia radica en la atención profesional y especializada, contamos con Tecnólogos Médicos expertos en salud visual para garantizar el diagnóstico y la solución perfecta. Además, con nuestro taller propio, aseguramos la máxima calidad y un tiempo de entrega excepcional: ¡tus anteojos listos en solo unos pocos días!</t>
  </si>
  <si>
    <t xml:space="preserve">OPTIMAR</t>
  </si>
  <si>
    <t xml:space="preserve">M-42</t>
  </si>
  <si>
    <t xml:space="preserve">Modern aquaculture demands precision, traceability and care. Our systems for handling, stunning and processing farmed fish are built to ensure high product quality and reduced stress for the fish, the people and the future.With data transparency and flexible design, you get full control and reliable performance throughout the process.</t>
  </si>
  <si>
    <t xml:space="preserve">Outfit Industrial Ltda.</t>
  </si>
  <si>
    <t xml:space="preserve">ST-90</t>
  </si>
  <si>
    <t xml:space="preserve">Outfit Industrial es especialista en Motores Eléctricos, Motorreductores, Automatización Industrial, Cariadores de Frecuencia, Partidores Suaves, Control y Protección de Motores y Neumática Industrial. Somos distribuidores oficiales de WEG, Festo y Sumitomo, entregando soluciones eficientes, tecnología de vanguardia, respaldo internacional y soporte técnico especializado para la industria.</t>
  </si>
  <si>
    <t xml:space="preserve">OXENTEK SOLUTIONS</t>
  </si>
  <si>
    <t xml:space="preserve">ST-85</t>
  </si>
  <si>
    <t xml:space="preserve">Empresa de servicios de eliminación de contaminantes industrial con tecnología láser, una solución innovadora, limpia y precisa para la industria. Solución capaz de eliminar óxido, pintura, suciedad y otros contaminantes. Ofrecemos un proceso libre de residuos, aportando eficiencia y sustentabilidad a la industria.</t>
  </si>
  <si>
    <t xml:space="preserve">OXZO S.A.</t>
  </si>
  <si>
    <t xml:space="preserve">H-32</t>
  </si>
  <si>
    <t xml:space="preserve">En OXZO impulsamos la productividad, sostenibilidad y bienestar animal en la industria acuícola global. A través de soluciones tecnológicas en oxigenación, aire y ozono, optimizamos procesos, mejoramos las condiciones de cultivo y la eficiencia energética, promoviendo sistemas más sostenibles y responsables con el entorno.</t>
  </si>
  <si>
    <t xml:space="preserve">PACIFIC CHEM</t>
  </si>
  <si>
    <t xml:space="preserve">A-50</t>
  </si>
  <si>
    <t xml:space="preserve">Laboratorio Pacific Chem, chilenos con 30 años y hoy además en España, foco en productos químicos y veterinarios, economía circular e innovación. Apoyamos a nuestros clientes en el desafío de liderar el crecimiento sustentable de la industria acuícola chilena. Participamos con la Facultad de Ciencias Veterinarias de la Universidad Austral de Chile, aliado estratégico de Pacific Chem en Chile.</t>
  </si>
  <si>
    <t xml:space="preserve">PAPELERA</t>
  </si>
  <si>
    <t xml:space="preserve">Bolivia</t>
  </si>
  <si>
    <t xml:space="preserve">A-21</t>
  </si>
  <si>
    <t xml:space="preserve">Somos La Papelera, empresa boliviana con 95 años de trayectoria y 8 años exportando a Chile. Fabricamos cajas de cartón corrugado, sacos y bolsas de papel, además de especializarnos en impresión offset con nuestra línea de packaging. Innovamos constantemente y ofertamos empaques de calidad adaptados a sus requerimientos.</t>
  </si>
  <si>
    <t xml:space="preserve">PBB S.A.</t>
  </si>
  <si>
    <t xml:space="preserve">P-12</t>
  </si>
  <si>
    <t xml:space="preserve">Empresa con más de 40 años en el mercado. Nuestros procesos nos permiten proveer mangas, film laminado, bolsas sello fondo, sello lateral, doypack, pouch, bolsas gran formato. Productos para la industria alimentaria y acuícola.</t>
  </si>
  <si>
    <t xml:space="preserve">PGIC</t>
  </si>
  <si>
    <t xml:space="preserve">S-26</t>
  </si>
  <si>
    <t xml:space="preserve">PGIC es una empresa chilena con más de 30 años de experiencia en soluciones para transporte de líquidos en minería e industria. Ofrece equipos de bombeo, automatización y soporte técnico especializado, con cobertura nacional y foco en eficiencia operativa, continuidad y acompañamiento técnico permanente.</t>
  </si>
  <si>
    <t xml:space="preserve">PHARMAQ</t>
  </si>
  <si>
    <t xml:space="preserve">B-32</t>
  </si>
  <si>
    <t xml:space="preserve">PHARMAQ, parte de Zoetis, es líder mundial en vacunas y soluciones para el sector acuícola. Con sede en Noruega y subsidiarias en Chile, Reino Unido, Vietnam, Turquía, España, Panamá y Hong Kong, la empresa ofrece productos seguros, eficaces y respetuosos con el medioambiente. Sus soluciones se comercializan en Europa, América y Asia.</t>
  </si>
  <si>
    <t xml:space="preserve">PlusVet Qingdao Animal Health</t>
  </si>
  <si>
    <t xml:space="preserve">E-20</t>
  </si>
  <si>
    <t xml:space="preserve">PlusVet es una empresa especializada en el desarrollo de soluciones fitogénicas para reforzar la salud animal y maximizar su productividad. Nuestra ofrece productos naturales contra desafíos clave en camarones y peces: control de patógenos (Vibrio sp., EHP, Streptococcus sp.) y parásitos externos. El objetivo es reducir antibióticos, aumentando la rentabilidad y la sostenibilidad de las granjas.</t>
  </si>
  <si>
    <t xml:space="preserve">POCUNO</t>
  </si>
  <si>
    <t xml:space="preserve">L-39</t>
  </si>
  <si>
    <t xml:space="preserve">Fabricante por contrato de equipos, partes y piezas industriales</t>
  </si>
  <si>
    <t xml:space="preserve">POLMETAL</t>
  </si>
  <si>
    <t xml:space="preserve">K-52</t>
  </si>
  <si>
    <t xml:space="preserve">Expertos en fosas sépticas y estanques para agua en Chile. Soluciones de alta calidad para parcelas, terrenos y empresas. Por su parte Polmetal ofrece Extractores Industriales y bujes para pasadores de alta resistencia, diseñados para optimizar líneas de proceso en acuicultura e industria. Fabricación nacional con calidad garantizada.</t>
  </si>
  <si>
    <t xml:space="preserve">POLYBANDAS</t>
  </si>
  <si>
    <t xml:space="preserve">E-50</t>
  </si>
  <si>
    <t xml:space="preserve">Nuestro objetivo es optimizar, en conjunto con el usuario, la continuidad operativa de sus equipos transportadores, a través del suministro y servicio de instalación de Bandas Transportadoras Volta Belting, Bandas Modulares Scanbelt, Mototambores Interroll, Limpiadores Sanitarios Flexco, Uniones Mecánicas, Sistema de Transmisión de Potencia Martin Sprocket, Servicio y Post Venta.</t>
  </si>
  <si>
    <t xml:space="preserve">POLYCHEM - POLMETAL</t>
  </si>
  <si>
    <t xml:space="preserve">Polymershapes</t>
  </si>
  <si>
    <t xml:space="preserve">N-14</t>
  </si>
  <si>
    <t xml:space="preserve">Empresa norteamericana con presencia en todo el mundo, perteneciente al grupo Family Plastic, mayor distribuidor mundial de plástico industrial.</t>
  </si>
  <si>
    <t xml:space="preserve">PRIME PATAGONIA</t>
  </si>
  <si>
    <t xml:space="preserve">ST-98</t>
  </si>
  <si>
    <t xml:space="preserve">Empresa dedicada al desarrollo soluciones y experiencias virtuales, tanto Realidad Virtual, Realidad Aumentada y Recorridos 360º, para procesos educativos, formación e Ingeniería. Con visión personalizada.</t>
  </si>
  <si>
    <t xml:space="preserve">PRIMOZONE</t>
  </si>
  <si>
    <t xml:space="preserve">H-18</t>
  </si>
  <si>
    <t xml:space="preserve">Redefining ozone technology since 2000. Primozone develops innovative ozone generators designed to overcome the limitations of traditional solutions. Through smart engineering, Primozone systems deliver significant energy savings and lower total costs. Primozone is your complete partner in ozone solutions.</t>
  </si>
  <si>
    <t xml:space="preserve">PRINAL</t>
  </si>
  <si>
    <t xml:space="preserve">G-45</t>
  </si>
  <si>
    <t xml:space="preserve">Somos reconocidos como una empresa líder en la gestión de la tecnología aplicada a la alimentación humana, animal y el retail, entregando soluciones integrales que acompañan en cada etapa del proceso productivo. Trabajamos para ofrecer a nuestros clientes una propuesta completa, que integre conocimientos técnico, desarrollo y las mejores soluciones para casa necesidad del mercado.</t>
  </si>
  <si>
    <t xml:space="preserve">PROCESS INTEGRATION</t>
  </si>
  <si>
    <t xml:space="preserve">C-16</t>
  </si>
  <si>
    <t xml:space="preserve">Process Integration es una empresa de ingeniería que entrega soluciones de procesos para las industrias acuícola, de alimentación animal y humana. Especialistas en diseño de procesos, integración de equipos, automatización y sistemas higiénicos. Apoyamos desde ingeniería básica hasta puesta en marcha y optimización, con foco en eficiencia y sostenibilidad.</t>
  </si>
  <si>
    <t xml:space="preserve">PROMINENT</t>
  </si>
  <si>
    <t xml:space="preserve">AquaSur 2026. También expone en Exponor 2026 (ID 1037). Sin contacto publicado.</t>
  </si>
  <si>
    <t xml:space="preserve">A-16</t>
  </si>
  <si>
    <t xml:space="preserve">En ProMinent ofrecemos soluciones innovadoras que se adaptan a las necesidades específicas de cada sector. Nos especializamos en tecnología de vanguardia para la dosificación, tratamiento y desinfección de agua. Contamos con bombas dosificadoras, bombas peristálticas, dispositivos de medición y control, y soluciones integrales como sistemas UV, ozono, dióxido de cloro y electrólisis.</t>
  </si>
  <si>
    <t xml:space="preserve">Exponor (ID 1037)</t>
  </si>
  <si>
    <t xml:space="preserve">PROQUIEL QUIMICOS SPA</t>
  </si>
  <si>
    <t xml:space="preserve">M-28</t>
  </si>
  <si>
    <t xml:space="preserve">Manuchar, con sede en Amberes, Bélgica, es un distribuidor líder de productos químicos en mercados de alto crecimiento. Complementamos nuestro negocio de Distribución Química con Servicios de Comercio Internacional. Manuchar Nuestras operaciones están en más de 40 países y 180 ubicaciones. Manuchar emplea a 3.000 profesionales en todo el mundo.</t>
  </si>
  <si>
    <t xml:space="preserve">PROTERM S.A.</t>
  </si>
  <si>
    <t xml:space="preserve">AquaSur 2026. También expone en Exponor 2026 (ID 1041). Sin contacto publicado.</t>
  </si>
  <si>
    <t xml:space="preserve">A-44</t>
  </si>
  <si>
    <t xml:space="preserve">Somos especialistas en las áreas de ambiente y energía. Nuestro principal objetivo es la sustentabilidad de la industria desarrollando proyectos de calidad, innovación y alta especialización, buscando el uso correcto de los recursos y era menor impacto al medio ambiente a través del diagnóstico, medición, desarrollo de ingenierías, control de diversos estresores ambientales: olor, gases, MP, Ruido</t>
  </si>
  <si>
    <t xml:space="preserve">Exponor (ID 1041)</t>
  </si>
  <si>
    <t xml:space="preserve">PSEI</t>
  </si>
  <si>
    <t xml:space="preserve">H-42</t>
  </si>
  <si>
    <t xml:space="preserve">Ofrecemos soluciones de alto rendimiento que reducen ciclos de mantenimiento y aumentan la disponibilidad de componentes mecánicos críticos, eliminando el riesgo de contaminación ambiental y contribuyendo al cumplimiento de objetivos operacionales de forma eficiente y sostenible.</t>
  </si>
  <si>
    <t xml:space="preserve">PSP CHILE</t>
  </si>
  <si>
    <t xml:space="preserve">H-16</t>
  </si>
  <si>
    <t xml:space="preserve">En PSP Chile lideramos la mitigación ambiental con tecnología acuática sostenible. Protegemos sus operaciones y ecosistemas contra FANs, medusas, y ruido submarino, mejorando la calidad del agua. Nuestras soluciones probadas optimizan la eficiencia en industrias como la salmonera y desalación. Garantizamos continuidad operativa con innovación real.</t>
  </si>
  <si>
    <t xml:space="preserve">Qingdao Hishing Smart Equipment Co Ltd.</t>
  </si>
  <si>
    <t xml:space="preserve">N-08</t>
  </si>
  <si>
    <t xml:space="preserve">Qingdao Hishing Smart Equipment Co. Ltd., founded in 2007, is a high-tech enterprise specializing in R&amp;D, manufacturing, sales, installation and service of industrial ecological recirculating aquaculture system ( RAS) and equipment, marine cage aquaculture system, aquaculture tail water treatment system, intelligent system, intelligent fishery culture management system and Internet of Things.</t>
  </si>
  <si>
    <t xml:space="preserve">Qingdao Tai Star Machinery Co.,Ltd</t>
  </si>
  <si>
    <t xml:space="preserve">L-49</t>
  </si>
  <si>
    <t xml:space="preserve">Qingdao Tai Star established in 1996,is a leading integrated enterprise of engaging in production of M1&amp;M2&amp;M3 anchor chain under Ø122mm and chain related products development and operation. The company has passed ISO9001:2015,ABS,DNV,LRS,NK,BV,CCS,RS,IRS,KR,VR,with the ability to provide marine anchor chain standard products.</t>
  </si>
  <si>
    <t xml:space="preserve">QINGDAO WANCHENG ANCHOR CHAIN CO.,LTD</t>
  </si>
  <si>
    <t xml:space="preserve">D-64</t>
  </si>
  <si>
    <t xml:space="preserve">Somos un fabricante integral de sistemas de fondeo para la acuicultura. Disponemos de fábrica propia de cadenas, forja y soldadura, lo que garantiza control total del proceso y productos confiables. Trabajamos junto a nuestros clientes en el diseño y fabricación de soluciones a medida, adaptadas a las condiciones reales del mar y a las necesidades de cada proyecto.</t>
  </si>
  <si>
    <t xml:space="preserve">QLF LABS</t>
  </si>
  <si>
    <t xml:space="preserve">L-14</t>
  </si>
  <si>
    <t xml:space="preserve">QLF Labs SpA (Grupo QUALIFIED), es una empresa chilena, dedicada a la prestación de servicios de análisis de laboratorio (microbiológicos, moleculares, químicos y cromatográficos), area sensorial y vida útil, auditoría, inspección, y muestreo, en la Industria de Alimentos. Contamos con 3 laboratorios acreditados ISO 17025:2017 e ISO 17020:2012 y autorizaciones SEREMI SALUD, SAG y SERNAPESCA.</t>
  </si>
  <si>
    <t xml:space="preserve">QUIMICOS FAS</t>
  </si>
  <si>
    <t xml:space="preserve">M-35</t>
  </si>
  <si>
    <t xml:space="preserve">Químicos FAS SpA es una empresa chilena con más de 80 años de experiencia en la fabricación, importación y comercialización de productos químicos para el tratamiento de aguas. Es el principal fabricante nacional de sulfato de aluminio y trabaja con las principales sanitarias del país, ofreciendo soluciones eficientes, confiables y sostenibles para agua potable, efluentes y procesos industriales.</t>
  </si>
  <si>
    <t xml:space="preserve">QUIVET</t>
  </si>
  <si>
    <t xml:space="preserve">P-33</t>
  </si>
  <si>
    <t xml:space="preserve">Empresa nacional dedicada a la comercialización y distribución de productos farmaco-veterinarios, aditivos alimentarios y químicos usados en producción animal. Enfocada en la investigación y desarrollo de productos amigables con el medio ambiente y liderada por profesionales con vasta experiencia en la industria acuícola.</t>
  </si>
  <si>
    <t xml:space="preserve">RANCO INDUSTRIAL</t>
  </si>
  <si>
    <t xml:space="preserve">GA-54</t>
  </si>
  <si>
    <t xml:space="preserve">Ranco Industrial está formado por profesionales con más de 20 años de experiencia en la industria, focalizándonos en el segmento de mercado de Alimentos &amp; Bebidas. Representamos y distribuimos marcas con gran desarrollo tecnológico y de calidad para el segmento alimentario, cintas transportadoras de marcas como Hongbelt y Canwell. Asi como también, mototambores Seapark y Winroller.</t>
  </si>
  <si>
    <t xml:space="preserve">REDES, CABOS E HILOS</t>
  </si>
  <si>
    <t xml:space="preserve">B-33</t>
  </si>
  <si>
    <t xml:space="preserve">Fabrica de Cuerdas e Hilos para uso en jaulas de cultivos y operaciones salmoneras en general. Especialista en productos torcidos y trenzados en las medidas usuales que utiliza la industria. Además ofrece productos para Cultivos de Mitílidos, Ferreterias, Pesca Artesanal e Industrial, Izaje, entre otros.</t>
  </si>
  <si>
    <t xml:space="preserve">RENNER</t>
  </si>
  <si>
    <t xml:space="preserve">M-18</t>
  </si>
  <si>
    <t xml:space="preserve">Empresa Fabricante de Pinturas Industriales: Marine Coatings, Protective y Performance Coatings</t>
  </si>
  <si>
    <t xml:space="preserve">RENTACLIMA S.A.</t>
  </si>
  <si>
    <t xml:space="preserve">F-34</t>
  </si>
  <si>
    <t xml:space="preserve">Somos especialistas en soluciones temporales de climatización en ambientes exigentes. Nos orientamos tanto al bienestar de las personas como al control de procesos y espacios que requieren condiciones críticas de temperatura y humedad en talleres, bodegas y zonas de trabajo. Nuestros equipos aseguran continuidad operacional, eficiencia y seguridad en condiciones de frío, calor o alta humedad.</t>
  </si>
  <si>
    <t xml:space="preserve">Rentokil Initial Chile Spa.</t>
  </si>
  <si>
    <t xml:space="preserve">AquaSur 2026. También expone en Exponor 2026 (ID 1074). Sin contacto publicado.</t>
  </si>
  <si>
    <t xml:space="preserve">GA-21</t>
  </si>
  <si>
    <t xml:space="preserve">Rentokil Initial es el referente global en servicios control de plagas e higiene. Con presencia en +90 países, combina innovación tecnológica y expertos certificados para proteger la salud y el bienestar en entornos comerciales e industriales. Garantizamos espacios seguros y libres de riesgos biológicos. Nuestro holding cuenta con una línea de café premium destacando las marcas Musetti y Daroma.</t>
  </si>
  <si>
    <t xml:space="preserve">Exponor (ID 1074)</t>
  </si>
  <si>
    <t xml:space="preserve">RESITER</t>
  </si>
  <si>
    <t xml:space="preserve">AquaSur 2026. También expone en Exponor 2026 (ID 1075). Sin contacto publicado.</t>
  </si>
  <si>
    <t xml:space="preserve">G-31</t>
  </si>
  <si>
    <t xml:space="preserve">Gestionamos y valorizamos residuos y recursos mediante procesos tecnológicos eficientes, integrando principios de economía circular para entregar soluciones sostenibles y competitivas al sector industrial. Estamos presentes en 6 países y trabajamos con todas las industrias y somos expertos en todo tipo de residuos: solidos peligrosos y no peligrosos, aguas industriales y waste to energy</t>
  </si>
  <si>
    <t xml:space="preserve">Exponor (ID 1075)</t>
  </si>
  <si>
    <t xml:space="preserve">REXIN</t>
  </si>
  <si>
    <t xml:space="preserve">E-33</t>
  </si>
  <si>
    <t xml:space="preserve">Rexin es una empresa chilena dedicada a la gestión integral de residuos industriales. Su enfoque principal es ofrecer soluciones completas para el manejo, valorización, reciclaje y tratamiento de residuos, incluyendo recolección, transporte y procesos que buscan recuperar el máximo potencial de los desechos, con principios de economía circular y tecnologías como “waste-to-energy”.</t>
  </si>
  <si>
    <t xml:space="preserve">RHONA</t>
  </si>
  <si>
    <t xml:space="preserve">AquaSur 2026. También expone en Exponor 2026 (ID 1081). También expone en ExpoMina 2026 (ID 776). Sin contacto publicado.</t>
  </si>
  <si>
    <t xml:space="preserve">GA-53</t>
  </si>
  <si>
    <t xml:space="preserve">RHONA es una empresa líder con 60 años en soluciones eléctricas y tecnológicas para la industria, la minería y la acuicultura. Especialistas en automatización y control, equipamiento eléctrico, respaldo de energía y nuevas energías, entregamos soluciones confiables y eficientes, con alto estándar técnico, experiencia y acompañamiento experto para proyectos industriales y de infraestructura.</t>
  </si>
  <si>
    <t xml:space="preserve">Exponor (ID 1081); ExpoMina (ID 776)</t>
  </si>
  <si>
    <t xml:space="preserve">RILAB</t>
  </si>
  <si>
    <t xml:space="preserve">L-25</t>
  </si>
  <si>
    <t xml:space="preserve">Equipos y sistemas de control de Higiene y Generadores de Nanoburbujas, tecnologia Trident con mas de 30 años de experiecia</t>
  </si>
  <si>
    <t xml:space="preserve">RIM AQUA</t>
  </si>
  <si>
    <t xml:space="preserve">ST-112</t>
  </si>
  <si>
    <t xml:space="preserve">RIM Aqua es una empresa especializada en Proyectos, Equipos e Insumos para Tratamiento de Aguas para procesos productivos y medio ambientales, cuya misión es tener éxito mediante la utilización efectiva de la filosofía de alta calidad a bajo costo en sistemas integrados, técnicas avanzadas y servicio al cliente.</t>
  </si>
  <si>
    <t xml:space="preserve">ROCHEM BIOCARE</t>
  </si>
  <si>
    <t xml:space="preserve">ST-86</t>
  </si>
  <si>
    <t xml:space="preserve">Distribuidores de soluciones y tecnologías innovadoras para el cuidado de la salud, ciencia e investigación.</t>
  </si>
  <si>
    <t xml:space="preserve">RUNI</t>
  </si>
  <si>
    <t xml:space="preserve">C-12</t>
  </si>
  <si>
    <t xml:space="preserve">Optimize your EPS fish box handling with RUNI. Our screw compactors reduce bulky EPS by up to 50:1, reducing transport, storage and handling costs while creating dense blocks that can be sold for recycling. With more than 50 years of experience, RUNI delivers proven, automated compaction solutions for seafood processors of all sizes.</t>
  </si>
  <si>
    <t xml:space="preserve">S.I.T.A. Srl</t>
  </si>
  <si>
    <t xml:space="preserve">A-14</t>
  </si>
  <si>
    <t xml:space="preserve">Founded in 1982, SITA SRL designs and manufactures UV water treatment systems. With over 40 years of experience, SITAUV is a leading Italian company providing innovative UVC solutions for safe and clean water in municipal, industrial, and aquaculture applications worldwide.</t>
  </si>
  <si>
    <t xml:space="preserve">SAEPLAST</t>
  </si>
  <si>
    <t xml:space="preserve">M-22</t>
  </si>
  <si>
    <t xml:space="preserve">Sæplast provides high-performance insulated containers and reusable handling solutions for salmon producers worldwide. saeplast will introduce the iTUB® Twin Container Salmon Solution—designed to improve chilling, protect product quality, enhance sanitation, and reduce waste from harvest through processing and distribution.</t>
  </si>
  <si>
    <t xml:space="preserve">SALMOCLINIC</t>
  </si>
  <si>
    <t xml:space="preserve">B-48</t>
  </si>
  <si>
    <t xml:space="preserve">SalmoClinic entrega una solución única, a través del barco Owurkan, de baños terapéuticos,, para el uso eficiente de productos medicinales y pesticidas, degradando sus residuos orgánicos, sin afectar el medio ambiente.</t>
  </si>
  <si>
    <t xml:space="preserve">SANTA INES</t>
  </si>
  <si>
    <t xml:space="preserve">P-01</t>
  </si>
  <si>
    <t xml:space="preserve">Servicios empresariales y consultoría › Parques empresariales / hospitalidad</t>
  </si>
  <si>
    <t xml:space="preserve">Somos un holding Inmobiliario y Hotelero que, por más de 30 años, ha aportado activamente al crecimiento y desarrollo de la Región de los Lagos.</t>
  </si>
  <si>
    <t xml:space="preserve">SCANBELT</t>
  </si>
  <si>
    <t xml:space="preserve">D-10</t>
  </si>
  <si>
    <t xml:space="preserve">ScanBelt es uno de los fabricantes líderes de bandas modulares plásticas. Ofrecemos el más amplio y flexible programa de bandas transportadoras modulares plásticas del mercado. Un factor importante que hace a ScanBelt tan flexible es el hecho que el proceso desde el diseño y las herramientas hasta el moldeo y ensamble de las bandas completas se efectúa en la misma fábrica en Hjoerring, Dinamarca.</t>
  </si>
  <si>
    <t xml:space="preserve">SDT - SUMITOMO DRIVE TECHNOLOGIES</t>
  </si>
  <si>
    <t xml:space="preserve">B-22</t>
  </si>
  <si>
    <t xml:space="preserve">Equipos e insumos industriales › Transmisión de potencia</t>
  </si>
  <si>
    <t xml:space="preserve">Sumitomo Drive Technologies es líder en soluciones de transmisión de potencia para el sector pesquero. Sus reductores anticorrosión operan en ambientes agresivos, asegurando durabilidad y continuidad operativa. La línea Hyponic ofrece transmisiones compactas de alto rendimiento y los variadores de frecuencia permiten un control preciso y eficiente.</t>
  </si>
  <si>
    <t xml:space="preserve">SEMELEC SUR</t>
  </si>
  <si>
    <t xml:space="preserve">M-33</t>
  </si>
  <si>
    <t xml:space="preserve">Empresa de servicios industriales especializada en maestranza metalmecánica, mantención y fabricación de equipos. Ejecutamos mecanizado, estructuras metálicas, END (ensayos no destructivos) y PH (pruebas hidráulicas), además de mantención en terreno, con foco en seguridad, calidad y cumplimiento operativo.</t>
  </si>
  <si>
    <t xml:space="preserve">SERVISAL</t>
  </si>
  <si>
    <t xml:space="preserve">A-37</t>
  </si>
  <si>
    <t xml:space="preserve">Servisal SpA: conducción de fluidos hidráulicos, venta mayorista y menor. Portafolio: mangueras hidráulicas/industriales; fittings, adaptadores y neumáticos; niples inoxidables; accesorios para hidrolavadoras; abrazaderas. Servicios: fabricación, reposición y asesoría técnica. Mayorista a empresas del rubro, maestranzas y ensambladoras. Representantes SVFLEX. “Conexiones que dan confianza”.</t>
  </si>
  <si>
    <t xml:space="preserve">SEW EURODRIVE</t>
  </si>
  <si>
    <t xml:space="preserve">AquaSur 2026. También expone en Exponor 2026 (ID 1140). Sin contacto publicado.</t>
  </si>
  <si>
    <t xml:space="preserve">A-31</t>
  </si>
  <si>
    <t xml:space="preserve">SEW-EURODRIVE es una empresa alemana líder mundial en tecnología de accionamiento y automatización, especializada en la fabricación de motorreductores, motores, reductores y variadores de frecuencia.</t>
  </si>
  <si>
    <t xml:space="preserve">Exponor (ID 1140)</t>
  </si>
  <si>
    <t xml:space="preserve">SH GESTION Y SERVICIOS</t>
  </si>
  <si>
    <t xml:space="preserve">ST-108</t>
  </si>
  <si>
    <t xml:space="preserve">SH Gestión y Servicios SpA opera servicios de alimentación In Situ y abastecimiento de víveres para empresas y faenas de mediana escala. Nos enfocamos en planificación, control operativo y continuidad del servicio, con transiciones estructuradas y supervisión permanente para asegurar estabilidad en entornos exigentes.</t>
  </si>
  <si>
    <t xml:space="preserve">SHANDONG HUADONG BLOWER CO., LTD</t>
  </si>
  <si>
    <t xml:space="preserve">A-10</t>
  </si>
  <si>
    <t xml:space="preserve">Como uno de los principales fabricantes globales de equipos de aireación —como sopladores Roots, compresores y turbosopladores—, AIRUS está comprometido con la excelencia. Ofrecemos tecnología de vanguardia y soluciones personalizadas para optimizar la eficiencia operativa en el sector de la acuicultura, respondiendo a las demandas específicas de cada proyecto.</t>
  </si>
  <si>
    <t xml:space="preserve">Shandong Rope Technology Co.,Ltd</t>
  </si>
  <si>
    <t xml:space="preserve">B01-B</t>
  </si>
  <si>
    <t xml:space="preserve">SHANDONG ROPE TECHNOLOGY CO., LTD. pertenece al GRUPO ROPENET. El cuál es un fabricante diversificado que se especializa en cuerdas de fibra y eslinga, así como redes. Nuestro foco es el mercado de la pesca y la acuicultura con productos calificados a precios competitivos. ¡En ROPENET los invitamos a visitar nuestras fábricas!</t>
  </si>
  <si>
    <t xml:space="preserve">SHERWIN WILLIAMS</t>
  </si>
  <si>
    <t xml:space="preserve">P-28</t>
  </si>
  <si>
    <t xml:space="preserve">Sherwin Williams es una empresa de pinturas Arquitectónicas e Industriales, con 160 años de trayectoria, con presencia global. Es la empresa del rubro N°1 del mundo, con mas de 5.000 tiendas, mas de 130 Plantas y Centros de Distribución y con mas de 64.000 empleados en todo el mundo.</t>
  </si>
  <si>
    <t xml:space="preserve">Shijiazhuang Zhengzhong Technology Co., Ltd</t>
  </si>
  <si>
    <t xml:space="preserve">A-37B</t>
  </si>
  <si>
    <t xml:space="preserve">Center Enamel es el fabricante más grande en Asia que se dedica al diseño y fabricación de tanques apernados para los proyectos de acuicultura del salmón, tratamiento/ almacenamiento de agua, desalinización, biogas, etc. Nuestros proyectos están distribuidos en más de 100 países y regiones (como Chile, Perú, Argentina, Colombia, México, etc.)</t>
  </si>
  <si>
    <t xml:space="preserve">SIKA</t>
  </si>
  <si>
    <t xml:space="preserve">AquaSur 2026. También expone en ExpoMina 2026 (ID 835). Sin contacto publicado.</t>
  </si>
  <si>
    <t xml:space="preserve">J-23</t>
  </si>
  <si>
    <t xml:space="preserve">Sika Chile es una empresa líder en la fabricación de soluciones para la construcción e industria, caracterizándose por ofrecer productos de alta calidad, entre los cuales se destacan: Aditivos para hormigón, morteros, sellantes y adhesivos, material de aislamiento, sistemas de refuerzo estructural, membranas y revestimientos para pisos industriales.</t>
  </si>
  <si>
    <t xml:space="preserve">ExpoMina (ID 835)</t>
  </si>
  <si>
    <t xml:space="preserve">SILBERTEC</t>
  </si>
  <si>
    <t xml:space="preserve">B-41</t>
  </si>
  <si>
    <t xml:space="preserve">Silbertec, compañia chilena lider en la comercializacion de soluciones tecnologicas de calidad para la industria alimentaria. Representamos en exclusiva, marcas internaciones reconocidas a nivel mundial, nuestras principales industrias la carnica, pesquera, panadera y fruta y verdura.</t>
  </si>
  <si>
    <t xml:space="preserve">SIMATEK BULK SYSTEM</t>
  </si>
  <si>
    <t xml:space="preserve">C-17</t>
  </si>
  <si>
    <t xml:space="preserve">Simatek Bulk Systems A/S son especializada en el transporte mecánico de productos frágiles. sus elevadores son ampliamente reconocidos como el estándar de la industria y la primera opción para los clientes que priorizan la manipulación cuidadosa del producto en el diseño de sistemas de transporte para las plantas de alimentos acuícolas. Desde Chile, Simatek presta servicios en todo Latinoamérica.</t>
  </si>
  <si>
    <t xml:space="preserve">SIMATEK CS PROCESS TECH</t>
  </si>
  <si>
    <t xml:space="preserve">D-38</t>
  </si>
  <si>
    <t xml:space="preserve">Simatek Bulk Systems es una empresa especializada en el transporte de productos frágiles. Para el transporte de pellets ofrecemos la solución definitiva. Nuestros elevadores son únicos por su flexibilidad y por el transporte de productos frágiles, y dan una especial consideración a la calidad y estructura de los pellets, hoy en día son parte de las mejores prácticas en el transporte de pellets.</t>
  </si>
  <si>
    <t xml:space="preserve">SIMONA STADTPIPE</t>
  </si>
  <si>
    <t xml:space="preserve">M39F</t>
  </si>
  <si>
    <t xml:space="preserve">Infraestructura marina y equipamiento acuícola › Equipamiento acuícola</t>
  </si>
  <si>
    <t xml:space="preserve">Turnkey supplier of piping systems for land-based aquaculture. Flow-through and Hybrid. Products such as inlet pipes, side drainage boxes, fish transport, and related equipment.</t>
  </si>
  <si>
    <t xml:space="preserve">Sinooutput</t>
  </si>
  <si>
    <t xml:space="preserve">L-12</t>
  </si>
  <si>
    <t xml:space="preserve">Sinooutput is a one-stop shipbuilding spare parts supplier and marine solutions consultant. Trusted by 398+ shipyards worldwide, we provide engines, propulsion systems, deck machinery, and vessel equipment for cargo ships, yachts, and special vessels—delivering reliable, compliant, and efficient marine supply solutions globally.</t>
  </si>
  <si>
    <t xml:space="preserve">SITROL</t>
  </si>
  <si>
    <t xml:space="preserve">AquaSur 2026. También expone en Exponor 2026 (ID 1180). Sin contacto publicado.</t>
  </si>
  <si>
    <t xml:space="preserve">J-18</t>
  </si>
  <si>
    <t xml:space="preserve">SITROL, SU ASESOR EXPERTO EN MOVIMIENTO DE FLUIDOS Queremos ser su partner y ayudarlo!! en todo momento, en lo que necesite!! con respecto al suministro de equipos de Bombeos para la impulsión de diversos fluidos. Atendemos todas las industrias: Alimentos y Bebidas, Construcción, Red de incendio, Sanitarias, Agua Potable, Acuicultura, Agricultura Minería y Energía, entre otras.</t>
  </si>
  <si>
    <t xml:space="preserve">Exponor (ID 1180)</t>
  </si>
  <si>
    <t xml:space="preserve">SKY AIRLINE S.A.</t>
  </si>
  <si>
    <t xml:space="preserve">AquaSur 2026. También expone en ExpoMina 2026 (ID 840). Sin contacto publicado.</t>
  </si>
  <si>
    <t xml:space="preserve">D-33</t>
  </si>
  <si>
    <t xml:space="preserve">Con 24 años de historia, hemos transportado a más de 70 millones de pasajeros, siendo fieles a nuestro propósito de poner el cielo al alcance de todos de forma segura, confiable y sostenible. Volamos a más de 45 destinos en 7 países y hemos sido reconocidos 7 veces en los SKYTRAX Awards. Contamos con una flota de aviones 100% NEO de la familia Airbus A320neo y A321neo, únicos en la región.</t>
  </si>
  <si>
    <t xml:space="preserve">ExpoMina (ID 840)</t>
  </si>
  <si>
    <t xml:space="preserve">SMART PIPES</t>
  </si>
  <si>
    <t xml:space="preserve">E-45</t>
  </si>
  <si>
    <t xml:space="preserve">Fabrica de tuberías y accesorios termoplásticos tales como, HDPE, PVC, PVDF, PPH.</t>
  </si>
  <si>
    <t xml:space="preserve">SMART PROCESS</t>
  </si>
  <si>
    <t xml:space="preserve">D-20</t>
  </si>
  <si>
    <t xml:space="preserve">Smart Process acompaña a sus clientes en cada etapa de sus procesos, entregando soluciones integrales que combinan ingeniería, desarrollo de proyectos, suministro de maquinaria y equipos, y servicios de mantenimiento especializado. Nuestro foco está en asegurar la continuidad operacional, optimizar el desempeño de los activos y maximizar la rentabilidad de las operaciones.</t>
  </si>
  <si>
    <t xml:space="preserve">SMURFIT WESTROCK</t>
  </si>
  <si>
    <t xml:space="preserve">GA-02</t>
  </si>
  <si>
    <t xml:space="preserve">Smurfit Westrock, líder global en papel y empaques sostenibles, opera en 40 países con más de 100.000 empleados que trabajan en más de 500 plantas de conversión de empaques y 62 molinos de papel. Ofrecemos un portafolio inigualable de soluciones de empaque innovadoras, que van desde empaques corrugados y para consumidores, hasta empaques Bag-in-Box® y exhibidores en puntos de venta.</t>
  </si>
  <si>
    <t xml:space="preserve">SOCIEDAD COMERCIAL WERNER &amp; RADDATZ SPA</t>
  </si>
  <si>
    <t xml:space="preserve">GA-59</t>
  </si>
  <si>
    <t xml:space="preserve">Ferreterias Werner y Raddatz es una empresa emblemática de la Región de los Lagos, con una sólida trayectoria en el sector ferretero. Ofrece soluciones integrales en materiales de construcción, herramientas y artículos para la industria y el hogar. Con presencia en las ciudades de Llanquihue y Frutillar, destaca por su atención experta y compromiso con el crecimiento de la comunidad local.</t>
  </si>
  <si>
    <t xml:space="preserve">Sofrisur S.A.</t>
  </si>
  <si>
    <t xml:space="preserve">A-08</t>
  </si>
  <si>
    <t xml:space="preserve">Sofrisur es una empresa con más de 20 años de experiencia en soluciones integrales para la cadena de frío en la industria alimentaria. Diseñamos, implementamos y mantenemos sistemas de refrigeración industrial eficientes, confiables y de alta calidad, priorizando la sustentabilidad mediante refrigerantes naturales y mejoras continuas en energía y operación.</t>
  </si>
  <si>
    <t xml:space="preserve">SOLMEX</t>
  </si>
  <si>
    <t xml:space="preserve">AquaSur 2026. También expone en Exponor 2026 (ID 1195). Sin contacto publicado.</t>
  </si>
  <si>
    <t xml:space="preserve">J-42</t>
  </si>
  <si>
    <t xml:space="preserve">Somos una empresa especialista en soluciones modulares con más de 28 años de experiencia. Diseñamos, fabricamos y arrendamos espacios habitables y operativos para diversas industrias, como minería, construcción, logística y pesquera, entregando infraestructura segura, eficiente y adaptable para proyectos en todo el país.</t>
  </si>
  <si>
    <t xml:space="preserve">Exponor (ID 1195)</t>
  </si>
  <si>
    <t xml:space="preserve">SOLTEX</t>
  </si>
  <si>
    <t xml:space="preserve">AquaSur 2026. También expone en Exponor 2026 (ID 1196). Sin contacto publicado.</t>
  </si>
  <si>
    <t xml:space="preserve">J-30</t>
  </si>
  <si>
    <t xml:space="preserve">Soltex empresa con 40 años de experiencia en el suministro de soluciones tecnológicas y equipos confiables dentro del campo de manejo de fluidos, equipos de proceso, instrumentación y control. Representamos y distribuimos productos de compañías solidas con un amplio respaldo y experiencia, creando sinergia entre múltiples disciplinas de ingeniería y las ultimas innovaciones en el mercado.</t>
  </si>
  <si>
    <t xml:space="preserve">Exponor (ID 1196)</t>
  </si>
  <si>
    <t xml:space="preserve">SOLUCORP</t>
  </si>
  <si>
    <t xml:space="preserve">B-39</t>
  </si>
  <si>
    <t xml:space="preserve">Solucorp es una empresa chilena con más de 50 años de trayectoria, especializada en soluciones de etiquetado, embalaje, cintas adhesivas y equipamiento industrial. Actuamos como partner estratégico de las industrias, acompañando a nuestros clientes en la optimización de sus procesos y su crecimiento.</t>
  </si>
  <si>
    <t xml:space="preserve">SOLUNION</t>
  </si>
  <si>
    <t xml:space="preserve">AquaSur 2026. También expone en Exponor 2026 (ID 1199). Sin contacto publicado.</t>
  </si>
  <si>
    <t xml:space="preserve">F-39</t>
  </si>
  <si>
    <t xml:space="preserve">Somos especialistas en Seguros de Crédito, Garantía y en soluciones para la gestión del riesgo comercial. Impulsamos el crecimiento de tu empresa en el mercado nacional e internacional, ofreciendo una amplia gama de productos diseñados para cubrir las necesidades tanto de pymes como de grandes compañías multinacionales.</t>
  </si>
  <si>
    <t xml:space="preserve">Exponor (ID 1199)</t>
  </si>
  <si>
    <t xml:space="preserve">SONEPAR</t>
  </si>
  <si>
    <t xml:space="preserve">H-34</t>
  </si>
  <si>
    <t xml:space="preserve">Sonepar es una de las principales distribuidoras de materiales eléctricos del país, ofreciendo productos y servicios para los sectores industrial, residencial, comercial y minero. Cuenta con 13 sucursales a nivel nacional y forma parte del grupo Sonepar, líder global en distribución B2B.</t>
  </si>
  <si>
    <t xml:space="preserve">SPEAL S.A.S</t>
  </si>
  <si>
    <t xml:space="preserve">Colombia</t>
  </si>
  <si>
    <t xml:space="preserve">R-20</t>
  </si>
  <si>
    <t xml:space="preserve">SPEAL S.A.S. es una empresa colombiana con más de 30 años de experiencia en el desarrollo de soluciones tecnológicas en oxígeno, tratamiento de agua y eficiencia energética, ofreciendo sostenibilidad que reduce costos operativos y garantiza continuidad en recursos esenciales para la salud y la industria.</t>
  </si>
  <si>
    <t xml:space="preserve">SPL</t>
  </si>
  <si>
    <t xml:space="preserve">F-20</t>
  </si>
  <si>
    <t xml:space="preserve">Sociedad Punta de Lobos S.A es una empresa chilena líder en la extracción, comercialización y abastecimiento de productos derivados de la sal a nivel nacional y regional. Desde el año 2021 pasó a ser parte del grupo americano Stone Canyon Industries Holding LLC, lo que convierte al grupo en el mayor productor y comercializador de sal del mundo, con presencia en los 5 continentes.</t>
  </si>
  <si>
    <t xml:space="preserve">STEEN HANSEN</t>
  </si>
  <si>
    <t xml:space="preserve">B-26</t>
  </si>
  <si>
    <t xml:space="preserve">Steen-Hansen es una empresa noruega especializada en el desarrollo y producción de recubrimientos y pinturas antifouling para la industria de la acuicultura, especialmente para proteger redes de cultivo marino. Líder global en soluciones con bajo o sin cobre, su sede está en Bergen y tiene presencia internacional, incluida Chile, con foco en sostenibilidad y bienestar animal.</t>
  </si>
  <si>
    <t xml:space="preserve">STIRLING CRYOGENICS</t>
  </si>
  <si>
    <t xml:space="preserve">Países Bajos</t>
  </si>
  <si>
    <t xml:space="preserve">K-38</t>
  </si>
  <si>
    <t xml:space="preserve">Stirling Cryogenics is a leading specialist in stand-alone cryogenic cooling systems, developing and manufacturing solutions based on the reversed Stirling cycle since 1954. Stirling Cryogenics es un especialista líder en sistemas autónomos de refrigeración criogénica, desarrollando y fabricando soluciones basadas en el ciclo Stirling inverso desde 1954.</t>
  </si>
  <si>
    <t xml:space="preserve">SUDVET</t>
  </si>
  <si>
    <t xml:space="preserve">F-02</t>
  </si>
  <si>
    <t xml:space="preserve">Sudvet develops natural, plant‑based solutions for animal health and production, offering a broad portfolio of innovative technologies that strengthen welfare and performance in modern salmon aquaculture.</t>
  </si>
  <si>
    <t xml:space="preserve">SYSADVANCE</t>
  </si>
  <si>
    <t xml:space="preserve">Portugal</t>
  </si>
  <si>
    <t xml:space="preserve">F-32</t>
  </si>
  <si>
    <t xml:space="preserve">Founded in 2002, SYSADVANCE deployed so far 4000+ PSA systems worldwide, detaining solid performance in multiple industries. SYSADVANCE product portfolio is comprised of Nitrogen Generators, Oxygen Generators, including Medical Oxygen 93, Medical Air &amp; Vacuum, VSA Oxygen Generators and solutions for Biogas purification, Helium, Hydrogen and a wide range of turn-key customized engineered solutions.</t>
  </si>
  <si>
    <t xml:space="preserve">SYSTAL SA</t>
  </si>
  <si>
    <t xml:space="preserve">D-40</t>
  </si>
  <si>
    <t xml:space="preserve">Systal SA sistemas lavado y soluciones roboticos para la industria alimentaria.</t>
  </si>
  <si>
    <t xml:space="preserve">TaiZhou Winstrong Import and Export Trade Co.,LTD</t>
  </si>
  <si>
    <t xml:space="preserve">L-49B</t>
  </si>
  <si>
    <t xml:space="preserve">Nuestra empresa es un fabricante profesional de redes de pesca y también suministramos maquinaria para la fabricación de redes. Con más de 20 años de experiencia y un riguroso sistema de control de calidad, nuestros productos se exportan a todo el mundo y han recibido grandes elogios.</t>
  </si>
  <si>
    <t xml:space="preserve">TASCO CHILE</t>
  </si>
  <si>
    <t xml:space="preserve">AquaSur 2026. También expone en Exponor 2026 (ID 1234). Sin contacto publicado.</t>
  </si>
  <si>
    <t xml:space="preserve">P-10</t>
  </si>
  <si>
    <t xml:space="preserve">Desde 2002, Tasco Chile impulsa el mercado eléctrico con accesorios y herrajes de alta calidad para tableros, en alianza con TASCO LTDA. Hemos ampliado nuestro catálogo con marcas internacionales y soluciones en automatización, ferretería, gabinetes, conductores y protecciones. Ofreciendo siempre una excelente relación precio-calidad y la mejor experiencia de compra.</t>
  </si>
  <si>
    <t xml:space="preserve">Exponor (ID 1234)</t>
  </si>
  <si>
    <t xml:space="preserve">TASIK</t>
  </si>
  <si>
    <t xml:space="preserve">H-36</t>
  </si>
  <si>
    <t xml:space="preserve">Oxysur es una compañía dedicada a la venta y arriendo de plantas productoras de oxígeno VSA y la distribucion de oxígeno líquido y venta y arriendo de equipamiento para el almacenamiento de oxígeno líquido en centros de cultivo en el mar y en pisciculturas en tierra. Seanergy provee de soluciones de ingenería eléctrica avanzada para inslataciones de luces submarinas en centro de cultivo en el mar.</t>
  </si>
  <si>
    <t xml:space="preserve">TECNAGENT</t>
  </si>
  <si>
    <t xml:space="preserve">AquaSur 2026. También expone en Exponor 2026 (ID 1238). Sin contacto publicado.</t>
  </si>
  <si>
    <t xml:space="preserve">G-33</t>
  </si>
  <si>
    <t xml:space="preserve">Fundada en 1940, Tecnagent es una exitosa compañía con 85 años de trayectoria en la comercialización de equipos, ingeniería y sistemas, de la mano de prestigiosas empresas transnacionales, generando valor en cada proyecto, con un foco permanente en tecnología de vanguardia, siempre al cuidado del medioambiente y apostando por un futuro sostenible.</t>
  </si>
  <si>
    <t xml:space="preserve">Exponor (ID 1238)</t>
  </si>
  <si>
    <t xml:space="preserve">TECNO AUSTRAL</t>
  </si>
  <si>
    <t xml:space="preserve">C-04</t>
  </si>
  <si>
    <t xml:space="preserve">Tecnoaustral Ltda. cuenta con más de 15 años de experiencia en automatización industrial e ingeniería eléctrica. Desarrollamos proyectos innovadores con profesionalismo, integrando gestión de información, portabilidad y sistemas SCADA con Inteligencia Artificial para potenciar la eficiencia y transformación tecnológica de nuestros clientes.</t>
  </si>
  <si>
    <t xml:space="preserve">TECNOFAST</t>
  </si>
  <si>
    <t xml:space="preserve">AquaSur 2026. También expone en Exponor 2026 (ID 1240). Sin contacto publicado.</t>
  </si>
  <si>
    <t xml:space="preserve">N-34</t>
  </si>
  <si>
    <t xml:space="preserve">Tecno Fast, empresa líder de la construccion modular con 30 años de experiencia dedicada al arriendo, venta y fabricación de espacios de alta tecnología y diseño, ubicada en Chile, Perú, Colombia, Estados Unidos y España. Nuestro propósito y misión, es entregar soluciones modulares de espacios sostenibles para mejorar la vida de las personas a través de la innovación y el diseño.</t>
  </si>
  <si>
    <t xml:space="preserve">Exponor (ID 1240)</t>
  </si>
  <si>
    <t xml:space="preserve">TECNOVAX</t>
  </si>
  <si>
    <t xml:space="preserve">N-07</t>
  </si>
  <si>
    <t xml:space="preserve">Somos una compañía biotecnológica especializada en el desarrollo,producción y comercialización global de nuevas vacunas e inmunoterapias para proteger la vida y productividad de los animales. Elaboramos vacunas para ganadería, acuicutlura y animales de compañia. Somos protagonistas en el control de las principales enfermedades infecciosas a nivel global. Somos Tecnovax. Hacemos ciencia que protege</t>
  </si>
  <si>
    <t xml:space="preserve">Tecpon Chile</t>
  </si>
  <si>
    <t xml:space="preserve">ST-80</t>
  </si>
  <si>
    <t xml:space="preserve">Tecpon Sur con 20 años de trayectoria en Chile y referente en el mercado de Brasil. Especialistas en detergentes industriales biodegradables de alta calidad para la industria alimentaria, nos caracteriza la excelencia técnica y el compromiso ambiental. Optimizamos la higiene en plantas y centros de cultivo con soluciones de vanguardia para la acuicultura en AquaSur.</t>
  </si>
  <si>
    <t xml:space="preserve">TESAT</t>
  </si>
  <si>
    <t xml:space="preserve">ST-88</t>
  </si>
  <si>
    <t xml:space="preserve">EMPRESA DEDICADA A PROYECTOS AGROINDUSTRIALES, LIENAS DE PROCESO, AUTOMATIZACION Y OPTIMIZACION DE PROCESOS</t>
  </si>
  <si>
    <t xml:space="preserve">THS INGENIERIA</t>
  </si>
  <si>
    <t xml:space="preserve">N-29</t>
  </si>
  <si>
    <t xml:space="preserve">Especialista en gestión de recursos hídricos para empresas, desarrollamos proyectos desde la elaboración de estudios ambientales, mediciones de caudal y monitoreo, diseño de obras civiles y la tramitación de sus permisos respectivos como lo es DGA, DOH, Seremi de Salud. Nuestros principales clientes son empresas salmoneras, empresas sanitarias, hidroeléctricas, Constructoras y agricultores.</t>
  </si>
  <si>
    <t xml:space="preserve">TONGXIANG SMALLBOSS SPECIAL PLASTIC PRODUCTS CO.,LTD</t>
  </si>
  <si>
    <t xml:space="preserve">A-22</t>
  </si>
  <si>
    <t xml:space="preserve">Small Boss adheres to innovation in environmental protection technology and is committed to becoming a leader in high-performance modified polymers and water treatment solutions. We provide global customers with a full range of high-performance environmental products and services, such as PVC pellets, MBBR fillers, plastic sheet piles and diffusers.</t>
  </si>
  <si>
    <t xml:space="preserve">TRINITY ENERGY</t>
  </si>
  <si>
    <t xml:space="preserve">GA-48</t>
  </si>
  <si>
    <t xml:space="preserve">40 años de experiencia potenciando la continuidad operacional. Mediante nuestra Trifecta Energética (térmica, eléctrica y gases), acompañamos su ciclo desde la asesoría, ingeniería y suministro de equipos, hasta el montaje y mantenimiento. Optimizamos su infraestructura para garantizar eficiencia y ahorro en entornos exigentes.</t>
  </si>
  <si>
    <t xml:space="preserve">TURISMO ESQUERRÉ</t>
  </si>
  <si>
    <t xml:space="preserve">N-20</t>
  </si>
  <si>
    <t xml:space="preserve">Turismo Esquerré es una agencia de viajes corporativa con más de 100 años de trayectoria en Chile y una sólida cartera de clientes del sector acuícola. Diseñamos soluciones para apoyar la logística de los viajes por trabajo de las empresas en Chile y el mundo. Como operador turístico oficial de AquaSur 2026, gestionamos viajes, alojamiento, traslados y turismo con eficiencia y atención cercana.</t>
  </si>
  <si>
    <t xml:space="preserve">ULTRAAQUA</t>
  </si>
  <si>
    <t xml:space="preserve">C-28</t>
  </si>
  <si>
    <t xml:space="preserve">ULTRAAQUA is an international manufacturer of UV &amp; Ozone systems for a wide range of water treatment applications. ULTRAAQUA was founded with the mission of solving the increasing global water safety challenges, by combining extensive research, innovation, and technology. Today, more than 10.000 water treatment systems have been supplied worldwide, with activity in more than 120 countries.</t>
  </si>
  <si>
    <t xml:space="preserve">Uni-Food Technic</t>
  </si>
  <si>
    <t xml:space="preserve">C-08</t>
  </si>
  <si>
    <t xml:space="preserve">Uni-Food Technic is a global manufacturer of high-performance fish processing solutions. We design intelligent machines and complete lines that optimize efficiency, hygiene, and yield. Gutting, de-scaling, de-heading, filleting, pin bone removal, skinning, salting, slicing and bone scraping. Our systems reduce manual labor and ensure food safety. Integrates seamlessly into existing facilities.</t>
  </si>
  <si>
    <t xml:space="preserve">VAPOR AUSTRAL SPA</t>
  </si>
  <si>
    <t xml:space="preserve">ST-118</t>
  </si>
  <si>
    <t xml:space="preserve">VAPOR AUSTRAL: Expertos en Calderas | Profesionales del Vapor, 18 años en servicios de vapor industrial. Somos Ingenieros Civiles Mecánicos, Ingenieros Mecánicos. Productos:Calderas, Quemadores, Válvulas-Trampas-Reductora TLV, Fabricación de Estanques Servicios a Calderas y Quemadores: Certificación de calderas , Montaje y reparaciones , Limpieza y Mantención, Calibración y Ajustes, Ingeniería</t>
  </si>
  <si>
    <t xml:space="preserve">VEHICE</t>
  </si>
  <si>
    <t xml:space="preserve">E-19</t>
  </si>
  <si>
    <t xml:space="preserve">Apoyamos a la industria salmonera en la salud de los peces mediante diagnósticos especializados. Estudiamos patologías y condiciones sanitarias con patología avanzada y herramientas de última tecnología. Abordamos cada caso con profundidad y análisis riguroso, entregando diagnósticos precisos, lo que nos ha permitido enfrentar casos complejos junto a empresas líderes, nacionales e internacionales.</t>
  </si>
  <si>
    <t xml:space="preserve">VENN AQUA</t>
  </si>
  <si>
    <t xml:space="preserve">N-33</t>
  </si>
  <si>
    <t xml:space="preserve">Venn Aqua SpA empresa especialista en soluciones de tecnología de desinfección UV, en distintas aplicaciones de tratamiento de agua. Contamos con especialistas en el desarrollo de soluciones industriales. Brindamos soporte y respaldo en la evaluación técnica y comercial de proyectos a nuestros clientes. Somos distribuidores de Aquafine-Trojan Technologies líder mundial de tecnología UV Avanzada</t>
  </si>
  <si>
    <t xml:space="preserve">VERSALOG</t>
  </si>
  <si>
    <t xml:space="preserve">N-10</t>
  </si>
  <si>
    <t xml:space="preserve">VERSALOG SpA es una empresa chilena especializada en la fabricación de puertas industriales y en la provisión de soluciones integrales para centros logísticos, cámaras frigoríficas y áreas de alta exigencia sanitaria. Representamos marcas líderes del rubro y contamos con un equipo con más de 25 años de experiencia, desarrollando soluciones eficientes y a la medida de cada cliente.</t>
  </si>
  <si>
    <t xml:space="preserve">VESET</t>
  </si>
  <si>
    <t xml:space="preserve">H-40</t>
  </si>
  <si>
    <t xml:space="preserve">Veset es una empresa con más de 18 años de experiencia dedicada a la comercialización de productos y servicios de instrumentación y control industrial. Atiende sectores como celulosa, maderero, pesquero, alimentos, minería y energía, entregando soluciones técnicas especializadas, soporte y asesoría a clientes industriales a nivel nacional.</t>
  </si>
  <si>
    <t xml:space="preserve">VESO CHILE</t>
  </si>
  <si>
    <t xml:space="preserve">D-08</t>
  </si>
  <si>
    <t xml:space="preserve">VESO es una empresa noruega líder en salud y bienestar animal, con más de 30 años desarrollando soluciones innovadoras para acuicultura, veterinaria e investigación. En Chile, VESO entrega tecnología antifouling para redes junto a Brynsløkken y amplía su portafolio hacia nuevas soluciones en salud de peces, con respaldo técnico y experiencia internacional.</t>
  </si>
  <si>
    <t xml:space="preserve">VIAS IMPORTACIONES</t>
  </si>
  <si>
    <t xml:space="preserve">J-33</t>
  </si>
  <si>
    <t xml:space="preserve">Líder nacional en la fabricación de equipos e insumos para la generación y control de calorías por medios eléctricos al aire libre para la industria en general.</t>
  </si>
  <si>
    <t xml:space="preserve">VINICAS AN ALVINESA COMPANY</t>
  </si>
  <si>
    <t xml:space="preserve">E-38</t>
  </si>
  <si>
    <t xml:space="preserve">Alvinesa es una empresa española especializada en ingredientes naturales de alto valor añadido, obtenidos a partir de subproductos de la industria vitivinícola y oleícola bajo principios de economía circular. Entre sus ingredientes upcycled destaca Vitifeed, polifenoles de uva para alimentación animal. Opera internacionalmente a través de sus filiales Vinicas en Chile y Dervinsa en Argentina.</t>
  </si>
  <si>
    <t xml:space="preserve">VINOS Y AMIGOS</t>
  </si>
  <si>
    <t xml:space="preserve">S-35</t>
  </si>
  <si>
    <t xml:space="preserve">Vinos y Amigos es una tienda especializada en vinos ubicada en Puerto Montt, enfocada en ofrecer una cuidada selección de viñas chilenas, incluyendo cepas tradicionales y propuestas innovadoras. Además de la venta, promovemos la cultura del vino a través de degustaciones, ferias y experiencias que conectan a productores con amantes del vino.</t>
  </si>
  <si>
    <t xml:space="preserve">VITEL</t>
  </si>
  <si>
    <t xml:space="preserve">AquaSur 2026. También expone en Exponor 2026 (ID 1306). Sin contacto publicado.</t>
  </si>
  <si>
    <t xml:space="preserve">GA-55</t>
  </si>
  <si>
    <t xml:space="preserve">Con más de 40 años de experiencia, nos dedicamos a la importación y distribución de materiales eléctricos, participando en los principales proyectos de construcción, minería, energía y agroindustria del país. Contamos con más de 10.000 productos en 42 marcas, con soluciones en energías renovables, electromovilidad, almacenamiento de energía, iluminación solar y eficiencia energética.</t>
  </si>
  <si>
    <t xml:space="preserve">Exponor (ID 1306)</t>
  </si>
  <si>
    <t xml:space="preserve">VITOPEL CHILE</t>
  </si>
  <si>
    <t xml:space="preserve">C-40</t>
  </si>
  <si>
    <t xml:space="preserve">Vitopel es una empresa multinacional con sedes en Chile, Argentina y Paraguay, que opera con cinco líneas de producción y tres líneas de productos, lo que le permite abordar de manera integral las diversas necesidades del mercado de envases flexibles, acompañando a sus clientes con soluciones innovadoras, tecnología de vanguardia y altos estándares de calidad.</t>
  </si>
  <si>
    <t xml:space="preserve">VOLTA SERVICIOS</t>
  </si>
  <si>
    <t xml:space="preserve">D-58</t>
  </si>
  <si>
    <t xml:space="preserve">En VOLTA transformamos los residuos en valor. Somos un aliado estratégico en la gestión integral de residuos, enfocados en su valorización mediante soluciones personalizadas y cuatro plataformas circulares que convierten desechos en nuevos recursos, impulsando la economía circular y un Chile más limpio, sano y sostenible.</t>
  </si>
  <si>
    <t xml:space="preserve">VON UNGER REPRESENTACIONES LTDA.</t>
  </si>
  <si>
    <t xml:space="preserve">AquaSur 2026. También expone en Exponor 2026 (ID 1309). Sin contacto publicado.</t>
  </si>
  <si>
    <t xml:space="preserve">N-42</t>
  </si>
  <si>
    <t xml:space="preserve">Especialistas en la importación y venta de productos tecnológicos, con más de 30 años de experiencia en soldaduras plásticas, equipos para soldar Laminas, termofusión, electrofusión, fittings HDPE, tapones inflables, extrusión y arriendos de maquinarias.</t>
  </si>
  <si>
    <t xml:space="preserve">Exponor (ID 1309)</t>
  </si>
  <si>
    <t xml:space="preserve">WATROPUR STOEHR</t>
  </si>
  <si>
    <t xml:space="preserve">Suiza</t>
  </si>
  <si>
    <t xml:space="preserve">K-17</t>
  </si>
  <si>
    <t xml:space="preserve">Planificación, fabricación y mantenimiento de secadores para lodos de plantas de tratamiento de aguas residuales industriales o municipales. Design, manufacturing and maintenance of dryers for sludge from industrial or municipal waste water treatment plants.</t>
  </si>
  <si>
    <t xml:space="preserve">Weihai Fly Young Sports Co.,Ltd</t>
  </si>
  <si>
    <t xml:space="preserve">E-47</t>
  </si>
  <si>
    <t xml:space="preserve">Es un fabricante profesional de EVA ,PVC boyas para redes de pesca y productos anti-colisión para yates en China.La empresa está certificada con el sistema de gestión de calidad ISO9001, el sistema de gestión ambiental ISO14001 y el sistema de gestión de salud y seguridad ocupacional OHSAS 18001.</t>
  </si>
  <si>
    <t xml:space="preserve">WENGER</t>
  </si>
  <si>
    <t xml:space="preserve">Fundada en 1935, Wenger es líder mundial en sistemas de cocción por extrusión para proteínas vegetales, alimentos para mascotas y acuícolas. Desde Kansas, EE. UU., ofrece tecnología innovadora, respaldo técnico especializado y soporte global para desarrollar productos extruidos de alta calidad.</t>
  </si>
  <si>
    <t xml:space="preserve">Wings Producciones</t>
  </si>
  <si>
    <t xml:space="preserve">ST-82</t>
  </si>
  <si>
    <t xml:space="preserve">Producción de material audiovisual y publicidad para empresas. Comunicación audiovisual estratégica. producción y gestión de posicionamiento en plataformas streaming, televisión, redes sociales, corporativos.</t>
  </si>
  <si>
    <t xml:space="preserve">WIRELESS ENERGY</t>
  </si>
  <si>
    <t xml:space="preserve">J-31</t>
  </si>
  <si>
    <t xml:space="preserve">Voltify entrega energía confiable y visibilidad de variables críticas donde otros no llegan. Integramos energías renovables, gestión inteligente y monitoreo remoto en tiempo real para asegurar continuidad operativa y eficiencia en faenas aisladas. Ofrecemos modelos flexibles de compra, arriendo o servicio gestionado, con tecnología modular, soporte permanente y foco en sostenibilidad.</t>
  </si>
  <si>
    <t xml:space="preserve">WLP INGENIERIA SPA</t>
  </si>
  <si>
    <t xml:space="preserve">A-34</t>
  </si>
  <si>
    <t xml:space="preserve">WLP INGENIERIA SPA. Empresa dedicada al diseño, Suministro, montaje y de sistemas de extinción de incendio basado en Stat-X®, aerosol condensado así como con agentes limpios Fireboy-Xintex®. Con sede en la V región y alcance Nacional para la instalación, distribución de productos y servicios. Somos especialistas en protección de sistemas de energía eléctrica, en áreas marítimas e industriales.</t>
  </si>
  <si>
    <t xml:space="preserve">XCJC CHILE SPA</t>
  </si>
  <si>
    <t xml:space="preserve">AquaSur 2026. También expone en Exponor 2026 (ID 1338). Sin contacto publicado.</t>
  </si>
  <si>
    <t xml:space="preserve">K-44</t>
  </si>
  <si>
    <t xml:space="preserve">EMPRESA IMPORTADORA Y DISTRIBUIDORA DE MAQUINARIA, COMPRESORES MARCA WINDBELL Y CARGADORES MANIPULADORES MARCA MAMMUT, SERVICIO TECNICO Y VENTA DE REPUESTOS EN TODO CHILE</t>
  </si>
  <si>
    <t xml:space="preserve">Exponor (ID 1338)</t>
  </si>
  <si>
    <t xml:space="preserve">Xiamen Rich Fishing Nets Co., Ltd</t>
  </si>
  <si>
    <t xml:space="preserve">F-50B</t>
  </si>
  <si>
    <t xml:space="preserve">Xiamen Rich Fishing Nets Co., Ltd was founded in 1999.Includes all kinds of netting manufacturing,producing and assembling of gill net , trammel net, tuna purse seine net ,anchovy purse seine net, sardine purse seine net , trawl net , cage farming net, various kinds of sports net , safety net , cargo net and etc.</t>
  </si>
  <si>
    <t xml:space="preserve">YALITECH</t>
  </si>
  <si>
    <t xml:space="preserve">A-04</t>
  </si>
  <si>
    <t xml:space="preserve">En YaliTech Instruments trabajamos para que las personas vivan mejor, mediante instrumentos y sistemas de medición que garantizan alimentos y agua más seguros. Inspirados en el humedal El Yalí, cuidamos el agua como recurso esencial, y combinamos tecnología de punta, conocimiento y pasión para ofrecer soluciones que permiten a las empresas y comunidades prosperar de forma sostenible.</t>
  </si>
  <si>
    <t xml:space="preserve">ZEREGA</t>
  </si>
  <si>
    <t xml:space="preserve">G-40</t>
  </si>
  <si>
    <t xml:space="preserve">Zerega &amp; Cía. Ltda, es una compañía de vanguardia tecnológica especializada desde los ochenta en la fabricación y desarrollo de maquinarias y componentes para limpieza industrial del área industrial, minería y ambiental.</t>
  </si>
  <si>
    <t xml:space="preserve">Zhejiang Four Brothers Rope Co.,Ltd</t>
  </si>
  <si>
    <t xml:space="preserve">E-42, Sin stand</t>
  </si>
  <si>
    <t xml:space="preserve">At FBR, we prioritize cost control and security assurance throughout the product life cycle, ensuring quality and reliability. Our goal is to become the world's most valuable rope corporation. We believe in fostering long-term, mutually beneficial partnerships with our customers and collaborators. FOR BETTER ROPE!</t>
  </si>
  <si>
    <t xml:space="preserve">ZIGMA SOLUCIONES INDUSTRIALES LTDA</t>
  </si>
  <si>
    <t xml:space="preserve">AquaSur 2026. También expone en Exponor 2026 (ID 1375). Sin contacto publicado.</t>
  </si>
  <si>
    <t xml:space="preserve">GA-27</t>
  </si>
  <si>
    <t xml:space="preserve">Zigma es líder en soluciones integrales para la industria acuícola, especializándose en el tratamiento de aguas, gestión de riles y procesos de desinfección. Con un enfoque en la sostenibilidad y la eficiencia operativa, ofrecemos tecnología de vanguardia y servicios de ingeniería personalizados para optimizar la productividad y garantizar el cumplimiento ambiental de nuestros clientes.</t>
  </si>
  <si>
    <t xml:space="preserve">Exponor (ID 1375)</t>
  </si>
  <si>
    <t xml:space="preserve">AbastibleTec</t>
  </si>
  <si>
    <t xml:space="preserve">En AbastibleTec impulsamos la transición energética de la industria con soluciones inteligentes, eficientes y sostenibles. Integramos energía térmica, eléctrica y digitalización para generar ahorros, mayor continuidad operacional y reducción de emisiones. Entregamos soluciones integrales a la medida, con acompañamiento experto durante todo el ciclo del proyecto.</t>
  </si>
  <si>
    <t xml:space="preserve">AKOTEK (ENDRESS)</t>
  </si>
  <si>
    <t xml:space="preserve">AKOTEK es una empresa dedicada a la comercialización de equipamiento de automatización y control industrial. Ofrecemos productos, servicios y soluciones integrales respaldadas por marcas líderes y un equipo especializado, apoyando a nuestros clientes desde la Novena hasta la Duodécima Región.</t>
  </si>
  <si>
    <t xml:space="preserve">BACTIQUANT</t>
  </si>
  <si>
    <t xml:space="preserve">BIOMERIEUX</t>
  </si>
  <si>
    <t xml:space="preserve">BioMérieux es líder global en microbiología industrial, ofreciendo soluciones de Diagnóstico Aumentado para garantizar la inocuidad alimentaria. Su enfoque integra tecnologías de vanguardia como análisis de patógenos y herramientas de ciencia de datos para transformar resultados de laboratorio en información procesable que previene riesgos y optimiza la calidad en toda la cadena de producción.</t>
  </si>
  <si>
    <t xml:space="preserve">DESMI</t>
  </si>
  <si>
    <t xml:space="preserve">DESMI - Go Green - Stay Clean - Pump Efficiency &amp; UV Supreme DESMI is pioneering the development of critical flow processes for vessel and land-based fish farming, helping you contribute to food security and economic development. From pumps and supporting systems to UV disinfection, we help you produce Aquaculture products efficiently &amp; reliably.</t>
  </si>
  <si>
    <t xml:space="preserve">DNB GROUP</t>
  </si>
  <si>
    <t xml:space="preserve">We’re building on the position as the world’s leading seafood bank. There is an ongoing need for food in a growing population in the world. DNB will build on its leading global position in the seafood sector and contribute to development with spotlights on new technology solutions. We are dedicated to finding profitable and sustainable solutions for the future. Our primary markets include the North Atlantic, North America and South America. Our advisers and analysts are located in Oslo, Bergen, New York and Santiago.</t>
  </si>
  <si>
    <t xml:space="preserve">JIMCO - PROSEIN</t>
  </si>
  <si>
    <t xml:space="preserve">PROSEIN es una empresa chilena con más de 30 años de trayectoria en el rubro industrial. Especializada en soluciones medioambientales, desarrolla y fabrica sistemas para mitigación de olores, control de polución, tratamiento de riles y soluciones industriales para optimizacion de procesos, atendiendo sectores como el pesquero, forestal, sanitario, portuario, petroquimico, alimentario, entre otros</t>
  </si>
  <si>
    <t xml:space="preserve">VeHiCe - Programa Tecnológico PTEC-INVA</t>
  </si>
  <si>
    <t xml:space="preserve">El PTEC-INVA es una iniciativa público-privada-académica impulsada por Corfo y cuyo objetivo fundamental es generar una plataforma habilitante de apoyo para la producción y uso de insumos vegetales nutricionales provenientes de cultivos de rotación de la macrozona sur y austral de Chile como fuente sostenible de proteínas y aceites para su uso en la elaboración de dietas de salmónidos.</t>
  </si>
  <si>
    <t xml:space="preserve">VERAMARIS VOF</t>
  </si>
  <si>
    <t xml:space="preserve">Veramaris produce ácidos grasos Omega-3 EPA y DHA a partir de su fuente natural original: microalgas marinas. Nuestro producto es una alternativa al aceite de pescado, altamente fiable y certificada sostenible . Facilitamos un crecimiento sostenible para peces y camarones e incluso mascotas y mayor resiliencia frente a riesgos . Un verdadero cambio de juego hacia una acuicultura más sostenible.</t>
  </si>
  <si>
    <t xml:space="preserve">ID oportunidad</t>
  </si>
  <si>
    <t xml:space="preserve">ID contacto</t>
  </si>
  <si>
    <t xml:space="preserve">Necesidad</t>
  </si>
  <si>
    <t xml:space="preserve">Solución propuesta</t>
  </si>
  <si>
    <t xml:space="preserve">Etapa</t>
  </si>
  <si>
    <t xml:space="preserve">Valor estimado</t>
  </si>
  <si>
    <t xml:space="preserve">Probabilidad</t>
  </si>
  <si>
    <t xml:space="preserve">Fecha</t>
  </si>
  <si>
    <t xml:space="preserve">Evento/Fuente</t>
  </si>
  <si>
    <t xml:space="preserve">Cantidad</t>
  </si>
  <si>
    <t xml:space="preserve">Total</t>
  </si>
  <si>
    <t xml:space="preserve">Estado (pipeline)</t>
  </si>
  <si>
    <t xml:space="preserve">Contactado</t>
  </si>
  <si>
    <t xml:space="preserve">Reunión</t>
  </si>
  <si>
    <t xml:space="preserve">Propuesta</t>
  </si>
  <si>
    <t xml:space="preserve">Cliente</t>
  </si>
  <si>
    <t xml:space="preserve">No interesado</t>
  </si>
  <si>
    <t xml:space="preserve">Indicadores</t>
  </si>
  <si>
    <t xml:space="preserve">Registros originales</t>
  </si>
  <si>
    <t xml:space="preserve">Empresas únicas</t>
  </si>
  <si>
    <t xml:space="preserve">También en Exponor 2026</t>
  </si>
  <si>
    <t xml:space="preserve">También en ExpoMina 2026</t>
  </si>
  <si>
    <t xml:space="preserve">También en Directorio SSO</t>
  </si>
  <si>
    <t xml:space="preserve">Con 2+ stands</t>
  </si>
  <si>
    <t xml:space="preserve">Evento</t>
  </si>
  <si>
    <t xml:space="preserve">Valor para SafetyMind</t>
  </si>
  <si>
    <t xml:space="preserve">Directorio SSO 2026 – Cero Accidentes (22.ª ed.)</t>
  </si>
  <si>
    <t xml:space="preserve">Perú</t>
  </si>
  <si>
    <t xml:space="preserve">Mapa de ~670 proveedores SST en Perú (ver CRM_Directorio_SSO_2026).</t>
  </si>
  <si>
    <t xml:space="preserve">ExpoMina Perú 2026</t>
  </si>
  <si>
    <t xml:space="preserve">Feria minera: mineras, contratistas, OEM, tecnología y proveedores (ver CRM_ExpoMina_2026).</t>
  </si>
  <si>
    <t xml:space="preserve">Exponor 2026 (Antofagasta)</t>
  </si>
  <si>
    <t xml:space="preserve">Feria minera del norte de Chile (ver CRM_Exponor_2026).</t>
  </si>
  <si>
    <t xml:space="preserve">AquaSur 2026 (Puerto Montt)</t>
  </si>
  <si>
    <t xml:space="preserve">Feria acuícola: salmoneras, contratistas marítimos (buceo, wellboats, astilleros), tecnología acuícola (IA, ROV, IoT) y proveedores; nueva vertical para SafetyMind.</t>
  </si>
</sst>
</file>

<file path=xl/styles.xml><?xml version="1.0" encoding="utf-8"?>
<styleSheet xmlns="http://schemas.openxmlformats.org/spreadsheetml/2006/main">
  <numFmts count="2">
    <numFmt numFmtId="164" formatCode="General"/>
    <numFmt numFmtId="165" formatCode="@"/>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theme="1"/>
      <name val="WenQuanYi Zen Hei"/>
      <family val="2"/>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Contactos" displayName="Contactos" ref="A1:S518" headerRowCount="1" totalsRowCount="0" totalsRowShown="0">
  <autoFilter ref="A1:S518"/>
  <tableColumns count="19">
    <tableColumn id="1" name="ID"/>
    <tableColumn id="2" name="Nombre"/>
    <tableColumn id="3" name="Cargo"/>
    <tableColumn id="4" name="Empresa"/>
    <tableColumn id="5" name="País"/>
    <tableColumn id="6" name="Email"/>
    <tableColumn id="7" name="LinkedIn"/>
    <tableColumn id="8" name="Origen"/>
    <tableColumn id="9" name="Estado"/>
    <tableColumn id="10" name="Prioridad"/>
    <tableColumn id="11" name="Próxima acción"/>
    <tableColumn id="12" name="Notas"/>
    <tableColumn id="13" name="Segmento SafetyMind"/>
    <tableColumn id="14" name="Stand(s)"/>
    <tableColumn id="15" name="N° stands"/>
    <tableColumn id="16" name="Rubro AquaSur"/>
    <tableColumn id="17" name="Descripción"/>
    <tableColumn id="18" name="Teléfono(s)"/>
    <tableColumn id="19" name="Cruce otros CRM"/>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0"/>
    <col collapsed="false" customWidth="true" hidden="false" outlineLevel="0" max="4" min="4" style="0" width="40"/>
    <col collapsed="false" customWidth="true" hidden="false" outlineLevel="0" max="5" min="5" style="0" width="14"/>
    <col collapsed="false" customWidth="true" hidden="false" outlineLevel="0" max="6" min="6" style="0" width="30"/>
    <col collapsed="false" customWidth="true" hidden="false" outlineLevel="0" max="7" min="7" style="0" width="14"/>
    <col collapsed="false" customWidth="true" hidden="false" outlineLevel="0" max="8" min="8" style="0" width="16"/>
    <col collapsed="false" customWidth="true" hidden="false" outlineLevel="0" max="9" min="9" style="0" width="12"/>
    <col collapsed="false" customWidth="true" hidden="false" outlineLevel="0" max="10" min="10" style="0" width="10"/>
    <col collapsed="false" customWidth="true" hidden="false" outlineLevel="0" max="11" min="11" style="0" width="45"/>
    <col collapsed="false" customWidth="true" hidden="false" outlineLevel="0" max="12" min="12" style="0" width="50"/>
    <col collapsed="false" customWidth="true" hidden="false" outlineLevel="0" max="13" min="13" style="0" width="40"/>
    <col collapsed="false" customWidth="true" hidden="false" outlineLevel="0" max="14" min="14" style="0" width="14"/>
    <col collapsed="false" customWidth="true" hidden="false" outlineLevel="0" max="15" min="15" style="0" width="9"/>
    <col collapsed="false" customWidth="true" hidden="false" outlineLevel="0" max="16" min="16" style="0" width="45"/>
    <col collapsed="false" customWidth="true" hidden="false" outlineLevel="0" max="17" min="17" style="0" width="80"/>
    <col collapsed="false" customWidth="true" hidden="false" outlineLevel="0" max="18" min="18" style="0" width="24"/>
    <col collapsed="false" customWidth="true" hidden="false" outlineLevel="0" max="19" min="19" style="0" width="28"/>
  </cols>
  <sheetData>
    <row r="1" customFormat="false" ht="41.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15" hidden="false" customHeight="false" outlineLevel="0" collapsed="false">
      <c r="A2" s="0" t="n">
        <v>1</v>
      </c>
      <c r="D2" s="0" t="s">
        <v>19</v>
      </c>
      <c r="E2" s="0" t="s">
        <v>20</v>
      </c>
      <c r="H2" s="0" t="s">
        <v>21</v>
      </c>
      <c r="I2" s="2" t="s">
        <v>22</v>
      </c>
      <c r="J2" s="2" t="s">
        <v>23</v>
      </c>
      <c r="K2" s="0" t="s">
        <v>24</v>
      </c>
      <c r="L2" s="0" t="s">
        <v>25</v>
      </c>
      <c r="M2" s="0" t="s">
        <v>26</v>
      </c>
      <c r="N2" s="0" t="s">
        <v>27</v>
      </c>
      <c r="O2" s="0" t="n">
        <v>1</v>
      </c>
      <c r="P2" s="0" t="s">
        <v>28</v>
      </c>
      <c r="Q2" s="0" t="s">
        <v>29</v>
      </c>
      <c r="R2" s="3"/>
      <c r="S2" s="2" t="s">
        <v>30</v>
      </c>
    </row>
    <row r="3" customFormat="false" ht="15" hidden="false" customHeight="false" outlineLevel="0" collapsed="false">
      <c r="A3" s="0" t="n">
        <v>2</v>
      </c>
      <c r="D3" s="0" t="s">
        <v>31</v>
      </c>
      <c r="E3" s="0" t="s">
        <v>20</v>
      </c>
      <c r="H3" s="0" t="s">
        <v>21</v>
      </c>
      <c r="I3" s="2" t="s">
        <v>22</v>
      </c>
      <c r="J3" s="2" t="s">
        <v>23</v>
      </c>
      <c r="K3" s="0" t="s">
        <v>24</v>
      </c>
      <c r="L3" s="0" t="s">
        <v>32</v>
      </c>
      <c r="M3" s="0" t="s">
        <v>26</v>
      </c>
      <c r="N3" s="0" t="s">
        <v>33</v>
      </c>
      <c r="O3" s="0" t="n">
        <v>0</v>
      </c>
      <c r="P3" s="0" t="s">
        <v>28</v>
      </c>
      <c r="Q3" s="0" t="s">
        <v>34</v>
      </c>
      <c r="R3" s="3"/>
      <c r="S3" s="2" t="s">
        <v>30</v>
      </c>
    </row>
    <row r="4" customFormat="false" ht="15" hidden="false" customHeight="false" outlineLevel="0" collapsed="false">
      <c r="A4" s="0" t="n">
        <v>3</v>
      </c>
      <c r="D4" s="0" t="s">
        <v>35</v>
      </c>
      <c r="E4" s="0" t="s">
        <v>20</v>
      </c>
      <c r="H4" s="0" t="s">
        <v>21</v>
      </c>
      <c r="I4" s="2" t="s">
        <v>22</v>
      </c>
      <c r="J4" s="2" t="s">
        <v>23</v>
      </c>
      <c r="K4" s="0" t="s">
        <v>36</v>
      </c>
      <c r="L4" s="0" t="s">
        <v>37</v>
      </c>
      <c r="M4" s="0" t="s">
        <v>38</v>
      </c>
      <c r="N4" s="0" t="s">
        <v>39</v>
      </c>
      <c r="O4" s="0" t="n">
        <v>1</v>
      </c>
      <c r="P4" s="0" t="s">
        <v>40</v>
      </c>
      <c r="Q4" s="0" t="s">
        <v>41</v>
      </c>
      <c r="R4" s="3"/>
      <c r="S4" s="2" t="s">
        <v>42</v>
      </c>
    </row>
    <row r="5" customFormat="false" ht="15" hidden="false" customHeight="false" outlineLevel="0" collapsed="false">
      <c r="A5" s="0" t="n">
        <v>4</v>
      </c>
      <c r="D5" s="0" t="s">
        <v>43</v>
      </c>
      <c r="E5" s="0" t="s">
        <v>20</v>
      </c>
      <c r="H5" s="0" t="s">
        <v>21</v>
      </c>
      <c r="I5" s="2" t="s">
        <v>22</v>
      </c>
      <c r="J5" s="2" t="s">
        <v>23</v>
      </c>
      <c r="K5" s="0" t="s">
        <v>36</v>
      </c>
      <c r="L5" s="0" t="s">
        <v>25</v>
      </c>
      <c r="M5" s="0" t="s">
        <v>38</v>
      </c>
      <c r="N5" s="0" t="s">
        <v>44</v>
      </c>
      <c r="O5" s="0" t="n">
        <v>1</v>
      </c>
      <c r="P5" s="0" t="s">
        <v>45</v>
      </c>
      <c r="Q5" s="0" t="s">
        <v>46</v>
      </c>
      <c r="R5" s="3"/>
      <c r="S5" s="2" t="s">
        <v>30</v>
      </c>
    </row>
    <row r="6" customFormat="false" ht="15" hidden="false" customHeight="false" outlineLevel="0" collapsed="false">
      <c r="A6" s="0" t="n">
        <v>5</v>
      </c>
      <c r="D6" s="0" t="s">
        <v>47</v>
      </c>
      <c r="E6" s="0" t="s">
        <v>20</v>
      </c>
      <c r="H6" s="0" t="s">
        <v>21</v>
      </c>
      <c r="I6" s="2" t="s">
        <v>22</v>
      </c>
      <c r="J6" s="2" t="s">
        <v>23</v>
      </c>
      <c r="K6" s="0" t="s">
        <v>36</v>
      </c>
      <c r="L6" s="0" t="s">
        <v>25</v>
      </c>
      <c r="M6" s="0" t="s">
        <v>38</v>
      </c>
      <c r="N6" s="0" t="s">
        <v>48</v>
      </c>
      <c r="O6" s="0" t="n">
        <v>1</v>
      </c>
      <c r="P6" s="0" t="s">
        <v>49</v>
      </c>
      <c r="Q6" s="0" t="s">
        <v>50</v>
      </c>
      <c r="R6" s="3"/>
      <c r="S6" s="2" t="s">
        <v>30</v>
      </c>
    </row>
    <row r="7" customFormat="false" ht="15" hidden="false" customHeight="false" outlineLevel="0" collapsed="false">
      <c r="A7" s="0" t="n">
        <v>6</v>
      </c>
      <c r="D7" s="0" t="s">
        <v>51</v>
      </c>
      <c r="E7" s="0" t="s">
        <v>20</v>
      </c>
      <c r="H7" s="0" t="s">
        <v>21</v>
      </c>
      <c r="I7" s="2" t="s">
        <v>22</v>
      </c>
      <c r="J7" s="2" t="s">
        <v>23</v>
      </c>
      <c r="K7" s="0" t="s">
        <v>36</v>
      </c>
      <c r="L7" s="0" t="s">
        <v>25</v>
      </c>
      <c r="M7" s="0" t="s">
        <v>38</v>
      </c>
      <c r="N7" s="0" t="s">
        <v>52</v>
      </c>
      <c r="O7" s="0" t="n">
        <v>1</v>
      </c>
      <c r="P7" s="0" t="s">
        <v>53</v>
      </c>
      <c r="Q7" s="0" t="s">
        <v>54</v>
      </c>
      <c r="R7" s="3"/>
      <c r="S7" s="2" t="s">
        <v>30</v>
      </c>
    </row>
    <row r="8" customFormat="false" ht="15" hidden="false" customHeight="false" outlineLevel="0" collapsed="false">
      <c r="A8" s="0" t="n">
        <v>7</v>
      </c>
      <c r="D8" s="0" t="s">
        <v>55</v>
      </c>
      <c r="E8" s="0" t="s">
        <v>20</v>
      </c>
      <c r="H8" s="0" t="s">
        <v>21</v>
      </c>
      <c r="I8" s="2" t="s">
        <v>22</v>
      </c>
      <c r="J8" s="2" t="s">
        <v>23</v>
      </c>
      <c r="K8" s="0" t="s">
        <v>36</v>
      </c>
      <c r="L8" s="0" t="s">
        <v>25</v>
      </c>
      <c r="M8" s="0" t="s">
        <v>38</v>
      </c>
      <c r="N8" s="0" t="s">
        <v>56</v>
      </c>
      <c r="O8" s="0" t="n">
        <v>1</v>
      </c>
      <c r="P8" s="0" t="s">
        <v>57</v>
      </c>
      <c r="Q8" s="0" t="s">
        <v>58</v>
      </c>
      <c r="R8" s="3"/>
      <c r="S8" s="2" t="s">
        <v>30</v>
      </c>
    </row>
    <row r="9" customFormat="false" ht="15" hidden="false" customHeight="false" outlineLevel="0" collapsed="false">
      <c r="A9" s="0" t="n">
        <v>8</v>
      </c>
      <c r="D9" s="0" t="s">
        <v>59</v>
      </c>
      <c r="E9" s="0" t="s">
        <v>20</v>
      </c>
      <c r="H9" s="0" t="s">
        <v>21</v>
      </c>
      <c r="I9" s="2" t="s">
        <v>22</v>
      </c>
      <c r="J9" s="2" t="s">
        <v>23</v>
      </c>
      <c r="K9" s="0" t="s">
        <v>36</v>
      </c>
      <c r="L9" s="0" t="s">
        <v>25</v>
      </c>
      <c r="M9" s="0" t="s">
        <v>38</v>
      </c>
      <c r="N9" s="0" t="s">
        <v>60</v>
      </c>
      <c r="O9" s="0" t="n">
        <v>1</v>
      </c>
      <c r="P9" s="0" t="s">
        <v>61</v>
      </c>
      <c r="Q9" s="0" t="s">
        <v>62</v>
      </c>
      <c r="R9" s="3"/>
      <c r="S9" s="2" t="s">
        <v>30</v>
      </c>
    </row>
    <row r="10" customFormat="false" ht="15" hidden="false" customHeight="false" outlineLevel="0" collapsed="false">
      <c r="A10" s="0" t="n">
        <v>9</v>
      </c>
      <c r="D10" s="0" t="s">
        <v>63</v>
      </c>
      <c r="E10" s="0" t="s">
        <v>20</v>
      </c>
      <c r="H10" s="0" t="s">
        <v>21</v>
      </c>
      <c r="I10" s="2" t="s">
        <v>22</v>
      </c>
      <c r="J10" s="2" t="s">
        <v>23</v>
      </c>
      <c r="K10" s="0" t="s">
        <v>36</v>
      </c>
      <c r="L10" s="0" t="s">
        <v>25</v>
      </c>
      <c r="M10" s="0" t="s">
        <v>38</v>
      </c>
      <c r="N10" s="0" t="s">
        <v>64</v>
      </c>
      <c r="O10" s="0" t="n">
        <v>1</v>
      </c>
      <c r="P10" s="0" t="s">
        <v>65</v>
      </c>
      <c r="Q10" s="0" t="s">
        <v>66</v>
      </c>
      <c r="R10" s="3"/>
      <c r="S10" s="2" t="s">
        <v>30</v>
      </c>
    </row>
    <row r="11" customFormat="false" ht="15" hidden="false" customHeight="false" outlineLevel="0" collapsed="false">
      <c r="A11" s="0" t="n">
        <v>10</v>
      </c>
      <c r="D11" s="0" t="s">
        <v>67</v>
      </c>
      <c r="E11" s="0" t="s">
        <v>20</v>
      </c>
      <c r="H11" s="0" t="s">
        <v>21</v>
      </c>
      <c r="I11" s="2" t="s">
        <v>22</v>
      </c>
      <c r="J11" s="2" t="s">
        <v>23</v>
      </c>
      <c r="K11" s="0" t="s">
        <v>36</v>
      </c>
      <c r="L11" s="0" t="s">
        <v>25</v>
      </c>
      <c r="M11" s="0" t="s">
        <v>38</v>
      </c>
      <c r="N11" s="0" t="s">
        <v>68</v>
      </c>
      <c r="O11" s="0" t="n">
        <v>1</v>
      </c>
      <c r="P11" s="0" t="s">
        <v>65</v>
      </c>
      <c r="Q11" s="0" t="s">
        <v>69</v>
      </c>
      <c r="R11" s="3"/>
      <c r="S11" s="2" t="s">
        <v>30</v>
      </c>
    </row>
    <row r="12" customFormat="false" ht="15" hidden="false" customHeight="false" outlineLevel="0" collapsed="false">
      <c r="A12" s="0" t="n">
        <v>11</v>
      </c>
      <c r="D12" s="0" t="s">
        <v>70</v>
      </c>
      <c r="E12" s="0" t="s">
        <v>20</v>
      </c>
      <c r="H12" s="0" t="s">
        <v>21</v>
      </c>
      <c r="I12" s="2" t="s">
        <v>22</v>
      </c>
      <c r="J12" s="2" t="s">
        <v>23</v>
      </c>
      <c r="K12" s="0" t="s">
        <v>36</v>
      </c>
      <c r="L12" s="0" t="s">
        <v>25</v>
      </c>
      <c r="M12" s="0" t="s">
        <v>38</v>
      </c>
      <c r="N12" s="0" t="s">
        <v>71</v>
      </c>
      <c r="O12" s="0" t="n">
        <v>1</v>
      </c>
      <c r="P12" s="0" t="s">
        <v>72</v>
      </c>
      <c r="Q12" s="0" t="s">
        <v>73</v>
      </c>
      <c r="R12" s="3"/>
      <c r="S12" s="2" t="s">
        <v>30</v>
      </c>
    </row>
    <row r="13" customFormat="false" ht="15" hidden="false" customHeight="false" outlineLevel="0" collapsed="false">
      <c r="A13" s="0" t="n">
        <v>12</v>
      </c>
      <c r="D13" s="0" t="s">
        <v>74</v>
      </c>
      <c r="E13" s="0" t="s">
        <v>20</v>
      </c>
      <c r="H13" s="0" t="s">
        <v>21</v>
      </c>
      <c r="I13" s="2" t="s">
        <v>22</v>
      </c>
      <c r="J13" s="2" t="s">
        <v>23</v>
      </c>
      <c r="K13" s="0" t="s">
        <v>36</v>
      </c>
      <c r="L13" s="0" t="s">
        <v>25</v>
      </c>
      <c r="M13" s="0" t="s">
        <v>38</v>
      </c>
      <c r="N13" s="0" t="s">
        <v>75</v>
      </c>
      <c r="O13" s="0" t="n">
        <v>1</v>
      </c>
      <c r="P13" s="0" t="s">
        <v>61</v>
      </c>
      <c r="Q13" s="0" t="s">
        <v>76</v>
      </c>
      <c r="R13" s="3"/>
      <c r="S13" s="2" t="s">
        <v>30</v>
      </c>
    </row>
    <row r="14" customFormat="false" ht="15" hidden="false" customHeight="false" outlineLevel="0" collapsed="false">
      <c r="A14" s="0" t="n">
        <v>13</v>
      </c>
      <c r="D14" s="0" t="s">
        <v>77</v>
      </c>
      <c r="E14" s="0" t="s">
        <v>20</v>
      </c>
      <c r="H14" s="0" t="s">
        <v>21</v>
      </c>
      <c r="I14" s="2" t="s">
        <v>22</v>
      </c>
      <c r="J14" s="2" t="s">
        <v>23</v>
      </c>
      <c r="K14" s="0" t="s">
        <v>36</v>
      </c>
      <c r="L14" s="0" t="s">
        <v>25</v>
      </c>
      <c r="M14" s="0" t="s">
        <v>38</v>
      </c>
      <c r="N14" s="0" t="s">
        <v>78</v>
      </c>
      <c r="O14" s="0" t="n">
        <v>1</v>
      </c>
      <c r="P14" s="0" t="s">
        <v>65</v>
      </c>
      <c r="Q14" s="0" t="s">
        <v>79</v>
      </c>
      <c r="R14" s="3"/>
      <c r="S14" s="2" t="s">
        <v>30</v>
      </c>
    </row>
    <row r="15" customFormat="false" ht="15" hidden="false" customHeight="false" outlineLevel="0" collapsed="false">
      <c r="A15" s="0" t="n">
        <v>14</v>
      </c>
      <c r="D15" s="0" t="s">
        <v>80</v>
      </c>
      <c r="E15" s="0" t="s">
        <v>20</v>
      </c>
      <c r="H15" s="0" t="s">
        <v>21</v>
      </c>
      <c r="I15" s="2" t="s">
        <v>22</v>
      </c>
      <c r="J15" s="2" t="s">
        <v>23</v>
      </c>
      <c r="K15" s="0" t="s">
        <v>36</v>
      </c>
      <c r="L15" s="0" t="s">
        <v>25</v>
      </c>
      <c r="M15" s="0" t="s">
        <v>38</v>
      </c>
      <c r="N15" s="0" t="s">
        <v>81</v>
      </c>
      <c r="O15" s="0" t="n">
        <v>1</v>
      </c>
      <c r="P15" s="0" t="s">
        <v>45</v>
      </c>
      <c r="Q15" s="0" t="s">
        <v>82</v>
      </c>
      <c r="R15" s="3"/>
      <c r="S15" s="2" t="s">
        <v>30</v>
      </c>
    </row>
    <row r="16" customFormat="false" ht="15" hidden="false" customHeight="false" outlineLevel="0" collapsed="false">
      <c r="A16" s="0" t="n">
        <v>15</v>
      </c>
      <c r="D16" s="0" t="s">
        <v>83</v>
      </c>
      <c r="E16" s="0" t="s">
        <v>20</v>
      </c>
      <c r="H16" s="0" t="s">
        <v>21</v>
      </c>
      <c r="I16" s="2" t="s">
        <v>22</v>
      </c>
      <c r="J16" s="2" t="s">
        <v>23</v>
      </c>
      <c r="K16" s="0" t="s">
        <v>36</v>
      </c>
      <c r="L16" s="0" t="s">
        <v>25</v>
      </c>
      <c r="M16" s="0" t="s">
        <v>38</v>
      </c>
      <c r="N16" s="0" t="s">
        <v>84</v>
      </c>
      <c r="O16" s="0" t="n">
        <v>1</v>
      </c>
      <c r="P16" s="0" t="s">
        <v>28</v>
      </c>
      <c r="Q16" s="0" t="s">
        <v>85</v>
      </c>
      <c r="R16" s="3"/>
      <c r="S16" s="2" t="s">
        <v>30</v>
      </c>
    </row>
    <row r="17" customFormat="false" ht="15" hidden="false" customHeight="false" outlineLevel="0" collapsed="false">
      <c r="A17" s="0" t="n">
        <v>16</v>
      </c>
      <c r="D17" s="0" t="s">
        <v>86</v>
      </c>
      <c r="E17" s="0" t="s">
        <v>20</v>
      </c>
      <c r="H17" s="0" t="s">
        <v>21</v>
      </c>
      <c r="I17" s="2" t="s">
        <v>22</v>
      </c>
      <c r="J17" s="2" t="s">
        <v>23</v>
      </c>
      <c r="K17" s="0" t="s">
        <v>36</v>
      </c>
      <c r="L17" s="0" t="s">
        <v>25</v>
      </c>
      <c r="M17" s="0" t="s">
        <v>38</v>
      </c>
      <c r="N17" s="0" t="s">
        <v>87</v>
      </c>
      <c r="O17" s="0" t="n">
        <v>1</v>
      </c>
      <c r="P17" s="0" t="s">
        <v>45</v>
      </c>
      <c r="Q17" s="0" t="s">
        <v>88</v>
      </c>
      <c r="R17" s="3"/>
      <c r="S17" s="2" t="s">
        <v>30</v>
      </c>
    </row>
    <row r="18" customFormat="false" ht="15" hidden="false" customHeight="false" outlineLevel="0" collapsed="false">
      <c r="A18" s="0" t="n">
        <v>17</v>
      </c>
      <c r="D18" s="0" t="s">
        <v>89</v>
      </c>
      <c r="E18" s="0" t="s">
        <v>20</v>
      </c>
      <c r="H18" s="0" t="s">
        <v>21</v>
      </c>
      <c r="I18" s="2" t="s">
        <v>22</v>
      </c>
      <c r="J18" s="2" t="s">
        <v>23</v>
      </c>
      <c r="K18" s="0" t="s">
        <v>36</v>
      </c>
      <c r="L18" s="0" t="s">
        <v>25</v>
      </c>
      <c r="M18" s="0" t="s">
        <v>38</v>
      </c>
      <c r="N18" s="0" t="s">
        <v>90</v>
      </c>
      <c r="O18" s="0" t="n">
        <v>1</v>
      </c>
      <c r="P18" s="0" t="s">
        <v>45</v>
      </c>
      <c r="Q18" s="0" t="s">
        <v>91</v>
      </c>
      <c r="R18" s="3"/>
      <c r="S18" s="2" t="s">
        <v>30</v>
      </c>
    </row>
    <row r="19" customFormat="false" ht="15" hidden="false" customHeight="false" outlineLevel="0" collapsed="false">
      <c r="A19" s="0" t="n">
        <v>18</v>
      </c>
      <c r="D19" s="0" t="s">
        <v>92</v>
      </c>
      <c r="E19" s="0" t="s">
        <v>20</v>
      </c>
      <c r="H19" s="0" t="s">
        <v>21</v>
      </c>
      <c r="I19" s="2" t="s">
        <v>22</v>
      </c>
      <c r="J19" s="2" t="s">
        <v>23</v>
      </c>
      <c r="K19" s="0" t="s">
        <v>36</v>
      </c>
      <c r="L19" s="0" t="s">
        <v>93</v>
      </c>
      <c r="M19" s="0" t="s">
        <v>38</v>
      </c>
      <c r="N19" s="0" t="s">
        <v>94</v>
      </c>
      <c r="O19" s="0" t="n">
        <v>1</v>
      </c>
      <c r="P19" s="0" t="s">
        <v>95</v>
      </c>
      <c r="Q19" s="0" t="s">
        <v>96</v>
      </c>
      <c r="R19" s="3"/>
      <c r="S19" s="2" t="s">
        <v>97</v>
      </c>
    </row>
    <row r="20" customFormat="false" ht="15" hidden="false" customHeight="false" outlineLevel="0" collapsed="false">
      <c r="A20" s="0" t="n">
        <v>19</v>
      </c>
      <c r="D20" s="0" t="s">
        <v>98</v>
      </c>
      <c r="E20" s="0" t="s">
        <v>20</v>
      </c>
      <c r="H20" s="0" t="s">
        <v>21</v>
      </c>
      <c r="I20" s="2" t="s">
        <v>22</v>
      </c>
      <c r="J20" s="2" t="s">
        <v>23</v>
      </c>
      <c r="K20" s="0" t="s">
        <v>36</v>
      </c>
      <c r="L20" s="0" t="s">
        <v>25</v>
      </c>
      <c r="M20" s="0" t="s">
        <v>38</v>
      </c>
      <c r="N20" s="0" t="s">
        <v>99</v>
      </c>
      <c r="O20" s="0" t="n">
        <v>1</v>
      </c>
      <c r="P20" s="0" t="s">
        <v>45</v>
      </c>
      <c r="Q20" s="0" t="s">
        <v>100</v>
      </c>
      <c r="R20" s="3"/>
      <c r="S20" s="2" t="s">
        <v>30</v>
      </c>
    </row>
    <row r="21" customFormat="false" ht="15" hidden="false" customHeight="false" outlineLevel="0" collapsed="false">
      <c r="A21" s="0" t="n">
        <v>20</v>
      </c>
      <c r="D21" s="0" t="s">
        <v>101</v>
      </c>
      <c r="E21" s="0" t="s">
        <v>20</v>
      </c>
      <c r="H21" s="0" t="s">
        <v>21</v>
      </c>
      <c r="I21" s="2" t="s">
        <v>22</v>
      </c>
      <c r="J21" s="2" t="s">
        <v>23</v>
      </c>
      <c r="K21" s="0" t="s">
        <v>36</v>
      </c>
      <c r="L21" s="0" t="s">
        <v>25</v>
      </c>
      <c r="M21" s="0" t="s">
        <v>38</v>
      </c>
      <c r="N21" s="0" t="s">
        <v>102</v>
      </c>
      <c r="O21" s="0" t="n">
        <v>1</v>
      </c>
      <c r="P21" s="0" t="s">
        <v>103</v>
      </c>
      <c r="Q21" s="0" t="s">
        <v>104</v>
      </c>
      <c r="R21" s="3"/>
      <c r="S21" s="2" t="s">
        <v>30</v>
      </c>
    </row>
    <row r="22" customFormat="false" ht="15" hidden="false" customHeight="false" outlineLevel="0" collapsed="false">
      <c r="A22" s="0" t="n">
        <v>21</v>
      </c>
      <c r="D22" s="0" t="s">
        <v>105</v>
      </c>
      <c r="E22" s="0" t="s">
        <v>20</v>
      </c>
      <c r="H22" s="0" t="s">
        <v>21</v>
      </c>
      <c r="I22" s="2" t="s">
        <v>22</v>
      </c>
      <c r="J22" s="2" t="s">
        <v>23</v>
      </c>
      <c r="K22" s="0" t="s">
        <v>36</v>
      </c>
      <c r="L22" s="0" t="s">
        <v>106</v>
      </c>
      <c r="M22" s="0" t="s">
        <v>38</v>
      </c>
      <c r="N22" s="0" t="s">
        <v>107</v>
      </c>
      <c r="O22" s="0" t="n">
        <v>1</v>
      </c>
      <c r="P22" s="0" t="s">
        <v>108</v>
      </c>
      <c r="Q22" s="0" t="s">
        <v>109</v>
      </c>
      <c r="R22" s="3"/>
      <c r="S22" s="2" t="s">
        <v>110</v>
      </c>
    </row>
    <row r="23" customFormat="false" ht="15" hidden="false" customHeight="false" outlineLevel="0" collapsed="false">
      <c r="A23" s="0" t="n">
        <v>22</v>
      </c>
      <c r="D23" s="0" t="s">
        <v>111</v>
      </c>
      <c r="E23" s="0" t="s">
        <v>20</v>
      </c>
      <c r="H23" s="0" t="s">
        <v>21</v>
      </c>
      <c r="I23" s="2" t="s">
        <v>22</v>
      </c>
      <c r="J23" s="2" t="s">
        <v>23</v>
      </c>
      <c r="K23" s="0" t="s">
        <v>36</v>
      </c>
      <c r="L23" s="0" t="s">
        <v>25</v>
      </c>
      <c r="M23" s="0" t="s">
        <v>38</v>
      </c>
      <c r="N23" s="0" t="s">
        <v>112</v>
      </c>
      <c r="O23" s="0" t="n">
        <v>1</v>
      </c>
      <c r="P23" s="0" t="s">
        <v>45</v>
      </c>
      <c r="Q23" s="0" t="s">
        <v>113</v>
      </c>
      <c r="R23" s="3"/>
      <c r="S23" s="2" t="s">
        <v>30</v>
      </c>
    </row>
    <row r="24" customFormat="false" ht="15" hidden="false" customHeight="false" outlineLevel="0" collapsed="false">
      <c r="A24" s="0" t="n">
        <v>23</v>
      </c>
      <c r="D24" s="0" t="s">
        <v>114</v>
      </c>
      <c r="E24" s="0" t="s">
        <v>20</v>
      </c>
      <c r="H24" s="0" t="s">
        <v>21</v>
      </c>
      <c r="I24" s="2" t="s">
        <v>22</v>
      </c>
      <c r="J24" s="2" t="s">
        <v>23</v>
      </c>
      <c r="K24" s="0" t="s">
        <v>36</v>
      </c>
      <c r="L24" s="0" t="s">
        <v>25</v>
      </c>
      <c r="M24" s="0" t="s">
        <v>38</v>
      </c>
      <c r="N24" s="0" t="s">
        <v>115</v>
      </c>
      <c r="O24" s="0" t="n">
        <v>1</v>
      </c>
      <c r="P24" s="0" t="s">
        <v>116</v>
      </c>
      <c r="Q24" s="0" t="s">
        <v>117</v>
      </c>
      <c r="R24" s="3"/>
      <c r="S24" s="2" t="s">
        <v>30</v>
      </c>
    </row>
    <row r="25" customFormat="false" ht="15" hidden="false" customHeight="false" outlineLevel="0" collapsed="false">
      <c r="A25" s="0" t="n">
        <v>24</v>
      </c>
      <c r="D25" s="0" t="s">
        <v>118</v>
      </c>
      <c r="E25" s="0" t="s">
        <v>20</v>
      </c>
      <c r="H25" s="0" t="s">
        <v>21</v>
      </c>
      <c r="I25" s="2" t="s">
        <v>22</v>
      </c>
      <c r="J25" s="2" t="s">
        <v>23</v>
      </c>
      <c r="K25" s="0" t="s">
        <v>119</v>
      </c>
      <c r="L25" s="0" t="s">
        <v>120</v>
      </c>
      <c r="M25" s="0" t="s">
        <v>121</v>
      </c>
      <c r="N25" s="0" t="s">
        <v>122</v>
      </c>
      <c r="O25" s="0" t="n">
        <v>2</v>
      </c>
      <c r="P25" s="0" t="s">
        <v>116</v>
      </c>
      <c r="Q25" s="0" t="s">
        <v>123</v>
      </c>
      <c r="R25" s="3"/>
      <c r="S25" s="2" t="s">
        <v>30</v>
      </c>
    </row>
    <row r="26" customFormat="false" ht="15" hidden="false" customHeight="false" outlineLevel="0" collapsed="false">
      <c r="A26" s="0" t="n">
        <v>25</v>
      </c>
      <c r="D26" s="0" t="s">
        <v>124</v>
      </c>
      <c r="E26" s="0" t="s">
        <v>20</v>
      </c>
      <c r="H26" s="0" t="s">
        <v>21</v>
      </c>
      <c r="I26" s="2" t="s">
        <v>22</v>
      </c>
      <c r="J26" s="2" t="s">
        <v>23</v>
      </c>
      <c r="K26" s="0" t="s">
        <v>119</v>
      </c>
      <c r="L26" s="0" t="s">
        <v>25</v>
      </c>
      <c r="M26" s="0" t="s">
        <v>121</v>
      </c>
      <c r="N26" s="0" t="s">
        <v>125</v>
      </c>
      <c r="O26" s="0" t="n">
        <v>1</v>
      </c>
      <c r="P26" s="0" t="s">
        <v>126</v>
      </c>
      <c r="Q26" s="0" t="s">
        <v>127</v>
      </c>
      <c r="R26" s="3"/>
      <c r="S26" s="2" t="s">
        <v>30</v>
      </c>
    </row>
    <row r="27" customFormat="false" ht="15" hidden="false" customHeight="false" outlineLevel="0" collapsed="false">
      <c r="A27" s="0" t="n">
        <v>26</v>
      </c>
      <c r="D27" s="0" t="s">
        <v>128</v>
      </c>
      <c r="E27" s="0" t="s">
        <v>20</v>
      </c>
      <c r="H27" s="0" t="s">
        <v>21</v>
      </c>
      <c r="I27" s="2" t="s">
        <v>22</v>
      </c>
      <c r="J27" s="2" t="s">
        <v>23</v>
      </c>
      <c r="K27" s="0" t="s">
        <v>119</v>
      </c>
      <c r="L27" s="0" t="s">
        <v>25</v>
      </c>
      <c r="M27" s="0" t="s">
        <v>121</v>
      </c>
      <c r="N27" s="0" t="s">
        <v>129</v>
      </c>
      <c r="O27" s="0" t="n">
        <v>1</v>
      </c>
      <c r="P27" s="0" t="s">
        <v>130</v>
      </c>
      <c r="Q27" s="0" t="s">
        <v>131</v>
      </c>
      <c r="R27" s="3"/>
      <c r="S27" s="2" t="s">
        <v>30</v>
      </c>
    </row>
    <row r="28" customFormat="false" ht="15" hidden="false" customHeight="false" outlineLevel="0" collapsed="false">
      <c r="A28" s="0" t="n">
        <v>27</v>
      </c>
      <c r="D28" s="0" t="s">
        <v>132</v>
      </c>
      <c r="E28" s="0" t="s">
        <v>20</v>
      </c>
      <c r="H28" s="0" t="s">
        <v>21</v>
      </c>
      <c r="I28" s="2" t="s">
        <v>22</v>
      </c>
      <c r="J28" s="2" t="s">
        <v>23</v>
      </c>
      <c r="K28" s="0" t="s">
        <v>119</v>
      </c>
      <c r="L28" s="0" t="s">
        <v>25</v>
      </c>
      <c r="M28" s="0" t="s">
        <v>121</v>
      </c>
      <c r="N28" s="0" t="s">
        <v>133</v>
      </c>
      <c r="O28" s="0" t="n">
        <v>1</v>
      </c>
      <c r="P28" s="0" t="s">
        <v>134</v>
      </c>
      <c r="Q28" s="0" t="s">
        <v>135</v>
      </c>
      <c r="R28" s="3"/>
      <c r="S28" s="2" t="s">
        <v>30</v>
      </c>
    </row>
    <row r="29" customFormat="false" ht="15" hidden="false" customHeight="false" outlineLevel="0" collapsed="false">
      <c r="A29" s="0" t="n">
        <v>28</v>
      </c>
      <c r="D29" s="0" t="s">
        <v>136</v>
      </c>
      <c r="E29" s="0" t="s">
        <v>20</v>
      </c>
      <c r="H29" s="0" t="s">
        <v>21</v>
      </c>
      <c r="I29" s="2" t="s">
        <v>22</v>
      </c>
      <c r="J29" s="2" t="s">
        <v>23</v>
      </c>
      <c r="K29" s="0" t="s">
        <v>119</v>
      </c>
      <c r="L29" s="0" t="s">
        <v>25</v>
      </c>
      <c r="M29" s="0" t="s">
        <v>121</v>
      </c>
      <c r="N29" s="0" t="s">
        <v>137</v>
      </c>
      <c r="O29" s="0" t="n">
        <v>1</v>
      </c>
      <c r="P29" s="0" t="s">
        <v>103</v>
      </c>
      <c r="Q29" s="0" t="s">
        <v>138</v>
      </c>
      <c r="R29" s="3"/>
      <c r="S29" s="2" t="s">
        <v>30</v>
      </c>
    </row>
    <row r="30" customFormat="false" ht="15" hidden="false" customHeight="false" outlineLevel="0" collapsed="false">
      <c r="A30" s="0" t="n">
        <v>29</v>
      </c>
      <c r="D30" s="0" t="s">
        <v>139</v>
      </c>
      <c r="E30" s="0" t="s">
        <v>20</v>
      </c>
      <c r="H30" s="0" t="s">
        <v>21</v>
      </c>
      <c r="I30" s="2" t="s">
        <v>22</v>
      </c>
      <c r="J30" s="2" t="s">
        <v>23</v>
      </c>
      <c r="K30" s="0" t="s">
        <v>119</v>
      </c>
      <c r="L30" s="0" t="s">
        <v>140</v>
      </c>
      <c r="M30" s="0" t="s">
        <v>121</v>
      </c>
      <c r="N30" s="0" t="s">
        <v>141</v>
      </c>
      <c r="O30" s="0" t="n">
        <v>1</v>
      </c>
      <c r="P30" s="0" t="s">
        <v>134</v>
      </c>
      <c r="Q30" s="0" t="s">
        <v>142</v>
      </c>
      <c r="R30" s="3"/>
      <c r="S30" s="2" t="s">
        <v>143</v>
      </c>
    </row>
    <row r="31" customFormat="false" ht="15" hidden="false" customHeight="false" outlineLevel="0" collapsed="false">
      <c r="A31" s="0" t="n">
        <v>30</v>
      </c>
      <c r="D31" s="0" t="s">
        <v>144</v>
      </c>
      <c r="E31" s="0" t="s">
        <v>20</v>
      </c>
      <c r="H31" s="0" t="s">
        <v>21</v>
      </c>
      <c r="I31" s="2" t="s">
        <v>22</v>
      </c>
      <c r="J31" s="2" t="s">
        <v>23</v>
      </c>
      <c r="K31" s="0" t="s">
        <v>119</v>
      </c>
      <c r="L31" s="0" t="s">
        <v>25</v>
      </c>
      <c r="M31" s="0" t="s">
        <v>121</v>
      </c>
      <c r="N31" s="0" t="s">
        <v>145</v>
      </c>
      <c r="O31" s="0" t="n">
        <v>1</v>
      </c>
      <c r="P31" s="0" t="s">
        <v>126</v>
      </c>
      <c r="Q31" s="0" t="s">
        <v>146</v>
      </c>
      <c r="R31" s="3"/>
      <c r="S31" s="2" t="s">
        <v>30</v>
      </c>
    </row>
    <row r="32" customFormat="false" ht="15" hidden="false" customHeight="false" outlineLevel="0" collapsed="false">
      <c r="A32" s="0" t="n">
        <v>31</v>
      </c>
      <c r="D32" s="0" t="s">
        <v>147</v>
      </c>
      <c r="E32" s="0" t="s">
        <v>20</v>
      </c>
      <c r="H32" s="0" t="s">
        <v>21</v>
      </c>
      <c r="I32" s="2" t="s">
        <v>22</v>
      </c>
      <c r="J32" s="2" t="s">
        <v>23</v>
      </c>
      <c r="K32" s="0" t="s">
        <v>119</v>
      </c>
      <c r="L32" s="0" t="s">
        <v>25</v>
      </c>
      <c r="M32" s="0" t="s">
        <v>121</v>
      </c>
      <c r="N32" s="0" t="s">
        <v>148</v>
      </c>
      <c r="O32" s="0" t="n">
        <v>1</v>
      </c>
      <c r="P32" s="0" t="s">
        <v>134</v>
      </c>
      <c r="Q32" s="0" t="s">
        <v>149</v>
      </c>
      <c r="R32" s="3"/>
      <c r="S32" s="2" t="s">
        <v>30</v>
      </c>
    </row>
    <row r="33" customFormat="false" ht="15" hidden="false" customHeight="false" outlineLevel="0" collapsed="false">
      <c r="A33" s="0" t="n">
        <v>32</v>
      </c>
      <c r="D33" s="0" t="s">
        <v>150</v>
      </c>
      <c r="E33" s="0" t="s">
        <v>20</v>
      </c>
      <c r="H33" s="0" t="s">
        <v>21</v>
      </c>
      <c r="I33" s="2" t="s">
        <v>22</v>
      </c>
      <c r="J33" s="2" t="s">
        <v>23</v>
      </c>
      <c r="K33" s="0" t="s">
        <v>119</v>
      </c>
      <c r="L33" s="0" t="s">
        <v>25</v>
      </c>
      <c r="M33" s="0" t="s">
        <v>121</v>
      </c>
      <c r="N33" s="0" t="s">
        <v>151</v>
      </c>
      <c r="O33" s="0" t="n">
        <v>1</v>
      </c>
      <c r="P33" s="0" t="s">
        <v>152</v>
      </c>
      <c r="Q33" s="0" t="s">
        <v>153</v>
      </c>
      <c r="R33" s="3"/>
      <c r="S33" s="2" t="s">
        <v>30</v>
      </c>
    </row>
    <row r="34" customFormat="false" ht="15" hidden="false" customHeight="false" outlineLevel="0" collapsed="false">
      <c r="A34" s="0" t="n">
        <v>33</v>
      </c>
      <c r="D34" s="0" t="s">
        <v>154</v>
      </c>
      <c r="E34" s="0" t="s">
        <v>20</v>
      </c>
      <c r="H34" s="0" t="s">
        <v>21</v>
      </c>
      <c r="I34" s="2" t="s">
        <v>22</v>
      </c>
      <c r="J34" s="2" t="s">
        <v>23</v>
      </c>
      <c r="K34" s="0" t="s">
        <v>119</v>
      </c>
      <c r="L34" s="0" t="s">
        <v>25</v>
      </c>
      <c r="M34" s="0" t="s">
        <v>121</v>
      </c>
      <c r="N34" s="0" t="s">
        <v>155</v>
      </c>
      <c r="O34" s="0" t="n">
        <v>1</v>
      </c>
      <c r="P34" s="0" t="s">
        <v>134</v>
      </c>
      <c r="Q34" s="0" t="s">
        <v>156</v>
      </c>
      <c r="R34" s="3"/>
      <c r="S34" s="2" t="s">
        <v>30</v>
      </c>
    </row>
    <row r="35" customFormat="false" ht="15" hidden="false" customHeight="false" outlineLevel="0" collapsed="false">
      <c r="A35" s="0" t="n">
        <v>34</v>
      </c>
      <c r="D35" s="0" t="s">
        <v>157</v>
      </c>
      <c r="E35" s="0" t="s">
        <v>158</v>
      </c>
      <c r="H35" s="0" t="s">
        <v>21</v>
      </c>
      <c r="I35" s="2" t="s">
        <v>22</v>
      </c>
      <c r="J35" s="2" t="s">
        <v>23</v>
      </c>
      <c r="K35" s="0" t="s">
        <v>119</v>
      </c>
      <c r="L35" s="0" t="s">
        <v>25</v>
      </c>
      <c r="M35" s="0" t="s">
        <v>121</v>
      </c>
      <c r="N35" s="0" t="s">
        <v>159</v>
      </c>
      <c r="O35" s="0" t="n">
        <v>1</v>
      </c>
      <c r="P35" s="0" t="s">
        <v>116</v>
      </c>
      <c r="Q35" s="0" t="s">
        <v>160</v>
      </c>
      <c r="R35" s="3"/>
      <c r="S35" s="2" t="s">
        <v>30</v>
      </c>
    </row>
    <row r="36" customFormat="false" ht="15" hidden="false" customHeight="false" outlineLevel="0" collapsed="false">
      <c r="A36" s="0" t="n">
        <v>35</v>
      </c>
      <c r="D36" s="0" t="s">
        <v>161</v>
      </c>
      <c r="E36" s="0" t="s">
        <v>20</v>
      </c>
      <c r="H36" s="0" t="s">
        <v>21</v>
      </c>
      <c r="I36" s="2" t="s">
        <v>22</v>
      </c>
      <c r="J36" s="2" t="s">
        <v>23</v>
      </c>
      <c r="K36" s="0" t="s">
        <v>119</v>
      </c>
      <c r="L36" s="0" t="s">
        <v>25</v>
      </c>
      <c r="M36" s="0" t="s">
        <v>121</v>
      </c>
      <c r="N36" s="0" t="s">
        <v>162</v>
      </c>
      <c r="O36" s="0" t="n">
        <v>1</v>
      </c>
      <c r="P36" s="0" t="s">
        <v>126</v>
      </c>
      <c r="Q36" s="0" t="s">
        <v>163</v>
      </c>
      <c r="R36" s="3"/>
      <c r="S36" s="2" t="s">
        <v>30</v>
      </c>
    </row>
    <row r="37" customFormat="false" ht="15" hidden="false" customHeight="false" outlineLevel="0" collapsed="false">
      <c r="A37" s="0" t="n">
        <v>36</v>
      </c>
      <c r="D37" s="0" t="s">
        <v>164</v>
      </c>
      <c r="E37" s="0" t="s">
        <v>20</v>
      </c>
      <c r="H37" s="0" t="s">
        <v>21</v>
      </c>
      <c r="I37" s="2" t="s">
        <v>22</v>
      </c>
      <c r="J37" s="2" t="s">
        <v>23</v>
      </c>
      <c r="K37" s="0" t="s">
        <v>119</v>
      </c>
      <c r="L37" s="0" t="s">
        <v>165</v>
      </c>
      <c r="M37" s="0" t="s">
        <v>121</v>
      </c>
      <c r="N37" s="0" t="s">
        <v>166</v>
      </c>
      <c r="O37" s="0" t="n">
        <v>1</v>
      </c>
      <c r="P37" s="0" t="s">
        <v>126</v>
      </c>
      <c r="Q37" s="0" t="s">
        <v>167</v>
      </c>
      <c r="R37" s="3"/>
      <c r="S37" s="2" t="s">
        <v>168</v>
      </c>
    </row>
    <row r="38" customFormat="false" ht="15" hidden="false" customHeight="false" outlineLevel="0" collapsed="false">
      <c r="A38" s="0" t="n">
        <v>37</v>
      </c>
      <c r="D38" s="0" t="s">
        <v>169</v>
      </c>
      <c r="E38" s="0" t="s">
        <v>20</v>
      </c>
      <c r="H38" s="0" t="s">
        <v>21</v>
      </c>
      <c r="I38" s="2" t="s">
        <v>22</v>
      </c>
      <c r="J38" s="2" t="s">
        <v>23</v>
      </c>
      <c r="K38" s="0" t="s">
        <v>119</v>
      </c>
      <c r="L38" s="0" t="s">
        <v>25</v>
      </c>
      <c r="M38" s="0" t="s">
        <v>121</v>
      </c>
      <c r="N38" s="0" t="s">
        <v>170</v>
      </c>
      <c r="O38" s="0" t="n">
        <v>1</v>
      </c>
      <c r="P38" s="0" t="s">
        <v>134</v>
      </c>
      <c r="Q38" s="0" t="s">
        <v>171</v>
      </c>
      <c r="R38" s="3"/>
      <c r="S38" s="2" t="s">
        <v>30</v>
      </c>
    </row>
    <row r="39" customFormat="false" ht="15" hidden="false" customHeight="false" outlineLevel="0" collapsed="false">
      <c r="A39" s="0" t="n">
        <v>38</v>
      </c>
      <c r="D39" s="0" t="s">
        <v>172</v>
      </c>
      <c r="E39" s="0" t="s">
        <v>20</v>
      </c>
      <c r="H39" s="0" t="s">
        <v>21</v>
      </c>
      <c r="I39" s="2" t="s">
        <v>22</v>
      </c>
      <c r="J39" s="2" t="s">
        <v>23</v>
      </c>
      <c r="K39" s="0" t="s">
        <v>119</v>
      </c>
      <c r="L39" s="0" t="s">
        <v>25</v>
      </c>
      <c r="M39" s="0" t="s">
        <v>121</v>
      </c>
      <c r="N39" s="0" t="s">
        <v>173</v>
      </c>
      <c r="O39" s="0" t="n">
        <v>1</v>
      </c>
      <c r="P39" s="0" t="s">
        <v>40</v>
      </c>
      <c r="Q39" s="0" t="s">
        <v>174</v>
      </c>
      <c r="R39" s="3"/>
      <c r="S39" s="2" t="s">
        <v>30</v>
      </c>
    </row>
    <row r="40" customFormat="false" ht="15" hidden="false" customHeight="false" outlineLevel="0" collapsed="false">
      <c r="A40" s="0" t="n">
        <v>39</v>
      </c>
      <c r="D40" s="0" t="s">
        <v>175</v>
      </c>
      <c r="E40" s="0" t="s">
        <v>20</v>
      </c>
      <c r="H40" s="0" t="s">
        <v>21</v>
      </c>
      <c r="I40" s="2" t="s">
        <v>22</v>
      </c>
      <c r="J40" s="2" t="s">
        <v>23</v>
      </c>
      <c r="K40" s="0" t="s">
        <v>119</v>
      </c>
      <c r="L40" s="0" t="s">
        <v>176</v>
      </c>
      <c r="M40" s="0" t="s">
        <v>121</v>
      </c>
      <c r="N40" s="0" t="s">
        <v>177</v>
      </c>
      <c r="O40" s="0" t="n">
        <v>1</v>
      </c>
      <c r="P40" s="0" t="s">
        <v>130</v>
      </c>
      <c r="Q40" s="0" t="s">
        <v>178</v>
      </c>
      <c r="R40" s="3"/>
      <c r="S40" s="2" t="s">
        <v>179</v>
      </c>
    </row>
    <row r="41" customFormat="false" ht="15" hidden="false" customHeight="false" outlineLevel="0" collapsed="false">
      <c r="A41" s="0" t="n">
        <v>40</v>
      </c>
      <c r="D41" s="0" t="s">
        <v>180</v>
      </c>
      <c r="E41" s="0" t="s">
        <v>181</v>
      </c>
      <c r="H41" s="0" t="s">
        <v>21</v>
      </c>
      <c r="I41" s="2" t="s">
        <v>22</v>
      </c>
      <c r="J41" s="2" t="s">
        <v>23</v>
      </c>
      <c r="K41" s="0" t="s">
        <v>119</v>
      </c>
      <c r="L41" s="0" t="s">
        <v>25</v>
      </c>
      <c r="M41" s="0" t="s">
        <v>121</v>
      </c>
      <c r="N41" s="0" t="s">
        <v>182</v>
      </c>
      <c r="O41" s="0" t="n">
        <v>1</v>
      </c>
      <c r="P41" s="0" t="s">
        <v>152</v>
      </c>
      <c r="Q41" s="0" t="s">
        <v>183</v>
      </c>
      <c r="R41" s="3"/>
      <c r="S41" s="2" t="s">
        <v>30</v>
      </c>
    </row>
    <row r="42" customFormat="false" ht="15" hidden="false" customHeight="false" outlineLevel="0" collapsed="false">
      <c r="A42" s="0" t="n">
        <v>41</v>
      </c>
      <c r="D42" s="0" t="s">
        <v>184</v>
      </c>
      <c r="E42" s="0" t="s">
        <v>20</v>
      </c>
      <c r="H42" s="0" t="s">
        <v>21</v>
      </c>
      <c r="I42" s="2" t="s">
        <v>22</v>
      </c>
      <c r="J42" s="2" t="s">
        <v>23</v>
      </c>
      <c r="K42" s="0" t="s">
        <v>119</v>
      </c>
      <c r="L42" s="0" t="s">
        <v>25</v>
      </c>
      <c r="M42" s="0" t="s">
        <v>121</v>
      </c>
      <c r="N42" s="0" t="s">
        <v>185</v>
      </c>
      <c r="O42" s="0" t="n">
        <v>1</v>
      </c>
      <c r="P42" s="0" t="s">
        <v>186</v>
      </c>
      <c r="Q42" s="0" t="s">
        <v>187</v>
      </c>
      <c r="R42" s="3"/>
      <c r="S42" s="2" t="s">
        <v>30</v>
      </c>
    </row>
    <row r="43" customFormat="false" ht="15" hidden="false" customHeight="false" outlineLevel="0" collapsed="false">
      <c r="A43" s="0" t="n">
        <v>42</v>
      </c>
      <c r="D43" s="0" t="s">
        <v>188</v>
      </c>
      <c r="E43" s="0" t="s">
        <v>20</v>
      </c>
      <c r="H43" s="0" t="s">
        <v>21</v>
      </c>
      <c r="I43" s="2" t="s">
        <v>22</v>
      </c>
      <c r="J43" s="2" t="s">
        <v>23</v>
      </c>
      <c r="K43" s="0" t="s">
        <v>119</v>
      </c>
      <c r="L43" s="0" t="s">
        <v>189</v>
      </c>
      <c r="M43" s="0" t="s">
        <v>121</v>
      </c>
      <c r="N43" s="0" t="s">
        <v>190</v>
      </c>
      <c r="O43" s="0" t="n">
        <v>1</v>
      </c>
      <c r="P43" s="0" t="s">
        <v>191</v>
      </c>
      <c r="Q43" s="0" t="s">
        <v>192</v>
      </c>
      <c r="R43" s="3"/>
      <c r="S43" s="2" t="s">
        <v>193</v>
      </c>
    </row>
    <row r="44" customFormat="false" ht="15" hidden="false" customHeight="false" outlineLevel="0" collapsed="false">
      <c r="A44" s="0" t="n">
        <v>43</v>
      </c>
      <c r="D44" s="0" t="s">
        <v>194</v>
      </c>
      <c r="E44" s="0" t="s">
        <v>20</v>
      </c>
      <c r="H44" s="0" t="s">
        <v>21</v>
      </c>
      <c r="I44" s="2" t="s">
        <v>22</v>
      </c>
      <c r="J44" s="2" t="s">
        <v>23</v>
      </c>
      <c r="K44" s="0" t="s">
        <v>119</v>
      </c>
      <c r="L44" s="0" t="s">
        <v>25</v>
      </c>
      <c r="M44" s="0" t="s">
        <v>121</v>
      </c>
      <c r="N44" s="0" t="s">
        <v>195</v>
      </c>
      <c r="O44" s="0" t="n">
        <v>1</v>
      </c>
      <c r="P44" s="0" t="s">
        <v>40</v>
      </c>
      <c r="Q44" s="0" t="s">
        <v>196</v>
      </c>
      <c r="R44" s="3"/>
      <c r="S44" s="2" t="s">
        <v>30</v>
      </c>
    </row>
    <row r="45" customFormat="false" ht="15" hidden="false" customHeight="false" outlineLevel="0" collapsed="false">
      <c r="A45" s="0" t="n">
        <v>44</v>
      </c>
      <c r="D45" s="0" t="s">
        <v>197</v>
      </c>
      <c r="E45" s="0" t="s">
        <v>20</v>
      </c>
      <c r="H45" s="0" t="s">
        <v>21</v>
      </c>
      <c r="I45" s="2" t="s">
        <v>22</v>
      </c>
      <c r="J45" s="2" t="s">
        <v>23</v>
      </c>
      <c r="K45" s="0" t="s">
        <v>119</v>
      </c>
      <c r="L45" s="0" t="s">
        <v>198</v>
      </c>
      <c r="M45" s="0" t="s">
        <v>121</v>
      </c>
      <c r="N45" s="0" t="s">
        <v>199</v>
      </c>
      <c r="O45" s="0" t="n">
        <v>1</v>
      </c>
      <c r="P45" s="0" t="s">
        <v>134</v>
      </c>
      <c r="Q45" s="0" t="s">
        <v>200</v>
      </c>
      <c r="R45" s="3"/>
      <c r="S45" s="2" t="s">
        <v>201</v>
      </c>
    </row>
    <row r="46" customFormat="false" ht="15" hidden="false" customHeight="false" outlineLevel="0" collapsed="false">
      <c r="A46" s="0" t="n">
        <v>45</v>
      </c>
      <c r="D46" s="0" t="s">
        <v>202</v>
      </c>
      <c r="E46" s="0" t="s">
        <v>203</v>
      </c>
      <c r="H46" s="0" t="s">
        <v>21</v>
      </c>
      <c r="I46" s="2" t="s">
        <v>22</v>
      </c>
      <c r="J46" s="2" t="s">
        <v>23</v>
      </c>
      <c r="K46" s="0" t="s">
        <v>119</v>
      </c>
      <c r="L46" s="0" t="s">
        <v>25</v>
      </c>
      <c r="M46" s="0" t="s">
        <v>121</v>
      </c>
      <c r="N46" s="0" t="s">
        <v>204</v>
      </c>
      <c r="O46" s="0" t="n">
        <v>1</v>
      </c>
      <c r="P46" s="0" t="s">
        <v>45</v>
      </c>
      <c r="Q46" s="0" t="s">
        <v>205</v>
      </c>
      <c r="R46" s="3"/>
      <c r="S46" s="2" t="s">
        <v>30</v>
      </c>
    </row>
    <row r="47" customFormat="false" ht="15" hidden="false" customHeight="false" outlineLevel="0" collapsed="false">
      <c r="A47" s="0" t="n">
        <v>46</v>
      </c>
      <c r="D47" s="0" t="s">
        <v>206</v>
      </c>
      <c r="E47" s="0" t="s">
        <v>20</v>
      </c>
      <c r="H47" s="0" t="s">
        <v>21</v>
      </c>
      <c r="I47" s="2" t="s">
        <v>22</v>
      </c>
      <c r="J47" s="2" t="s">
        <v>23</v>
      </c>
      <c r="K47" s="0" t="s">
        <v>119</v>
      </c>
      <c r="L47" s="0" t="s">
        <v>25</v>
      </c>
      <c r="M47" s="0" t="s">
        <v>121</v>
      </c>
      <c r="N47" s="0" t="s">
        <v>207</v>
      </c>
      <c r="O47" s="0" t="n">
        <v>1</v>
      </c>
      <c r="P47" s="0" t="s">
        <v>191</v>
      </c>
      <c r="Q47" s="0" t="s">
        <v>208</v>
      </c>
      <c r="R47" s="3"/>
      <c r="S47" s="2" t="s">
        <v>30</v>
      </c>
    </row>
    <row r="48" customFormat="false" ht="15" hidden="false" customHeight="false" outlineLevel="0" collapsed="false">
      <c r="A48" s="0" t="n">
        <v>47</v>
      </c>
      <c r="D48" s="0" t="s">
        <v>209</v>
      </c>
      <c r="E48" s="0" t="s">
        <v>210</v>
      </c>
      <c r="H48" s="0" t="s">
        <v>21</v>
      </c>
      <c r="I48" s="2" t="s">
        <v>22</v>
      </c>
      <c r="J48" s="2" t="s">
        <v>23</v>
      </c>
      <c r="K48" s="0" t="s">
        <v>119</v>
      </c>
      <c r="L48" s="0" t="s">
        <v>25</v>
      </c>
      <c r="M48" s="0" t="s">
        <v>121</v>
      </c>
      <c r="N48" s="0" t="s">
        <v>211</v>
      </c>
      <c r="O48" s="0" t="n">
        <v>1</v>
      </c>
      <c r="P48" s="0" t="s">
        <v>126</v>
      </c>
      <c r="Q48" s="0" t="s">
        <v>212</v>
      </c>
      <c r="R48" s="3"/>
      <c r="S48" s="2" t="s">
        <v>30</v>
      </c>
    </row>
    <row r="49" customFormat="false" ht="15" hidden="false" customHeight="false" outlineLevel="0" collapsed="false">
      <c r="A49" s="0" t="n">
        <v>48</v>
      </c>
      <c r="D49" s="0" t="s">
        <v>213</v>
      </c>
      <c r="E49" s="0" t="s">
        <v>20</v>
      </c>
      <c r="H49" s="0" t="s">
        <v>21</v>
      </c>
      <c r="I49" s="2" t="s">
        <v>22</v>
      </c>
      <c r="J49" s="2" t="s">
        <v>23</v>
      </c>
      <c r="K49" s="0" t="s">
        <v>119</v>
      </c>
      <c r="L49" s="0" t="s">
        <v>25</v>
      </c>
      <c r="M49" s="0" t="s">
        <v>121</v>
      </c>
      <c r="N49" s="0" t="s">
        <v>214</v>
      </c>
      <c r="O49" s="0" t="n">
        <v>1</v>
      </c>
      <c r="P49" s="0" t="s">
        <v>126</v>
      </c>
      <c r="Q49" s="0" t="s">
        <v>215</v>
      </c>
      <c r="R49" s="3"/>
      <c r="S49" s="2" t="s">
        <v>30</v>
      </c>
    </row>
    <row r="50" customFormat="false" ht="15" hidden="false" customHeight="false" outlineLevel="0" collapsed="false">
      <c r="A50" s="0" t="n">
        <v>49</v>
      </c>
      <c r="D50" s="0" t="s">
        <v>216</v>
      </c>
      <c r="E50" s="0" t="s">
        <v>181</v>
      </c>
      <c r="H50" s="0" t="s">
        <v>21</v>
      </c>
      <c r="I50" s="2" t="s">
        <v>22</v>
      </c>
      <c r="J50" s="2" t="s">
        <v>23</v>
      </c>
      <c r="K50" s="0" t="s">
        <v>119</v>
      </c>
      <c r="L50" s="0" t="s">
        <v>25</v>
      </c>
      <c r="M50" s="0" t="s">
        <v>121</v>
      </c>
      <c r="N50" s="0" t="s">
        <v>217</v>
      </c>
      <c r="O50" s="0" t="n">
        <v>1</v>
      </c>
      <c r="P50" s="0" t="s">
        <v>186</v>
      </c>
      <c r="Q50" s="0" t="s">
        <v>218</v>
      </c>
      <c r="R50" s="3"/>
      <c r="S50" s="2" t="s">
        <v>30</v>
      </c>
    </row>
    <row r="51" customFormat="false" ht="15" hidden="false" customHeight="false" outlineLevel="0" collapsed="false">
      <c r="A51" s="0" t="n">
        <v>50</v>
      </c>
      <c r="D51" s="0" t="s">
        <v>219</v>
      </c>
      <c r="E51" s="0" t="s">
        <v>20</v>
      </c>
      <c r="H51" s="0" t="s">
        <v>21</v>
      </c>
      <c r="I51" s="2" t="s">
        <v>22</v>
      </c>
      <c r="J51" s="2" t="s">
        <v>23</v>
      </c>
      <c r="K51" s="0" t="s">
        <v>119</v>
      </c>
      <c r="L51" s="0" t="s">
        <v>220</v>
      </c>
      <c r="M51" s="0" t="s">
        <v>121</v>
      </c>
      <c r="N51" s="0" t="s">
        <v>221</v>
      </c>
      <c r="O51" s="0" t="n">
        <v>1</v>
      </c>
      <c r="P51" s="0" t="s">
        <v>152</v>
      </c>
      <c r="Q51" s="0" t="s">
        <v>222</v>
      </c>
      <c r="R51" s="3"/>
      <c r="S51" s="2" t="s">
        <v>223</v>
      </c>
    </row>
    <row r="52" customFormat="false" ht="15" hidden="false" customHeight="false" outlineLevel="0" collapsed="false">
      <c r="A52" s="0" t="n">
        <v>51</v>
      </c>
      <c r="D52" s="0" t="s">
        <v>224</v>
      </c>
      <c r="E52" s="0" t="s">
        <v>20</v>
      </c>
      <c r="H52" s="0" t="s">
        <v>21</v>
      </c>
      <c r="I52" s="2" t="s">
        <v>22</v>
      </c>
      <c r="J52" s="2" t="s">
        <v>23</v>
      </c>
      <c r="K52" s="0" t="s">
        <v>119</v>
      </c>
      <c r="L52" s="0" t="s">
        <v>25</v>
      </c>
      <c r="M52" s="0" t="s">
        <v>121</v>
      </c>
      <c r="N52" s="0" t="s">
        <v>225</v>
      </c>
      <c r="O52" s="0" t="n">
        <v>1</v>
      </c>
      <c r="P52" s="0" t="s">
        <v>191</v>
      </c>
      <c r="Q52" s="0" t="s">
        <v>226</v>
      </c>
      <c r="R52" s="3"/>
      <c r="S52" s="2" t="s">
        <v>30</v>
      </c>
    </row>
    <row r="53" customFormat="false" ht="15" hidden="false" customHeight="false" outlineLevel="0" collapsed="false">
      <c r="A53" s="0" t="n">
        <v>52</v>
      </c>
      <c r="D53" s="0" t="s">
        <v>227</v>
      </c>
      <c r="E53" s="0" t="s">
        <v>20</v>
      </c>
      <c r="H53" s="0" t="s">
        <v>21</v>
      </c>
      <c r="I53" s="2" t="s">
        <v>22</v>
      </c>
      <c r="J53" s="2" t="s">
        <v>23</v>
      </c>
      <c r="K53" s="0" t="s">
        <v>119</v>
      </c>
      <c r="L53" s="0" t="s">
        <v>25</v>
      </c>
      <c r="M53" s="0" t="s">
        <v>121</v>
      </c>
      <c r="N53" s="0" t="s">
        <v>228</v>
      </c>
      <c r="O53" s="0" t="n">
        <v>1</v>
      </c>
      <c r="P53" s="0" t="s">
        <v>116</v>
      </c>
      <c r="Q53" s="0" t="s">
        <v>229</v>
      </c>
      <c r="R53" s="3"/>
      <c r="S53" s="2" t="s">
        <v>30</v>
      </c>
    </row>
    <row r="54" customFormat="false" ht="15" hidden="false" customHeight="false" outlineLevel="0" collapsed="false">
      <c r="A54" s="0" t="n">
        <v>53</v>
      </c>
      <c r="D54" s="0" t="s">
        <v>230</v>
      </c>
      <c r="E54" s="0" t="s">
        <v>203</v>
      </c>
      <c r="H54" s="0" t="s">
        <v>21</v>
      </c>
      <c r="I54" s="2" t="s">
        <v>22</v>
      </c>
      <c r="J54" s="2" t="s">
        <v>23</v>
      </c>
      <c r="K54" s="0" t="s">
        <v>119</v>
      </c>
      <c r="L54" s="0" t="s">
        <v>25</v>
      </c>
      <c r="M54" s="0" t="s">
        <v>121</v>
      </c>
      <c r="N54" s="0" t="s">
        <v>231</v>
      </c>
      <c r="O54" s="0" t="n">
        <v>1</v>
      </c>
      <c r="P54" s="0" t="s">
        <v>152</v>
      </c>
      <c r="Q54" s="0" t="s">
        <v>232</v>
      </c>
      <c r="R54" s="3"/>
      <c r="S54" s="2" t="s">
        <v>30</v>
      </c>
    </row>
    <row r="55" customFormat="false" ht="15" hidden="false" customHeight="false" outlineLevel="0" collapsed="false">
      <c r="A55" s="0" t="n">
        <v>54</v>
      </c>
      <c r="D55" s="0" t="s">
        <v>233</v>
      </c>
      <c r="E55" s="0" t="s">
        <v>20</v>
      </c>
      <c r="H55" s="0" t="s">
        <v>21</v>
      </c>
      <c r="I55" s="2" t="s">
        <v>22</v>
      </c>
      <c r="J55" s="2" t="s">
        <v>23</v>
      </c>
      <c r="K55" s="0" t="s">
        <v>119</v>
      </c>
      <c r="L55" s="0" t="s">
        <v>25</v>
      </c>
      <c r="M55" s="0" t="s">
        <v>121</v>
      </c>
      <c r="N55" s="0" t="s">
        <v>234</v>
      </c>
      <c r="O55" s="0" t="n">
        <v>1</v>
      </c>
      <c r="P55" s="0" t="s">
        <v>103</v>
      </c>
      <c r="Q55" s="0" t="s">
        <v>235</v>
      </c>
      <c r="R55" s="3"/>
      <c r="S55" s="2" t="s">
        <v>30</v>
      </c>
    </row>
    <row r="56" customFormat="false" ht="15" hidden="false" customHeight="false" outlineLevel="0" collapsed="false">
      <c r="A56" s="0" t="n">
        <v>55</v>
      </c>
      <c r="D56" s="0" t="s">
        <v>236</v>
      </c>
      <c r="E56" s="0" t="s">
        <v>20</v>
      </c>
      <c r="H56" s="0" t="s">
        <v>21</v>
      </c>
      <c r="I56" s="2" t="s">
        <v>22</v>
      </c>
      <c r="J56" s="2" t="s">
        <v>23</v>
      </c>
      <c r="K56" s="0" t="s">
        <v>119</v>
      </c>
      <c r="L56" s="0" t="s">
        <v>25</v>
      </c>
      <c r="M56" s="0" t="s">
        <v>121</v>
      </c>
      <c r="N56" s="0" t="s">
        <v>237</v>
      </c>
      <c r="O56" s="0" t="n">
        <v>1</v>
      </c>
      <c r="P56" s="0" t="s">
        <v>134</v>
      </c>
      <c r="Q56" s="0" t="s">
        <v>238</v>
      </c>
      <c r="R56" s="3"/>
      <c r="S56" s="2" t="s">
        <v>30</v>
      </c>
    </row>
    <row r="57" customFormat="false" ht="15" hidden="false" customHeight="false" outlineLevel="0" collapsed="false">
      <c r="A57" s="0" t="n">
        <v>56</v>
      </c>
      <c r="D57" s="0" t="s">
        <v>239</v>
      </c>
      <c r="E57" s="0" t="s">
        <v>20</v>
      </c>
      <c r="H57" s="0" t="s">
        <v>21</v>
      </c>
      <c r="I57" s="2" t="s">
        <v>22</v>
      </c>
      <c r="J57" s="2" t="s">
        <v>23</v>
      </c>
      <c r="K57" s="0" t="s">
        <v>119</v>
      </c>
      <c r="L57" s="0" t="s">
        <v>25</v>
      </c>
      <c r="M57" s="0" t="s">
        <v>121</v>
      </c>
      <c r="N57" s="0" t="s">
        <v>240</v>
      </c>
      <c r="O57" s="0" t="n">
        <v>1</v>
      </c>
      <c r="P57" s="0" t="s">
        <v>103</v>
      </c>
      <c r="Q57" s="0" t="s">
        <v>241</v>
      </c>
      <c r="R57" s="3"/>
      <c r="S57" s="2" t="s">
        <v>30</v>
      </c>
    </row>
    <row r="58" customFormat="false" ht="15" hidden="false" customHeight="false" outlineLevel="0" collapsed="false">
      <c r="A58" s="0" t="n">
        <v>57</v>
      </c>
      <c r="D58" s="0" t="s">
        <v>242</v>
      </c>
      <c r="E58" s="0" t="s">
        <v>20</v>
      </c>
      <c r="H58" s="0" t="s">
        <v>21</v>
      </c>
      <c r="I58" s="2" t="s">
        <v>22</v>
      </c>
      <c r="J58" s="2" t="s">
        <v>23</v>
      </c>
      <c r="K58" s="0" t="s">
        <v>119</v>
      </c>
      <c r="L58" s="0" t="s">
        <v>25</v>
      </c>
      <c r="M58" s="0" t="s">
        <v>121</v>
      </c>
      <c r="N58" s="0" t="s">
        <v>243</v>
      </c>
      <c r="O58" s="0" t="n">
        <v>1</v>
      </c>
      <c r="P58" s="0" t="s">
        <v>103</v>
      </c>
      <c r="Q58" s="0" t="s">
        <v>244</v>
      </c>
      <c r="R58" s="3"/>
      <c r="S58" s="2" t="s">
        <v>30</v>
      </c>
    </row>
    <row r="59" customFormat="false" ht="15" hidden="false" customHeight="false" outlineLevel="0" collapsed="false">
      <c r="A59" s="0" t="n">
        <v>58</v>
      </c>
      <c r="D59" s="0" t="s">
        <v>245</v>
      </c>
      <c r="E59" s="0" t="s">
        <v>20</v>
      </c>
      <c r="H59" s="0" t="s">
        <v>21</v>
      </c>
      <c r="I59" s="2" t="s">
        <v>22</v>
      </c>
      <c r="J59" s="2" t="s">
        <v>23</v>
      </c>
      <c r="K59" s="0" t="s">
        <v>119</v>
      </c>
      <c r="L59" s="0" t="s">
        <v>25</v>
      </c>
      <c r="M59" s="0" t="s">
        <v>121</v>
      </c>
      <c r="N59" s="0" t="s">
        <v>246</v>
      </c>
      <c r="O59" s="0" t="n">
        <v>1</v>
      </c>
      <c r="P59" s="0" t="s">
        <v>103</v>
      </c>
      <c r="Q59" s="0" t="s">
        <v>247</v>
      </c>
      <c r="R59" s="3"/>
      <c r="S59" s="2" t="s">
        <v>30</v>
      </c>
    </row>
    <row r="60" customFormat="false" ht="15" hidden="false" customHeight="false" outlineLevel="0" collapsed="false">
      <c r="A60" s="0" t="n">
        <v>59</v>
      </c>
      <c r="D60" s="0" t="s">
        <v>248</v>
      </c>
      <c r="E60" s="0" t="s">
        <v>20</v>
      </c>
      <c r="H60" s="0" t="s">
        <v>21</v>
      </c>
      <c r="I60" s="2" t="s">
        <v>22</v>
      </c>
      <c r="J60" s="2" t="s">
        <v>23</v>
      </c>
      <c r="K60" s="0" t="s">
        <v>119</v>
      </c>
      <c r="L60" s="0" t="s">
        <v>25</v>
      </c>
      <c r="M60" s="0" t="s">
        <v>121</v>
      </c>
      <c r="N60" s="0" t="s">
        <v>249</v>
      </c>
      <c r="O60" s="0" t="n">
        <v>1</v>
      </c>
      <c r="P60" s="0" t="s">
        <v>134</v>
      </c>
      <c r="Q60" s="0" t="s">
        <v>250</v>
      </c>
      <c r="R60" s="3"/>
      <c r="S60" s="2" t="s">
        <v>30</v>
      </c>
    </row>
    <row r="61" customFormat="false" ht="15" hidden="false" customHeight="false" outlineLevel="0" collapsed="false">
      <c r="A61" s="0" t="n">
        <v>60</v>
      </c>
      <c r="D61" s="0" t="s">
        <v>251</v>
      </c>
      <c r="E61" s="0" t="s">
        <v>20</v>
      </c>
      <c r="H61" s="0" t="s">
        <v>21</v>
      </c>
      <c r="I61" s="2" t="s">
        <v>22</v>
      </c>
      <c r="J61" s="2" t="s">
        <v>23</v>
      </c>
      <c r="K61" s="0" t="s">
        <v>119</v>
      </c>
      <c r="L61" s="0" t="s">
        <v>25</v>
      </c>
      <c r="M61" s="0" t="s">
        <v>121</v>
      </c>
      <c r="N61" s="0" t="s">
        <v>252</v>
      </c>
      <c r="O61" s="0" t="n">
        <v>1</v>
      </c>
      <c r="P61" s="0" t="s">
        <v>134</v>
      </c>
      <c r="Q61" s="0" t="s">
        <v>253</v>
      </c>
      <c r="R61" s="3"/>
      <c r="S61" s="2" t="s">
        <v>30</v>
      </c>
    </row>
    <row r="62" customFormat="false" ht="15" hidden="false" customHeight="false" outlineLevel="0" collapsed="false">
      <c r="A62" s="0" t="n">
        <v>61</v>
      </c>
      <c r="D62" s="0" t="s">
        <v>254</v>
      </c>
      <c r="E62" s="0" t="s">
        <v>20</v>
      </c>
      <c r="H62" s="0" t="s">
        <v>21</v>
      </c>
      <c r="I62" s="2" t="s">
        <v>22</v>
      </c>
      <c r="J62" s="2" t="s">
        <v>23</v>
      </c>
      <c r="K62" s="0" t="s">
        <v>119</v>
      </c>
      <c r="L62" s="0" t="s">
        <v>25</v>
      </c>
      <c r="M62" s="0" t="s">
        <v>121</v>
      </c>
      <c r="N62" s="0" t="s">
        <v>255</v>
      </c>
      <c r="O62" s="0" t="n">
        <v>1</v>
      </c>
      <c r="P62" s="0" t="s">
        <v>116</v>
      </c>
      <c r="Q62" s="0" t="s">
        <v>256</v>
      </c>
      <c r="R62" s="3"/>
      <c r="S62" s="2" t="s">
        <v>30</v>
      </c>
    </row>
    <row r="63" customFormat="false" ht="15" hidden="false" customHeight="false" outlineLevel="0" collapsed="false">
      <c r="A63" s="0" t="n">
        <v>62</v>
      </c>
      <c r="D63" s="0" t="s">
        <v>257</v>
      </c>
      <c r="E63" s="0" t="s">
        <v>20</v>
      </c>
      <c r="H63" s="0" t="s">
        <v>21</v>
      </c>
      <c r="I63" s="2" t="s">
        <v>22</v>
      </c>
      <c r="J63" s="2" t="s">
        <v>23</v>
      </c>
      <c r="K63" s="0" t="s">
        <v>119</v>
      </c>
      <c r="L63" s="0" t="s">
        <v>25</v>
      </c>
      <c r="M63" s="0" t="s">
        <v>121</v>
      </c>
      <c r="N63" s="0" t="s">
        <v>258</v>
      </c>
      <c r="O63" s="0" t="n">
        <v>1</v>
      </c>
      <c r="P63" s="0" t="s">
        <v>152</v>
      </c>
      <c r="Q63" s="0" t="s">
        <v>259</v>
      </c>
      <c r="R63" s="3"/>
      <c r="S63" s="2" t="s">
        <v>30</v>
      </c>
    </row>
    <row r="64" customFormat="false" ht="15" hidden="false" customHeight="false" outlineLevel="0" collapsed="false">
      <c r="A64" s="0" t="n">
        <v>63</v>
      </c>
      <c r="D64" s="0" t="s">
        <v>260</v>
      </c>
      <c r="E64" s="0" t="s">
        <v>203</v>
      </c>
      <c r="H64" s="0" t="s">
        <v>21</v>
      </c>
      <c r="I64" s="2" t="s">
        <v>22</v>
      </c>
      <c r="J64" s="2" t="s">
        <v>23</v>
      </c>
      <c r="K64" s="0" t="s">
        <v>119</v>
      </c>
      <c r="L64" s="0" t="s">
        <v>25</v>
      </c>
      <c r="M64" s="0" t="s">
        <v>121</v>
      </c>
      <c r="N64" s="0" t="s">
        <v>261</v>
      </c>
      <c r="O64" s="0" t="n">
        <v>1</v>
      </c>
      <c r="P64" s="0" t="s">
        <v>262</v>
      </c>
      <c r="Q64" s="0" t="s">
        <v>263</v>
      </c>
      <c r="R64" s="3"/>
      <c r="S64" s="2" t="s">
        <v>30</v>
      </c>
    </row>
    <row r="65" customFormat="false" ht="15" hidden="false" customHeight="false" outlineLevel="0" collapsed="false">
      <c r="A65" s="0" t="n">
        <v>64</v>
      </c>
      <c r="D65" s="0" t="s">
        <v>264</v>
      </c>
      <c r="E65" s="0" t="s">
        <v>20</v>
      </c>
      <c r="H65" s="0" t="s">
        <v>21</v>
      </c>
      <c r="I65" s="2" t="s">
        <v>22</v>
      </c>
      <c r="J65" s="2" t="s">
        <v>23</v>
      </c>
      <c r="K65" s="0" t="s">
        <v>119</v>
      </c>
      <c r="L65" s="0" t="s">
        <v>25</v>
      </c>
      <c r="M65" s="0" t="s">
        <v>121</v>
      </c>
      <c r="N65" s="0" t="s">
        <v>265</v>
      </c>
      <c r="O65" s="0" t="n">
        <v>1</v>
      </c>
      <c r="P65" s="0" t="s">
        <v>28</v>
      </c>
      <c r="Q65" s="0" t="s">
        <v>266</v>
      </c>
      <c r="R65" s="3"/>
      <c r="S65" s="2" t="s">
        <v>30</v>
      </c>
    </row>
    <row r="66" customFormat="false" ht="15" hidden="false" customHeight="false" outlineLevel="0" collapsed="false">
      <c r="A66" s="0" t="n">
        <v>65</v>
      </c>
      <c r="D66" s="0" t="s">
        <v>267</v>
      </c>
      <c r="E66" s="0" t="s">
        <v>268</v>
      </c>
      <c r="H66" s="0" t="s">
        <v>21</v>
      </c>
      <c r="I66" s="2" t="s">
        <v>22</v>
      </c>
      <c r="J66" s="2" t="s">
        <v>23</v>
      </c>
      <c r="K66" s="0" t="s">
        <v>119</v>
      </c>
      <c r="L66" s="0" t="s">
        <v>25</v>
      </c>
      <c r="M66" s="0" t="s">
        <v>121</v>
      </c>
      <c r="N66" s="0" t="s">
        <v>269</v>
      </c>
      <c r="O66" s="0" t="n">
        <v>1</v>
      </c>
      <c r="P66" s="0" t="s">
        <v>103</v>
      </c>
      <c r="Q66" s="0" t="s">
        <v>270</v>
      </c>
      <c r="R66" s="3"/>
      <c r="S66" s="2" t="s">
        <v>30</v>
      </c>
    </row>
    <row r="67" customFormat="false" ht="15" hidden="false" customHeight="false" outlineLevel="0" collapsed="false">
      <c r="A67" s="0" t="n">
        <v>66</v>
      </c>
      <c r="D67" s="0" t="s">
        <v>271</v>
      </c>
      <c r="E67" s="0" t="s">
        <v>20</v>
      </c>
      <c r="H67" s="0" t="s">
        <v>21</v>
      </c>
      <c r="I67" s="2" t="s">
        <v>22</v>
      </c>
      <c r="J67" s="2" t="s">
        <v>23</v>
      </c>
      <c r="K67" s="0" t="s">
        <v>119</v>
      </c>
      <c r="L67" s="0" t="s">
        <v>25</v>
      </c>
      <c r="M67" s="0" t="s">
        <v>121</v>
      </c>
      <c r="N67" s="0" t="s">
        <v>272</v>
      </c>
      <c r="O67" s="0" t="n">
        <v>1</v>
      </c>
      <c r="P67" s="0" t="s">
        <v>152</v>
      </c>
      <c r="Q67" s="0" t="s">
        <v>273</v>
      </c>
      <c r="R67" s="3"/>
      <c r="S67" s="2" t="s">
        <v>30</v>
      </c>
    </row>
    <row r="68" customFormat="false" ht="15" hidden="false" customHeight="false" outlineLevel="0" collapsed="false">
      <c r="A68" s="0" t="n">
        <v>67</v>
      </c>
      <c r="D68" s="0" t="s">
        <v>274</v>
      </c>
      <c r="E68" s="0" t="s">
        <v>20</v>
      </c>
      <c r="H68" s="0" t="s">
        <v>21</v>
      </c>
      <c r="I68" s="2" t="s">
        <v>22</v>
      </c>
      <c r="J68" s="2" t="s">
        <v>23</v>
      </c>
      <c r="K68" s="0" t="s">
        <v>119</v>
      </c>
      <c r="L68" s="0" t="s">
        <v>25</v>
      </c>
      <c r="M68" s="0" t="s">
        <v>121</v>
      </c>
      <c r="N68" s="0" t="s">
        <v>275</v>
      </c>
      <c r="O68" s="0" t="n">
        <v>1</v>
      </c>
      <c r="P68" s="0" t="s">
        <v>276</v>
      </c>
      <c r="Q68" s="0" t="s">
        <v>277</v>
      </c>
      <c r="R68" s="3"/>
      <c r="S68" s="2" t="s">
        <v>30</v>
      </c>
    </row>
    <row r="69" customFormat="false" ht="15" hidden="false" customHeight="false" outlineLevel="0" collapsed="false">
      <c r="A69" s="0" t="n">
        <v>68</v>
      </c>
      <c r="D69" s="0" t="s">
        <v>278</v>
      </c>
      <c r="E69" s="0" t="s">
        <v>20</v>
      </c>
      <c r="H69" s="0" t="s">
        <v>21</v>
      </c>
      <c r="I69" s="2" t="s">
        <v>22</v>
      </c>
      <c r="J69" s="2" t="s">
        <v>23</v>
      </c>
      <c r="K69" s="0" t="s">
        <v>119</v>
      </c>
      <c r="L69" s="0" t="s">
        <v>25</v>
      </c>
      <c r="M69" s="0" t="s">
        <v>121</v>
      </c>
      <c r="N69" s="0" t="s">
        <v>279</v>
      </c>
      <c r="O69" s="0" t="n">
        <v>1</v>
      </c>
      <c r="P69" s="0" t="s">
        <v>152</v>
      </c>
      <c r="Q69" s="0" t="s">
        <v>280</v>
      </c>
      <c r="R69" s="3"/>
      <c r="S69" s="2" t="s">
        <v>30</v>
      </c>
    </row>
    <row r="70" customFormat="false" ht="15" hidden="false" customHeight="false" outlineLevel="0" collapsed="false">
      <c r="A70" s="0" t="n">
        <v>69</v>
      </c>
      <c r="D70" s="0" t="s">
        <v>281</v>
      </c>
      <c r="E70" s="0" t="s">
        <v>282</v>
      </c>
      <c r="H70" s="0" t="s">
        <v>21</v>
      </c>
      <c r="I70" s="2" t="s">
        <v>22</v>
      </c>
      <c r="J70" s="2" t="s">
        <v>23</v>
      </c>
      <c r="K70" s="0" t="s">
        <v>119</v>
      </c>
      <c r="L70" s="0" t="s">
        <v>25</v>
      </c>
      <c r="M70" s="0" t="s">
        <v>121</v>
      </c>
      <c r="N70" s="0" t="s">
        <v>283</v>
      </c>
      <c r="O70" s="0" t="n">
        <v>1</v>
      </c>
      <c r="P70" s="0" t="s">
        <v>103</v>
      </c>
      <c r="Q70" s="0" t="s">
        <v>284</v>
      </c>
      <c r="R70" s="3"/>
      <c r="S70" s="2" t="s">
        <v>30</v>
      </c>
    </row>
    <row r="71" customFormat="false" ht="15" hidden="false" customHeight="false" outlineLevel="0" collapsed="false">
      <c r="A71" s="0" t="n">
        <v>70</v>
      </c>
      <c r="D71" s="0" t="s">
        <v>285</v>
      </c>
      <c r="E71" s="0" t="s">
        <v>286</v>
      </c>
      <c r="H71" s="0" t="s">
        <v>21</v>
      </c>
      <c r="I71" s="2" t="s">
        <v>22</v>
      </c>
      <c r="J71" s="2" t="s">
        <v>23</v>
      </c>
      <c r="K71" s="0" t="s">
        <v>119</v>
      </c>
      <c r="L71" s="0" t="s">
        <v>25</v>
      </c>
      <c r="M71" s="0" t="s">
        <v>121</v>
      </c>
      <c r="N71" s="0" t="s">
        <v>287</v>
      </c>
      <c r="O71" s="0" t="n">
        <v>1</v>
      </c>
      <c r="P71" s="0" t="s">
        <v>103</v>
      </c>
      <c r="Q71" s="0" t="s">
        <v>288</v>
      </c>
      <c r="R71" s="3"/>
      <c r="S71" s="2" t="s">
        <v>30</v>
      </c>
    </row>
    <row r="72" customFormat="false" ht="15" hidden="false" customHeight="false" outlineLevel="0" collapsed="false">
      <c r="A72" s="0" t="n">
        <v>71</v>
      </c>
      <c r="D72" s="0" t="s">
        <v>289</v>
      </c>
      <c r="E72" s="0" t="s">
        <v>20</v>
      </c>
      <c r="H72" s="0" t="s">
        <v>21</v>
      </c>
      <c r="I72" s="2" t="s">
        <v>22</v>
      </c>
      <c r="J72" s="2" t="s">
        <v>23</v>
      </c>
      <c r="K72" s="0" t="s">
        <v>119</v>
      </c>
      <c r="L72" s="0" t="s">
        <v>25</v>
      </c>
      <c r="M72" s="0" t="s">
        <v>121</v>
      </c>
      <c r="N72" s="0" t="s">
        <v>290</v>
      </c>
      <c r="O72" s="0" t="n">
        <v>1</v>
      </c>
      <c r="P72" s="0" t="s">
        <v>134</v>
      </c>
      <c r="Q72" s="0" t="s">
        <v>291</v>
      </c>
      <c r="R72" s="3"/>
      <c r="S72" s="2" t="s">
        <v>30</v>
      </c>
    </row>
    <row r="73" customFormat="false" ht="15" hidden="false" customHeight="false" outlineLevel="0" collapsed="false">
      <c r="A73" s="0" t="n">
        <v>72</v>
      </c>
      <c r="D73" s="0" t="s">
        <v>292</v>
      </c>
      <c r="E73" s="0" t="s">
        <v>20</v>
      </c>
      <c r="H73" s="0" t="s">
        <v>21</v>
      </c>
      <c r="I73" s="2" t="s">
        <v>22</v>
      </c>
      <c r="J73" s="2" t="s">
        <v>23</v>
      </c>
      <c r="K73" s="0" t="s">
        <v>119</v>
      </c>
      <c r="L73" s="0" t="s">
        <v>25</v>
      </c>
      <c r="M73" s="0" t="s">
        <v>121</v>
      </c>
      <c r="N73" s="0" t="s">
        <v>293</v>
      </c>
      <c r="O73" s="0" t="n">
        <v>1</v>
      </c>
      <c r="P73" s="0" t="s">
        <v>103</v>
      </c>
      <c r="Q73" s="0" t="s">
        <v>294</v>
      </c>
      <c r="R73" s="3"/>
      <c r="S73" s="2" t="s">
        <v>30</v>
      </c>
    </row>
    <row r="74" customFormat="false" ht="15" hidden="false" customHeight="false" outlineLevel="0" collapsed="false">
      <c r="A74" s="0" t="n">
        <v>73</v>
      </c>
      <c r="D74" s="0" t="s">
        <v>295</v>
      </c>
      <c r="E74" s="0" t="s">
        <v>20</v>
      </c>
      <c r="H74" s="0" t="s">
        <v>21</v>
      </c>
      <c r="I74" s="2" t="s">
        <v>22</v>
      </c>
      <c r="J74" s="2" t="s">
        <v>23</v>
      </c>
      <c r="K74" s="0" t="s">
        <v>119</v>
      </c>
      <c r="L74" s="0" t="s">
        <v>25</v>
      </c>
      <c r="M74" s="0" t="s">
        <v>121</v>
      </c>
      <c r="N74" s="0" t="s">
        <v>296</v>
      </c>
      <c r="O74" s="0" t="n">
        <v>1</v>
      </c>
      <c r="P74" s="0" t="s">
        <v>297</v>
      </c>
      <c r="Q74" s="0" t="s">
        <v>298</v>
      </c>
      <c r="R74" s="3"/>
      <c r="S74" s="2" t="s">
        <v>30</v>
      </c>
    </row>
    <row r="75" customFormat="false" ht="15" hidden="false" customHeight="false" outlineLevel="0" collapsed="false">
      <c r="A75" s="0" t="n">
        <v>74</v>
      </c>
      <c r="D75" s="0" t="s">
        <v>299</v>
      </c>
      <c r="E75" s="0" t="s">
        <v>20</v>
      </c>
      <c r="H75" s="0" t="s">
        <v>21</v>
      </c>
      <c r="I75" s="2" t="s">
        <v>22</v>
      </c>
      <c r="J75" s="2" t="s">
        <v>23</v>
      </c>
      <c r="K75" s="0" t="s">
        <v>119</v>
      </c>
      <c r="L75" s="0" t="s">
        <v>25</v>
      </c>
      <c r="M75" s="0" t="s">
        <v>121</v>
      </c>
      <c r="N75" s="0" t="s">
        <v>300</v>
      </c>
      <c r="O75" s="0" t="n">
        <v>1</v>
      </c>
      <c r="P75" s="0" t="s">
        <v>126</v>
      </c>
      <c r="Q75" s="0" t="s">
        <v>301</v>
      </c>
      <c r="R75" s="3"/>
      <c r="S75" s="2" t="s">
        <v>30</v>
      </c>
    </row>
    <row r="76" customFormat="false" ht="15" hidden="false" customHeight="false" outlineLevel="0" collapsed="false">
      <c r="A76" s="0" t="n">
        <v>75</v>
      </c>
      <c r="D76" s="0" t="s">
        <v>302</v>
      </c>
      <c r="E76" s="0" t="s">
        <v>20</v>
      </c>
      <c r="H76" s="0" t="s">
        <v>21</v>
      </c>
      <c r="I76" s="2" t="s">
        <v>22</v>
      </c>
      <c r="J76" s="2" t="s">
        <v>23</v>
      </c>
      <c r="K76" s="0" t="s">
        <v>119</v>
      </c>
      <c r="L76" s="0" t="s">
        <v>25</v>
      </c>
      <c r="M76" s="0" t="s">
        <v>121</v>
      </c>
      <c r="N76" s="0" t="s">
        <v>303</v>
      </c>
      <c r="O76" s="0" t="n">
        <v>1</v>
      </c>
      <c r="P76" s="0" t="s">
        <v>61</v>
      </c>
      <c r="Q76" s="0" t="s">
        <v>304</v>
      </c>
      <c r="R76" s="3"/>
      <c r="S76" s="2" t="s">
        <v>30</v>
      </c>
    </row>
    <row r="77" customFormat="false" ht="15" hidden="false" customHeight="false" outlineLevel="0" collapsed="false">
      <c r="A77" s="0" t="n">
        <v>76</v>
      </c>
      <c r="D77" s="0" t="s">
        <v>305</v>
      </c>
      <c r="E77" s="0" t="s">
        <v>20</v>
      </c>
      <c r="H77" s="0" t="s">
        <v>21</v>
      </c>
      <c r="I77" s="2" t="s">
        <v>22</v>
      </c>
      <c r="J77" s="2" t="s">
        <v>23</v>
      </c>
      <c r="K77" s="0" t="s">
        <v>119</v>
      </c>
      <c r="L77" s="0" t="s">
        <v>25</v>
      </c>
      <c r="M77" s="0" t="s">
        <v>121</v>
      </c>
      <c r="N77" s="0" t="s">
        <v>306</v>
      </c>
      <c r="O77" s="0" t="n">
        <v>1</v>
      </c>
      <c r="P77" s="0" t="s">
        <v>134</v>
      </c>
      <c r="Q77" s="0" t="s">
        <v>307</v>
      </c>
      <c r="R77" s="3"/>
      <c r="S77" s="2" t="s">
        <v>30</v>
      </c>
    </row>
    <row r="78" customFormat="false" ht="15" hidden="false" customHeight="false" outlineLevel="0" collapsed="false">
      <c r="A78" s="0" t="n">
        <v>77</v>
      </c>
      <c r="D78" s="0" t="s">
        <v>308</v>
      </c>
      <c r="E78" s="0" t="s">
        <v>20</v>
      </c>
      <c r="H78" s="0" t="s">
        <v>21</v>
      </c>
      <c r="I78" s="2" t="s">
        <v>22</v>
      </c>
      <c r="J78" s="2" t="s">
        <v>23</v>
      </c>
      <c r="K78" s="0" t="s">
        <v>119</v>
      </c>
      <c r="L78" s="0" t="s">
        <v>25</v>
      </c>
      <c r="M78" s="0" t="s">
        <v>121</v>
      </c>
      <c r="N78" s="0" t="s">
        <v>309</v>
      </c>
      <c r="O78" s="0" t="n">
        <v>1</v>
      </c>
      <c r="P78" s="0" t="s">
        <v>103</v>
      </c>
      <c r="Q78" s="0" t="s">
        <v>310</v>
      </c>
      <c r="R78" s="3"/>
      <c r="S78" s="2" t="s">
        <v>30</v>
      </c>
    </row>
    <row r="79" customFormat="false" ht="15" hidden="false" customHeight="false" outlineLevel="0" collapsed="false">
      <c r="A79" s="0" t="n">
        <v>78</v>
      </c>
      <c r="D79" s="0" t="s">
        <v>311</v>
      </c>
      <c r="E79" s="0" t="s">
        <v>20</v>
      </c>
      <c r="H79" s="0" t="s">
        <v>21</v>
      </c>
      <c r="I79" s="2" t="s">
        <v>22</v>
      </c>
      <c r="J79" s="2" t="s">
        <v>23</v>
      </c>
      <c r="K79" s="0" t="s">
        <v>119</v>
      </c>
      <c r="L79" s="0" t="s">
        <v>25</v>
      </c>
      <c r="M79" s="0" t="s">
        <v>121</v>
      </c>
      <c r="N79" s="0" t="s">
        <v>312</v>
      </c>
      <c r="O79" s="0" t="n">
        <v>1</v>
      </c>
      <c r="P79" s="0" t="s">
        <v>313</v>
      </c>
      <c r="Q79" s="0" t="s">
        <v>314</v>
      </c>
      <c r="R79" s="3"/>
      <c r="S79" s="2" t="s">
        <v>30</v>
      </c>
    </row>
    <row r="80" customFormat="false" ht="15" hidden="false" customHeight="false" outlineLevel="0" collapsed="false">
      <c r="A80" s="0" t="n">
        <v>79</v>
      </c>
      <c r="D80" s="0" t="s">
        <v>315</v>
      </c>
      <c r="E80" s="0" t="s">
        <v>20</v>
      </c>
      <c r="H80" s="0" t="s">
        <v>21</v>
      </c>
      <c r="I80" s="2" t="s">
        <v>22</v>
      </c>
      <c r="J80" s="2" t="s">
        <v>23</v>
      </c>
      <c r="K80" s="0" t="s">
        <v>119</v>
      </c>
      <c r="L80" s="0" t="s">
        <v>25</v>
      </c>
      <c r="M80" s="0" t="s">
        <v>121</v>
      </c>
      <c r="N80" s="0" t="s">
        <v>316</v>
      </c>
      <c r="O80" s="0" t="n">
        <v>1</v>
      </c>
      <c r="P80" s="0" t="s">
        <v>103</v>
      </c>
      <c r="Q80" s="0" t="s">
        <v>317</v>
      </c>
      <c r="R80" s="3"/>
      <c r="S80" s="2" t="s">
        <v>30</v>
      </c>
    </row>
    <row r="81" customFormat="false" ht="15" hidden="false" customHeight="false" outlineLevel="0" collapsed="false">
      <c r="A81" s="0" t="n">
        <v>80</v>
      </c>
      <c r="D81" s="0" t="s">
        <v>318</v>
      </c>
      <c r="E81" s="0" t="s">
        <v>20</v>
      </c>
      <c r="H81" s="0" t="s">
        <v>21</v>
      </c>
      <c r="I81" s="2" t="s">
        <v>22</v>
      </c>
      <c r="J81" s="2" t="s">
        <v>23</v>
      </c>
      <c r="K81" s="0" t="s">
        <v>119</v>
      </c>
      <c r="L81" s="0" t="s">
        <v>25</v>
      </c>
      <c r="M81" s="0" t="s">
        <v>121</v>
      </c>
      <c r="N81" s="0" t="s">
        <v>319</v>
      </c>
      <c r="O81" s="0" t="n">
        <v>1</v>
      </c>
      <c r="P81" s="0" t="s">
        <v>116</v>
      </c>
      <c r="Q81" s="0" t="s">
        <v>320</v>
      </c>
      <c r="R81" s="3"/>
      <c r="S81" s="2" t="s">
        <v>30</v>
      </c>
    </row>
    <row r="82" customFormat="false" ht="15" hidden="false" customHeight="false" outlineLevel="0" collapsed="false">
      <c r="A82" s="0" t="n">
        <v>81</v>
      </c>
      <c r="D82" s="0" t="s">
        <v>321</v>
      </c>
      <c r="E82" s="0" t="s">
        <v>203</v>
      </c>
      <c r="H82" s="0" t="s">
        <v>21</v>
      </c>
      <c r="I82" s="2" t="s">
        <v>22</v>
      </c>
      <c r="J82" s="2" t="s">
        <v>23</v>
      </c>
      <c r="K82" s="0" t="s">
        <v>119</v>
      </c>
      <c r="L82" s="0" t="s">
        <v>32</v>
      </c>
      <c r="M82" s="0" t="s">
        <v>121</v>
      </c>
      <c r="N82" s="0" t="s">
        <v>33</v>
      </c>
      <c r="O82" s="0" t="n">
        <v>0</v>
      </c>
      <c r="P82" s="0" t="s">
        <v>45</v>
      </c>
      <c r="Q82" s="0" t="s">
        <v>322</v>
      </c>
      <c r="R82" s="3"/>
      <c r="S82" s="2" t="s">
        <v>30</v>
      </c>
    </row>
    <row r="83" customFormat="false" ht="15" hidden="false" customHeight="false" outlineLevel="0" collapsed="false">
      <c r="A83" s="0" t="n">
        <v>82</v>
      </c>
      <c r="D83" s="0" t="s">
        <v>323</v>
      </c>
      <c r="E83" s="0" t="s">
        <v>20</v>
      </c>
      <c r="H83" s="0" t="s">
        <v>21</v>
      </c>
      <c r="I83" s="2" t="s">
        <v>22</v>
      </c>
      <c r="J83" s="2" t="s">
        <v>23</v>
      </c>
      <c r="K83" s="0" t="s">
        <v>119</v>
      </c>
      <c r="L83" s="0" t="s">
        <v>32</v>
      </c>
      <c r="M83" s="0" t="s">
        <v>121</v>
      </c>
      <c r="N83" s="0" t="s">
        <v>33</v>
      </c>
      <c r="O83" s="0" t="n">
        <v>0</v>
      </c>
      <c r="P83" s="0" t="s">
        <v>103</v>
      </c>
      <c r="Q83" s="0" t="s">
        <v>324</v>
      </c>
      <c r="R83" s="3"/>
      <c r="S83" s="2" t="s">
        <v>30</v>
      </c>
    </row>
    <row r="84" customFormat="false" ht="15" hidden="false" customHeight="false" outlineLevel="0" collapsed="false">
      <c r="A84" s="0" t="n">
        <v>83</v>
      </c>
      <c r="D84" s="0" t="s">
        <v>325</v>
      </c>
      <c r="E84" s="0" t="s">
        <v>20</v>
      </c>
      <c r="H84" s="0" t="s">
        <v>21</v>
      </c>
      <c r="I84" s="2" t="s">
        <v>22</v>
      </c>
      <c r="J84" s="2" t="s">
        <v>23</v>
      </c>
      <c r="K84" s="0" t="s">
        <v>326</v>
      </c>
      <c r="L84" s="0" t="s">
        <v>25</v>
      </c>
      <c r="M84" s="0" t="s">
        <v>327</v>
      </c>
      <c r="N84" s="0" t="s">
        <v>328</v>
      </c>
      <c r="O84" s="0" t="n">
        <v>1</v>
      </c>
      <c r="P84" s="0" t="s">
        <v>28</v>
      </c>
      <c r="Q84" s="0" t="s">
        <v>329</v>
      </c>
      <c r="R84" s="3"/>
      <c r="S84" s="2" t="s">
        <v>30</v>
      </c>
    </row>
    <row r="85" customFormat="false" ht="15" hidden="false" customHeight="false" outlineLevel="0" collapsed="false">
      <c r="A85" s="0" t="n">
        <v>84</v>
      </c>
      <c r="D85" s="0" t="s">
        <v>330</v>
      </c>
      <c r="E85" s="0" t="s">
        <v>20</v>
      </c>
      <c r="H85" s="0" t="s">
        <v>21</v>
      </c>
      <c r="I85" s="2" t="s">
        <v>22</v>
      </c>
      <c r="J85" s="2" t="s">
        <v>23</v>
      </c>
      <c r="K85" s="0" t="s">
        <v>326</v>
      </c>
      <c r="L85" s="0" t="s">
        <v>25</v>
      </c>
      <c r="M85" s="0" t="s">
        <v>327</v>
      </c>
      <c r="N85" s="0" t="s">
        <v>331</v>
      </c>
      <c r="O85" s="0" t="n">
        <v>1</v>
      </c>
      <c r="P85" s="0" t="s">
        <v>276</v>
      </c>
      <c r="R85" s="3"/>
      <c r="S85" s="2" t="s">
        <v>30</v>
      </c>
    </row>
    <row r="86" customFormat="false" ht="15" hidden="false" customHeight="false" outlineLevel="0" collapsed="false">
      <c r="A86" s="0" t="n">
        <v>85</v>
      </c>
      <c r="D86" s="0" t="s">
        <v>332</v>
      </c>
      <c r="E86" s="0" t="s">
        <v>20</v>
      </c>
      <c r="H86" s="0" t="s">
        <v>21</v>
      </c>
      <c r="I86" s="2" t="s">
        <v>22</v>
      </c>
      <c r="J86" s="2" t="s">
        <v>23</v>
      </c>
      <c r="K86" s="0" t="s">
        <v>326</v>
      </c>
      <c r="L86" s="0" t="s">
        <v>25</v>
      </c>
      <c r="M86" s="0" t="s">
        <v>327</v>
      </c>
      <c r="N86" s="0" t="s">
        <v>333</v>
      </c>
      <c r="O86" s="0" t="n">
        <v>1</v>
      </c>
      <c r="P86" s="0" t="s">
        <v>334</v>
      </c>
      <c r="Q86" s="0" t="s">
        <v>335</v>
      </c>
      <c r="R86" s="3"/>
      <c r="S86" s="2" t="s">
        <v>30</v>
      </c>
    </row>
    <row r="87" customFormat="false" ht="15" hidden="false" customHeight="false" outlineLevel="0" collapsed="false">
      <c r="A87" s="0" t="n">
        <v>86</v>
      </c>
      <c r="D87" s="0" t="s">
        <v>336</v>
      </c>
      <c r="E87" s="0" t="s">
        <v>20</v>
      </c>
      <c r="H87" s="0" t="s">
        <v>21</v>
      </c>
      <c r="I87" s="2" t="s">
        <v>22</v>
      </c>
      <c r="J87" s="2" t="s">
        <v>23</v>
      </c>
      <c r="K87" s="0" t="s">
        <v>326</v>
      </c>
      <c r="L87" s="0" t="s">
        <v>25</v>
      </c>
      <c r="M87" s="0" t="s">
        <v>327</v>
      </c>
      <c r="N87" s="0" t="s">
        <v>337</v>
      </c>
      <c r="O87" s="0" t="n">
        <v>1</v>
      </c>
      <c r="P87" s="0" t="s">
        <v>276</v>
      </c>
      <c r="Q87" s="0" t="s">
        <v>338</v>
      </c>
      <c r="R87" s="3"/>
      <c r="S87" s="2" t="s">
        <v>30</v>
      </c>
    </row>
    <row r="88" customFormat="false" ht="15" hidden="false" customHeight="false" outlineLevel="0" collapsed="false">
      <c r="A88" s="0" t="n">
        <v>87</v>
      </c>
      <c r="D88" s="0" t="s">
        <v>339</v>
      </c>
      <c r="E88" s="0" t="s">
        <v>20</v>
      </c>
      <c r="H88" s="0" t="s">
        <v>21</v>
      </c>
      <c r="I88" s="2" t="s">
        <v>22</v>
      </c>
      <c r="J88" s="2" t="s">
        <v>23</v>
      </c>
      <c r="K88" s="0" t="s">
        <v>326</v>
      </c>
      <c r="L88" s="0" t="s">
        <v>25</v>
      </c>
      <c r="M88" s="0" t="s">
        <v>327</v>
      </c>
      <c r="N88" s="0" t="s">
        <v>340</v>
      </c>
      <c r="O88" s="0" t="n">
        <v>1</v>
      </c>
      <c r="P88" s="0" t="s">
        <v>61</v>
      </c>
      <c r="Q88" s="0" t="s">
        <v>341</v>
      </c>
      <c r="R88" s="3"/>
      <c r="S88" s="2" t="s">
        <v>30</v>
      </c>
    </row>
    <row r="89" customFormat="false" ht="15" hidden="false" customHeight="false" outlineLevel="0" collapsed="false">
      <c r="A89" s="0" t="n">
        <v>88</v>
      </c>
      <c r="D89" s="0" t="s">
        <v>342</v>
      </c>
      <c r="E89" s="0" t="s">
        <v>20</v>
      </c>
      <c r="H89" s="0" t="s">
        <v>21</v>
      </c>
      <c r="I89" s="2" t="s">
        <v>22</v>
      </c>
      <c r="J89" s="2" t="s">
        <v>23</v>
      </c>
      <c r="K89" s="0" t="s">
        <v>326</v>
      </c>
      <c r="L89" s="0" t="s">
        <v>25</v>
      </c>
      <c r="M89" s="0" t="s">
        <v>327</v>
      </c>
      <c r="N89" s="0" t="s">
        <v>343</v>
      </c>
      <c r="O89" s="0" t="n">
        <v>1</v>
      </c>
      <c r="P89" s="0" t="s">
        <v>61</v>
      </c>
      <c r="Q89" s="0" t="s">
        <v>344</v>
      </c>
      <c r="R89" s="3"/>
      <c r="S89" s="2" t="s">
        <v>30</v>
      </c>
    </row>
    <row r="90" customFormat="false" ht="15" hidden="false" customHeight="false" outlineLevel="0" collapsed="false">
      <c r="A90" s="0" t="n">
        <v>89</v>
      </c>
      <c r="D90" s="0" t="s">
        <v>345</v>
      </c>
      <c r="E90" s="0" t="s">
        <v>20</v>
      </c>
      <c r="H90" s="0" t="s">
        <v>21</v>
      </c>
      <c r="I90" s="2" t="s">
        <v>22</v>
      </c>
      <c r="J90" s="2" t="s">
        <v>23</v>
      </c>
      <c r="K90" s="0" t="s">
        <v>326</v>
      </c>
      <c r="L90" s="0" t="s">
        <v>25</v>
      </c>
      <c r="M90" s="0" t="s">
        <v>327</v>
      </c>
      <c r="N90" s="0" t="s">
        <v>346</v>
      </c>
      <c r="O90" s="0" t="n">
        <v>1</v>
      </c>
      <c r="P90" s="0" t="s">
        <v>347</v>
      </c>
      <c r="Q90" s="0" t="s">
        <v>348</v>
      </c>
      <c r="R90" s="3"/>
      <c r="S90" s="2" t="s">
        <v>30</v>
      </c>
    </row>
    <row r="91" customFormat="false" ht="15" hidden="false" customHeight="false" outlineLevel="0" collapsed="false">
      <c r="A91" s="0" t="n">
        <v>90</v>
      </c>
      <c r="D91" s="0" t="s">
        <v>349</v>
      </c>
      <c r="E91" s="0" t="s">
        <v>20</v>
      </c>
      <c r="H91" s="0" t="s">
        <v>21</v>
      </c>
      <c r="I91" s="2" t="s">
        <v>22</v>
      </c>
      <c r="J91" s="2" t="s">
        <v>23</v>
      </c>
      <c r="K91" s="0" t="s">
        <v>326</v>
      </c>
      <c r="L91" s="0" t="s">
        <v>25</v>
      </c>
      <c r="M91" s="0" t="s">
        <v>327</v>
      </c>
      <c r="N91" s="0" t="s">
        <v>350</v>
      </c>
      <c r="O91" s="0" t="n">
        <v>1</v>
      </c>
      <c r="P91" s="0" t="s">
        <v>276</v>
      </c>
      <c r="Q91" s="0" t="s">
        <v>351</v>
      </c>
      <c r="R91" s="3"/>
      <c r="S91" s="2" t="s">
        <v>30</v>
      </c>
    </row>
    <row r="92" customFormat="false" ht="15" hidden="false" customHeight="false" outlineLevel="0" collapsed="false">
      <c r="A92" s="0" t="n">
        <v>91</v>
      </c>
      <c r="D92" s="0" t="s">
        <v>352</v>
      </c>
      <c r="E92" s="0" t="s">
        <v>20</v>
      </c>
      <c r="H92" s="0" t="s">
        <v>21</v>
      </c>
      <c r="I92" s="2" t="s">
        <v>22</v>
      </c>
      <c r="J92" s="2" t="s">
        <v>23</v>
      </c>
      <c r="K92" s="0" t="s">
        <v>326</v>
      </c>
      <c r="L92" s="0" t="s">
        <v>25</v>
      </c>
      <c r="M92" s="0" t="s">
        <v>327</v>
      </c>
      <c r="N92" s="0" t="s">
        <v>353</v>
      </c>
      <c r="O92" s="0" t="n">
        <v>1</v>
      </c>
      <c r="P92" s="0" t="s">
        <v>334</v>
      </c>
      <c r="Q92" s="0" t="s">
        <v>354</v>
      </c>
      <c r="R92" s="3"/>
      <c r="S92" s="2" t="s">
        <v>30</v>
      </c>
    </row>
    <row r="93" customFormat="false" ht="15" hidden="false" customHeight="false" outlineLevel="0" collapsed="false">
      <c r="A93" s="0" t="n">
        <v>92</v>
      </c>
      <c r="D93" s="0" t="s">
        <v>355</v>
      </c>
      <c r="E93" s="0" t="s">
        <v>356</v>
      </c>
      <c r="H93" s="0" t="s">
        <v>21</v>
      </c>
      <c r="I93" s="2" t="s">
        <v>22</v>
      </c>
      <c r="J93" s="2" t="s">
        <v>23</v>
      </c>
      <c r="K93" s="0" t="s">
        <v>326</v>
      </c>
      <c r="L93" s="0" t="s">
        <v>25</v>
      </c>
      <c r="M93" s="0" t="s">
        <v>327</v>
      </c>
      <c r="N93" s="0" t="s">
        <v>357</v>
      </c>
      <c r="O93" s="0" t="n">
        <v>1</v>
      </c>
      <c r="P93" s="0" t="s">
        <v>28</v>
      </c>
      <c r="Q93" s="0" t="s">
        <v>358</v>
      </c>
      <c r="R93" s="3"/>
      <c r="S93" s="2" t="s">
        <v>30</v>
      </c>
    </row>
    <row r="94" customFormat="false" ht="15" hidden="false" customHeight="false" outlineLevel="0" collapsed="false">
      <c r="A94" s="0" t="n">
        <v>93</v>
      </c>
      <c r="D94" s="0" t="s">
        <v>359</v>
      </c>
      <c r="E94" s="0" t="s">
        <v>20</v>
      </c>
      <c r="F94" s="0" t="s">
        <v>360</v>
      </c>
      <c r="H94" s="0" t="s">
        <v>21</v>
      </c>
      <c r="I94" s="2" t="s">
        <v>22</v>
      </c>
      <c r="J94" s="2" t="s">
        <v>23</v>
      </c>
      <c r="K94" s="0" t="s">
        <v>326</v>
      </c>
      <c r="L94" s="0" t="s">
        <v>361</v>
      </c>
      <c r="M94" s="0" t="s">
        <v>327</v>
      </c>
      <c r="N94" s="0" t="s">
        <v>362</v>
      </c>
      <c r="O94" s="0" t="n">
        <v>1</v>
      </c>
      <c r="P94" s="0" t="s">
        <v>61</v>
      </c>
      <c r="Q94" s="0" t="s">
        <v>363</v>
      </c>
      <c r="R94" s="3" t="s">
        <v>364</v>
      </c>
      <c r="S94" s="2" t="s">
        <v>365</v>
      </c>
    </row>
    <row r="95" customFormat="false" ht="15" hidden="false" customHeight="false" outlineLevel="0" collapsed="false">
      <c r="A95" s="0" t="n">
        <v>94</v>
      </c>
      <c r="D95" s="0" t="s">
        <v>366</v>
      </c>
      <c r="E95" s="0" t="s">
        <v>20</v>
      </c>
      <c r="H95" s="0" t="s">
        <v>21</v>
      </c>
      <c r="I95" s="2" t="s">
        <v>22</v>
      </c>
      <c r="J95" s="2" t="s">
        <v>23</v>
      </c>
      <c r="K95" s="0" t="s">
        <v>326</v>
      </c>
      <c r="L95" s="0" t="s">
        <v>25</v>
      </c>
      <c r="M95" s="0" t="s">
        <v>327</v>
      </c>
      <c r="N95" s="0" t="s">
        <v>367</v>
      </c>
      <c r="O95" s="0" t="n">
        <v>1</v>
      </c>
      <c r="P95" s="0" t="s">
        <v>276</v>
      </c>
      <c r="Q95" s="0" t="s">
        <v>368</v>
      </c>
      <c r="R95" s="3"/>
      <c r="S95" s="2" t="s">
        <v>30</v>
      </c>
    </row>
    <row r="96" customFormat="false" ht="15" hidden="false" customHeight="false" outlineLevel="0" collapsed="false">
      <c r="A96" s="0" t="n">
        <v>95</v>
      </c>
      <c r="D96" s="0" t="s">
        <v>369</v>
      </c>
      <c r="E96" s="0" t="s">
        <v>20</v>
      </c>
      <c r="H96" s="0" t="s">
        <v>21</v>
      </c>
      <c r="I96" s="2" t="s">
        <v>22</v>
      </c>
      <c r="J96" s="2" t="s">
        <v>23</v>
      </c>
      <c r="K96" s="0" t="s">
        <v>326</v>
      </c>
      <c r="L96" s="0" t="s">
        <v>25</v>
      </c>
      <c r="M96" s="0" t="s">
        <v>327</v>
      </c>
      <c r="N96" s="0" t="s">
        <v>370</v>
      </c>
      <c r="O96" s="0" t="n">
        <v>1</v>
      </c>
      <c r="P96" s="0" t="s">
        <v>276</v>
      </c>
      <c r="Q96" s="0" t="s">
        <v>371</v>
      </c>
      <c r="R96" s="3"/>
      <c r="S96" s="2" t="s">
        <v>30</v>
      </c>
    </row>
    <row r="97" customFormat="false" ht="15" hidden="false" customHeight="false" outlineLevel="0" collapsed="false">
      <c r="A97" s="0" t="n">
        <v>96</v>
      </c>
      <c r="D97" s="0" t="s">
        <v>372</v>
      </c>
      <c r="E97" s="0" t="s">
        <v>20</v>
      </c>
      <c r="H97" s="0" t="s">
        <v>21</v>
      </c>
      <c r="I97" s="2" t="s">
        <v>22</v>
      </c>
      <c r="J97" s="2" t="s">
        <v>23</v>
      </c>
      <c r="K97" s="0" t="s">
        <v>326</v>
      </c>
      <c r="L97" s="0" t="s">
        <v>25</v>
      </c>
      <c r="M97" s="0" t="s">
        <v>327</v>
      </c>
      <c r="N97" s="0" t="s">
        <v>373</v>
      </c>
      <c r="O97" s="0" t="n">
        <v>1</v>
      </c>
      <c r="P97" s="0" t="s">
        <v>276</v>
      </c>
      <c r="Q97" s="0" t="s">
        <v>374</v>
      </c>
      <c r="R97" s="3"/>
      <c r="S97" s="2" t="s">
        <v>30</v>
      </c>
    </row>
    <row r="98" customFormat="false" ht="15" hidden="false" customHeight="false" outlineLevel="0" collapsed="false">
      <c r="A98" s="0" t="n">
        <v>97</v>
      </c>
      <c r="D98" s="0" t="s">
        <v>375</v>
      </c>
      <c r="E98" s="0" t="s">
        <v>20</v>
      </c>
      <c r="H98" s="0" t="s">
        <v>21</v>
      </c>
      <c r="I98" s="2" t="s">
        <v>22</v>
      </c>
      <c r="J98" s="2" t="s">
        <v>23</v>
      </c>
      <c r="K98" s="0" t="s">
        <v>326</v>
      </c>
      <c r="L98" s="0" t="s">
        <v>25</v>
      </c>
      <c r="M98" s="0" t="s">
        <v>327</v>
      </c>
      <c r="N98" s="0" t="s">
        <v>376</v>
      </c>
      <c r="O98" s="0" t="n">
        <v>1</v>
      </c>
      <c r="P98" s="0" t="s">
        <v>276</v>
      </c>
      <c r="Q98" s="0" t="s">
        <v>377</v>
      </c>
      <c r="R98" s="3"/>
      <c r="S98" s="2" t="s">
        <v>30</v>
      </c>
    </row>
    <row r="99" customFormat="false" ht="15" hidden="false" customHeight="false" outlineLevel="0" collapsed="false">
      <c r="A99" s="0" t="n">
        <v>98</v>
      </c>
      <c r="D99" s="0" t="s">
        <v>378</v>
      </c>
      <c r="E99" s="0" t="s">
        <v>20</v>
      </c>
      <c r="H99" s="0" t="s">
        <v>21</v>
      </c>
      <c r="I99" s="2" t="s">
        <v>22</v>
      </c>
      <c r="J99" s="2" t="s">
        <v>23</v>
      </c>
      <c r="K99" s="0" t="s">
        <v>326</v>
      </c>
      <c r="L99" s="0" t="s">
        <v>25</v>
      </c>
      <c r="M99" s="0" t="s">
        <v>327</v>
      </c>
      <c r="N99" s="0" t="s">
        <v>379</v>
      </c>
      <c r="O99" s="0" t="n">
        <v>1</v>
      </c>
      <c r="P99" s="0" t="s">
        <v>130</v>
      </c>
      <c r="Q99" s="0" t="s">
        <v>380</v>
      </c>
      <c r="R99" s="3"/>
      <c r="S99" s="2" t="s">
        <v>30</v>
      </c>
    </row>
    <row r="100" customFormat="false" ht="15" hidden="false" customHeight="false" outlineLevel="0" collapsed="false">
      <c r="A100" s="0" t="n">
        <v>99</v>
      </c>
      <c r="D100" s="0" t="s">
        <v>381</v>
      </c>
      <c r="E100" s="0" t="s">
        <v>20</v>
      </c>
      <c r="H100" s="0" t="s">
        <v>21</v>
      </c>
      <c r="I100" s="2" t="s">
        <v>22</v>
      </c>
      <c r="J100" s="2" t="s">
        <v>23</v>
      </c>
      <c r="K100" s="0" t="s">
        <v>326</v>
      </c>
      <c r="L100" s="0" t="s">
        <v>25</v>
      </c>
      <c r="M100" s="0" t="s">
        <v>327</v>
      </c>
      <c r="N100" s="0" t="s">
        <v>382</v>
      </c>
      <c r="O100" s="0" t="n">
        <v>1</v>
      </c>
      <c r="P100" s="0" t="s">
        <v>276</v>
      </c>
      <c r="Q100" s="0" t="s">
        <v>383</v>
      </c>
      <c r="R100" s="3"/>
      <c r="S100" s="2" t="s">
        <v>30</v>
      </c>
    </row>
    <row r="101" customFormat="false" ht="15" hidden="false" customHeight="false" outlineLevel="0" collapsed="false">
      <c r="A101" s="0" t="n">
        <v>100</v>
      </c>
      <c r="D101" s="0" t="s">
        <v>384</v>
      </c>
      <c r="E101" s="0" t="s">
        <v>20</v>
      </c>
      <c r="H101" s="0" t="s">
        <v>21</v>
      </c>
      <c r="I101" s="2" t="s">
        <v>22</v>
      </c>
      <c r="J101" s="2" t="s">
        <v>23</v>
      </c>
      <c r="K101" s="0" t="s">
        <v>326</v>
      </c>
      <c r="L101" s="0" t="s">
        <v>32</v>
      </c>
      <c r="M101" s="0" t="s">
        <v>327</v>
      </c>
      <c r="N101" s="0" t="s">
        <v>33</v>
      </c>
      <c r="O101" s="0" t="n">
        <v>0</v>
      </c>
      <c r="P101" s="0" t="s">
        <v>334</v>
      </c>
      <c r="Q101" s="0" t="s">
        <v>385</v>
      </c>
      <c r="R101" s="3"/>
      <c r="S101" s="2" t="s">
        <v>30</v>
      </c>
    </row>
    <row r="102" customFormat="false" ht="15" hidden="false" customHeight="false" outlineLevel="0" collapsed="false">
      <c r="A102" s="0" t="n">
        <v>101</v>
      </c>
      <c r="D102" s="0" t="s">
        <v>386</v>
      </c>
      <c r="E102" s="0" t="s">
        <v>20</v>
      </c>
      <c r="H102" s="0" t="s">
        <v>21</v>
      </c>
      <c r="I102" s="2" t="s">
        <v>22</v>
      </c>
      <c r="J102" s="2" t="s">
        <v>387</v>
      </c>
      <c r="K102" s="0" t="s">
        <v>388</v>
      </c>
      <c r="L102" s="0" t="s">
        <v>120</v>
      </c>
      <c r="M102" s="0" t="s">
        <v>389</v>
      </c>
      <c r="N102" s="0" t="s">
        <v>390</v>
      </c>
      <c r="O102" s="0" t="n">
        <v>2</v>
      </c>
      <c r="P102" s="0" t="s">
        <v>391</v>
      </c>
      <c r="Q102" s="0" t="s">
        <v>392</v>
      </c>
      <c r="R102" s="3"/>
      <c r="S102" s="2" t="s">
        <v>30</v>
      </c>
    </row>
    <row r="103" customFormat="false" ht="15" hidden="false" customHeight="false" outlineLevel="0" collapsed="false">
      <c r="A103" s="0" t="n">
        <v>102</v>
      </c>
      <c r="D103" s="0" t="s">
        <v>393</v>
      </c>
      <c r="E103" s="0" t="s">
        <v>20</v>
      </c>
      <c r="H103" s="0" t="s">
        <v>21</v>
      </c>
      <c r="I103" s="2" t="s">
        <v>22</v>
      </c>
      <c r="J103" s="2" t="s">
        <v>387</v>
      </c>
      <c r="K103" s="0" t="s">
        <v>388</v>
      </c>
      <c r="L103" s="0" t="s">
        <v>120</v>
      </c>
      <c r="M103" s="0" t="s">
        <v>389</v>
      </c>
      <c r="N103" s="0" t="s">
        <v>394</v>
      </c>
      <c r="O103" s="0" t="n">
        <v>2</v>
      </c>
      <c r="P103" s="0" t="s">
        <v>45</v>
      </c>
      <c r="Q103" s="0" t="s">
        <v>395</v>
      </c>
      <c r="R103" s="3"/>
      <c r="S103" s="2" t="s">
        <v>30</v>
      </c>
    </row>
    <row r="104" customFormat="false" ht="15" hidden="false" customHeight="false" outlineLevel="0" collapsed="false">
      <c r="A104" s="0" t="n">
        <v>103</v>
      </c>
      <c r="D104" s="0" t="s">
        <v>396</v>
      </c>
      <c r="E104" s="0" t="s">
        <v>20</v>
      </c>
      <c r="F104" s="0" t="s">
        <v>397</v>
      </c>
      <c r="H104" s="0" t="s">
        <v>21</v>
      </c>
      <c r="I104" s="2" t="s">
        <v>22</v>
      </c>
      <c r="J104" s="2" t="s">
        <v>387</v>
      </c>
      <c r="K104" s="0" t="s">
        <v>388</v>
      </c>
      <c r="L104" s="0" t="s">
        <v>398</v>
      </c>
      <c r="M104" s="0" t="s">
        <v>389</v>
      </c>
      <c r="N104" s="0" t="s">
        <v>399</v>
      </c>
      <c r="O104" s="0" t="n">
        <v>1</v>
      </c>
      <c r="P104" s="0" t="s">
        <v>186</v>
      </c>
      <c r="Q104" s="0" t="s">
        <v>400</v>
      </c>
      <c r="R104" s="3" t="s">
        <v>401</v>
      </c>
      <c r="S104" s="2" t="s">
        <v>402</v>
      </c>
    </row>
    <row r="105" customFormat="false" ht="15" hidden="false" customHeight="false" outlineLevel="0" collapsed="false">
      <c r="A105" s="0" t="n">
        <v>104</v>
      </c>
      <c r="D105" s="0" t="s">
        <v>403</v>
      </c>
      <c r="E105" s="0" t="s">
        <v>20</v>
      </c>
      <c r="H105" s="0" t="s">
        <v>21</v>
      </c>
      <c r="I105" s="2" t="s">
        <v>22</v>
      </c>
      <c r="J105" s="2" t="s">
        <v>387</v>
      </c>
      <c r="K105" s="0" t="s">
        <v>388</v>
      </c>
      <c r="L105" s="0" t="s">
        <v>25</v>
      </c>
      <c r="M105" s="0" t="s">
        <v>389</v>
      </c>
      <c r="N105" s="0" t="s">
        <v>404</v>
      </c>
      <c r="O105" s="0" t="n">
        <v>1</v>
      </c>
      <c r="P105" s="0" t="s">
        <v>45</v>
      </c>
      <c r="Q105" s="0" t="s">
        <v>405</v>
      </c>
      <c r="R105" s="3"/>
      <c r="S105" s="2" t="s">
        <v>30</v>
      </c>
    </row>
    <row r="106" customFormat="false" ht="15" hidden="false" customHeight="false" outlineLevel="0" collapsed="false">
      <c r="A106" s="0" t="n">
        <v>105</v>
      </c>
      <c r="D106" s="0" t="s">
        <v>406</v>
      </c>
      <c r="E106" s="0" t="s">
        <v>20</v>
      </c>
      <c r="H106" s="0" t="s">
        <v>21</v>
      </c>
      <c r="I106" s="2" t="s">
        <v>22</v>
      </c>
      <c r="J106" s="2" t="s">
        <v>387</v>
      </c>
      <c r="K106" s="0" t="s">
        <v>388</v>
      </c>
      <c r="L106" s="0" t="s">
        <v>25</v>
      </c>
      <c r="M106" s="0" t="s">
        <v>389</v>
      </c>
      <c r="N106" s="0" t="s">
        <v>407</v>
      </c>
      <c r="O106" s="0" t="n">
        <v>1</v>
      </c>
      <c r="P106" s="0" t="s">
        <v>49</v>
      </c>
      <c r="Q106" s="0" t="s">
        <v>408</v>
      </c>
      <c r="R106" s="3"/>
      <c r="S106" s="2" t="s">
        <v>30</v>
      </c>
    </row>
    <row r="107" customFormat="false" ht="15" hidden="false" customHeight="false" outlineLevel="0" collapsed="false">
      <c r="A107" s="0" t="n">
        <v>106</v>
      </c>
      <c r="D107" s="0" t="s">
        <v>409</v>
      </c>
      <c r="E107" s="0" t="s">
        <v>410</v>
      </c>
      <c r="H107" s="0" t="s">
        <v>21</v>
      </c>
      <c r="I107" s="2" t="s">
        <v>22</v>
      </c>
      <c r="J107" s="2" t="s">
        <v>387</v>
      </c>
      <c r="K107" s="0" t="s">
        <v>388</v>
      </c>
      <c r="L107" s="0" t="s">
        <v>25</v>
      </c>
      <c r="M107" s="0" t="s">
        <v>389</v>
      </c>
      <c r="N107" s="0" t="s">
        <v>411</v>
      </c>
      <c r="O107" s="0" t="n">
        <v>1</v>
      </c>
      <c r="P107" s="0" t="s">
        <v>49</v>
      </c>
      <c r="Q107" s="0" t="s">
        <v>412</v>
      </c>
      <c r="R107" s="3"/>
      <c r="S107" s="2" t="s">
        <v>30</v>
      </c>
    </row>
    <row r="108" customFormat="false" ht="15" hidden="false" customHeight="false" outlineLevel="0" collapsed="false">
      <c r="A108" s="0" t="n">
        <v>107</v>
      </c>
      <c r="D108" s="0" t="s">
        <v>413</v>
      </c>
      <c r="E108" s="0" t="s">
        <v>20</v>
      </c>
      <c r="H108" s="0" t="s">
        <v>21</v>
      </c>
      <c r="I108" s="2" t="s">
        <v>22</v>
      </c>
      <c r="J108" s="2" t="s">
        <v>387</v>
      </c>
      <c r="K108" s="0" t="s">
        <v>388</v>
      </c>
      <c r="L108" s="0" t="s">
        <v>25</v>
      </c>
      <c r="M108" s="0" t="s">
        <v>389</v>
      </c>
      <c r="N108" s="0" t="s">
        <v>414</v>
      </c>
      <c r="O108" s="0" t="n">
        <v>1</v>
      </c>
      <c r="P108" s="0" t="s">
        <v>45</v>
      </c>
      <c r="Q108" s="0" t="s">
        <v>415</v>
      </c>
      <c r="R108" s="3"/>
      <c r="S108" s="2" t="s">
        <v>30</v>
      </c>
    </row>
    <row r="109" customFormat="false" ht="15" hidden="false" customHeight="false" outlineLevel="0" collapsed="false">
      <c r="A109" s="0" t="n">
        <v>108</v>
      </c>
      <c r="D109" s="0" t="s">
        <v>416</v>
      </c>
      <c r="E109" s="0" t="s">
        <v>20</v>
      </c>
      <c r="H109" s="0" t="s">
        <v>21</v>
      </c>
      <c r="I109" s="2" t="s">
        <v>22</v>
      </c>
      <c r="J109" s="2" t="s">
        <v>387</v>
      </c>
      <c r="K109" s="0" t="s">
        <v>388</v>
      </c>
      <c r="L109" s="0" t="s">
        <v>25</v>
      </c>
      <c r="M109" s="0" t="s">
        <v>389</v>
      </c>
      <c r="N109" s="0" t="s">
        <v>417</v>
      </c>
      <c r="O109" s="0" t="n">
        <v>1</v>
      </c>
      <c r="P109" s="0" t="s">
        <v>49</v>
      </c>
      <c r="Q109" s="0" t="s">
        <v>418</v>
      </c>
      <c r="R109" s="3"/>
      <c r="S109" s="2" t="s">
        <v>30</v>
      </c>
    </row>
    <row r="110" customFormat="false" ht="15" hidden="false" customHeight="false" outlineLevel="0" collapsed="false">
      <c r="A110" s="0" t="n">
        <v>109</v>
      </c>
      <c r="D110" s="0" t="s">
        <v>419</v>
      </c>
      <c r="E110" s="0" t="s">
        <v>20</v>
      </c>
      <c r="H110" s="0" t="s">
        <v>21</v>
      </c>
      <c r="I110" s="2" t="s">
        <v>22</v>
      </c>
      <c r="J110" s="2" t="s">
        <v>387</v>
      </c>
      <c r="K110" s="0" t="s">
        <v>388</v>
      </c>
      <c r="L110" s="0" t="s">
        <v>25</v>
      </c>
      <c r="M110" s="0" t="s">
        <v>389</v>
      </c>
      <c r="N110" s="0" t="s">
        <v>420</v>
      </c>
      <c r="O110" s="0" t="n">
        <v>1</v>
      </c>
      <c r="P110" s="0" t="s">
        <v>421</v>
      </c>
      <c r="Q110" s="0" t="s">
        <v>422</v>
      </c>
      <c r="R110" s="3"/>
      <c r="S110" s="2" t="s">
        <v>30</v>
      </c>
    </row>
    <row r="111" customFormat="false" ht="15" hidden="false" customHeight="false" outlineLevel="0" collapsed="false">
      <c r="A111" s="0" t="n">
        <v>110</v>
      </c>
      <c r="D111" s="0" t="s">
        <v>423</v>
      </c>
      <c r="E111" s="0" t="s">
        <v>20</v>
      </c>
      <c r="H111" s="0" t="s">
        <v>21</v>
      </c>
      <c r="I111" s="2" t="s">
        <v>22</v>
      </c>
      <c r="J111" s="2" t="s">
        <v>387</v>
      </c>
      <c r="K111" s="0" t="s">
        <v>388</v>
      </c>
      <c r="L111" s="0" t="s">
        <v>25</v>
      </c>
      <c r="M111" s="0" t="s">
        <v>389</v>
      </c>
      <c r="N111" s="0" t="s">
        <v>424</v>
      </c>
      <c r="O111" s="0" t="n">
        <v>1</v>
      </c>
      <c r="P111" s="0" t="s">
        <v>130</v>
      </c>
      <c r="Q111" s="0" t="s">
        <v>425</v>
      </c>
      <c r="R111" s="3"/>
      <c r="S111" s="2" t="s">
        <v>30</v>
      </c>
    </row>
    <row r="112" customFormat="false" ht="15" hidden="false" customHeight="false" outlineLevel="0" collapsed="false">
      <c r="A112" s="0" t="n">
        <v>111</v>
      </c>
      <c r="D112" s="0" t="s">
        <v>426</v>
      </c>
      <c r="E112" s="0" t="s">
        <v>20</v>
      </c>
      <c r="H112" s="0" t="s">
        <v>21</v>
      </c>
      <c r="I112" s="2" t="s">
        <v>22</v>
      </c>
      <c r="J112" s="2" t="s">
        <v>387</v>
      </c>
      <c r="K112" s="0" t="s">
        <v>388</v>
      </c>
      <c r="L112" s="0" t="s">
        <v>25</v>
      </c>
      <c r="M112" s="0" t="s">
        <v>389</v>
      </c>
      <c r="N112" s="0" t="s">
        <v>427</v>
      </c>
      <c r="O112" s="0" t="n">
        <v>1</v>
      </c>
      <c r="P112" s="0" t="s">
        <v>126</v>
      </c>
      <c r="Q112" s="0" t="s">
        <v>428</v>
      </c>
      <c r="R112" s="3"/>
      <c r="S112" s="2" t="s">
        <v>30</v>
      </c>
    </row>
    <row r="113" customFormat="false" ht="15" hidden="false" customHeight="false" outlineLevel="0" collapsed="false">
      <c r="A113" s="0" t="n">
        <v>112</v>
      </c>
      <c r="D113" s="0" t="s">
        <v>429</v>
      </c>
      <c r="E113" s="0" t="s">
        <v>430</v>
      </c>
      <c r="H113" s="0" t="s">
        <v>21</v>
      </c>
      <c r="I113" s="2" t="s">
        <v>22</v>
      </c>
      <c r="J113" s="2" t="s">
        <v>387</v>
      </c>
      <c r="K113" s="0" t="s">
        <v>388</v>
      </c>
      <c r="L113" s="0" t="s">
        <v>25</v>
      </c>
      <c r="M113" s="0" t="s">
        <v>389</v>
      </c>
      <c r="N113" s="0" t="s">
        <v>431</v>
      </c>
      <c r="O113" s="0" t="n">
        <v>1</v>
      </c>
      <c r="P113" s="0" t="s">
        <v>432</v>
      </c>
      <c r="Q113" s="0" t="s">
        <v>433</v>
      </c>
      <c r="R113" s="3"/>
      <c r="S113" s="2" t="s">
        <v>30</v>
      </c>
    </row>
    <row r="114" customFormat="false" ht="15" hidden="false" customHeight="false" outlineLevel="0" collapsed="false">
      <c r="A114" s="0" t="n">
        <v>113</v>
      </c>
      <c r="D114" s="0" t="s">
        <v>434</v>
      </c>
      <c r="E114" s="0" t="s">
        <v>430</v>
      </c>
      <c r="H114" s="0" t="s">
        <v>21</v>
      </c>
      <c r="I114" s="2" t="s">
        <v>22</v>
      </c>
      <c r="J114" s="2" t="s">
        <v>387</v>
      </c>
      <c r="K114" s="0" t="s">
        <v>388</v>
      </c>
      <c r="L114" s="0" t="s">
        <v>25</v>
      </c>
      <c r="M114" s="0" t="s">
        <v>389</v>
      </c>
      <c r="N114" s="0" t="s">
        <v>435</v>
      </c>
      <c r="O114" s="0" t="n">
        <v>1</v>
      </c>
      <c r="P114" s="0" t="s">
        <v>45</v>
      </c>
      <c r="Q114" s="0" t="s">
        <v>436</v>
      </c>
      <c r="R114" s="3"/>
      <c r="S114" s="2" t="s">
        <v>30</v>
      </c>
    </row>
    <row r="115" customFormat="false" ht="15" hidden="false" customHeight="false" outlineLevel="0" collapsed="false">
      <c r="A115" s="0" t="n">
        <v>114</v>
      </c>
      <c r="D115" s="0" t="s">
        <v>437</v>
      </c>
      <c r="E115" s="0" t="s">
        <v>20</v>
      </c>
      <c r="H115" s="0" t="s">
        <v>21</v>
      </c>
      <c r="I115" s="2" t="s">
        <v>22</v>
      </c>
      <c r="J115" s="2" t="s">
        <v>387</v>
      </c>
      <c r="K115" s="0" t="s">
        <v>388</v>
      </c>
      <c r="L115" s="0" t="s">
        <v>25</v>
      </c>
      <c r="M115" s="0" t="s">
        <v>389</v>
      </c>
      <c r="N115" s="0" t="s">
        <v>438</v>
      </c>
      <c r="O115" s="0" t="n">
        <v>1</v>
      </c>
      <c r="P115" s="0" t="s">
        <v>130</v>
      </c>
      <c r="Q115" s="0" t="s">
        <v>439</v>
      </c>
      <c r="R115" s="3"/>
      <c r="S115" s="2" t="s">
        <v>30</v>
      </c>
    </row>
    <row r="116" customFormat="false" ht="15" hidden="false" customHeight="false" outlineLevel="0" collapsed="false">
      <c r="A116" s="0" t="n">
        <v>115</v>
      </c>
      <c r="D116" s="0" t="s">
        <v>440</v>
      </c>
      <c r="E116" s="0" t="s">
        <v>20</v>
      </c>
      <c r="H116" s="0" t="s">
        <v>21</v>
      </c>
      <c r="I116" s="2" t="s">
        <v>22</v>
      </c>
      <c r="J116" s="2" t="s">
        <v>387</v>
      </c>
      <c r="K116" s="0" t="s">
        <v>388</v>
      </c>
      <c r="L116" s="0" t="s">
        <v>25</v>
      </c>
      <c r="M116" s="0" t="s">
        <v>389</v>
      </c>
      <c r="N116" s="0" t="s">
        <v>441</v>
      </c>
      <c r="O116" s="0" t="n">
        <v>1</v>
      </c>
      <c r="P116" s="0" t="s">
        <v>130</v>
      </c>
      <c r="Q116" s="0" t="s">
        <v>442</v>
      </c>
      <c r="R116" s="3"/>
      <c r="S116" s="2" t="s">
        <v>30</v>
      </c>
    </row>
    <row r="117" customFormat="false" ht="15" hidden="false" customHeight="false" outlineLevel="0" collapsed="false">
      <c r="A117" s="0" t="n">
        <v>116</v>
      </c>
      <c r="D117" s="0" t="s">
        <v>443</v>
      </c>
      <c r="E117" s="0" t="s">
        <v>203</v>
      </c>
      <c r="H117" s="0" t="s">
        <v>21</v>
      </c>
      <c r="I117" s="2" t="s">
        <v>22</v>
      </c>
      <c r="J117" s="2" t="s">
        <v>387</v>
      </c>
      <c r="K117" s="0" t="s">
        <v>388</v>
      </c>
      <c r="L117" s="0" t="s">
        <v>25</v>
      </c>
      <c r="M117" s="0" t="s">
        <v>389</v>
      </c>
      <c r="N117" s="0" t="s">
        <v>444</v>
      </c>
      <c r="O117" s="0" t="n">
        <v>1</v>
      </c>
      <c r="P117" s="0" t="s">
        <v>45</v>
      </c>
      <c r="Q117" s="0" t="s">
        <v>445</v>
      </c>
      <c r="R117" s="3"/>
      <c r="S117" s="2" t="s">
        <v>30</v>
      </c>
    </row>
    <row r="118" customFormat="false" ht="15" hidden="false" customHeight="false" outlineLevel="0" collapsed="false">
      <c r="A118" s="0" t="n">
        <v>117</v>
      </c>
      <c r="D118" s="0" t="s">
        <v>446</v>
      </c>
      <c r="E118" s="0" t="s">
        <v>20</v>
      </c>
      <c r="H118" s="0" t="s">
        <v>21</v>
      </c>
      <c r="I118" s="2" t="s">
        <v>22</v>
      </c>
      <c r="J118" s="2" t="s">
        <v>387</v>
      </c>
      <c r="K118" s="0" t="s">
        <v>388</v>
      </c>
      <c r="L118" s="0" t="s">
        <v>25</v>
      </c>
      <c r="M118" s="0" t="s">
        <v>389</v>
      </c>
      <c r="N118" s="0" t="s">
        <v>447</v>
      </c>
      <c r="O118" s="0" t="n">
        <v>1</v>
      </c>
      <c r="P118" s="0" t="s">
        <v>130</v>
      </c>
      <c r="Q118" s="0" t="s">
        <v>448</v>
      </c>
      <c r="R118" s="3"/>
      <c r="S118" s="2" t="s">
        <v>30</v>
      </c>
    </row>
    <row r="119" customFormat="false" ht="15" hidden="false" customHeight="false" outlineLevel="0" collapsed="false">
      <c r="A119" s="0" t="n">
        <v>118</v>
      </c>
      <c r="D119" s="0" t="s">
        <v>449</v>
      </c>
      <c r="E119" s="0" t="s">
        <v>20</v>
      </c>
      <c r="H119" s="0" t="s">
        <v>21</v>
      </c>
      <c r="I119" s="2" t="s">
        <v>22</v>
      </c>
      <c r="J119" s="2" t="s">
        <v>387</v>
      </c>
      <c r="K119" s="0" t="s">
        <v>388</v>
      </c>
      <c r="L119" s="0" t="s">
        <v>25</v>
      </c>
      <c r="M119" s="0" t="s">
        <v>389</v>
      </c>
      <c r="N119" s="0" t="s">
        <v>450</v>
      </c>
      <c r="O119" s="0" t="n">
        <v>1</v>
      </c>
      <c r="P119" s="0" t="s">
        <v>45</v>
      </c>
      <c r="Q119" s="0" t="s">
        <v>451</v>
      </c>
      <c r="R119" s="3"/>
      <c r="S119" s="2" t="s">
        <v>30</v>
      </c>
    </row>
    <row r="120" customFormat="false" ht="15" hidden="false" customHeight="false" outlineLevel="0" collapsed="false">
      <c r="A120" s="0" t="n">
        <v>119</v>
      </c>
      <c r="D120" s="0" t="s">
        <v>452</v>
      </c>
      <c r="E120" s="0" t="s">
        <v>20</v>
      </c>
      <c r="H120" s="0" t="s">
        <v>21</v>
      </c>
      <c r="I120" s="2" t="s">
        <v>22</v>
      </c>
      <c r="J120" s="2" t="s">
        <v>387</v>
      </c>
      <c r="K120" s="0" t="s">
        <v>388</v>
      </c>
      <c r="L120" s="0" t="s">
        <v>25</v>
      </c>
      <c r="M120" s="0" t="s">
        <v>389</v>
      </c>
      <c r="N120" s="0" t="s">
        <v>453</v>
      </c>
      <c r="O120" s="0" t="n">
        <v>1</v>
      </c>
      <c r="P120" s="0" t="s">
        <v>45</v>
      </c>
      <c r="Q120" s="0" t="s">
        <v>454</v>
      </c>
      <c r="R120" s="3"/>
      <c r="S120" s="2" t="s">
        <v>30</v>
      </c>
    </row>
    <row r="121" customFormat="false" ht="15" hidden="false" customHeight="false" outlineLevel="0" collapsed="false">
      <c r="A121" s="0" t="n">
        <v>120</v>
      </c>
      <c r="D121" s="0" t="s">
        <v>455</v>
      </c>
      <c r="E121" s="0" t="s">
        <v>203</v>
      </c>
      <c r="H121" s="0" t="s">
        <v>21</v>
      </c>
      <c r="I121" s="2" t="s">
        <v>22</v>
      </c>
      <c r="J121" s="2" t="s">
        <v>387</v>
      </c>
      <c r="K121" s="0" t="s">
        <v>388</v>
      </c>
      <c r="L121" s="0" t="s">
        <v>25</v>
      </c>
      <c r="M121" s="0" t="s">
        <v>389</v>
      </c>
      <c r="N121" s="0" t="s">
        <v>456</v>
      </c>
      <c r="O121" s="0" t="n">
        <v>1</v>
      </c>
      <c r="P121" s="0" t="s">
        <v>457</v>
      </c>
      <c r="Q121" s="0" t="s">
        <v>458</v>
      </c>
      <c r="R121" s="3"/>
      <c r="S121" s="2" t="s">
        <v>30</v>
      </c>
    </row>
    <row r="122" customFormat="false" ht="15" hidden="false" customHeight="false" outlineLevel="0" collapsed="false">
      <c r="A122" s="0" t="n">
        <v>121</v>
      </c>
      <c r="D122" s="0" t="s">
        <v>459</v>
      </c>
      <c r="E122" s="0" t="s">
        <v>181</v>
      </c>
      <c r="H122" s="0" t="s">
        <v>21</v>
      </c>
      <c r="I122" s="2" t="s">
        <v>22</v>
      </c>
      <c r="J122" s="2" t="s">
        <v>387</v>
      </c>
      <c r="K122" s="0" t="s">
        <v>388</v>
      </c>
      <c r="L122" s="0" t="s">
        <v>25</v>
      </c>
      <c r="M122" s="0" t="s">
        <v>389</v>
      </c>
      <c r="N122" s="0" t="s">
        <v>460</v>
      </c>
      <c r="O122" s="0" t="n">
        <v>1</v>
      </c>
      <c r="P122" s="0" t="s">
        <v>45</v>
      </c>
      <c r="Q122" s="0" t="s">
        <v>461</v>
      </c>
      <c r="R122" s="3"/>
      <c r="S122" s="2" t="s">
        <v>30</v>
      </c>
    </row>
    <row r="123" customFormat="false" ht="15" hidden="false" customHeight="false" outlineLevel="0" collapsed="false">
      <c r="A123" s="0" t="n">
        <v>122</v>
      </c>
      <c r="D123" s="0" t="s">
        <v>462</v>
      </c>
      <c r="E123" s="0" t="s">
        <v>203</v>
      </c>
      <c r="H123" s="0" t="s">
        <v>21</v>
      </c>
      <c r="I123" s="2" t="s">
        <v>22</v>
      </c>
      <c r="J123" s="2" t="s">
        <v>387</v>
      </c>
      <c r="K123" s="0" t="s">
        <v>388</v>
      </c>
      <c r="L123" s="0" t="s">
        <v>25</v>
      </c>
      <c r="M123" s="0" t="s">
        <v>389</v>
      </c>
      <c r="N123" s="0" t="s">
        <v>463</v>
      </c>
      <c r="O123" s="0" t="n">
        <v>1</v>
      </c>
      <c r="P123" s="0" t="s">
        <v>57</v>
      </c>
      <c r="Q123" s="0" t="s">
        <v>464</v>
      </c>
      <c r="R123" s="3"/>
      <c r="S123" s="2" t="s">
        <v>30</v>
      </c>
    </row>
    <row r="124" customFormat="false" ht="15" hidden="false" customHeight="false" outlineLevel="0" collapsed="false">
      <c r="A124" s="0" t="n">
        <v>123</v>
      </c>
      <c r="D124" s="0" t="s">
        <v>465</v>
      </c>
      <c r="E124" s="0" t="s">
        <v>203</v>
      </c>
      <c r="H124" s="0" t="s">
        <v>21</v>
      </c>
      <c r="I124" s="2" t="s">
        <v>22</v>
      </c>
      <c r="J124" s="2" t="s">
        <v>387</v>
      </c>
      <c r="K124" s="0" t="s">
        <v>388</v>
      </c>
      <c r="L124" s="0" t="s">
        <v>25</v>
      </c>
      <c r="M124" s="0" t="s">
        <v>389</v>
      </c>
      <c r="N124" s="0" t="s">
        <v>466</v>
      </c>
      <c r="O124" s="0" t="n">
        <v>1</v>
      </c>
      <c r="P124" s="0" t="s">
        <v>49</v>
      </c>
      <c r="Q124" s="0" t="s">
        <v>467</v>
      </c>
      <c r="R124" s="3"/>
      <c r="S124" s="2" t="s">
        <v>30</v>
      </c>
    </row>
    <row r="125" customFormat="false" ht="15" hidden="false" customHeight="false" outlineLevel="0" collapsed="false">
      <c r="A125" s="0" t="n">
        <v>124</v>
      </c>
      <c r="D125" s="0" t="s">
        <v>468</v>
      </c>
      <c r="E125" s="0" t="s">
        <v>20</v>
      </c>
      <c r="H125" s="0" t="s">
        <v>21</v>
      </c>
      <c r="I125" s="2" t="s">
        <v>22</v>
      </c>
      <c r="J125" s="2" t="s">
        <v>387</v>
      </c>
      <c r="K125" s="0" t="s">
        <v>388</v>
      </c>
      <c r="L125" s="0" t="s">
        <v>25</v>
      </c>
      <c r="M125" s="0" t="s">
        <v>389</v>
      </c>
      <c r="N125" s="0" t="s">
        <v>469</v>
      </c>
      <c r="O125" s="0" t="n">
        <v>1</v>
      </c>
      <c r="P125" s="0" t="s">
        <v>49</v>
      </c>
      <c r="Q125" s="0" t="s">
        <v>470</v>
      </c>
      <c r="R125" s="3"/>
      <c r="S125" s="2" t="s">
        <v>30</v>
      </c>
    </row>
    <row r="126" customFormat="false" ht="15" hidden="false" customHeight="false" outlineLevel="0" collapsed="false">
      <c r="A126" s="0" t="n">
        <v>125</v>
      </c>
      <c r="D126" s="0" t="s">
        <v>471</v>
      </c>
      <c r="E126" s="0" t="s">
        <v>20</v>
      </c>
      <c r="H126" s="0" t="s">
        <v>21</v>
      </c>
      <c r="I126" s="2" t="s">
        <v>22</v>
      </c>
      <c r="J126" s="2" t="s">
        <v>387</v>
      </c>
      <c r="K126" s="0" t="s">
        <v>388</v>
      </c>
      <c r="L126" s="0" t="s">
        <v>25</v>
      </c>
      <c r="M126" s="0" t="s">
        <v>389</v>
      </c>
      <c r="N126" s="0" t="s">
        <v>472</v>
      </c>
      <c r="O126" s="0" t="n">
        <v>1</v>
      </c>
      <c r="P126" s="0" t="s">
        <v>65</v>
      </c>
      <c r="Q126" s="0" t="s">
        <v>473</v>
      </c>
      <c r="R126" s="3"/>
      <c r="S126" s="2" t="s">
        <v>30</v>
      </c>
    </row>
    <row r="127" customFormat="false" ht="15" hidden="false" customHeight="false" outlineLevel="0" collapsed="false">
      <c r="A127" s="0" t="n">
        <v>126</v>
      </c>
      <c r="D127" s="0" t="s">
        <v>474</v>
      </c>
      <c r="E127" s="0" t="s">
        <v>20</v>
      </c>
      <c r="H127" s="0" t="s">
        <v>21</v>
      </c>
      <c r="I127" s="2" t="s">
        <v>22</v>
      </c>
      <c r="J127" s="2" t="s">
        <v>387</v>
      </c>
      <c r="K127" s="0" t="s">
        <v>388</v>
      </c>
      <c r="L127" s="0" t="s">
        <v>25</v>
      </c>
      <c r="M127" s="0" t="s">
        <v>389</v>
      </c>
      <c r="N127" s="0" t="s">
        <v>475</v>
      </c>
      <c r="O127" s="0" t="n">
        <v>1</v>
      </c>
      <c r="P127" s="0" t="s">
        <v>421</v>
      </c>
      <c r="Q127" s="0" t="s">
        <v>476</v>
      </c>
      <c r="R127" s="3"/>
      <c r="S127" s="2" t="s">
        <v>30</v>
      </c>
    </row>
    <row r="128" customFormat="false" ht="15" hidden="false" customHeight="false" outlineLevel="0" collapsed="false">
      <c r="A128" s="0" t="n">
        <v>127</v>
      </c>
      <c r="D128" s="0" t="s">
        <v>477</v>
      </c>
      <c r="E128" s="0" t="s">
        <v>20</v>
      </c>
      <c r="H128" s="0" t="s">
        <v>21</v>
      </c>
      <c r="I128" s="2" t="s">
        <v>22</v>
      </c>
      <c r="J128" s="2" t="s">
        <v>387</v>
      </c>
      <c r="K128" s="0" t="s">
        <v>388</v>
      </c>
      <c r="L128" s="0" t="s">
        <v>25</v>
      </c>
      <c r="M128" s="0" t="s">
        <v>389</v>
      </c>
      <c r="N128" s="0" t="s">
        <v>478</v>
      </c>
      <c r="O128" s="0" t="n">
        <v>1</v>
      </c>
      <c r="P128" s="0" t="s">
        <v>479</v>
      </c>
      <c r="Q128" s="0" t="s">
        <v>480</v>
      </c>
      <c r="R128" s="3"/>
      <c r="S128" s="2" t="s">
        <v>30</v>
      </c>
    </row>
    <row r="129" customFormat="false" ht="15" hidden="false" customHeight="false" outlineLevel="0" collapsed="false">
      <c r="A129" s="0" t="n">
        <v>128</v>
      </c>
      <c r="D129" s="0" t="s">
        <v>481</v>
      </c>
      <c r="E129" s="0" t="s">
        <v>20</v>
      </c>
      <c r="H129" s="0" t="s">
        <v>21</v>
      </c>
      <c r="I129" s="2" t="s">
        <v>22</v>
      </c>
      <c r="J129" s="2" t="s">
        <v>387</v>
      </c>
      <c r="K129" s="0" t="s">
        <v>388</v>
      </c>
      <c r="L129" s="0" t="s">
        <v>25</v>
      </c>
      <c r="M129" s="0" t="s">
        <v>389</v>
      </c>
      <c r="N129" s="0" t="s">
        <v>482</v>
      </c>
      <c r="O129" s="0" t="n">
        <v>1</v>
      </c>
      <c r="P129" s="0" t="s">
        <v>479</v>
      </c>
      <c r="Q129" s="0" t="s">
        <v>483</v>
      </c>
      <c r="R129" s="3"/>
      <c r="S129" s="2" t="s">
        <v>30</v>
      </c>
    </row>
    <row r="130" customFormat="false" ht="15" hidden="false" customHeight="false" outlineLevel="0" collapsed="false">
      <c r="A130" s="0" t="n">
        <v>129</v>
      </c>
      <c r="D130" s="0" t="s">
        <v>484</v>
      </c>
      <c r="E130" s="0" t="s">
        <v>20</v>
      </c>
      <c r="H130" s="0" t="s">
        <v>21</v>
      </c>
      <c r="I130" s="2" t="s">
        <v>22</v>
      </c>
      <c r="J130" s="2" t="s">
        <v>387</v>
      </c>
      <c r="K130" s="0" t="s">
        <v>485</v>
      </c>
      <c r="L130" s="0" t="s">
        <v>486</v>
      </c>
      <c r="M130" s="0" t="s">
        <v>487</v>
      </c>
      <c r="N130" s="0" t="s">
        <v>488</v>
      </c>
      <c r="O130" s="0" t="n">
        <v>2</v>
      </c>
      <c r="P130" s="0" t="s">
        <v>489</v>
      </c>
      <c r="Q130" s="0" t="s">
        <v>490</v>
      </c>
      <c r="R130" s="3"/>
      <c r="S130" s="2" t="s">
        <v>491</v>
      </c>
    </row>
    <row r="131" customFormat="false" ht="15" hidden="false" customHeight="false" outlineLevel="0" collapsed="false">
      <c r="A131" s="0" t="n">
        <v>130</v>
      </c>
      <c r="D131" s="0" t="s">
        <v>492</v>
      </c>
      <c r="E131" s="0" t="s">
        <v>20</v>
      </c>
      <c r="H131" s="0" t="s">
        <v>21</v>
      </c>
      <c r="I131" s="2" t="s">
        <v>22</v>
      </c>
      <c r="J131" s="2" t="s">
        <v>387</v>
      </c>
      <c r="K131" s="0" t="s">
        <v>485</v>
      </c>
      <c r="L131" s="0" t="s">
        <v>25</v>
      </c>
      <c r="M131" s="0" t="s">
        <v>487</v>
      </c>
      <c r="N131" s="0" t="s">
        <v>493</v>
      </c>
      <c r="O131" s="0" t="n">
        <v>1</v>
      </c>
      <c r="P131" s="0" t="s">
        <v>479</v>
      </c>
      <c r="Q131" s="0" t="s">
        <v>494</v>
      </c>
      <c r="R131" s="3"/>
      <c r="S131" s="2" t="s">
        <v>30</v>
      </c>
    </row>
    <row r="132" customFormat="false" ht="15" hidden="false" customHeight="false" outlineLevel="0" collapsed="false">
      <c r="A132" s="0" t="n">
        <v>131</v>
      </c>
      <c r="D132" s="0" t="s">
        <v>495</v>
      </c>
      <c r="E132" s="0" t="s">
        <v>20</v>
      </c>
      <c r="H132" s="0" t="s">
        <v>21</v>
      </c>
      <c r="I132" s="2" t="s">
        <v>22</v>
      </c>
      <c r="J132" s="2" t="s">
        <v>387</v>
      </c>
      <c r="K132" s="0" t="s">
        <v>485</v>
      </c>
      <c r="L132" s="0" t="s">
        <v>496</v>
      </c>
      <c r="M132" s="0" t="s">
        <v>487</v>
      </c>
      <c r="N132" s="0" t="s">
        <v>497</v>
      </c>
      <c r="O132" s="0" t="n">
        <v>1</v>
      </c>
      <c r="P132" s="0" t="s">
        <v>108</v>
      </c>
      <c r="Q132" s="0" t="s">
        <v>498</v>
      </c>
      <c r="R132" s="3"/>
      <c r="S132" s="2" t="s">
        <v>499</v>
      </c>
    </row>
    <row r="133" customFormat="false" ht="15" hidden="false" customHeight="false" outlineLevel="0" collapsed="false">
      <c r="A133" s="0" t="n">
        <v>132</v>
      </c>
      <c r="D133" s="0" t="s">
        <v>500</v>
      </c>
      <c r="E133" s="0" t="s">
        <v>20</v>
      </c>
      <c r="H133" s="0" t="s">
        <v>21</v>
      </c>
      <c r="I133" s="2" t="s">
        <v>22</v>
      </c>
      <c r="J133" s="2" t="s">
        <v>387</v>
      </c>
      <c r="K133" s="0" t="s">
        <v>485</v>
      </c>
      <c r="L133" s="0" t="s">
        <v>501</v>
      </c>
      <c r="M133" s="0" t="s">
        <v>487</v>
      </c>
      <c r="N133" s="0" t="s">
        <v>502</v>
      </c>
      <c r="O133" s="0" t="n">
        <v>1</v>
      </c>
      <c r="P133" s="0" t="s">
        <v>276</v>
      </c>
      <c r="Q133" s="0" t="s">
        <v>503</v>
      </c>
      <c r="R133" s="3"/>
      <c r="S133" s="2" t="s">
        <v>504</v>
      </c>
    </row>
    <row r="134" customFormat="false" ht="15" hidden="false" customHeight="false" outlineLevel="0" collapsed="false">
      <c r="A134" s="0" t="n">
        <v>133</v>
      </c>
      <c r="D134" s="0" t="s">
        <v>505</v>
      </c>
      <c r="E134" s="0" t="s">
        <v>20</v>
      </c>
      <c r="H134" s="0" t="s">
        <v>21</v>
      </c>
      <c r="I134" s="2" t="s">
        <v>22</v>
      </c>
      <c r="J134" s="2" t="s">
        <v>387</v>
      </c>
      <c r="K134" s="0" t="s">
        <v>485</v>
      </c>
      <c r="L134" s="0" t="s">
        <v>25</v>
      </c>
      <c r="M134" s="0" t="s">
        <v>487</v>
      </c>
      <c r="N134" s="0" t="s">
        <v>506</v>
      </c>
      <c r="O134" s="0" t="n">
        <v>1</v>
      </c>
      <c r="P134" s="0" t="s">
        <v>507</v>
      </c>
      <c r="Q134" s="0" t="s">
        <v>508</v>
      </c>
      <c r="R134" s="3"/>
      <c r="S134" s="2" t="s">
        <v>30</v>
      </c>
    </row>
    <row r="135" customFormat="false" ht="15" hidden="false" customHeight="false" outlineLevel="0" collapsed="false">
      <c r="A135" s="0" t="n">
        <v>134</v>
      </c>
      <c r="D135" s="0" t="s">
        <v>509</v>
      </c>
      <c r="E135" s="0" t="s">
        <v>20</v>
      </c>
      <c r="H135" s="0" t="s">
        <v>21</v>
      </c>
      <c r="I135" s="2" t="s">
        <v>22</v>
      </c>
      <c r="J135" s="2" t="s">
        <v>387</v>
      </c>
      <c r="K135" s="0" t="s">
        <v>485</v>
      </c>
      <c r="L135" s="0" t="s">
        <v>25</v>
      </c>
      <c r="M135" s="0" t="s">
        <v>487</v>
      </c>
      <c r="N135" s="0" t="s">
        <v>510</v>
      </c>
      <c r="O135" s="0" t="n">
        <v>1</v>
      </c>
      <c r="P135" s="0" t="s">
        <v>108</v>
      </c>
      <c r="Q135" s="0" t="s">
        <v>511</v>
      </c>
      <c r="R135" s="3"/>
      <c r="S135" s="2" t="s">
        <v>30</v>
      </c>
    </row>
    <row r="136" customFormat="false" ht="15" hidden="false" customHeight="false" outlineLevel="0" collapsed="false">
      <c r="A136" s="0" t="n">
        <v>135</v>
      </c>
      <c r="D136" s="0" t="s">
        <v>512</v>
      </c>
      <c r="E136" s="0" t="s">
        <v>20</v>
      </c>
      <c r="H136" s="0" t="s">
        <v>21</v>
      </c>
      <c r="I136" s="2" t="s">
        <v>22</v>
      </c>
      <c r="J136" s="2" t="s">
        <v>387</v>
      </c>
      <c r="K136" s="0" t="s">
        <v>485</v>
      </c>
      <c r="L136" s="0" t="s">
        <v>513</v>
      </c>
      <c r="M136" s="0" t="s">
        <v>487</v>
      </c>
      <c r="N136" s="0" t="s">
        <v>514</v>
      </c>
      <c r="O136" s="0" t="n">
        <v>1</v>
      </c>
      <c r="P136" s="0" t="s">
        <v>108</v>
      </c>
      <c r="Q136" s="0" t="s">
        <v>515</v>
      </c>
      <c r="R136" s="3"/>
      <c r="S136" s="2" t="s">
        <v>516</v>
      </c>
    </row>
    <row r="137" customFormat="false" ht="15" hidden="false" customHeight="false" outlineLevel="0" collapsed="false">
      <c r="A137" s="0" t="n">
        <v>136</v>
      </c>
      <c r="D137" s="0" t="s">
        <v>517</v>
      </c>
      <c r="E137" s="0" t="s">
        <v>20</v>
      </c>
      <c r="H137" s="0" t="s">
        <v>21</v>
      </c>
      <c r="I137" s="2" t="s">
        <v>22</v>
      </c>
      <c r="J137" s="2" t="s">
        <v>387</v>
      </c>
      <c r="K137" s="0" t="s">
        <v>485</v>
      </c>
      <c r="L137" s="0" t="s">
        <v>25</v>
      </c>
      <c r="M137" s="0" t="s">
        <v>487</v>
      </c>
      <c r="N137" s="0" t="s">
        <v>518</v>
      </c>
      <c r="O137" s="0" t="n">
        <v>1</v>
      </c>
      <c r="P137" s="0" t="s">
        <v>108</v>
      </c>
      <c r="Q137" s="0" t="s">
        <v>519</v>
      </c>
      <c r="R137" s="3"/>
      <c r="S137" s="2" t="s">
        <v>30</v>
      </c>
    </row>
    <row r="138" customFormat="false" ht="15" hidden="false" customHeight="false" outlineLevel="0" collapsed="false">
      <c r="A138" s="0" t="n">
        <v>137</v>
      </c>
      <c r="D138" s="0" t="s">
        <v>520</v>
      </c>
      <c r="E138" s="0" t="s">
        <v>20</v>
      </c>
      <c r="H138" s="0" t="s">
        <v>21</v>
      </c>
      <c r="I138" s="2" t="s">
        <v>22</v>
      </c>
      <c r="J138" s="2" t="s">
        <v>387</v>
      </c>
      <c r="K138" s="0" t="s">
        <v>485</v>
      </c>
      <c r="L138" s="0" t="s">
        <v>521</v>
      </c>
      <c r="M138" s="0" t="s">
        <v>487</v>
      </c>
      <c r="N138" s="0" t="s">
        <v>522</v>
      </c>
      <c r="O138" s="0" t="n">
        <v>1</v>
      </c>
      <c r="P138" s="0" t="s">
        <v>108</v>
      </c>
      <c r="Q138" s="0" t="s">
        <v>523</v>
      </c>
      <c r="R138" s="3"/>
      <c r="S138" s="2" t="s">
        <v>524</v>
      </c>
    </row>
    <row r="139" customFormat="false" ht="15" hidden="false" customHeight="false" outlineLevel="0" collapsed="false">
      <c r="A139" s="0" t="n">
        <v>138</v>
      </c>
      <c r="D139" s="0" t="s">
        <v>525</v>
      </c>
      <c r="E139" s="0" t="s">
        <v>20</v>
      </c>
      <c r="H139" s="0" t="s">
        <v>21</v>
      </c>
      <c r="I139" s="2" t="s">
        <v>22</v>
      </c>
      <c r="J139" s="2" t="s">
        <v>387</v>
      </c>
      <c r="K139" s="0" t="s">
        <v>485</v>
      </c>
      <c r="L139" s="0" t="s">
        <v>25</v>
      </c>
      <c r="M139" s="0" t="s">
        <v>487</v>
      </c>
      <c r="N139" s="0" t="s">
        <v>526</v>
      </c>
      <c r="O139" s="0" t="n">
        <v>1</v>
      </c>
      <c r="P139" s="0" t="s">
        <v>108</v>
      </c>
      <c r="Q139" s="0" t="s">
        <v>527</v>
      </c>
      <c r="R139" s="3"/>
      <c r="S139" s="2" t="s">
        <v>30</v>
      </c>
    </row>
    <row r="140" customFormat="false" ht="15" hidden="false" customHeight="false" outlineLevel="0" collapsed="false">
      <c r="A140" s="0" t="n">
        <v>139</v>
      </c>
      <c r="D140" s="0" t="s">
        <v>528</v>
      </c>
      <c r="E140" s="0" t="s">
        <v>430</v>
      </c>
      <c r="H140" s="0" t="s">
        <v>21</v>
      </c>
      <c r="I140" s="2" t="s">
        <v>22</v>
      </c>
      <c r="J140" s="2" t="s">
        <v>387</v>
      </c>
      <c r="K140" s="0" t="s">
        <v>485</v>
      </c>
      <c r="L140" s="0" t="s">
        <v>25</v>
      </c>
      <c r="M140" s="0" t="s">
        <v>487</v>
      </c>
      <c r="N140" s="0" t="s">
        <v>529</v>
      </c>
      <c r="O140" s="0" t="n">
        <v>1</v>
      </c>
      <c r="P140" s="0" t="s">
        <v>489</v>
      </c>
      <c r="Q140" s="0" t="s">
        <v>530</v>
      </c>
      <c r="R140" s="3"/>
      <c r="S140" s="2" t="s">
        <v>30</v>
      </c>
    </row>
    <row r="141" customFormat="false" ht="15" hidden="false" customHeight="false" outlineLevel="0" collapsed="false">
      <c r="A141" s="0" t="n">
        <v>140</v>
      </c>
      <c r="D141" s="0" t="s">
        <v>531</v>
      </c>
      <c r="E141" s="0" t="s">
        <v>20</v>
      </c>
      <c r="H141" s="0" t="s">
        <v>21</v>
      </c>
      <c r="I141" s="2" t="s">
        <v>22</v>
      </c>
      <c r="J141" s="2" t="s">
        <v>387</v>
      </c>
      <c r="K141" s="0" t="s">
        <v>485</v>
      </c>
      <c r="L141" s="0" t="s">
        <v>532</v>
      </c>
      <c r="M141" s="0" t="s">
        <v>487</v>
      </c>
      <c r="N141" s="0" t="s">
        <v>533</v>
      </c>
      <c r="O141" s="0" t="n">
        <v>1</v>
      </c>
      <c r="P141" s="0" t="s">
        <v>108</v>
      </c>
      <c r="Q141" s="0" t="s">
        <v>534</v>
      </c>
      <c r="R141" s="3"/>
      <c r="S141" s="2" t="s">
        <v>535</v>
      </c>
    </row>
    <row r="142" customFormat="false" ht="15" hidden="false" customHeight="false" outlineLevel="0" collapsed="false">
      <c r="A142" s="0" t="n">
        <v>141</v>
      </c>
      <c r="D142" s="0" t="s">
        <v>536</v>
      </c>
      <c r="E142" s="0" t="s">
        <v>20</v>
      </c>
      <c r="H142" s="0" t="s">
        <v>21</v>
      </c>
      <c r="I142" s="2" t="s">
        <v>22</v>
      </c>
      <c r="J142" s="2" t="s">
        <v>387</v>
      </c>
      <c r="K142" s="0" t="s">
        <v>485</v>
      </c>
      <c r="L142" s="0" t="s">
        <v>25</v>
      </c>
      <c r="M142" s="0" t="s">
        <v>487</v>
      </c>
      <c r="N142" s="0" t="s">
        <v>537</v>
      </c>
      <c r="O142" s="0" t="n">
        <v>1</v>
      </c>
      <c r="P142" s="0" t="s">
        <v>108</v>
      </c>
      <c r="Q142" s="0" t="s">
        <v>538</v>
      </c>
      <c r="R142" s="3"/>
      <c r="S142" s="2" t="s">
        <v>30</v>
      </c>
    </row>
    <row r="143" customFormat="false" ht="15" hidden="false" customHeight="false" outlineLevel="0" collapsed="false">
      <c r="A143" s="0" t="n">
        <v>142</v>
      </c>
      <c r="D143" s="0" t="s">
        <v>539</v>
      </c>
      <c r="E143" s="0" t="s">
        <v>20</v>
      </c>
      <c r="H143" s="0" t="s">
        <v>21</v>
      </c>
      <c r="I143" s="2" t="s">
        <v>22</v>
      </c>
      <c r="J143" s="2" t="s">
        <v>387</v>
      </c>
      <c r="K143" s="0" t="s">
        <v>485</v>
      </c>
      <c r="L143" s="0" t="s">
        <v>540</v>
      </c>
      <c r="M143" s="0" t="s">
        <v>487</v>
      </c>
      <c r="N143" s="0" t="s">
        <v>541</v>
      </c>
      <c r="O143" s="0" t="n">
        <v>1</v>
      </c>
      <c r="P143" s="0" t="s">
        <v>130</v>
      </c>
      <c r="Q143" s="0" t="s">
        <v>542</v>
      </c>
      <c r="R143" s="3"/>
      <c r="S143" s="2" t="s">
        <v>543</v>
      </c>
    </row>
    <row r="144" customFormat="false" ht="15" hidden="false" customHeight="false" outlineLevel="0" collapsed="false">
      <c r="A144" s="0" t="n">
        <v>143</v>
      </c>
      <c r="D144" s="0" t="s">
        <v>544</v>
      </c>
      <c r="E144" s="0" t="s">
        <v>20</v>
      </c>
      <c r="H144" s="0" t="s">
        <v>21</v>
      </c>
      <c r="I144" s="2" t="s">
        <v>22</v>
      </c>
      <c r="J144" s="2" t="s">
        <v>387</v>
      </c>
      <c r="K144" s="0" t="s">
        <v>485</v>
      </c>
      <c r="L144" s="0" t="s">
        <v>32</v>
      </c>
      <c r="M144" s="0" t="s">
        <v>487</v>
      </c>
      <c r="N144" s="0" t="s">
        <v>33</v>
      </c>
      <c r="O144" s="0" t="n">
        <v>0</v>
      </c>
      <c r="P144" s="0" t="s">
        <v>489</v>
      </c>
      <c r="Q144" s="0" t="s">
        <v>545</v>
      </c>
      <c r="R144" s="3"/>
      <c r="S144" s="2" t="s">
        <v>30</v>
      </c>
    </row>
    <row r="145" customFormat="false" ht="15" hidden="false" customHeight="false" outlineLevel="0" collapsed="false">
      <c r="A145" s="0" t="n">
        <v>144</v>
      </c>
      <c r="D145" s="0" t="s">
        <v>546</v>
      </c>
      <c r="E145" s="0" t="s">
        <v>20</v>
      </c>
      <c r="H145" s="0" t="s">
        <v>21</v>
      </c>
      <c r="I145" s="2" t="s">
        <v>22</v>
      </c>
      <c r="J145" s="2" t="s">
        <v>387</v>
      </c>
      <c r="K145" s="0" t="s">
        <v>547</v>
      </c>
      <c r="L145" s="0" t="s">
        <v>25</v>
      </c>
      <c r="M145" s="0" t="s">
        <v>548</v>
      </c>
      <c r="N145" s="0" t="s">
        <v>549</v>
      </c>
      <c r="O145" s="0" t="n">
        <v>1</v>
      </c>
      <c r="P145" s="0" t="s">
        <v>61</v>
      </c>
      <c r="Q145" s="0" t="s">
        <v>550</v>
      </c>
      <c r="R145" s="3"/>
      <c r="S145" s="2" t="s">
        <v>30</v>
      </c>
    </row>
    <row r="146" customFormat="false" ht="15" hidden="false" customHeight="false" outlineLevel="0" collapsed="false">
      <c r="A146" s="0" t="n">
        <v>145</v>
      </c>
      <c r="D146" s="0" t="s">
        <v>551</v>
      </c>
      <c r="E146" s="0" t="s">
        <v>20</v>
      </c>
      <c r="H146" s="0" t="s">
        <v>21</v>
      </c>
      <c r="I146" s="2" t="s">
        <v>22</v>
      </c>
      <c r="J146" s="2" t="s">
        <v>387</v>
      </c>
      <c r="K146" s="0" t="s">
        <v>547</v>
      </c>
      <c r="L146" s="0" t="s">
        <v>25</v>
      </c>
      <c r="M146" s="0" t="s">
        <v>548</v>
      </c>
      <c r="N146" s="0" t="s">
        <v>552</v>
      </c>
      <c r="O146" s="0" t="n">
        <v>1</v>
      </c>
      <c r="P146" s="0" t="s">
        <v>108</v>
      </c>
      <c r="Q146" s="0" t="s">
        <v>553</v>
      </c>
      <c r="R146" s="3"/>
      <c r="S146" s="2" t="s">
        <v>30</v>
      </c>
    </row>
    <row r="147" customFormat="false" ht="15" hidden="false" customHeight="false" outlineLevel="0" collapsed="false">
      <c r="A147" s="0" t="n">
        <v>146</v>
      </c>
      <c r="D147" s="0" t="s">
        <v>554</v>
      </c>
      <c r="E147" s="0" t="s">
        <v>20</v>
      </c>
      <c r="H147" s="0" t="s">
        <v>21</v>
      </c>
      <c r="I147" s="2" t="s">
        <v>22</v>
      </c>
      <c r="J147" s="2" t="s">
        <v>387</v>
      </c>
      <c r="K147" s="0" t="s">
        <v>547</v>
      </c>
      <c r="L147" s="0" t="s">
        <v>25</v>
      </c>
      <c r="M147" s="0" t="s">
        <v>548</v>
      </c>
      <c r="N147" s="0" t="s">
        <v>555</v>
      </c>
      <c r="O147" s="0" t="n">
        <v>1</v>
      </c>
      <c r="P147" s="0" t="s">
        <v>108</v>
      </c>
      <c r="Q147" s="0" t="s">
        <v>556</v>
      </c>
      <c r="R147" s="3"/>
      <c r="S147" s="2" t="s">
        <v>30</v>
      </c>
    </row>
    <row r="148" customFormat="false" ht="15" hidden="false" customHeight="false" outlineLevel="0" collapsed="false">
      <c r="A148" s="0" t="n">
        <v>147</v>
      </c>
      <c r="D148" s="0" t="s">
        <v>557</v>
      </c>
      <c r="E148" s="0" t="s">
        <v>20</v>
      </c>
      <c r="H148" s="0" t="s">
        <v>21</v>
      </c>
      <c r="I148" s="2" t="s">
        <v>22</v>
      </c>
      <c r="J148" s="2" t="s">
        <v>387</v>
      </c>
      <c r="K148" s="0" t="s">
        <v>547</v>
      </c>
      <c r="L148" s="0" t="s">
        <v>558</v>
      </c>
      <c r="M148" s="0" t="s">
        <v>548</v>
      </c>
      <c r="N148" s="0" t="s">
        <v>559</v>
      </c>
      <c r="O148" s="0" t="n">
        <v>1</v>
      </c>
      <c r="P148" s="0" t="s">
        <v>108</v>
      </c>
      <c r="Q148" s="0" t="s">
        <v>560</v>
      </c>
      <c r="R148" s="3"/>
      <c r="S148" s="2" t="s">
        <v>561</v>
      </c>
    </row>
    <row r="149" customFormat="false" ht="15" hidden="false" customHeight="false" outlineLevel="0" collapsed="false">
      <c r="A149" s="0" t="n">
        <v>148</v>
      </c>
      <c r="D149" s="0" t="s">
        <v>562</v>
      </c>
      <c r="E149" s="0" t="s">
        <v>20</v>
      </c>
      <c r="H149" s="0" t="s">
        <v>21</v>
      </c>
      <c r="I149" s="2" t="s">
        <v>22</v>
      </c>
      <c r="J149" s="2" t="s">
        <v>387</v>
      </c>
      <c r="K149" s="0" t="s">
        <v>547</v>
      </c>
      <c r="L149" s="0" t="s">
        <v>563</v>
      </c>
      <c r="M149" s="0" t="s">
        <v>548</v>
      </c>
      <c r="N149" s="0" t="s">
        <v>564</v>
      </c>
      <c r="O149" s="0" t="n">
        <v>1</v>
      </c>
      <c r="P149" s="0" t="s">
        <v>152</v>
      </c>
      <c r="Q149" s="0" t="s">
        <v>565</v>
      </c>
      <c r="R149" s="3"/>
      <c r="S149" s="2" t="s">
        <v>566</v>
      </c>
    </row>
    <row r="150" customFormat="false" ht="15" hidden="false" customHeight="false" outlineLevel="0" collapsed="false">
      <c r="A150" s="0" t="n">
        <v>149</v>
      </c>
      <c r="D150" s="0" t="s">
        <v>567</v>
      </c>
      <c r="E150" s="0" t="s">
        <v>20</v>
      </c>
      <c r="H150" s="0" t="s">
        <v>21</v>
      </c>
      <c r="I150" s="2" t="s">
        <v>22</v>
      </c>
      <c r="J150" s="2" t="s">
        <v>387</v>
      </c>
      <c r="K150" s="0" t="s">
        <v>547</v>
      </c>
      <c r="L150" s="0" t="s">
        <v>25</v>
      </c>
      <c r="M150" s="0" t="s">
        <v>548</v>
      </c>
      <c r="N150" s="0" t="s">
        <v>568</v>
      </c>
      <c r="O150" s="0" t="n">
        <v>1</v>
      </c>
      <c r="P150" s="0" t="s">
        <v>276</v>
      </c>
      <c r="Q150" s="0" t="s">
        <v>569</v>
      </c>
      <c r="R150" s="3"/>
      <c r="S150" s="2" t="s">
        <v>30</v>
      </c>
    </row>
    <row r="151" customFormat="false" ht="15" hidden="false" customHeight="false" outlineLevel="0" collapsed="false">
      <c r="A151" s="0" t="n">
        <v>150</v>
      </c>
      <c r="D151" s="0" t="s">
        <v>570</v>
      </c>
      <c r="E151" s="0" t="s">
        <v>20</v>
      </c>
      <c r="H151" s="0" t="s">
        <v>21</v>
      </c>
      <c r="I151" s="2" t="s">
        <v>22</v>
      </c>
      <c r="J151" s="2" t="s">
        <v>387</v>
      </c>
      <c r="K151" s="0" t="s">
        <v>547</v>
      </c>
      <c r="L151" s="0" t="s">
        <v>25</v>
      </c>
      <c r="M151" s="0" t="s">
        <v>548</v>
      </c>
      <c r="N151" s="0" t="s">
        <v>571</v>
      </c>
      <c r="O151" s="0" t="n">
        <v>1</v>
      </c>
      <c r="P151" s="0" t="s">
        <v>108</v>
      </c>
      <c r="Q151" s="0" t="s">
        <v>572</v>
      </c>
      <c r="R151" s="3"/>
      <c r="S151" s="2" t="s">
        <v>30</v>
      </c>
    </row>
    <row r="152" customFormat="false" ht="15" hidden="false" customHeight="false" outlineLevel="0" collapsed="false">
      <c r="A152" s="0" t="n">
        <v>151</v>
      </c>
      <c r="D152" s="0" t="s">
        <v>573</v>
      </c>
      <c r="E152" s="0" t="s">
        <v>20</v>
      </c>
      <c r="H152" s="0" t="s">
        <v>21</v>
      </c>
      <c r="I152" s="2" t="s">
        <v>22</v>
      </c>
      <c r="J152" s="2" t="s">
        <v>387</v>
      </c>
      <c r="K152" s="0" t="s">
        <v>574</v>
      </c>
      <c r="L152" s="0" t="s">
        <v>25</v>
      </c>
      <c r="M152" s="0" t="s">
        <v>575</v>
      </c>
      <c r="N152" s="0" t="s">
        <v>576</v>
      </c>
      <c r="O152" s="0" t="n">
        <v>1</v>
      </c>
      <c r="P152" s="0" t="s">
        <v>577</v>
      </c>
      <c r="Q152" s="0" t="s">
        <v>578</v>
      </c>
      <c r="R152" s="3"/>
      <c r="S152" s="2" t="s">
        <v>30</v>
      </c>
    </row>
    <row r="153" customFormat="false" ht="15" hidden="false" customHeight="false" outlineLevel="0" collapsed="false">
      <c r="A153" s="0" t="n">
        <v>152</v>
      </c>
      <c r="D153" s="0" t="s">
        <v>579</v>
      </c>
      <c r="E153" s="0" t="s">
        <v>203</v>
      </c>
      <c r="H153" s="0" t="s">
        <v>21</v>
      </c>
      <c r="I153" s="2" t="s">
        <v>22</v>
      </c>
      <c r="J153" s="2" t="s">
        <v>387</v>
      </c>
      <c r="K153" s="0" t="s">
        <v>580</v>
      </c>
      <c r="L153" s="0" t="s">
        <v>120</v>
      </c>
      <c r="M153" s="0" t="s">
        <v>581</v>
      </c>
      <c r="N153" s="0" t="s">
        <v>582</v>
      </c>
      <c r="O153" s="0" t="n">
        <v>2</v>
      </c>
      <c r="P153" s="0" t="s">
        <v>103</v>
      </c>
      <c r="Q153" s="0" t="s">
        <v>583</v>
      </c>
      <c r="R153" s="3"/>
      <c r="S153" s="2" t="s">
        <v>30</v>
      </c>
    </row>
    <row r="154" customFormat="false" ht="15" hidden="false" customHeight="false" outlineLevel="0" collapsed="false">
      <c r="A154" s="0" t="n">
        <v>153</v>
      </c>
      <c r="D154" s="0" t="s">
        <v>584</v>
      </c>
      <c r="E154" s="0" t="s">
        <v>585</v>
      </c>
      <c r="H154" s="0" t="s">
        <v>21</v>
      </c>
      <c r="I154" s="2" t="s">
        <v>22</v>
      </c>
      <c r="J154" s="2" t="s">
        <v>387</v>
      </c>
      <c r="K154" s="0" t="s">
        <v>580</v>
      </c>
      <c r="L154" s="0" t="s">
        <v>25</v>
      </c>
      <c r="M154" s="0" t="s">
        <v>581</v>
      </c>
      <c r="N154" s="0" t="s">
        <v>586</v>
      </c>
      <c r="O154" s="0" t="n">
        <v>1</v>
      </c>
      <c r="P154" s="0" t="s">
        <v>116</v>
      </c>
      <c r="Q154" s="0" t="s">
        <v>587</v>
      </c>
      <c r="R154" s="3"/>
      <c r="S154" s="2" t="s">
        <v>30</v>
      </c>
    </row>
    <row r="155" customFormat="false" ht="15" hidden="false" customHeight="false" outlineLevel="0" collapsed="false">
      <c r="A155" s="0" t="n">
        <v>154</v>
      </c>
      <c r="D155" s="0" t="s">
        <v>588</v>
      </c>
      <c r="E155" s="0" t="s">
        <v>20</v>
      </c>
      <c r="H155" s="0" t="s">
        <v>21</v>
      </c>
      <c r="I155" s="2" t="s">
        <v>22</v>
      </c>
      <c r="J155" s="2" t="s">
        <v>387</v>
      </c>
      <c r="K155" s="0" t="s">
        <v>580</v>
      </c>
      <c r="L155" s="0" t="s">
        <v>25</v>
      </c>
      <c r="M155" s="0" t="s">
        <v>581</v>
      </c>
      <c r="N155" s="0" t="s">
        <v>589</v>
      </c>
      <c r="O155" s="0" t="n">
        <v>1</v>
      </c>
      <c r="P155" s="0" t="s">
        <v>28</v>
      </c>
      <c r="Q155" s="0" t="s">
        <v>590</v>
      </c>
      <c r="R155" s="3"/>
      <c r="S155" s="2" t="s">
        <v>30</v>
      </c>
    </row>
    <row r="156" customFormat="false" ht="15" hidden="false" customHeight="false" outlineLevel="0" collapsed="false">
      <c r="A156" s="0" t="n">
        <v>155</v>
      </c>
      <c r="D156" s="0" t="s">
        <v>591</v>
      </c>
      <c r="E156" s="0" t="s">
        <v>20</v>
      </c>
      <c r="H156" s="0" t="s">
        <v>21</v>
      </c>
      <c r="I156" s="2" t="s">
        <v>22</v>
      </c>
      <c r="J156" s="2" t="s">
        <v>387</v>
      </c>
      <c r="K156" s="0" t="s">
        <v>580</v>
      </c>
      <c r="L156" s="0" t="s">
        <v>25</v>
      </c>
      <c r="M156" s="0" t="s">
        <v>581</v>
      </c>
      <c r="N156" s="0" t="s">
        <v>592</v>
      </c>
      <c r="O156" s="0" t="n">
        <v>1</v>
      </c>
      <c r="P156" s="0" t="s">
        <v>593</v>
      </c>
      <c r="Q156" s="0" t="s">
        <v>594</v>
      </c>
      <c r="R156" s="3"/>
      <c r="S156" s="2" t="s">
        <v>30</v>
      </c>
    </row>
    <row r="157" customFormat="false" ht="15" hidden="false" customHeight="false" outlineLevel="0" collapsed="false">
      <c r="A157" s="0" t="n">
        <v>156</v>
      </c>
      <c r="D157" s="0" t="s">
        <v>595</v>
      </c>
      <c r="E157" s="0" t="s">
        <v>20</v>
      </c>
      <c r="H157" s="0" t="s">
        <v>21</v>
      </c>
      <c r="I157" s="2" t="s">
        <v>22</v>
      </c>
      <c r="J157" s="2" t="s">
        <v>387</v>
      </c>
      <c r="K157" s="0" t="s">
        <v>580</v>
      </c>
      <c r="L157" s="0" t="s">
        <v>25</v>
      </c>
      <c r="M157" s="0" t="s">
        <v>581</v>
      </c>
      <c r="N157" s="0" t="s">
        <v>596</v>
      </c>
      <c r="O157" s="0" t="n">
        <v>1</v>
      </c>
      <c r="P157" s="0" t="s">
        <v>116</v>
      </c>
      <c r="R157" s="3"/>
      <c r="S157" s="2" t="s">
        <v>30</v>
      </c>
    </row>
    <row r="158" customFormat="false" ht="15" hidden="false" customHeight="false" outlineLevel="0" collapsed="false">
      <c r="A158" s="0" t="n">
        <v>157</v>
      </c>
      <c r="D158" s="0" t="s">
        <v>597</v>
      </c>
      <c r="E158" s="0" t="s">
        <v>20</v>
      </c>
      <c r="H158" s="0" t="s">
        <v>21</v>
      </c>
      <c r="I158" s="2" t="s">
        <v>22</v>
      </c>
      <c r="J158" s="2" t="s">
        <v>387</v>
      </c>
      <c r="K158" s="0" t="s">
        <v>580</v>
      </c>
      <c r="L158" s="0" t="s">
        <v>25</v>
      </c>
      <c r="M158" s="0" t="s">
        <v>581</v>
      </c>
      <c r="N158" s="0" t="s">
        <v>598</v>
      </c>
      <c r="O158" s="0" t="n">
        <v>1</v>
      </c>
      <c r="P158" s="0" t="s">
        <v>108</v>
      </c>
      <c r="Q158" s="0" t="s">
        <v>599</v>
      </c>
      <c r="R158" s="3"/>
      <c r="S158" s="2" t="s">
        <v>30</v>
      </c>
    </row>
    <row r="159" customFormat="false" ht="15" hidden="false" customHeight="false" outlineLevel="0" collapsed="false">
      <c r="A159" s="0" t="n">
        <v>158</v>
      </c>
      <c r="D159" s="0" t="s">
        <v>600</v>
      </c>
      <c r="E159" s="0" t="s">
        <v>20</v>
      </c>
      <c r="H159" s="0" t="s">
        <v>21</v>
      </c>
      <c r="I159" s="2" t="s">
        <v>22</v>
      </c>
      <c r="J159" s="2" t="s">
        <v>387</v>
      </c>
      <c r="K159" s="0" t="s">
        <v>580</v>
      </c>
      <c r="L159" s="0" t="s">
        <v>25</v>
      </c>
      <c r="M159" s="0" t="s">
        <v>581</v>
      </c>
      <c r="N159" s="0" t="s">
        <v>601</v>
      </c>
      <c r="O159" s="0" t="n">
        <v>1</v>
      </c>
      <c r="P159" s="0" t="s">
        <v>116</v>
      </c>
      <c r="Q159" s="0" t="s">
        <v>602</v>
      </c>
      <c r="R159" s="3"/>
      <c r="S159" s="2" t="s">
        <v>30</v>
      </c>
    </row>
    <row r="160" customFormat="false" ht="15" hidden="false" customHeight="false" outlineLevel="0" collapsed="false">
      <c r="A160" s="0" t="n">
        <v>159</v>
      </c>
      <c r="D160" s="0" t="s">
        <v>603</v>
      </c>
      <c r="E160" s="0" t="s">
        <v>585</v>
      </c>
      <c r="H160" s="0" t="s">
        <v>21</v>
      </c>
      <c r="I160" s="2" t="s">
        <v>22</v>
      </c>
      <c r="J160" s="2" t="s">
        <v>387</v>
      </c>
      <c r="K160" s="0" t="s">
        <v>580</v>
      </c>
      <c r="L160" s="0" t="s">
        <v>25</v>
      </c>
      <c r="M160" s="0" t="s">
        <v>581</v>
      </c>
      <c r="N160" s="0" t="s">
        <v>604</v>
      </c>
      <c r="O160" s="0" t="n">
        <v>1</v>
      </c>
      <c r="P160" s="0" t="s">
        <v>61</v>
      </c>
      <c r="Q160" s="0" t="s">
        <v>605</v>
      </c>
      <c r="R160" s="3"/>
      <c r="S160" s="2" t="s">
        <v>30</v>
      </c>
    </row>
    <row r="161" customFormat="false" ht="15" hidden="false" customHeight="false" outlineLevel="0" collapsed="false">
      <c r="A161" s="0" t="n">
        <v>160</v>
      </c>
      <c r="D161" s="0" t="s">
        <v>606</v>
      </c>
      <c r="E161" s="0" t="s">
        <v>20</v>
      </c>
      <c r="H161" s="0" t="s">
        <v>21</v>
      </c>
      <c r="I161" s="2" t="s">
        <v>22</v>
      </c>
      <c r="J161" s="2" t="s">
        <v>387</v>
      </c>
      <c r="K161" s="0" t="s">
        <v>580</v>
      </c>
      <c r="L161" s="0" t="s">
        <v>25</v>
      </c>
      <c r="M161" s="0" t="s">
        <v>581</v>
      </c>
      <c r="N161" s="0" t="s">
        <v>607</v>
      </c>
      <c r="O161" s="0" t="n">
        <v>1</v>
      </c>
      <c r="P161" s="0" t="s">
        <v>421</v>
      </c>
      <c r="Q161" s="0" t="s">
        <v>608</v>
      </c>
      <c r="R161" s="3"/>
      <c r="S161" s="2" t="s">
        <v>30</v>
      </c>
    </row>
    <row r="162" customFormat="false" ht="15" hidden="false" customHeight="false" outlineLevel="0" collapsed="false">
      <c r="A162" s="0" t="n">
        <v>161</v>
      </c>
      <c r="D162" s="0" t="s">
        <v>609</v>
      </c>
      <c r="E162" s="0" t="s">
        <v>20</v>
      </c>
      <c r="H162" s="0" t="s">
        <v>21</v>
      </c>
      <c r="I162" s="2" t="s">
        <v>22</v>
      </c>
      <c r="J162" s="2" t="s">
        <v>387</v>
      </c>
      <c r="K162" s="0" t="s">
        <v>580</v>
      </c>
      <c r="L162" s="0" t="s">
        <v>25</v>
      </c>
      <c r="M162" s="0" t="s">
        <v>581</v>
      </c>
      <c r="N162" s="0" t="s">
        <v>610</v>
      </c>
      <c r="O162" s="0" t="n">
        <v>1</v>
      </c>
      <c r="P162" s="0" t="s">
        <v>130</v>
      </c>
      <c r="Q162" s="0" t="s">
        <v>611</v>
      </c>
      <c r="R162" s="3"/>
      <c r="S162" s="2" t="s">
        <v>30</v>
      </c>
    </row>
    <row r="163" customFormat="false" ht="15" hidden="false" customHeight="false" outlineLevel="0" collapsed="false">
      <c r="A163" s="0" t="n">
        <v>162</v>
      </c>
      <c r="D163" s="0" t="s">
        <v>612</v>
      </c>
      <c r="E163" s="0" t="s">
        <v>268</v>
      </c>
      <c r="H163" s="0" t="s">
        <v>21</v>
      </c>
      <c r="I163" s="2" t="s">
        <v>22</v>
      </c>
      <c r="J163" s="2" t="s">
        <v>387</v>
      </c>
      <c r="K163" s="0" t="s">
        <v>580</v>
      </c>
      <c r="L163" s="0" t="s">
        <v>25</v>
      </c>
      <c r="M163" s="0" t="s">
        <v>581</v>
      </c>
      <c r="N163" s="0" t="s">
        <v>613</v>
      </c>
      <c r="O163" s="0" t="n">
        <v>1</v>
      </c>
      <c r="P163" s="0" t="s">
        <v>28</v>
      </c>
      <c r="Q163" s="0" t="s">
        <v>614</v>
      </c>
      <c r="R163" s="3"/>
      <c r="S163" s="2" t="s">
        <v>30</v>
      </c>
    </row>
    <row r="164" customFormat="false" ht="15" hidden="false" customHeight="false" outlineLevel="0" collapsed="false">
      <c r="A164" s="0" t="n">
        <v>163</v>
      </c>
      <c r="D164" s="0" t="s">
        <v>615</v>
      </c>
      <c r="E164" s="0" t="s">
        <v>20</v>
      </c>
      <c r="H164" s="0" t="s">
        <v>21</v>
      </c>
      <c r="I164" s="2" t="s">
        <v>22</v>
      </c>
      <c r="J164" s="2" t="s">
        <v>387</v>
      </c>
      <c r="K164" s="0" t="s">
        <v>580</v>
      </c>
      <c r="L164" s="0" t="s">
        <v>25</v>
      </c>
      <c r="M164" s="0" t="s">
        <v>581</v>
      </c>
      <c r="N164" s="0" t="s">
        <v>616</v>
      </c>
      <c r="O164" s="0" t="n">
        <v>1</v>
      </c>
      <c r="P164" s="0" t="s">
        <v>617</v>
      </c>
      <c r="Q164" s="0" t="s">
        <v>618</v>
      </c>
      <c r="R164" s="3"/>
      <c r="S164" s="2" t="s">
        <v>30</v>
      </c>
    </row>
    <row r="165" customFormat="false" ht="15" hidden="false" customHeight="false" outlineLevel="0" collapsed="false">
      <c r="A165" s="0" t="n">
        <v>164</v>
      </c>
      <c r="D165" s="0" t="s">
        <v>619</v>
      </c>
      <c r="E165" s="0" t="s">
        <v>20</v>
      </c>
      <c r="H165" s="0" t="s">
        <v>21</v>
      </c>
      <c r="I165" s="2" t="s">
        <v>22</v>
      </c>
      <c r="J165" s="2" t="s">
        <v>387</v>
      </c>
      <c r="K165" s="0" t="s">
        <v>580</v>
      </c>
      <c r="L165" s="0" t="s">
        <v>25</v>
      </c>
      <c r="M165" s="0" t="s">
        <v>581</v>
      </c>
      <c r="N165" s="0" t="s">
        <v>620</v>
      </c>
      <c r="O165" s="0" t="n">
        <v>1</v>
      </c>
      <c r="P165" s="0" t="s">
        <v>103</v>
      </c>
      <c r="Q165" s="0" t="s">
        <v>621</v>
      </c>
      <c r="R165" s="3"/>
      <c r="S165" s="2" t="s">
        <v>30</v>
      </c>
    </row>
    <row r="166" customFormat="false" ht="15" hidden="false" customHeight="false" outlineLevel="0" collapsed="false">
      <c r="A166" s="0" t="n">
        <v>165</v>
      </c>
      <c r="D166" s="0" t="s">
        <v>622</v>
      </c>
      <c r="E166" s="0" t="s">
        <v>20</v>
      </c>
      <c r="H166" s="0" t="s">
        <v>21</v>
      </c>
      <c r="I166" s="2" t="s">
        <v>22</v>
      </c>
      <c r="J166" s="2" t="s">
        <v>387</v>
      </c>
      <c r="K166" s="0" t="s">
        <v>580</v>
      </c>
      <c r="L166" s="0" t="s">
        <v>25</v>
      </c>
      <c r="M166" s="0" t="s">
        <v>581</v>
      </c>
      <c r="N166" s="0" t="s">
        <v>623</v>
      </c>
      <c r="O166" s="0" t="n">
        <v>1</v>
      </c>
      <c r="P166" s="0" t="s">
        <v>624</v>
      </c>
      <c r="Q166" s="0" t="s">
        <v>625</v>
      </c>
      <c r="R166" s="3"/>
      <c r="S166" s="2" t="s">
        <v>30</v>
      </c>
    </row>
    <row r="167" customFormat="false" ht="15" hidden="false" customHeight="false" outlineLevel="0" collapsed="false">
      <c r="A167" s="0" t="n">
        <v>166</v>
      </c>
      <c r="D167" s="0" t="s">
        <v>626</v>
      </c>
      <c r="E167" s="0" t="s">
        <v>20</v>
      </c>
      <c r="H167" s="0" t="s">
        <v>21</v>
      </c>
      <c r="I167" s="2" t="s">
        <v>22</v>
      </c>
      <c r="J167" s="2" t="s">
        <v>387</v>
      </c>
      <c r="K167" s="0" t="s">
        <v>580</v>
      </c>
      <c r="L167" s="0" t="s">
        <v>25</v>
      </c>
      <c r="M167" s="0" t="s">
        <v>581</v>
      </c>
      <c r="N167" s="0" t="s">
        <v>627</v>
      </c>
      <c r="O167" s="0" t="n">
        <v>1</v>
      </c>
      <c r="P167" s="0" t="s">
        <v>116</v>
      </c>
      <c r="R167" s="3"/>
      <c r="S167" s="2" t="s">
        <v>30</v>
      </c>
    </row>
    <row r="168" customFormat="false" ht="15" hidden="false" customHeight="false" outlineLevel="0" collapsed="false">
      <c r="A168" s="0" t="n">
        <v>167</v>
      </c>
      <c r="D168" s="0" t="s">
        <v>628</v>
      </c>
      <c r="E168" s="0" t="s">
        <v>203</v>
      </c>
      <c r="H168" s="0" t="s">
        <v>21</v>
      </c>
      <c r="I168" s="2" t="s">
        <v>22</v>
      </c>
      <c r="J168" s="2" t="s">
        <v>387</v>
      </c>
      <c r="K168" s="0" t="s">
        <v>580</v>
      </c>
      <c r="L168" s="0" t="s">
        <v>25</v>
      </c>
      <c r="M168" s="0" t="s">
        <v>581</v>
      </c>
      <c r="N168" s="0" t="s">
        <v>629</v>
      </c>
      <c r="O168" s="0" t="n">
        <v>1</v>
      </c>
      <c r="P168" s="0" t="s">
        <v>28</v>
      </c>
      <c r="Q168" s="0" t="s">
        <v>630</v>
      </c>
      <c r="R168" s="3"/>
      <c r="S168" s="2" t="s">
        <v>30</v>
      </c>
    </row>
    <row r="169" customFormat="false" ht="15" hidden="false" customHeight="false" outlineLevel="0" collapsed="false">
      <c r="A169" s="0" t="n">
        <v>168</v>
      </c>
      <c r="D169" s="0" t="s">
        <v>631</v>
      </c>
      <c r="E169" s="0" t="s">
        <v>203</v>
      </c>
      <c r="H169" s="0" t="s">
        <v>21</v>
      </c>
      <c r="I169" s="2" t="s">
        <v>22</v>
      </c>
      <c r="J169" s="2" t="s">
        <v>387</v>
      </c>
      <c r="K169" s="0" t="s">
        <v>580</v>
      </c>
      <c r="L169" s="0" t="s">
        <v>25</v>
      </c>
      <c r="M169" s="0" t="s">
        <v>581</v>
      </c>
      <c r="N169" s="0" t="s">
        <v>632</v>
      </c>
      <c r="O169" s="0" t="n">
        <v>1</v>
      </c>
      <c r="P169" s="0" t="s">
        <v>28</v>
      </c>
      <c r="Q169" s="0" t="s">
        <v>633</v>
      </c>
      <c r="R169" s="3"/>
      <c r="S169" s="2" t="s">
        <v>30</v>
      </c>
    </row>
    <row r="170" customFormat="false" ht="15" hidden="false" customHeight="false" outlineLevel="0" collapsed="false">
      <c r="A170" s="0" t="n">
        <v>169</v>
      </c>
      <c r="D170" s="0" t="s">
        <v>634</v>
      </c>
      <c r="E170" s="0" t="s">
        <v>20</v>
      </c>
      <c r="H170" s="0" t="s">
        <v>21</v>
      </c>
      <c r="I170" s="2" t="s">
        <v>22</v>
      </c>
      <c r="J170" s="2" t="s">
        <v>387</v>
      </c>
      <c r="K170" s="0" t="s">
        <v>580</v>
      </c>
      <c r="L170" s="0" t="s">
        <v>25</v>
      </c>
      <c r="M170" s="0" t="s">
        <v>581</v>
      </c>
      <c r="N170" s="0" t="s">
        <v>635</v>
      </c>
      <c r="O170" s="0" t="n">
        <v>1</v>
      </c>
      <c r="P170" s="0" t="s">
        <v>593</v>
      </c>
      <c r="Q170" s="0" t="s">
        <v>636</v>
      </c>
      <c r="R170" s="3"/>
      <c r="S170" s="2" t="s">
        <v>30</v>
      </c>
    </row>
    <row r="171" customFormat="false" ht="15" hidden="false" customHeight="false" outlineLevel="0" collapsed="false">
      <c r="A171" s="0" t="n">
        <v>170</v>
      </c>
      <c r="D171" s="0" t="s">
        <v>637</v>
      </c>
      <c r="E171" s="0" t="s">
        <v>20</v>
      </c>
      <c r="H171" s="0" t="s">
        <v>21</v>
      </c>
      <c r="I171" s="2" t="s">
        <v>22</v>
      </c>
      <c r="J171" s="2" t="s">
        <v>387</v>
      </c>
      <c r="K171" s="0" t="s">
        <v>580</v>
      </c>
      <c r="L171" s="0" t="s">
        <v>25</v>
      </c>
      <c r="M171" s="0" t="s">
        <v>581</v>
      </c>
      <c r="N171" s="0" t="s">
        <v>638</v>
      </c>
      <c r="O171" s="0" t="n">
        <v>1</v>
      </c>
      <c r="P171" s="0" t="s">
        <v>593</v>
      </c>
      <c r="Q171" s="0" t="s">
        <v>639</v>
      </c>
      <c r="R171" s="3"/>
      <c r="S171" s="2" t="s">
        <v>30</v>
      </c>
    </row>
    <row r="172" customFormat="false" ht="15" hidden="false" customHeight="false" outlineLevel="0" collapsed="false">
      <c r="A172" s="0" t="n">
        <v>171</v>
      </c>
      <c r="D172" s="0" t="s">
        <v>640</v>
      </c>
      <c r="E172" s="0" t="s">
        <v>20</v>
      </c>
      <c r="H172" s="0" t="s">
        <v>21</v>
      </c>
      <c r="I172" s="2" t="s">
        <v>22</v>
      </c>
      <c r="J172" s="2" t="s">
        <v>387</v>
      </c>
      <c r="K172" s="0" t="s">
        <v>580</v>
      </c>
      <c r="L172" s="0" t="s">
        <v>25</v>
      </c>
      <c r="M172" s="0" t="s">
        <v>581</v>
      </c>
      <c r="N172" s="0" t="s">
        <v>641</v>
      </c>
      <c r="O172" s="0" t="n">
        <v>1</v>
      </c>
      <c r="P172" s="0" t="s">
        <v>116</v>
      </c>
      <c r="R172" s="3"/>
      <c r="S172" s="2" t="s">
        <v>30</v>
      </c>
    </row>
    <row r="173" customFormat="false" ht="15" hidden="false" customHeight="false" outlineLevel="0" collapsed="false">
      <c r="A173" s="0" t="n">
        <v>172</v>
      </c>
      <c r="D173" s="0" t="s">
        <v>642</v>
      </c>
      <c r="E173" s="0" t="s">
        <v>20</v>
      </c>
      <c r="H173" s="0" t="s">
        <v>21</v>
      </c>
      <c r="I173" s="2" t="s">
        <v>22</v>
      </c>
      <c r="J173" s="2" t="s">
        <v>387</v>
      </c>
      <c r="K173" s="0" t="s">
        <v>580</v>
      </c>
      <c r="L173" s="0" t="s">
        <v>25</v>
      </c>
      <c r="M173" s="0" t="s">
        <v>581</v>
      </c>
      <c r="N173" s="0" t="s">
        <v>643</v>
      </c>
      <c r="O173" s="0" t="n">
        <v>1</v>
      </c>
      <c r="P173" s="0" t="s">
        <v>116</v>
      </c>
      <c r="Q173" s="0" t="s">
        <v>644</v>
      </c>
      <c r="R173" s="3"/>
      <c r="S173" s="2" t="s">
        <v>30</v>
      </c>
    </row>
    <row r="174" customFormat="false" ht="15" hidden="false" customHeight="false" outlineLevel="0" collapsed="false">
      <c r="A174" s="0" t="n">
        <v>173</v>
      </c>
      <c r="D174" s="0" t="s">
        <v>645</v>
      </c>
      <c r="E174" s="0" t="s">
        <v>20</v>
      </c>
      <c r="H174" s="0" t="s">
        <v>21</v>
      </c>
      <c r="I174" s="2" t="s">
        <v>22</v>
      </c>
      <c r="J174" s="2" t="s">
        <v>387</v>
      </c>
      <c r="K174" s="0" t="s">
        <v>580</v>
      </c>
      <c r="L174" s="0" t="s">
        <v>25</v>
      </c>
      <c r="M174" s="0" t="s">
        <v>581</v>
      </c>
      <c r="N174" s="0" t="s">
        <v>646</v>
      </c>
      <c r="O174" s="0" t="n">
        <v>1</v>
      </c>
      <c r="P174" s="0" t="s">
        <v>57</v>
      </c>
      <c r="Q174" s="0" t="s">
        <v>647</v>
      </c>
      <c r="R174" s="3"/>
      <c r="S174" s="2" t="s">
        <v>30</v>
      </c>
    </row>
    <row r="175" customFormat="false" ht="15" hidden="false" customHeight="false" outlineLevel="0" collapsed="false">
      <c r="A175" s="0" t="n">
        <v>174</v>
      </c>
      <c r="D175" s="0" t="s">
        <v>648</v>
      </c>
      <c r="E175" s="0" t="s">
        <v>20</v>
      </c>
      <c r="H175" s="0" t="s">
        <v>21</v>
      </c>
      <c r="I175" s="2" t="s">
        <v>22</v>
      </c>
      <c r="J175" s="2" t="s">
        <v>387</v>
      </c>
      <c r="K175" s="0" t="s">
        <v>580</v>
      </c>
      <c r="L175" s="0" t="s">
        <v>25</v>
      </c>
      <c r="M175" s="0" t="s">
        <v>581</v>
      </c>
      <c r="N175" s="0" t="s">
        <v>649</v>
      </c>
      <c r="O175" s="0" t="n">
        <v>1</v>
      </c>
      <c r="P175" s="0" t="s">
        <v>116</v>
      </c>
      <c r="Q175" s="0" t="s">
        <v>650</v>
      </c>
      <c r="R175" s="3"/>
      <c r="S175" s="2" t="s">
        <v>30</v>
      </c>
    </row>
    <row r="176" customFormat="false" ht="15" hidden="false" customHeight="false" outlineLevel="0" collapsed="false">
      <c r="A176" s="0" t="n">
        <v>175</v>
      </c>
      <c r="D176" s="0" t="s">
        <v>651</v>
      </c>
      <c r="E176" s="0" t="s">
        <v>20</v>
      </c>
      <c r="H176" s="0" t="s">
        <v>21</v>
      </c>
      <c r="I176" s="2" t="s">
        <v>22</v>
      </c>
      <c r="J176" s="2" t="s">
        <v>387</v>
      </c>
      <c r="K176" s="0" t="s">
        <v>580</v>
      </c>
      <c r="L176" s="0" t="s">
        <v>25</v>
      </c>
      <c r="M176" s="0" t="s">
        <v>581</v>
      </c>
      <c r="N176" s="0" t="s">
        <v>652</v>
      </c>
      <c r="O176" s="0" t="n">
        <v>1</v>
      </c>
      <c r="P176" s="0" t="s">
        <v>593</v>
      </c>
      <c r="Q176" s="0" t="s">
        <v>653</v>
      </c>
      <c r="R176" s="3"/>
      <c r="S176" s="2" t="s">
        <v>30</v>
      </c>
    </row>
    <row r="177" customFormat="false" ht="15" hidden="false" customHeight="false" outlineLevel="0" collapsed="false">
      <c r="A177" s="0" t="n">
        <v>176</v>
      </c>
      <c r="D177" s="0" t="s">
        <v>654</v>
      </c>
      <c r="E177" s="0" t="s">
        <v>20</v>
      </c>
      <c r="H177" s="0" t="s">
        <v>21</v>
      </c>
      <c r="I177" s="2" t="s">
        <v>22</v>
      </c>
      <c r="J177" s="2" t="s">
        <v>387</v>
      </c>
      <c r="K177" s="0" t="s">
        <v>580</v>
      </c>
      <c r="L177" s="0" t="s">
        <v>25</v>
      </c>
      <c r="M177" s="0" t="s">
        <v>581</v>
      </c>
      <c r="N177" s="0" t="s">
        <v>655</v>
      </c>
      <c r="O177" s="0" t="n">
        <v>1</v>
      </c>
      <c r="P177" s="0" t="s">
        <v>593</v>
      </c>
      <c r="Q177" s="0" t="s">
        <v>656</v>
      </c>
      <c r="R177" s="3"/>
      <c r="S177" s="2" t="s">
        <v>30</v>
      </c>
    </row>
    <row r="178" customFormat="false" ht="15" hidden="false" customHeight="false" outlineLevel="0" collapsed="false">
      <c r="A178" s="0" t="n">
        <v>177</v>
      </c>
      <c r="D178" s="0" t="s">
        <v>657</v>
      </c>
      <c r="E178" s="0" t="s">
        <v>20</v>
      </c>
      <c r="H178" s="0" t="s">
        <v>21</v>
      </c>
      <c r="I178" s="2" t="s">
        <v>22</v>
      </c>
      <c r="J178" s="2" t="s">
        <v>387</v>
      </c>
      <c r="K178" s="0" t="s">
        <v>580</v>
      </c>
      <c r="L178" s="0" t="s">
        <v>25</v>
      </c>
      <c r="M178" s="0" t="s">
        <v>581</v>
      </c>
      <c r="N178" s="0" t="s">
        <v>658</v>
      </c>
      <c r="O178" s="0" t="n">
        <v>1</v>
      </c>
      <c r="P178" s="0" t="s">
        <v>593</v>
      </c>
      <c r="Q178" s="0" t="s">
        <v>659</v>
      </c>
      <c r="R178" s="3"/>
      <c r="S178" s="2" t="s">
        <v>30</v>
      </c>
    </row>
    <row r="179" customFormat="false" ht="15" hidden="false" customHeight="false" outlineLevel="0" collapsed="false">
      <c r="A179" s="0" t="n">
        <v>178</v>
      </c>
      <c r="D179" s="0" t="s">
        <v>660</v>
      </c>
      <c r="E179" s="0" t="s">
        <v>20</v>
      </c>
      <c r="H179" s="0" t="s">
        <v>21</v>
      </c>
      <c r="I179" s="2" t="s">
        <v>22</v>
      </c>
      <c r="J179" s="2" t="s">
        <v>387</v>
      </c>
      <c r="K179" s="0" t="s">
        <v>580</v>
      </c>
      <c r="L179" s="0" t="s">
        <v>25</v>
      </c>
      <c r="M179" s="0" t="s">
        <v>581</v>
      </c>
      <c r="N179" s="0" t="s">
        <v>661</v>
      </c>
      <c r="O179" s="0" t="n">
        <v>1</v>
      </c>
      <c r="P179" s="0" t="s">
        <v>28</v>
      </c>
      <c r="Q179" s="0" t="s">
        <v>662</v>
      </c>
      <c r="R179" s="3"/>
      <c r="S179" s="2" t="s">
        <v>30</v>
      </c>
    </row>
    <row r="180" customFormat="false" ht="15" hidden="false" customHeight="false" outlineLevel="0" collapsed="false">
      <c r="A180" s="0" t="n">
        <v>179</v>
      </c>
      <c r="D180" s="0" t="s">
        <v>663</v>
      </c>
      <c r="E180" s="0" t="s">
        <v>20</v>
      </c>
      <c r="H180" s="0" t="s">
        <v>21</v>
      </c>
      <c r="I180" s="2" t="s">
        <v>22</v>
      </c>
      <c r="J180" s="2" t="s">
        <v>387</v>
      </c>
      <c r="K180" s="0" t="s">
        <v>580</v>
      </c>
      <c r="L180" s="0" t="s">
        <v>25</v>
      </c>
      <c r="M180" s="0" t="s">
        <v>581</v>
      </c>
      <c r="N180" s="0" t="s">
        <v>664</v>
      </c>
      <c r="O180" s="0" t="n">
        <v>1</v>
      </c>
      <c r="P180" s="0" t="s">
        <v>593</v>
      </c>
      <c r="Q180" s="0" t="s">
        <v>665</v>
      </c>
      <c r="R180" s="3"/>
      <c r="S180" s="2" t="s">
        <v>30</v>
      </c>
    </row>
    <row r="181" customFormat="false" ht="15" hidden="false" customHeight="false" outlineLevel="0" collapsed="false">
      <c r="A181" s="0" t="n">
        <v>180</v>
      </c>
      <c r="D181" s="0" t="s">
        <v>666</v>
      </c>
      <c r="E181" s="0" t="s">
        <v>20</v>
      </c>
      <c r="H181" s="0" t="s">
        <v>21</v>
      </c>
      <c r="I181" s="2" t="s">
        <v>22</v>
      </c>
      <c r="J181" s="2" t="s">
        <v>387</v>
      </c>
      <c r="K181" s="0" t="s">
        <v>580</v>
      </c>
      <c r="L181" s="0" t="s">
        <v>25</v>
      </c>
      <c r="M181" s="0" t="s">
        <v>581</v>
      </c>
      <c r="N181" s="0" t="s">
        <v>667</v>
      </c>
      <c r="O181" s="0" t="n">
        <v>1</v>
      </c>
      <c r="P181" s="0" t="s">
        <v>593</v>
      </c>
      <c r="Q181" s="0" t="s">
        <v>668</v>
      </c>
      <c r="R181" s="3"/>
      <c r="S181" s="2" t="s">
        <v>30</v>
      </c>
    </row>
    <row r="182" customFormat="false" ht="15" hidden="false" customHeight="false" outlineLevel="0" collapsed="false">
      <c r="A182" s="0" t="n">
        <v>181</v>
      </c>
      <c r="D182" s="0" t="s">
        <v>669</v>
      </c>
      <c r="E182" s="0" t="s">
        <v>20</v>
      </c>
      <c r="H182" s="0" t="s">
        <v>21</v>
      </c>
      <c r="I182" s="2" t="s">
        <v>22</v>
      </c>
      <c r="J182" s="2" t="s">
        <v>387</v>
      </c>
      <c r="K182" s="0" t="s">
        <v>580</v>
      </c>
      <c r="L182" s="0" t="s">
        <v>32</v>
      </c>
      <c r="M182" s="0" t="s">
        <v>581</v>
      </c>
      <c r="N182" s="0" t="s">
        <v>33</v>
      </c>
      <c r="O182" s="0" t="n">
        <v>0</v>
      </c>
      <c r="P182" s="0" t="s">
        <v>28</v>
      </c>
      <c r="Q182" s="0" t="s">
        <v>670</v>
      </c>
      <c r="R182" s="3"/>
      <c r="S182" s="2" t="s">
        <v>30</v>
      </c>
    </row>
    <row r="183" customFormat="false" ht="15" hidden="false" customHeight="false" outlineLevel="0" collapsed="false">
      <c r="A183" s="0" t="n">
        <v>182</v>
      </c>
      <c r="D183" s="0" t="s">
        <v>671</v>
      </c>
      <c r="E183" s="0" t="s">
        <v>20</v>
      </c>
      <c r="H183" s="0" t="s">
        <v>21</v>
      </c>
      <c r="I183" s="2" t="s">
        <v>22</v>
      </c>
      <c r="J183" s="2" t="s">
        <v>672</v>
      </c>
      <c r="K183" s="0" t="s">
        <v>673</v>
      </c>
      <c r="L183" s="0" t="s">
        <v>120</v>
      </c>
      <c r="M183" s="0" t="s">
        <v>674</v>
      </c>
      <c r="N183" s="0" t="s">
        <v>675</v>
      </c>
      <c r="O183" s="0" t="n">
        <v>2</v>
      </c>
      <c r="P183" s="0" t="s">
        <v>479</v>
      </c>
      <c r="Q183" s="0" t="s">
        <v>676</v>
      </c>
      <c r="R183" s="3"/>
      <c r="S183" s="2" t="s">
        <v>30</v>
      </c>
    </row>
    <row r="184" customFormat="false" ht="15" hidden="false" customHeight="false" outlineLevel="0" collapsed="false">
      <c r="A184" s="0" t="n">
        <v>183</v>
      </c>
      <c r="D184" s="0" t="s">
        <v>677</v>
      </c>
      <c r="E184" s="0" t="s">
        <v>20</v>
      </c>
      <c r="H184" s="0" t="s">
        <v>21</v>
      </c>
      <c r="I184" s="2" t="s">
        <v>22</v>
      </c>
      <c r="J184" s="2" t="s">
        <v>672</v>
      </c>
      <c r="K184" s="0" t="s">
        <v>673</v>
      </c>
      <c r="L184" s="0" t="s">
        <v>120</v>
      </c>
      <c r="M184" s="0" t="s">
        <v>674</v>
      </c>
      <c r="N184" s="0" t="s">
        <v>678</v>
      </c>
      <c r="O184" s="0" t="n">
        <v>2</v>
      </c>
      <c r="P184" s="0" t="s">
        <v>679</v>
      </c>
      <c r="Q184" s="0" t="s">
        <v>680</v>
      </c>
      <c r="R184" s="3"/>
      <c r="S184" s="2" t="s">
        <v>30</v>
      </c>
    </row>
    <row r="185" customFormat="false" ht="15" hidden="false" customHeight="false" outlineLevel="0" collapsed="false">
      <c r="A185" s="0" t="n">
        <v>184</v>
      </c>
      <c r="D185" s="0" t="s">
        <v>681</v>
      </c>
      <c r="E185" s="0" t="s">
        <v>682</v>
      </c>
      <c r="H185" s="0" t="s">
        <v>21</v>
      </c>
      <c r="I185" s="2" t="s">
        <v>22</v>
      </c>
      <c r="J185" s="2" t="s">
        <v>672</v>
      </c>
      <c r="K185" s="0" t="s">
        <v>673</v>
      </c>
      <c r="L185" s="0" t="s">
        <v>25</v>
      </c>
      <c r="M185" s="0" t="s">
        <v>674</v>
      </c>
      <c r="N185" s="0" t="s">
        <v>683</v>
      </c>
      <c r="O185" s="0" t="n">
        <v>1</v>
      </c>
      <c r="P185" s="0" t="s">
        <v>130</v>
      </c>
      <c r="Q185" s="0" t="s">
        <v>684</v>
      </c>
      <c r="R185" s="3"/>
      <c r="S185" s="2" t="s">
        <v>30</v>
      </c>
    </row>
    <row r="186" customFormat="false" ht="15" hidden="false" customHeight="false" outlineLevel="0" collapsed="false">
      <c r="A186" s="0" t="n">
        <v>185</v>
      </c>
      <c r="D186" s="0" t="s">
        <v>685</v>
      </c>
      <c r="E186" s="0" t="s">
        <v>20</v>
      </c>
      <c r="H186" s="0" t="s">
        <v>21</v>
      </c>
      <c r="I186" s="2" t="s">
        <v>22</v>
      </c>
      <c r="J186" s="2" t="s">
        <v>672</v>
      </c>
      <c r="K186" s="0" t="s">
        <v>673</v>
      </c>
      <c r="L186" s="0" t="s">
        <v>686</v>
      </c>
      <c r="M186" s="0" t="s">
        <v>674</v>
      </c>
      <c r="N186" s="0" t="s">
        <v>687</v>
      </c>
      <c r="O186" s="0" t="n">
        <v>1</v>
      </c>
      <c r="P186" s="0" t="s">
        <v>130</v>
      </c>
      <c r="Q186" s="0" t="s">
        <v>688</v>
      </c>
      <c r="R186" s="3"/>
      <c r="S186" s="2" t="s">
        <v>689</v>
      </c>
    </row>
    <row r="187" customFormat="false" ht="15" hidden="false" customHeight="false" outlineLevel="0" collapsed="false">
      <c r="A187" s="0" t="n">
        <v>186</v>
      </c>
      <c r="D187" s="0" t="s">
        <v>690</v>
      </c>
      <c r="E187" s="0" t="s">
        <v>20</v>
      </c>
      <c r="H187" s="0" t="s">
        <v>21</v>
      </c>
      <c r="I187" s="2" t="s">
        <v>22</v>
      </c>
      <c r="J187" s="2" t="s">
        <v>672</v>
      </c>
      <c r="K187" s="0" t="s">
        <v>673</v>
      </c>
      <c r="L187" s="0" t="s">
        <v>25</v>
      </c>
      <c r="M187" s="0" t="s">
        <v>674</v>
      </c>
      <c r="N187" s="0" t="s">
        <v>691</v>
      </c>
      <c r="O187" s="0" t="n">
        <v>1</v>
      </c>
      <c r="P187" s="0" t="s">
        <v>507</v>
      </c>
      <c r="Q187" s="0" t="s">
        <v>692</v>
      </c>
      <c r="R187" s="3"/>
      <c r="S187" s="2" t="s">
        <v>30</v>
      </c>
    </row>
    <row r="188" customFormat="false" ht="15" hidden="false" customHeight="false" outlineLevel="0" collapsed="false">
      <c r="A188" s="0" t="n">
        <v>187</v>
      </c>
      <c r="D188" s="0" t="s">
        <v>693</v>
      </c>
      <c r="E188" s="0" t="s">
        <v>20</v>
      </c>
      <c r="H188" s="0" t="s">
        <v>21</v>
      </c>
      <c r="I188" s="2" t="s">
        <v>22</v>
      </c>
      <c r="J188" s="2" t="s">
        <v>672</v>
      </c>
      <c r="K188" s="0" t="s">
        <v>673</v>
      </c>
      <c r="L188" s="0" t="s">
        <v>25</v>
      </c>
      <c r="M188" s="0" t="s">
        <v>674</v>
      </c>
      <c r="N188" s="0" t="s">
        <v>694</v>
      </c>
      <c r="O188" s="0" t="n">
        <v>1</v>
      </c>
      <c r="P188" s="0" t="s">
        <v>297</v>
      </c>
      <c r="Q188" s="0" t="s">
        <v>695</v>
      </c>
      <c r="R188" s="3"/>
      <c r="S188" s="2" t="s">
        <v>30</v>
      </c>
    </row>
    <row r="189" customFormat="false" ht="15" hidden="false" customHeight="false" outlineLevel="0" collapsed="false">
      <c r="A189" s="0" t="n">
        <v>188</v>
      </c>
      <c r="D189" s="0" t="s">
        <v>696</v>
      </c>
      <c r="E189" s="0" t="s">
        <v>20</v>
      </c>
      <c r="H189" s="0" t="s">
        <v>21</v>
      </c>
      <c r="I189" s="2" t="s">
        <v>22</v>
      </c>
      <c r="J189" s="2" t="s">
        <v>672</v>
      </c>
      <c r="K189" s="0" t="s">
        <v>673</v>
      </c>
      <c r="L189" s="0" t="s">
        <v>25</v>
      </c>
      <c r="M189" s="0" t="s">
        <v>674</v>
      </c>
      <c r="N189" s="0" t="s">
        <v>697</v>
      </c>
      <c r="O189" s="0" t="n">
        <v>1</v>
      </c>
      <c r="P189" s="0" t="s">
        <v>130</v>
      </c>
      <c r="Q189" s="0" t="s">
        <v>698</v>
      </c>
      <c r="R189" s="3"/>
      <c r="S189" s="2" t="s">
        <v>30</v>
      </c>
    </row>
    <row r="190" customFormat="false" ht="15" hidden="false" customHeight="false" outlineLevel="0" collapsed="false">
      <c r="A190" s="0" t="n">
        <v>189</v>
      </c>
      <c r="D190" s="0" t="s">
        <v>699</v>
      </c>
      <c r="E190" s="0" t="s">
        <v>286</v>
      </c>
      <c r="H190" s="0" t="s">
        <v>21</v>
      </c>
      <c r="I190" s="2" t="s">
        <v>22</v>
      </c>
      <c r="J190" s="2" t="s">
        <v>672</v>
      </c>
      <c r="K190" s="0" t="s">
        <v>673</v>
      </c>
      <c r="L190" s="0" t="s">
        <v>25</v>
      </c>
      <c r="M190" s="0" t="s">
        <v>674</v>
      </c>
      <c r="N190" s="0" t="s">
        <v>700</v>
      </c>
      <c r="O190" s="0" t="n">
        <v>1</v>
      </c>
      <c r="P190" s="0" t="s">
        <v>701</v>
      </c>
      <c r="Q190" s="0" t="s">
        <v>702</v>
      </c>
      <c r="R190" s="3"/>
      <c r="S190" s="2" t="s">
        <v>30</v>
      </c>
    </row>
    <row r="191" customFormat="false" ht="15" hidden="false" customHeight="false" outlineLevel="0" collapsed="false">
      <c r="A191" s="0" t="n">
        <v>190</v>
      </c>
      <c r="D191" s="0" t="s">
        <v>703</v>
      </c>
      <c r="E191" s="0" t="s">
        <v>20</v>
      </c>
      <c r="H191" s="0" t="s">
        <v>21</v>
      </c>
      <c r="I191" s="2" t="s">
        <v>22</v>
      </c>
      <c r="J191" s="2" t="s">
        <v>672</v>
      </c>
      <c r="K191" s="0" t="s">
        <v>673</v>
      </c>
      <c r="L191" s="0" t="s">
        <v>25</v>
      </c>
      <c r="M191" s="0" t="s">
        <v>674</v>
      </c>
      <c r="N191" s="0" t="s">
        <v>704</v>
      </c>
      <c r="O191" s="0" t="n">
        <v>1</v>
      </c>
      <c r="P191" s="0" t="s">
        <v>130</v>
      </c>
      <c r="Q191" s="0" t="s">
        <v>705</v>
      </c>
      <c r="R191" s="3"/>
      <c r="S191" s="2" t="s">
        <v>30</v>
      </c>
    </row>
    <row r="192" customFormat="false" ht="15" hidden="false" customHeight="false" outlineLevel="0" collapsed="false">
      <c r="A192" s="0" t="n">
        <v>191</v>
      </c>
      <c r="D192" s="0" t="s">
        <v>706</v>
      </c>
      <c r="E192" s="0" t="s">
        <v>20</v>
      </c>
      <c r="H192" s="0" t="s">
        <v>21</v>
      </c>
      <c r="I192" s="2" t="s">
        <v>22</v>
      </c>
      <c r="J192" s="2" t="s">
        <v>672</v>
      </c>
      <c r="K192" s="0" t="s">
        <v>673</v>
      </c>
      <c r="L192" s="0" t="s">
        <v>25</v>
      </c>
      <c r="M192" s="0" t="s">
        <v>674</v>
      </c>
      <c r="N192" s="0" t="s">
        <v>707</v>
      </c>
      <c r="O192" s="0" t="n">
        <v>1</v>
      </c>
      <c r="P192" s="0" t="s">
        <v>679</v>
      </c>
      <c r="Q192" s="0" t="s">
        <v>708</v>
      </c>
      <c r="R192" s="3"/>
      <c r="S192" s="2" t="s">
        <v>30</v>
      </c>
    </row>
    <row r="193" customFormat="false" ht="15" hidden="false" customHeight="false" outlineLevel="0" collapsed="false">
      <c r="A193" s="0" t="n">
        <v>192</v>
      </c>
      <c r="D193" s="0" t="s">
        <v>709</v>
      </c>
      <c r="E193" s="0" t="s">
        <v>20</v>
      </c>
      <c r="H193" s="0" t="s">
        <v>21</v>
      </c>
      <c r="I193" s="2" t="s">
        <v>22</v>
      </c>
      <c r="J193" s="2" t="s">
        <v>672</v>
      </c>
      <c r="K193" s="0" t="s">
        <v>673</v>
      </c>
      <c r="L193" s="0" t="s">
        <v>25</v>
      </c>
      <c r="M193" s="0" t="s">
        <v>674</v>
      </c>
      <c r="N193" s="0" t="s">
        <v>710</v>
      </c>
      <c r="O193" s="0" t="n">
        <v>1</v>
      </c>
      <c r="P193" s="0" t="s">
        <v>313</v>
      </c>
      <c r="Q193" s="0" t="s">
        <v>711</v>
      </c>
      <c r="R193" s="3"/>
      <c r="S193" s="2" t="s">
        <v>30</v>
      </c>
    </row>
    <row r="194" customFormat="false" ht="15" hidden="false" customHeight="false" outlineLevel="0" collapsed="false">
      <c r="A194" s="0" t="n">
        <v>193</v>
      </c>
      <c r="D194" s="0" t="s">
        <v>712</v>
      </c>
      <c r="E194" s="0" t="s">
        <v>20</v>
      </c>
      <c r="H194" s="0" t="s">
        <v>21</v>
      </c>
      <c r="I194" s="2" t="s">
        <v>22</v>
      </c>
      <c r="J194" s="2" t="s">
        <v>672</v>
      </c>
      <c r="K194" s="0" t="s">
        <v>673</v>
      </c>
      <c r="L194" s="0" t="s">
        <v>25</v>
      </c>
      <c r="M194" s="0" t="s">
        <v>674</v>
      </c>
      <c r="N194" s="0" t="s">
        <v>713</v>
      </c>
      <c r="O194" s="0" t="n">
        <v>1</v>
      </c>
      <c r="P194" s="0" t="s">
        <v>61</v>
      </c>
      <c r="Q194" s="0" t="s">
        <v>714</v>
      </c>
      <c r="R194" s="3"/>
      <c r="S194" s="2" t="s">
        <v>30</v>
      </c>
    </row>
    <row r="195" customFormat="false" ht="15" hidden="false" customHeight="false" outlineLevel="0" collapsed="false">
      <c r="A195" s="0" t="n">
        <v>194</v>
      </c>
      <c r="D195" s="0" t="s">
        <v>715</v>
      </c>
      <c r="E195" s="0" t="s">
        <v>268</v>
      </c>
      <c r="H195" s="0" t="s">
        <v>21</v>
      </c>
      <c r="I195" s="2" t="s">
        <v>22</v>
      </c>
      <c r="J195" s="2" t="s">
        <v>672</v>
      </c>
      <c r="K195" s="0" t="s">
        <v>673</v>
      </c>
      <c r="L195" s="0" t="s">
        <v>25</v>
      </c>
      <c r="M195" s="0" t="s">
        <v>674</v>
      </c>
      <c r="N195" s="0" t="s">
        <v>716</v>
      </c>
      <c r="O195" s="0" t="n">
        <v>1</v>
      </c>
      <c r="P195" s="0" t="s">
        <v>95</v>
      </c>
      <c r="Q195" s="0" t="s">
        <v>717</v>
      </c>
      <c r="R195" s="3"/>
      <c r="S195" s="2" t="s">
        <v>30</v>
      </c>
    </row>
    <row r="196" customFormat="false" ht="15" hidden="false" customHeight="false" outlineLevel="0" collapsed="false">
      <c r="A196" s="0" t="n">
        <v>195</v>
      </c>
      <c r="D196" s="0" t="s">
        <v>718</v>
      </c>
      <c r="E196" s="0" t="s">
        <v>268</v>
      </c>
      <c r="H196" s="0" t="s">
        <v>21</v>
      </c>
      <c r="I196" s="2" t="s">
        <v>22</v>
      </c>
      <c r="J196" s="2" t="s">
        <v>672</v>
      </c>
      <c r="K196" s="0" t="s">
        <v>673</v>
      </c>
      <c r="L196" s="0" t="s">
        <v>25</v>
      </c>
      <c r="M196" s="0" t="s">
        <v>674</v>
      </c>
      <c r="N196" s="0" t="s">
        <v>719</v>
      </c>
      <c r="O196" s="0" t="n">
        <v>1</v>
      </c>
      <c r="P196" s="0" t="s">
        <v>297</v>
      </c>
      <c r="Q196" s="0" t="s">
        <v>720</v>
      </c>
      <c r="R196" s="3"/>
      <c r="S196" s="2" t="s">
        <v>30</v>
      </c>
    </row>
    <row r="197" customFormat="false" ht="15" hidden="false" customHeight="false" outlineLevel="0" collapsed="false">
      <c r="A197" s="0" t="n">
        <v>196</v>
      </c>
      <c r="D197" s="0" t="s">
        <v>721</v>
      </c>
      <c r="E197" s="0" t="s">
        <v>20</v>
      </c>
      <c r="H197" s="0" t="s">
        <v>21</v>
      </c>
      <c r="I197" s="2" t="s">
        <v>22</v>
      </c>
      <c r="J197" s="2" t="s">
        <v>672</v>
      </c>
      <c r="K197" s="0" t="s">
        <v>673</v>
      </c>
      <c r="L197" s="0" t="s">
        <v>25</v>
      </c>
      <c r="M197" s="0" t="s">
        <v>674</v>
      </c>
      <c r="N197" s="0" t="s">
        <v>722</v>
      </c>
      <c r="O197" s="0" t="n">
        <v>1</v>
      </c>
      <c r="P197" s="0" t="s">
        <v>507</v>
      </c>
      <c r="R197" s="3"/>
      <c r="S197" s="2" t="s">
        <v>30</v>
      </c>
    </row>
    <row r="198" customFormat="false" ht="15" hidden="false" customHeight="false" outlineLevel="0" collapsed="false">
      <c r="A198" s="0" t="n">
        <v>197</v>
      </c>
      <c r="D198" s="0" t="s">
        <v>723</v>
      </c>
      <c r="E198" s="0" t="s">
        <v>20</v>
      </c>
      <c r="H198" s="0" t="s">
        <v>21</v>
      </c>
      <c r="I198" s="2" t="s">
        <v>22</v>
      </c>
      <c r="J198" s="2" t="s">
        <v>672</v>
      </c>
      <c r="K198" s="0" t="s">
        <v>673</v>
      </c>
      <c r="L198" s="0" t="s">
        <v>25</v>
      </c>
      <c r="M198" s="0" t="s">
        <v>674</v>
      </c>
      <c r="N198" s="0" t="s">
        <v>724</v>
      </c>
      <c r="O198" s="0" t="n">
        <v>1</v>
      </c>
      <c r="P198" s="0" t="s">
        <v>617</v>
      </c>
      <c r="Q198" s="0" t="s">
        <v>725</v>
      </c>
      <c r="R198" s="3"/>
      <c r="S198" s="2" t="s">
        <v>30</v>
      </c>
    </row>
    <row r="199" customFormat="false" ht="15" hidden="false" customHeight="false" outlineLevel="0" collapsed="false">
      <c r="A199" s="0" t="n">
        <v>198</v>
      </c>
      <c r="D199" s="0" t="s">
        <v>726</v>
      </c>
      <c r="E199" s="0" t="s">
        <v>20</v>
      </c>
      <c r="H199" s="0" t="s">
        <v>21</v>
      </c>
      <c r="I199" s="2" t="s">
        <v>22</v>
      </c>
      <c r="J199" s="2" t="s">
        <v>672</v>
      </c>
      <c r="K199" s="0" t="s">
        <v>673</v>
      </c>
      <c r="L199" s="0" t="s">
        <v>25</v>
      </c>
      <c r="M199" s="0" t="s">
        <v>674</v>
      </c>
      <c r="N199" s="0" t="s">
        <v>727</v>
      </c>
      <c r="O199" s="0" t="n">
        <v>1</v>
      </c>
      <c r="P199" s="0" t="s">
        <v>40</v>
      </c>
      <c r="Q199" s="0" t="s">
        <v>728</v>
      </c>
      <c r="R199" s="3"/>
      <c r="S199" s="2" t="s">
        <v>30</v>
      </c>
    </row>
    <row r="200" customFormat="false" ht="15" hidden="false" customHeight="false" outlineLevel="0" collapsed="false">
      <c r="A200" s="0" t="n">
        <v>199</v>
      </c>
      <c r="D200" s="0" t="s">
        <v>729</v>
      </c>
      <c r="E200" s="0" t="s">
        <v>20</v>
      </c>
      <c r="H200" s="0" t="s">
        <v>21</v>
      </c>
      <c r="I200" s="2" t="s">
        <v>22</v>
      </c>
      <c r="J200" s="2" t="s">
        <v>672</v>
      </c>
      <c r="K200" s="0" t="s">
        <v>673</v>
      </c>
      <c r="L200" s="0" t="s">
        <v>25</v>
      </c>
      <c r="M200" s="0" t="s">
        <v>674</v>
      </c>
      <c r="N200" s="0" t="s">
        <v>730</v>
      </c>
      <c r="O200" s="0" t="n">
        <v>1</v>
      </c>
      <c r="P200" s="0" t="s">
        <v>313</v>
      </c>
      <c r="Q200" s="0" t="s">
        <v>731</v>
      </c>
      <c r="R200" s="3"/>
      <c r="S200" s="2" t="s">
        <v>30</v>
      </c>
    </row>
    <row r="201" customFormat="false" ht="15" hidden="false" customHeight="false" outlineLevel="0" collapsed="false">
      <c r="A201" s="0" t="n">
        <v>200</v>
      </c>
      <c r="D201" s="0" t="s">
        <v>732</v>
      </c>
      <c r="E201" s="0" t="s">
        <v>20</v>
      </c>
      <c r="H201" s="0" t="s">
        <v>21</v>
      </c>
      <c r="I201" s="2" t="s">
        <v>22</v>
      </c>
      <c r="J201" s="2" t="s">
        <v>672</v>
      </c>
      <c r="K201" s="0" t="s">
        <v>673</v>
      </c>
      <c r="L201" s="0" t="s">
        <v>25</v>
      </c>
      <c r="M201" s="0" t="s">
        <v>674</v>
      </c>
      <c r="N201" s="0" t="s">
        <v>733</v>
      </c>
      <c r="O201" s="0" t="n">
        <v>1</v>
      </c>
      <c r="P201" s="0" t="s">
        <v>734</v>
      </c>
      <c r="Q201" s="0" t="s">
        <v>735</v>
      </c>
      <c r="R201" s="3"/>
      <c r="S201" s="2" t="s">
        <v>30</v>
      </c>
    </row>
    <row r="202" customFormat="false" ht="15" hidden="false" customHeight="false" outlineLevel="0" collapsed="false">
      <c r="A202" s="0" t="n">
        <v>201</v>
      </c>
      <c r="D202" s="0" t="s">
        <v>736</v>
      </c>
      <c r="E202" s="0" t="s">
        <v>737</v>
      </c>
      <c r="H202" s="0" t="s">
        <v>21</v>
      </c>
      <c r="I202" s="2" t="s">
        <v>22</v>
      </c>
      <c r="J202" s="2" t="s">
        <v>672</v>
      </c>
      <c r="K202" s="0" t="s">
        <v>673</v>
      </c>
      <c r="L202" s="0" t="s">
        <v>25</v>
      </c>
      <c r="M202" s="0" t="s">
        <v>674</v>
      </c>
      <c r="N202" s="0" t="s">
        <v>738</v>
      </c>
      <c r="O202" s="0" t="n">
        <v>1</v>
      </c>
      <c r="P202" s="0" t="s">
        <v>57</v>
      </c>
      <c r="Q202" s="0" t="s">
        <v>739</v>
      </c>
      <c r="R202" s="3"/>
      <c r="S202" s="2" t="s">
        <v>30</v>
      </c>
    </row>
    <row r="203" customFormat="false" ht="15" hidden="false" customHeight="false" outlineLevel="0" collapsed="false">
      <c r="A203" s="0" t="n">
        <v>202</v>
      </c>
      <c r="D203" s="0" t="s">
        <v>740</v>
      </c>
      <c r="E203" s="0" t="s">
        <v>20</v>
      </c>
      <c r="H203" s="0" t="s">
        <v>21</v>
      </c>
      <c r="I203" s="2" t="s">
        <v>22</v>
      </c>
      <c r="J203" s="2" t="s">
        <v>672</v>
      </c>
      <c r="K203" s="0" t="s">
        <v>673</v>
      </c>
      <c r="L203" s="0" t="s">
        <v>25</v>
      </c>
      <c r="M203" s="0" t="s">
        <v>674</v>
      </c>
      <c r="N203" s="0" t="s">
        <v>741</v>
      </c>
      <c r="O203" s="0" t="n">
        <v>1</v>
      </c>
      <c r="P203" s="0" t="s">
        <v>313</v>
      </c>
      <c r="Q203" s="0" t="s">
        <v>742</v>
      </c>
      <c r="R203" s="3"/>
      <c r="S203" s="2" t="s">
        <v>30</v>
      </c>
    </row>
    <row r="204" customFormat="false" ht="15" hidden="false" customHeight="false" outlineLevel="0" collapsed="false">
      <c r="A204" s="0" t="n">
        <v>203</v>
      </c>
      <c r="D204" s="0" t="s">
        <v>743</v>
      </c>
      <c r="E204" s="0" t="s">
        <v>20</v>
      </c>
      <c r="H204" s="0" t="s">
        <v>21</v>
      </c>
      <c r="I204" s="2" t="s">
        <v>22</v>
      </c>
      <c r="J204" s="2" t="s">
        <v>672</v>
      </c>
      <c r="K204" s="0" t="s">
        <v>673</v>
      </c>
      <c r="L204" s="0" t="s">
        <v>25</v>
      </c>
      <c r="M204" s="0" t="s">
        <v>674</v>
      </c>
      <c r="N204" s="0" t="s">
        <v>744</v>
      </c>
      <c r="O204" s="0" t="n">
        <v>1</v>
      </c>
      <c r="P204" s="0" t="s">
        <v>95</v>
      </c>
      <c r="Q204" s="0" t="s">
        <v>745</v>
      </c>
      <c r="R204" s="3"/>
      <c r="S204" s="2" t="s">
        <v>30</v>
      </c>
    </row>
    <row r="205" customFormat="false" ht="15" hidden="false" customHeight="false" outlineLevel="0" collapsed="false">
      <c r="A205" s="0" t="n">
        <v>204</v>
      </c>
      <c r="D205" s="0" t="s">
        <v>746</v>
      </c>
      <c r="E205" s="0" t="s">
        <v>20</v>
      </c>
      <c r="H205" s="0" t="s">
        <v>21</v>
      </c>
      <c r="I205" s="2" t="s">
        <v>22</v>
      </c>
      <c r="J205" s="2" t="s">
        <v>672</v>
      </c>
      <c r="K205" s="0" t="s">
        <v>673</v>
      </c>
      <c r="L205" s="0" t="s">
        <v>25</v>
      </c>
      <c r="M205" s="0" t="s">
        <v>674</v>
      </c>
      <c r="N205" s="0" t="s">
        <v>747</v>
      </c>
      <c r="O205" s="0" t="n">
        <v>1</v>
      </c>
      <c r="P205" s="0" t="s">
        <v>748</v>
      </c>
      <c r="Q205" s="0" t="s">
        <v>749</v>
      </c>
      <c r="R205" s="3"/>
      <c r="S205" s="2" t="s">
        <v>30</v>
      </c>
    </row>
    <row r="206" customFormat="false" ht="15" hidden="false" customHeight="false" outlineLevel="0" collapsed="false">
      <c r="A206" s="0" t="n">
        <v>205</v>
      </c>
      <c r="D206" s="0" t="s">
        <v>750</v>
      </c>
      <c r="E206" s="0" t="s">
        <v>20</v>
      </c>
      <c r="H206" s="0" t="s">
        <v>21</v>
      </c>
      <c r="I206" s="2" t="s">
        <v>22</v>
      </c>
      <c r="J206" s="2" t="s">
        <v>672</v>
      </c>
      <c r="K206" s="0" t="s">
        <v>673</v>
      </c>
      <c r="L206" s="0" t="s">
        <v>25</v>
      </c>
      <c r="M206" s="0" t="s">
        <v>674</v>
      </c>
      <c r="N206" s="0" t="s">
        <v>751</v>
      </c>
      <c r="O206" s="0" t="n">
        <v>1</v>
      </c>
      <c r="P206" s="0" t="s">
        <v>347</v>
      </c>
      <c r="Q206" s="0" t="s">
        <v>752</v>
      </c>
      <c r="R206" s="3"/>
      <c r="S206" s="2" t="s">
        <v>30</v>
      </c>
    </row>
    <row r="207" customFormat="false" ht="15" hidden="false" customHeight="false" outlineLevel="0" collapsed="false">
      <c r="A207" s="0" t="n">
        <v>206</v>
      </c>
      <c r="D207" s="0" t="s">
        <v>753</v>
      </c>
      <c r="E207" s="0" t="s">
        <v>20</v>
      </c>
      <c r="H207" s="0" t="s">
        <v>21</v>
      </c>
      <c r="I207" s="2" t="s">
        <v>22</v>
      </c>
      <c r="J207" s="2" t="s">
        <v>672</v>
      </c>
      <c r="K207" s="0" t="s">
        <v>673</v>
      </c>
      <c r="L207" s="0" t="s">
        <v>25</v>
      </c>
      <c r="M207" s="0" t="s">
        <v>674</v>
      </c>
      <c r="N207" s="0" t="s">
        <v>754</v>
      </c>
      <c r="O207" s="0" t="n">
        <v>1</v>
      </c>
      <c r="P207" s="0" t="s">
        <v>103</v>
      </c>
      <c r="Q207" s="0" t="s">
        <v>755</v>
      </c>
      <c r="R207" s="3"/>
      <c r="S207" s="2" t="s">
        <v>30</v>
      </c>
    </row>
    <row r="208" customFormat="false" ht="15" hidden="false" customHeight="false" outlineLevel="0" collapsed="false">
      <c r="A208" s="0" t="n">
        <v>207</v>
      </c>
      <c r="D208" s="0" t="s">
        <v>756</v>
      </c>
      <c r="E208" s="0" t="s">
        <v>757</v>
      </c>
      <c r="H208" s="0" t="s">
        <v>21</v>
      </c>
      <c r="I208" s="2" t="s">
        <v>22</v>
      </c>
      <c r="J208" s="2" t="s">
        <v>672</v>
      </c>
      <c r="K208" s="0" t="s">
        <v>673</v>
      </c>
      <c r="L208" s="0" t="s">
        <v>25</v>
      </c>
      <c r="M208" s="0" t="s">
        <v>674</v>
      </c>
      <c r="N208" s="0" t="s">
        <v>758</v>
      </c>
      <c r="O208" s="0" t="n">
        <v>1</v>
      </c>
      <c r="P208" s="0" t="s">
        <v>479</v>
      </c>
      <c r="Q208" s="0" t="s">
        <v>759</v>
      </c>
      <c r="R208" s="3"/>
      <c r="S208" s="2" t="s">
        <v>30</v>
      </c>
    </row>
    <row r="209" customFormat="false" ht="15" hidden="false" customHeight="false" outlineLevel="0" collapsed="false">
      <c r="A209" s="0" t="n">
        <v>208</v>
      </c>
      <c r="D209" s="0" t="s">
        <v>760</v>
      </c>
      <c r="E209" s="0" t="s">
        <v>181</v>
      </c>
      <c r="H209" s="0" t="s">
        <v>21</v>
      </c>
      <c r="I209" s="2" t="s">
        <v>22</v>
      </c>
      <c r="J209" s="2" t="s">
        <v>672</v>
      </c>
      <c r="K209" s="0" t="s">
        <v>673</v>
      </c>
      <c r="L209" s="0" t="s">
        <v>25</v>
      </c>
      <c r="M209" s="0" t="s">
        <v>674</v>
      </c>
      <c r="N209" s="0" t="s">
        <v>761</v>
      </c>
      <c r="O209" s="0" t="n">
        <v>1</v>
      </c>
      <c r="P209" s="0" t="s">
        <v>748</v>
      </c>
      <c r="Q209" s="0" t="s">
        <v>762</v>
      </c>
      <c r="R209" s="3"/>
      <c r="S209" s="2" t="s">
        <v>30</v>
      </c>
    </row>
    <row r="210" customFormat="false" ht="15" hidden="false" customHeight="false" outlineLevel="0" collapsed="false">
      <c r="A210" s="0" t="n">
        <v>209</v>
      </c>
      <c r="D210" s="0" t="s">
        <v>763</v>
      </c>
      <c r="E210" s="0" t="s">
        <v>20</v>
      </c>
      <c r="H210" s="0" t="s">
        <v>21</v>
      </c>
      <c r="I210" s="2" t="s">
        <v>22</v>
      </c>
      <c r="J210" s="2" t="s">
        <v>672</v>
      </c>
      <c r="K210" s="0" t="s">
        <v>673</v>
      </c>
      <c r="L210" s="0" t="s">
        <v>25</v>
      </c>
      <c r="M210" s="0" t="s">
        <v>674</v>
      </c>
      <c r="N210" s="0" t="s">
        <v>764</v>
      </c>
      <c r="O210" s="0" t="n">
        <v>1</v>
      </c>
      <c r="P210" s="0" t="s">
        <v>507</v>
      </c>
      <c r="Q210" s="0" t="s">
        <v>765</v>
      </c>
      <c r="R210" s="3"/>
      <c r="S210" s="2" t="s">
        <v>30</v>
      </c>
    </row>
    <row r="211" customFormat="false" ht="15" hidden="false" customHeight="false" outlineLevel="0" collapsed="false">
      <c r="A211" s="0" t="n">
        <v>210</v>
      </c>
      <c r="D211" s="0" t="s">
        <v>766</v>
      </c>
      <c r="E211" s="0" t="s">
        <v>20</v>
      </c>
      <c r="H211" s="0" t="s">
        <v>21</v>
      </c>
      <c r="I211" s="2" t="s">
        <v>22</v>
      </c>
      <c r="J211" s="2" t="s">
        <v>672</v>
      </c>
      <c r="K211" s="0" t="s">
        <v>673</v>
      </c>
      <c r="L211" s="0" t="s">
        <v>25</v>
      </c>
      <c r="M211" s="0" t="s">
        <v>674</v>
      </c>
      <c r="N211" s="0" t="s">
        <v>767</v>
      </c>
      <c r="O211" s="0" t="n">
        <v>1</v>
      </c>
      <c r="P211" s="0" t="s">
        <v>313</v>
      </c>
      <c r="Q211" s="0" t="s">
        <v>768</v>
      </c>
      <c r="R211" s="3"/>
      <c r="S211" s="2" t="s">
        <v>30</v>
      </c>
    </row>
    <row r="212" customFormat="false" ht="15" hidden="false" customHeight="false" outlineLevel="0" collapsed="false">
      <c r="A212" s="0" t="n">
        <v>211</v>
      </c>
      <c r="D212" s="0" t="s">
        <v>769</v>
      </c>
      <c r="E212" s="0" t="s">
        <v>20</v>
      </c>
      <c r="H212" s="0" t="s">
        <v>21</v>
      </c>
      <c r="I212" s="2" t="s">
        <v>22</v>
      </c>
      <c r="J212" s="2" t="s">
        <v>672</v>
      </c>
      <c r="K212" s="0" t="s">
        <v>673</v>
      </c>
      <c r="L212" s="0" t="s">
        <v>25</v>
      </c>
      <c r="M212" s="0" t="s">
        <v>674</v>
      </c>
      <c r="N212" s="0" t="s">
        <v>751</v>
      </c>
      <c r="O212" s="0" t="n">
        <v>1</v>
      </c>
      <c r="P212" s="0" t="s">
        <v>507</v>
      </c>
      <c r="Q212" s="0" t="s">
        <v>770</v>
      </c>
      <c r="R212" s="3"/>
      <c r="S212" s="2" t="s">
        <v>30</v>
      </c>
    </row>
    <row r="213" customFormat="false" ht="15" hidden="false" customHeight="false" outlineLevel="0" collapsed="false">
      <c r="A213" s="0" t="n">
        <v>212</v>
      </c>
      <c r="D213" s="0" t="s">
        <v>771</v>
      </c>
      <c r="E213" s="0" t="s">
        <v>20</v>
      </c>
      <c r="H213" s="0" t="s">
        <v>21</v>
      </c>
      <c r="I213" s="2" t="s">
        <v>22</v>
      </c>
      <c r="J213" s="2" t="s">
        <v>672</v>
      </c>
      <c r="K213" s="0" t="s">
        <v>673</v>
      </c>
      <c r="L213" s="0" t="s">
        <v>772</v>
      </c>
      <c r="M213" s="0" t="s">
        <v>674</v>
      </c>
      <c r="N213" s="0" t="s">
        <v>773</v>
      </c>
      <c r="O213" s="0" t="n">
        <v>1</v>
      </c>
      <c r="P213" s="0" t="s">
        <v>479</v>
      </c>
      <c r="Q213" s="0" t="s">
        <v>774</v>
      </c>
      <c r="R213" s="3"/>
      <c r="S213" s="2" t="s">
        <v>775</v>
      </c>
    </row>
    <row r="214" customFormat="false" ht="15" hidden="false" customHeight="false" outlineLevel="0" collapsed="false">
      <c r="A214" s="0" t="n">
        <v>213</v>
      </c>
      <c r="D214" s="0" t="s">
        <v>776</v>
      </c>
      <c r="E214" s="0" t="s">
        <v>777</v>
      </c>
      <c r="H214" s="0" t="s">
        <v>21</v>
      </c>
      <c r="I214" s="2" t="s">
        <v>22</v>
      </c>
      <c r="J214" s="2" t="s">
        <v>672</v>
      </c>
      <c r="K214" s="0" t="s">
        <v>673</v>
      </c>
      <c r="L214" s="0" t="s">
        <v>25</v>
      </c>
      <c r="M214" s="0" t="s">
        <v>674</v>
      </c>
      <c r="N214" s="0" t="s">
        <v>778</v>
      </c>
      <c r="O214" s="0" t="n">
        <v>1</v>
      </c>
      <c r="P214" s="0" t="s">
        <v>57</v>
      </c>
      <c r="Q214" s="0" t="s">
        <v>779</v>
      </c>
      <c r="R214" s="3"/>
      <c r="S214" s="2" t="s">
        <v>30</v>
      </c>
    </row>
    <row r="215" customFormat="false" ht="15" hidden="false" customHeight="false" outlineLevel="0" collapsed="false">
      <c r="A215" s="0" t="n">
        <v>214</v>
      </c>
      <c r="D215" s="0" t="s">
        <v>780</v>
      </c>
      <c r="E215" s="0" t="s">
        <v>20</v>
      </c>
      <c r="H215" s="0" t="s">
        <v>21</v>
      </c>
      <c r="I215" s="2" t="s">
        <v>22</v>
      </c>
      <c r="J215" s="2" t="s">
        <v>672</v>
      </c>
      <c r="K215" s="0" t="s">
        <v>673</v>
      </c>
      <c r="L215" s="0" t="s">
        <v>781</v>
      </c>
      <c r="M215" s="0" t="s">
        <v>674</v>
      </c>
      <c r="N215" s="0" t="s">
        <v>782</v>
      </c>
      <c r="O215" s="0" t="n">
        <v>1</v>
      </c>
      <c r="P215" s="0" t="s">
        <v>103</v>
      </c>
      <c r="Q215" s="0" t="s">
        <v>783</v>
      </c>
      <c r="R215" s="3"/>
      <c r="S215" s="2" t="s">
        <v>784</v>
      </c>
    </row>
    <row r="216" customFormat="false" ht="15" hidden="false" customHeight="false" outlineLevel="0" collapsed="false">
      <c r="A216" s="0" t="n">
        <v>215</v>
      </c>
      <c r="D216" s="0" t="s">
        <v>785</v>
      </c>
      <c r="E216" s="0" t="s">
        <v>20</v>
      </c>
      <c r="H216" s="0" t="s">
        <v>21</v>
      </c>
      <c r="I216" s="2" t="s">
        <v>22</v>
      </c>
      <c r="J216" s="2" t="s">
        <v>672</v>
      </c>
      <c r="K216" s="0" t="s">
        <v>673</v>
      </c>
      <c r="L216" s="0" t="s">
        <v>25</v>
      </c>
      <c r="M216" s="0" t="s">
        <v>674</v>
      </c>
      <c r="N216" s="0" t="s">
        <v>786</v>
      </c>
      <c r="O216" s="0" t="n">
        <v>1</v>
      </c>
      <c r="P216" s="0" t="s">
        <v>45</v>
      </c>
      <c r="Q216" s="0" t="s">
        <v>787</v>
      </c>
      <c r="R216" s="3"/>
      <c r="S216" s="2" t="s">
        <v>30</v>
      </c>
    </row>
    <row r="217" customFormat="false" ht="15" hidden="false" customHeight="false" outlineLevel="0" collapsed="false">
      <c r="A217" s="0" t="n">
        <v>216</v>
      </c>
      <c r="D217" s="0" t="s">
        <v>788</v>
      </c>
      <c r="E217" s="0" t="s">
        <v>20</v>
      </c>
      <c r="H217" s="0" t="s">
        <v>21</v>
      </c>
      <c r="I217" s="2" t="s">
        <v>22</v>
      </c>
      <c r="J217" s="2" t="s">
        <v>672</v>
      </c>
      <c r="K217" s="0" t="s">
        <v>673</v>
      </c>
      <c r="L217" s="0" t="s">
        <v>25</v>
      </c>
      <c r="M217" s="0" t="s">
        <v>674</v>
      </c>
      <c r="N217" s="0" t="s">
        <v>789</v>
      </c>
      <c r="O217" s="0" t="n">
        <v>1</v>
      </c>
      <c r="P217" s="0" t="s">
        <v>95</v>
      </c>
      <c r="Q217" s="0" t="s">
        <v>790</v>
      </c>
      <c r="R217" s="3"/>
      <c r="S217" s="2" t="s">
        <v>30</v>
      </c>
    </row>
    <row r="218" customFormat="false" ht="15" hidden="false" customHeight="false" outlineLevel="0" collapsed="false">
      <c r="A218" s="0" t="n">
        <v>217</v>
      </c>
      <c r="D218" s="0" t="s">
        <v>791</v>
      </c>
      <c r="E218" s="0" t="s">
        <v>20</v>
      </c>
      <c r="H218" s="0" t="s">
        <v>21</v>
      </c>
      <c r="I218" s="2" t="s">
        <v>22</v>
      </c>
      <c r="J218" s="2" t="s">
        <v>672</v>
      </c>
      <c r="K218" s="0" t="s">
        <v>673</v>
      </c>
      <c r="L218" s="0" t="s">
        <v>25</v>
      </c>
      <c r="M218" s="0" t="s">
        <v>674</v>
      </c>
      <c r="N218" s="0" t="s">
        <v>792</v>
      </c>
      <c r="O218" s="0" t="n">
        <v>1</v>
      </c>
      <c r="P218" s="0" t="s">
        <v>313</v>
      </c>
      <c r="Q218" s="0" t="s">
        <v>793</v>
      </c>
      <c r="R218" s="3"/>
      <c r="S218" s="2" t="s">
        <v>30</v>
      </c>
    </row>
    <row r="219" customFormat="false" ht="15" hidden="false" customHeight="false" outlineLevel="0" collapsed="false">
      <c r="A219" s="0" t="n">
        <v>218</v>
      </c>
      <c r="D219" s="0" t="s">
        <v>794</v>
      </c>
      <c r="E219" s="0" t="s">
        <v>20</v>
      </c>
      <c r="H219" s="0" t="s">
        <v>21</v>
      </c>
      <c r="I219" s="2" t="s">
        <v>22</v>
      </c>
      <c r="J219" s="2" t="s">
        <v>672</v>
      </c>
      <c r="K219" s="0" t="s">
        <v>673</v>
      </c>
      <c r="L219" s="0" t="s">
        <v>25</v>
      </c>
      <c r="M219" s="0" t="s">
        <v>674</v>
      </c>
      <c r="N219" s="0" t="s">
        <v>795</v>
      </c>
      <c r="O219" s="0" t="n">
        <v>1</v>
      </c>
      <c r="P219" s="0" t="s">
        <v>130</v>
      </c>
      <c r="Q219" s="0" t="s">
        <v>796</v>
      </c>
      <c r="R219" s="3"/>
      <c r="S219" s="2" t="s">
        <v>30</v>
      </c>
    </row>
    <row r="220" customFormat="false" ht="15" hidden="false" customHeight="false" outlineLevel="0" collapsed="false">
      <c r="A220" s="0" t="n">
        <v>219</v>
      </c>
      <c r="D220" s="0" t="s">
        <v>797</v>
      </c>
      <c r="E220" s="0" t="s">
        <v>20</v>
      </c>
      <c r="H220" s="0" t="s">
        <v>21</v>
      </c>
      <c r="I220" s="2" t="s">
        <v>22</v>
      </c>
      <c r="J220" s="2" t="s">
        <v>672</v>
      </c>
      <c r="K220" s="0" t="s">
        <v>673</v>
      </c>
      <c r="L220" s="0" t="s">
        <v>25</v>
      </c>
      <c r="M220" s="0" t="s">
        <v>674</v>
      </c>
      <c r="N220" s="0" t="s">
        <v>798</v>
      </c>
      <c r="O220" s="0" t="n">
        <v>1</v>
      </c>
      <c r="P220" s="0" t="s">
        <v>799</v>
      </c>
      <c r="R220" s="3"/>
      <c r="S220" s="2" t="s">
        <v>30</v>
      </c>
    </row>
    <row r="221" customFormat="false" ht="15" hidden="false" customHeight="false" outlineLevel="0" collapsed="false">
      <c r="A221" s="0" t="n">
        <v>220</v>
      </c>
      <c r="D221" s="0" t="s">
        <v>800</v>
      </c>
      <c r="E221" s="0" t="s">
        <v>20</v>
      </c>
      <c r="H221" s="0" t="s">
        <v>21</v>
      </c>
      <c r="I221" s="2" t="s">
        <v>22</v>
      </c>
      <c r="J221" s="2" t="s">
        <v>672</v>
      </c>
      <c r="K221" s="0" t="s">
        <v>673</v>
      </c>
      <c r="L221" s="0" t="s">
        <v>25</v>
      </c>
      <c r="M221" s="0" t="s">
        <v>674</v>
      </c>
      <c r="N221" s="0" t="s">
        <v>801</v>
      </c>
      <c r="O221" s="0" t="n">
        <v>1</v>
      </c>
      <c r="P221" s="0" t="s">
        <v>72</v>
      </c>
      <c r="Q221" s="0" t="s">
        <v>802</v>
      </c>
      <c r="R221" s="3"/>
      <c r="S221" s="2" t="s">
        <v>30</v>
      </c>
    </row>
    <row r="222" customFormat="false" ht="15" hidden="false" customHeight="false" outlineLevel="0" collapsed="false">
      <c r="A222" s="0" t="n">
        <v>221</v>
      </c>
      <c r="D222" s="0" t="s">
        <v>803</v>
      </c>
      <c r="E222" s="0" t="s">
        <v>20</v>
      </c>
      <c r="H222" s="0" t="s">
        <v>21</v>
      </c>
      <c r="I222" s="2" t="s">
        <v>22</v>
      </c>
      <c r="J222" s="2" t="s">
        <v>672</v>
      </c>
      <c r="K222" s="0" t="s">
        <v>673</v>
      </c>
      <c r="L222" s="0" t="s">
        <v>25</v>
      </c>
      <c r="M222" s="0" t="s">
        <v>674</v>
      </c>
      <c r="N222" s="0" t="s">
        <v>804</v>
      </c>
      <c r="O222" s="0" t="n">
        <v>1</v>
      </c>
      <c r="P222" s="0" t="s">
        <v>805</v>
      </c>
      <c r="Q222" s="0" t="s">
        <v>806</v>
      </c>
      <c r="R222" s="3"/>
      <c r="S222" s="2" t="s">
        <v>30</v>
      </c>
    </row>
    <row r="223" customFormat="false" ht="15" hidden="false" customHeight="false" outlineLevel="0" collapsed="false">
      <c r="A223" s="0" t="n">
        <v>222</v>
      </c>
      <c r="D223" s="0" t="s">
        <v>807</v>
      </c>
      <c r="E223" s="0" t="s">
        <v>20</v>
      </c>
      <c r="H223" s="0" t="s">
        <v>21</v>
      </c>
      <c r="I223" s="2" t="s">
        <v>22</v>
      </c>
      <c r="J223" s="2" t="s">
        <v>672</v>
      </c>
      <c r="K223" s="0" t="s">
        <v>673</v>
      </c>
      <c r="L223" s="0" t="s">
        <v>25</v>
      </c>
      <c r="M223" s="0" t="s">
        <v>674</v>
      </c>
      <c r="N223" s="0" t="s">
        <v>808</v>
      </c>
      <c r="O223" s="0" t="n">
        <v>1</v>
      </c>
      <c r="P223" s="0" t="s">
        <v>297</v>
      </c>
      <c r="Q223" s="0" t="s">
        <v>809</v>
      </c>
      <c r="R223" s="3"/>
      <c r="S223" s="2" t="s">
        <v>30</v>
      </c>
    </row>
    <row r="224" customFormat="false" ht="15" hidden="false" customHeight="false" outlineLevel="0" collapsed="false">
      <c r="A224" s="0" t="n">
        <v>223</v>
      </c>
      <c r="D224" s="0" t="s">
        <v>810</v>
      </c>
      <c r="E224" s="0" t="s">
        <v>20</v>
      </c>
      <c r="H224" s="0" t="s">
        <v>21</v>
      </c>
      <c r="I224" s="2" t="s">
        <v>22</v>
      </c>
      <c r="J224" s="2" t="s">
        <v>672</v>
      </c>
      <c r="K224" s="0" t="s">
        <v>673</v>
      </c>
      <c r="L224" s="0" t="s">
        <v>25</v>
      </c>
      <c r="M224" s="0" t="s">
        <v>674</v>
      </c>
      <c r="N224" s="0" t="s">
        <v>811</v>
      </c>
      <c r="O224" s="0" t="n">
        <v>1</v>
      </c>
      <c r="P224" s="0" t="s">
        <v>61</v>
      </c>
      <c r="Q224" s="0" t="s">
        <v>812</v>
      </c>
      <c r="R224" s="3"/>
      <c r="S224" s="2" t="s">
        <v>30</v>
      </c>
    </row>
    <row r="225" customFormat="false" ht="15" hidden="false" customHeight="false" outlineLevel="0" collapsed="false">
      <c r="A225" s="0" t="n">
        <v>224</v>
      </c>
      <c r="D225" s="0" t="s">
        <v>813</v>
      </c>
      <c r="E225" s="0" t="s">
        <v>20</v>
      </c>
      <c r="H225" s="0" t="s">
        <v>21</v>
      </c>
      <c r="I225" s="2" t="s">
        <v>22</v>
      </c>
      <c r="J225" s="2" t="s">
        <v>672</v>
      </c>
      <c r="K225" s="0" t="s">
        <v>673</v>
      </c>
      <c r="L225" s="0" t="s">
        <v>25</v>
      </c>
      <c r="M225" s="0" t="s">
        <v>674</v>
      </c>
      <c r="N225" s="0" t="s">
        <v>814</v>
      </c>
      <c r="O225" s="0" t="n">
        <v>1</v>
      </c>
      <c r="P225" s="0" t="s">
        <v>297</v>
      </c>
      <c r="Q225" s="0" t="s">
        <v>815</v>
      </c>
      <c r="R225" s="3"/>
      <c r="S225" s="2" t="s">
        <v>30</v>
      </c>
    </row>
    <row r="226" customFormat="false" ht="15" hidden="false" customHeight="false" outlineLevel="0" collapsed="false">
      <c r="A226" s="0" t="n">
        <v>225</v>
      </c>
      <c r="D226" s="0" t="s">
        <v>816</v>
      </c>
      <c r="E226" s="0" t="s">
        <v>20</v>
      </c>
      <c r="H226" s="0" t="s">
        <v>21</v>
      </c>
      <c r="I226" s="2" t="s">
        <v>22</v>
      </c>
      <c r="J226" s="2" t="s">
        <v>672</v>
      </c>
      <c r="K226" s="0" t="s">
        <v>673</v>
      </c>
      <c r="L226" s="0" t="s">
        <v>25</v>
      </c>
      <c r="M226" s="0" t="s">
        <v>674</v>
      </c>
      <c r="N226" s="0" t="s">
        <v>817</v>
      </c>
      <c r="O226" s="0" t="n">
        <v>1</v>
      </c>
      <c r="P226" s="0" t="s">
        <v>313</v>
      </c>
      <c r="Q226" s="0" t="s">
        <v>818</v>
      </c>
      <c r="R226" s="3"/>
      <c r="S226" s="2" t="s">
        <v>30</v>
      </c>
    </row>
    <row r="227" customFormat="false" ht="15" hidden="false" customHeight="false" outlineLevel="0" collapsed="false">
      <c r="A227" s="0" t="n">
        <v>226</v>
      </c>
      <c r="D227" s="0" t="s">
        <v>819</v>
      </c>
      <c r="E227" s="0" t="s">
        <v>20</v>
      </c>
      <c r="H227" s="0" t="s">
        <v>21</v>
      </c>
      <c r="I227" s="2" t="s">
        <v>22</v>
      </c>
      <c r="J227" s="2" t="s">
        <v>672</v>
      </c>
      <c r="K227" s="0" t="s">
        <v>673</v>
      </c>
      <c r="L227" s="0" t="s">
        <v>25</v>
      </c>
      <c r="M227" s="0" t="s">
        <v>674</v>
      </c>
      <c r="N227" s="0" t="s">
        <v>820</v>
      </c>
      <c r="O227" s="0" t="n">
        <v>1</v>
      </c>
      <c r="P227" s="0" t="s">
        <v>276</v>
      </c>
      <c r="Q227" s="0" t="s">
        <v>821</v>
      </c>
      <c r="R227" s="3"/>
      <c r="S227" s="2" t="s">
        <v>30</v>
      </c>
    </row>
    <row r="228" customFormat="false" ht="15" hidden="false" customHeight="false" outlineLevel="0" collapsed="false">
      <c r="A228" s="0" t="n">
        <v>227</v>
      </c>
      <c r="D228" s="0" t="s">
        <v>822</v>
      </c>
      <c r="E228" s="0" t="s">
        <v>20</v>
      </c>
      <c r="H228" s="0" t="s">
        <v>21</v>
      </c>
      <c r="I228" s="2" t="s">
        <v>22</v>
      </c>
      <c r="J228" s="2" t="s">
        <v>672</v>
      </c>
      <c r="K228" s="0" t="s">
        <v>673</v>
      </c>
      <c r="L228" s="0" t="s">
        <v>25</v>
      </c>
      <c r="M228" s="0" t="s">
        <v>674</v>
      </c>
      <c r="N228" s="0" t="s">
        <v>823</v>
      </c>
      <c r="O228" s="0" t="n">
        <v>1</v>
      </c>
      <c r="P228" s="0" t="s">
        <v>40</v>
      </c>
      <c r="Q228" s="0" t="s">
        <v>824</v>
      </c>
      <c r="R228" s="3"/>
      <c r="S228" s="2" t="s">
        <v>30</v>
      </c>
    </row>
    <row r="229" customFormat="false" ht="15" hidden="false" customHeight="false" outlineLevel="0" collapsed="false">
      <c r="A229" s="0" t="n">
        <v>228</v>
      </c>
      <c r="D229" s="0" t="s">
        <v>825</v>
      </c>
      <c r="E229" s="0" t="s">
        <v>20</v>
      </c>
      <c r="H229" s="0" t="s">
        <v>21</v>
      </c>
      <c r="I229" s="2" t="s">
        <v>22</v>
      </c>
      <c r="J229" s="2" t="s">
        <v>672</v>
      </c>
      <c r="K229" s="0" t="s">
        <v>673</v>
      </c>
      <c r="L229" s="0" t="s">
        <v>25</v>
      </c>
      <c r="M229" s="0" t="s">
        <v>674</v>
      </c>
      <c r="N229" s="0" t="s">
        <v>826</v>
      </c>
      <c r="O229" s="0" t="n">
        <v>1</v>
      </c>
      <c r="P229" s="0" t="s">
        <v>748</v>
      </c>
      <c r="Q229" s="0" t="s">
        <v>827</v>
      </c>
      <c r="R229" s="3"/>
      <c r="S229" s="2" t="s">
        <v>30</v>
      </c>
    </row>
    <row r="230" customFormat="false" ht="15" hidden="false" customHeight="false" outlineLevel="0" collapsed="false">
      <c r="A230" s="0" t="n">
        <v>229</v>
      </c>
      <c r="D230" s="0" t="s">
        <v>828</v>
      </c>
      <c r="E230" s="0" t="s">
        <v>20</v>
      </c>
      <c r="H230" s="0" t="s">
        <v>21</v>
      </c>
      <c r="I230" s="2" t="s">
        <v>22</v>
      </c>
      <c r="J230" s="2" t="s">
        <v>672</v>
      </c>
      <c r="K230" s="0" t="s">
        <v>673</v>
      </c>
      <c r="L230" s="0" t="s">
        <v>25</v>
      </c>
      <c r="M230" s="0" t="s">
        <v>674</v>
      </c>
      <c r="N230" s="0" t="s">
        <v>829</v>
      </c>
      <c r="O230" s="0" t="n">
        <v>1</v>
      </c>
      <c r="P230" s="0" t="s">
        <v>701</v>
      </c>
      <c r="Q230" s="0" t="s">
        <v>830</v>
      </c>
      <c r="R230" s="3"/>
      <c r="S230" s="2" t="s">
        <v>30</v>
      </c>
    </row>
    <row r="231" customFormat="false" ht="15" hidden="false" customHeight="false" outlineLevel="0" collapsed="false">
      <c r="A231" s="0" t="n">
        <v>230</v>
      </c>
      <c r="D231" s="0" t="s">
        <v>831</v>
      </c>
      <c r="E231" s="0" t="s">
        <v>20</v>
      </c>
      <c r="H231" s="0" t="s">
        <v>21</v>
      </c>
      <c r="I231" s="2" t="s">
        <v>22</v>
      </c>
      <c r="J231" s="2" t="s">
        <v>672</v>
      </c>
      <c r="K231" s="0" t="s">
        <v>673</v>
      </c>
      <c r="L231" s="0" t="s">
        <v>25</v>
      </c>
      <c r="M231" s="0" t="s">
        <v>674</v>
      </c>
      <c r="N231" s="0" t="s">
        <v>832</v>
      </c>
      <c r="O231" s="0" t="n">
        <v>1</v>
      </c>
      <c r="P231" s="0" t="s">
        <v>748</v>
      </c>
      <c r="Q231" s="0" t="s">
        <v>833</v>
      </c>
      <c r="R231" s="3"/>
      <c r="S231" s="2" t="s">
        <v>30</v>
      </c>
    </row>
    <row r="232" customFormat="false" ht="15" hidden="false" customHeight="false" outlineLevel="0" collapsed="false">
      <c r="A232" s="0" t="n">
        <v>231</v>
      </c>
      <c r="D232" s="0" t="s">
        <v>834</v>
      </c>
      <c r="E232" s="0" t="s">
        <v>20</v>
      </c>
      <c r="H232" s="0" t="s">
        <v>21</v>
      </c>
      <c r="I232" s="2" t="s">
        <v>22</v>
      </c>
      <c r="J232" s="2" t="s">
        <v>672</v>
      </c>
      <c r="K232" s="0" t="s">
        <v>673</v>
      </c>
      <c r="L232" s="0" t="s">
        <v>25</v>
      </c>
      <c r="M232" s="0" t="s">
        <v>674</v>
      </c>
      <c r="N232" s="0" t="s">
        <v>835</v>
      </c>
      <c r="O232" s="0" t="n">
        <v>1</v>
      </c>
      <c r="P232" s="0" t="s">
        <v>126</v>
      </c>
      <c r="Q232" s="0" t="s">
        <v>836</v>
      </c>
      <c r="R232" s="3"/>
      <c r="S232" s="2" t="s">
        <v>30</v>
      </c>
    </row>
    <row r="233" customFormat="false" ht="15" hidden="false" customHeight="false" outlineLevel="0" collapsed="false">
      <c r="A233" s="0" t="n">
        <v>232</v>
      </c>
      <c r="D233" s="0" t="s">
        <v>837</v>
      </c>
      <c r="E233" s="0" t="s">
        <v>430</v>
      </c>
      <c r="H233" s="0" t="s">
        <v>21</v>
      </c>
      <c r="I233" s="2" t="s">
        <v>22</v>
      </c>
      <c r="J233" s="2" t="s">
        <v>672</v>
      </c>
      <c r="K233" s="0" t="s">
        <v>673</v>
      </c>
      <c r="L233" s="0" t="s">
        <v>25</v>
      </c>
      <c r="M233" s="0" t="s">
        <v>674</v>
      </c>
      <c r="N233" s="0" t="s">
        <v>838</v>
      </c>
      <c r="O233" s="0" t="n">
        <v>1</v>
      </c>
      <c r="P233" s="0" t="s">
        <v>103</v>
      </c>
      <c r="Q233" s="0" t="s">
        <v>839</v>
      </c>
      <c r="R233" s="3"/>
      <c r="S233" s="2" t="s">
        <v>30</v>
      </c>
    </row>
    <row r="234" customFormat="false" ht="15" hidden="false" customHeight="false" outlineLevel="0" collapsed="false">
      <c r="A234" s="0" t="n">
        <v>233</v>
      </c>
      <c r="D234" s="0" t="s">
        <v>840</v>
      </c>
      <c r="E234" s="0" t="s">
        <v>20</v>
      </c>
      <c r="H234" s="0" t="s">
        <v>21</v>
      </c>
      <c r="I234" s="2" t="s">
        <v>22</v>
      </c>
      <c r="J234" s="2" t="s">
        <v>672</v>
      </c>
      <c r="K234" s="0" t="s">
        <v>673</v>
      </c>
      <c r="L234" s="0" t="s">
        <v>25</v>
      </c>
      <c r="M234" s="0" t="s">
        <v>674</v>
      </c>
      <c r="N234" s="0" t="s">
        <v>841</v>
      </c>
      <c r="O234" s="0" t="n">
        <v>1</v>
      </c>
      <c r="P234" s="0" t="s">
        <v>53</v>
      </c>
      <c r="Q234" s="0" t="s">
        <v>842</v>
      </c>
      <c r="R234" s="3"/>
      <c r="S234" s="2" t="s">
        <v>30</v>
      </c>
    </row>
    <row r="235" customFormat="false" ht="15" hidden="false" customHeight="false" outlineLevel="0" collapsed="false">
      <c r="A235" s="0" t="n">
        <v>234</v>
      </c>
      <c r="D235" s="0" t="s">
        <v>843</v>
      </c>
      <c r="E235" s="0" t="s">
        <v>20</v>
      </c>
      <c r="H235" s="0" t="s">
        <v>21</v>
      </c>
      <c r="I235" s="2" t="s">
        <v>22</v>
      </c>
      <c r="J235" s="2" t="s">
        <v>672</v>
      </c>
      <c r="K235" s="0" t="s">
        <v>673</v>
      </c>
      <c r="L235" s="0" t="s">
        <v>844</v>
      </c>
      <c r="M235" s="0" t="s">
        <v>674</v>
      </c>
      <c r="N235" s="0" t="s">
        <v>845</v>
      </c>
      <c r="O235" s="0" t="n">
        <v>1</v>
      </c>
      <c r="P235" s="0" t="s">
        <v>846</v>
      </c>
      <c r="Q235" s="0" t="s">
        <v>847</v>
      </c>
      <c r="R235" s="3"/>
      <c r="S235" s="2" t="s">
        <v>848</v>
      </c>
    </row>
    <row r="236" customFormat="false" ht="15" hidden="false" customHeight="false" outlineLevel="0" collapsed="false">
      <c r="A236" s="0" t="n">
        <v>235</v>
      </c>
      <c r="D236" s="0" t="s">
        <v>849</v>
      </c>
      <c r="E236" s="0" t="s">
        <v>20</v>
      </c>
      <c r="H236" s="0" t="s">
        <v>21</v>
      </c>
      <c r="I236" s="2" t="s">
        <v>22</v>
      </c>
      <c r="J236" s="2" t="s">
        <v>672</v>
      </c>
      <c r="K236" s="0" t="s">
        <v>673</v>
      </c>
      <c r="L236" s="0" t="s">
        <v>25</v>
      </c>
      <c r="M236" s="0" t="s">
        <v>674</v>
      </c>
      <c r="N236" s="0" t="s">
        <v>850</v>
      </c>
      <c r="O236" s="0" t="n">
        <v>1</v>
      </c>
      <c r="P236" s="0" t="s">
        <v>851</v>
      </c>
      <c r="Q236" s="0" t="s">
        <v>852</v>
      </c>
      <c r="R236" s="3"/>
      <c r="S236" s="2" t="s">
        <v>30</v>
      </c>
    </row>
    <row r="237" customFormat="false" ht="15" hidden="false" customHeight="false" outlineLevel="0" collapsed="false">
      <c r="A237" s="0" t="n">
        <v>236</v>
      </c>
      <c r="D237" s="0" t="s">
        <v>853</v>
      </c>
      <c r="E237" s="0" t="s">
        <v>20</v>
      </c>
      <c r="H237" s="0" t="s">
        <v>21</v>
      </c>
      <c r="I237" s="2" t="s">
        <v>22</v>
      </c>
      <c r="J237" s="2" t="s">
        <v>672</v>
      </c>
      <c r="K237" s="0" t="s">
        <v>673</v>
      </c>
      <c r="L237" s="0" t="s">
        <v>25</v>
      </c>
      <c r="M237" s="0" t="s">
        <v>674</v>
      </c>
      <c r="N237" s="0" t="s">
        <v>854</v>
      </c>
      <c r="O237" s="0" t="n">
        <v>1</v>
      </c>
      <c r="P237" s="0" t="s">
        <v>421</v>
      </c>
      <c r="Q237" s="0" t="s">
        <v>855</v>
      </c>
      <c r="R237" s="3"/>
      <c r="S237" s="2" t="s">
        <v>30</v>
      </c>
    </row>
    <row r="238" customFormat="false" ht="15" hidden="false" customHeight="false" outlineLevel="0" collapsed="false">
      <c r="A238" s="0" t="n">
        <v>237</v>
      </c>
      <c r="D238" s="0" t="s">
        <v>856</v>
      </c>
      <c r="E238" s="0" t="s">
        <v>20</v>
      </c>
      <c r="H238" s="0" t="s">
        <v>21</v>
      </c>
      <c r="I238" s="2" t="s">
        <v>22</v>
      </c>
      <c r="J238" s="2" t="s">
        <v>672</v>
      </c>
      <c r="K238" s="0" t="s">
        <v>673</v>
      </c>
      <c r="L238" s="0" t="s">
        <v>25</v>
      </c>
      <c r="M238" s="0" t="s">
        <v>674</v>
      </c>
      <c r="N238" s="0" t="s">
        <v>857</v>
      </c>
      <c r="O238" s="0" t="n">
        <v>1</v>
      </c>
      <c r="P238" s="0" t="s">
        <v>617</v>
      </c>
      <c r="Q238" s="0" t="s">
        <v>858</v>
      </c>
      <c r="R238" s="3"/>
      <c r="S238" s="2" t="s">
        <v>30</v>
      </c>
    </row>
    <row r="239" customFormat="false" ht="15" hidden="false" customHeight="false" outlineLevel="0" collapsed="false">
      <c r="A239" s="0" t="n">
        <v>238</v>
      </c>
      <c r="D239" s="0" t="s">
        <v>859</v>
      </c>
      <c r="E239" s="0" t="s">
        <v>860</v>
      </c>
      <c r="H239" s="0" t="s">
        <v>21</v>
      </c>
      <c r="I239" s="2" t="s">
        <v>22</v>
      </c>
      <c r="J239" s="2" t="s">
        <v>672</v>
      </c>
      <c r="K239" s="0" t="s">
        <v>673</v>
      </c>
      <c r="L239" s="0" t="s">
        <v>25</v>
      </c>
      <c r="M239" s="0" t="s">
        <v>674</v>
      </c>
      <c r="N239" s="0" t="s">
        <v>861</v>
      </c>
      <c r="O239" s="0" t="n">
        <v>1</v>
      </c>
      <c r="P239" s="0" t="s">
        <v>57</v>
      </c>
      <c r="Q239" s="0" t="s">
        <v>862</v>
      </c>
      <c r="R239" s="3"/>
      <c r="S239" s="2" t="s">
        <v>30</v>
      </c>
    </row>
    <row r="240" customFormat="false" ht="15" hidden="false" customHeight="false" outlineLevel="0" collapsed="false">
      <c r="A240" s="0" t="n">
        <v>239</v>
      </c>
      <c r="D240" s="0" t="s">
        <v>863</v>
      </c>
      <c r="E240" s="0" t="s">
        <v>20</v>
      </c>
      <c r="H240" s="0" t="s">
        <v>21</v>
      </c>
      <c r="I240" s="2" t="s">
        <v>22</v>
      </c>
      <c r="J240" s="2" t="s">
        <v>672</v>
      </c>
      <c r="K240" s="0" t="s">
        <v>673</v>
      </c>
      <c r="L240" s="0" t="s">
        <v>25</v>
      </c>
      <c r="M240" s="0" t="s">
        <v>674</v>
      </c>
      <c r="N240" s="0" t="s">
        <v>864</v>
      </c>
      <c r="O240" s="0" t="n">
        <v>1</v>
      </c>
      <c r="P240" s="0" t="s">
        <v>701</v>
      </c>
      <c r="Q240" s="0" t="s">
        <v>865</v>
      </c>
      <c r="R240" s="3"/>
      <c r="S240" s="2" t="s">
        <v>30</v>
      </c>
    </row>
    <row r="241" customFormat="false" ht="15" hidden="false" customHeight="false" outlineLevel="0" collapsed="false">
      <c r="A241" s="0" t="n">
        <v>240</v>
      </c>
      <c r="D241" s="0" t="s">
        <v>866</v>
      </c>
      <c r="E241" s="0" t="s">
        <v>181</v>
      </c>
      <c r="H241" s="0" t="s">
        <v>21</v>
      </c>
      <c r="I241" s="2" t="s">
        <v>22</v>
      </c>
      <c r="J241" s="2" t="s">
        <v>672</v>
      </c>
      <c r="K241" s="0" t="s">
        <v>673</v>
      </c>
      <c r="L241" s="0" t="s">
        <v>25</v>
      </c>
      <c r="M241" s="0" t="s">
        <v>674</v>
      </c>
      <c r="N241" s="0" t="s">
        <v>867</v>
      </c>
      <c r="O241" s="0" t="n">
        <v>1</v>
      </c>
      <c r="P241" s="0" t="s">
        <v>40</v>
      </c>
      <c r="Q241" s="0" t="s">
        <v>868</v>
      </c>
      <c r="R241" s="3"/>
      <c r="S241" s="2" t="s">
        <v>30</v>
      </c>
    </row>
    <row r="242" customFormat="false" ht="15" hidden="false" customHeight="false" outlineLevel="0" collapsed="false">
      <c r="A242" s="0" t="n">
        <v>241</v>
      </c>
      <c r="D242" s="0" t="s">
        <v>869</v>
      </c>
      <c r="E242" s="0" t="s">
        <v>20</v>
      </c>
      <c r="H242" s="0" t="s">
        <v>21</v>
      </c>
      <c r="I242" s="2" t="s">
        <v>22</v>
      </c>
      <c r="J242" s="2" t="s">
        <v>672</v>
      </c>
      <c r="K242" s="0" t="s">
        <v>673</v>
      </c>
      <c r="L242" s="0" t="s">
        <v>25</v>
      </c>
      <c r="M242" s="0" t="s">
        <v>674</v>
      </c>
      <c r="N242" s="0" t="s">
        <v>870</v>
      </c>
      <c r="O242" s="0" t="n">
        <v>1</v>
      </c>
      <c r="P242" s="0" t="s">
        <v>95</v>
      </c>
      <c r="Q242" s="0" t="s">
        <v>871</v>
      </c>
      <c r="R242" s="3"/>
      <c r="S242" s="2" t="s">
        <v>30</v>
      </c>
    </row>
    <row r="243" customFormat="false" ht="15" hidden="false" customHeight="false" outlineLevel="0" collapsed="false">
      <c r="A243" s="0" t="n">
        <v>242</v>
      </c>
      <c r="D243" s="0" t="s">
        <v>872</v>
      </c>
      <c r="E243" s="0" t="s">
        <v>20</v>
      </c>
      <c r="H243" s="0" t="s">
        <v>21</v>
      </c>
      <c r="I243" s="2" t="s">
        <v>22</v>
      </c>
      <c r="J243" s="2" t="s">
        <v>672</v>
      </c>
      <c r="K243" s="0" t="s">
        <v>673</v>
      </c>
      <c r="L243" s="0" t="s">
        <v>873</v>
      </c>
      <c r="M243" s="0" t="s">
        <v>674</v>
      </c>
      <c r="N243" s="0" t="s">
        <v>874</v>
      </c>
      <c r="O243" s="0" t="n">
        <v>1</v>
      </c>
      <c r="P243" s="0" t="s">
        <v>479</v>
      </c>
      <c r="Q243" s="0" t="s">
        <v>875</v>
      </c>
      <c r="R243" s="3"/>
      <c r="S243" s="2" t="s">
        <v>876</v>
      </c>
    </row>
    <row r="244" customFormat="false" ht="15" hidden="false" customHeight="false" outlineLevel="0" collapsed="false">
      <c r="A244" s="0" t="n">
        <v>243</v>
      </c>
      <c r="D244" s="0" t="s">
        <v>877</v>
      </c>
      <c r="E244" s="0" t="s">
        <v>20</v>
      </c>
      <c r="H244" s="0" t="s">
        <v>21</v>
      </c>
      <c r="I244" s="2" t="s">
        <v>22</v>
      </c>
      <c r="J244" s="2" t="s">
        <v>672</v>
      </c>
      <c r="K244" s="0" t="s">
        <v>673</v>
      </c>
      <c r="L244" s="0" t="s">
        <v>25</v>
      </c>
      <c r="M244" s="0" t="s">
        <v>674</v>
      </c>
      <c r="N244" s="0" t="s">
        <v>878</v>
      </c>
      <c r="O244" s="0" t="n">
        <v>1</v>
      </c>
      <c r="P244" s="0" t="s">
        <v>40</v>
      </c>
      <c r="Q244" s="0" t="s">
        <v>879</v>
      </c>
      <c r="R244" s="3"/>
      <c r="S244" s="2" t="s">
        <v>30</v>
      </c>
    </row>
    <row r="245" customFormat="false" ht="15" hidden="false" customHeight="false" outlineLevel="0" collapsed="false">
      <c r="A245" s="0" t="n">
        <v>244</v>
      </c>
      <c r="D245" s="0" t="s">
        <v>880</v>
      </c>
      <c r="E245" s="0" t="s">
        <v>20</v>
      </c>
      <c r="H245" s="0" t="s">
        <v>21</v>
      </c>
      <c r="I245" s="2" t="s">
        <v>22</v>
      </c>
      <c r="J245" s="2" t="s">
        <v>672</v>
      </c>
      <c r="K245" s="0" t="s">
        <v>673</v>
      </c>
      <c r="L245" s="0" t="s">
        <v>25</v>
      </c>
      <c r="M245" s="0" t="s">
        <v>674</v>
      </c>
      <c r="N245" s="0" t="s">
        <v>881</v>
      </c>
      <c r="O245" s="0" t="n">
        <v>1</v>
      </c>
      <c r="P245" s="0" t="s">
        <v>479</v>
      </c>
      <c r="Q245" s="0" t="s">
        <v>882</v>
      </c>
      <c r="R245" s="3"/>
      <c r="S245" s="2" t="s">
        <v>30</v>
      </c>
    </row>
    <row r="246" customFormat="false" ht="15" hidden="false" customHeight="false" outlineLevel="0" collapsed="false">
      <c r="A246" s="0" t="n">
        <v>245</v>
      </c>
      <c r="D246" s="0" t="s">
        <v>883</v>
      </c>
      <c r="E246" s="0" t="s">
        <v>20</v>
      </c>
      <c r="H246" s="0" t="s">
        <v>21</v>
      </c>
      <c r="I246" s="2" t="s">
        <v>22</v>
      </c>
      <c r="J246" s="2" t="s">
        <v>672</v>
      </c>
      <c r="K246" s="0" t="s">
        <v>673</v>
      </c>
      <c r="L246" s="0" t="s">
        <v>25</v>
      </c>
      <c r="M246" s="0" t="s">
        <v>674</v>
      </c>
      <c r="N246" s="0" t="s">
        <v>884</v>
      </c>
      <c r="O246" s="0" t="n">
        <v>1</v>
      </c>
      <c r="P246" s="0" t="s">
        <v>130</v>
      </c>
      <c r="Q246" s="0" t="s">
        <v>885</v>
      </c>
      <c r="R246" s="3"/>
      <c r="S246" s="2" t="s">
        <v>30</v>
      </c>
    </row>
    <row r="247" customFormat="false" ht="15" hidden="false" customHeight="false" outlineLevel="0" collapsed="false">
      <c r="A247" s="0" t="n">
        <v>246</v>
      </c>
      <c r="D247" s="0" t="s">
        <v>886</v>
      </c>
      <c r="E247" s="0" t="s">
        <v>20</v>
      </c>
      <c r="H247" s="0" t="s">
        <v>21</v>
      </c>
      <c r="I247" s="2" t="s">
        <v>22</v>
      </c>
      <c r="J247" s="2" t="s">
        <v>672</v>
      </c>
      <c r="K247" s="0" t="s">
        <v>673</v>
      </c>
      <c r="L247" s="0" t="s">
        <v>25</v>
      </c>
      <c r="M247" s="0" t="s">
        <v>674</v>
      </c>
      <c r="N247" s="0" t="s">
        <v>887</v>
      </c>
      <c r="O247" s="0" t="n">
        <v>1</v>
      </c>
      <c r="P247" s="0" t="s">
        <v>61</v>
      </c>
      <c r="Q247" s="0" t="s">
        <v>888</v>
      </c>
      <c r="R247" s="3"/>
      <c r="S247" s="2" t="s">
        <v>30</v>
      </c>
    </row>
    <row r="248" customFormat="false" ht="15" hidden="false" customHeight="false" outlineLevel="0" collapsed="false">
      <c r="A248" s="0" t="n">
        <v>247</v>
      </c>
      <c r="D248" s="0" t="s">
        <v>889</v>
      </c>
      <c r="E248" s="0" t="s">
        <v>20</v>
      </c>
      <c r="H248" s="0" t="s">
        <v>21</v>
      </c>
      <c r="I248" s="2" t="s">
        <v>22</v>
      </c>
      <c r="J248" s="2" t="s">
        <v>672</v>
      </c>
      <c r="K248" s="0" t="s">
        <v>673</v>
      </c>
      <c r="L248" s="0" t="s">
        <v>25</v>
      </c>
      <c r="M248" s="0" t="s">
        <v>674</v>
      </c>
      <c r="N248" s="0" t="s">
        <v>890</v>
      </c>
      <c r="O248" s="0" t="n">
        <v>1</v>
      </c>
      <c r="P248" s="0" t="s">
        <v>479</v>
      </c>
      <c r="Q248" s="0" t="s">
        <v>891</v>
      </c>
      <c r="R248" s="3"/>
      <c r="S248" s="2" t="s">
        <v>30</v>
      </c>
    </row>
    <row r="249" customFormat="false" ht="15" hidden="false" customHeight="false" outlineLevel="0" collapsed="false">
      <c r="A249" s="0" t="n">
        <v>248</v>
      </c>
      <c r="D249" s="0" t="s">
        <v>892</v>
      </c>
      <c r="E249" s="0" t="s">
        <v>20</v>
      </c>
      <c r="H249" s="0" t="s">
        <v>21</v>
      </c>
      <c r="I249" s="2" t="s">
        <v>22</v>
      </c>
      <c r="J249" s="2" t="s">
        <v>672</v>
      </c>
      <c r="K249" s="0" t="s">
        <v>673</v>
      </c>
      <c r="L249" s="0" t="s">
        <v>893</v>
      </c>
      <c r="M249" s="0" t="s">
        <v>674</v>
      </c>
      <c r="N249" s="0" t="s">
        <v>894</v>
      </c>
      <c r="O249" s="0" t="n">
        <v>1</v>
      </c>
      <c r="P249" s="0" t="s">
        <v>130</v>
      </c>
      <c r="Q249" s="0" t="s">
        <v>895</v>
      </c>
      <c r="R249" s="3"/>
      <c r="S249" s="2" t="s">
        <v>896</v>
      </c>
    </row>
    <row r="250" customFormat="false" ht="15" hidden="false" customHeight="false" outlineLevel="0" collapsed="false">
      <c r="A250" s="0" t="n">
        <v>249</v>
      </c>
      <c r="D250" s="0" t="s">
        <v>897</v>
      </c>
      <c r="E250" s="0" t="s">
        <v>268</v>
      </c>
      <c r="H250" s="0" t="s">
        <v>21</v>
      </c>
      <c r="I250" s="2" t="s">
        <v>22</v>
      </c>
      <c r="J250" s="2" t="s">
        <v>672</v>
      </c>
      <c r="K250" s="0" t="s">
        <v>673</v>
      </c>
      <c r="L250" s="0" t="s">
        <v>25</v>
      </c>
      <c r="M250" s="0" t="s">
        <v>674</v>
      </c>
      <c r="N250" s="0" t="s">
        <v>898</v>
      </c>
      <c r="O250" s="0" t="n">
        <v>1</v>
      </c>
      <c r="P250" s="0" t="s">
        <v>479</v>
      </c>
      <c r="Q250" s="0" t="s">
        <v>899</v>
      </c>
      <c r="R250" s="3"/>
      <c r="S250" s="2" t="s">
        <v>30</v>
      </c>
    </row>
    <row r="251" customFormat="false" ht="15" hidden="false" customHeight="false" outlineLevel="0" collapsed="false">
      <c r="A251" s="0" t="n">
        <v>250</v>
      </c>
      <c r="D251" s="0" t="s">
        <v>900</v>
      </c>
      <c r="E251" s="0" t="s">
        <v>20</v>
      </c>
      <c r="H251" s="0" t="s">
        <v>21</v>
      </c>
      <c r="I251" s="2" t="s">
        <v>22</v>
      </c>
      <c r="J251" s="2" t="s">
        <v>672</v>
      </c>
      <c r="K251" s="0" t="s">
        <v>673</v>
      </c>
      <c r="L251" s="0" t="s">
        <v>25</v>
      </c>
      <c r="M251" s="0" t="s">
        <v>674</v>
      </c>
      <c r="N251" s="0" t="s">
        <v>901</v>
      </c>
      <c r="O251" s="0" t="n">
        <v>1</v>
      </c>
      <c r="P251" s="0" t="s">
        <v>902</v>
      </c>
      <c r="Q251" s="0" t="s">
        <v>903</v>
      </c>
      <c r="R251" s="3"/>
      <c r="S251" s="2" t="s">
        <v>30</v>
      </c>
    </row>
    <row r="252" customFormat="false" ht="15" hidden="false" customHeight="false" outlineLevel="0" collapsed="false">
      <c r="A252" s="0" t="n">
        <v>251</v>
      </c>
      <c r="D252" s="0" t="s">
        <v>904</v>
      </c>
      <c r="E252" s="0" t="s">
        <v>20</v>
      </c>
      <c r="H252" s="0" t="s">
        <v>21</v>
      </c>
      <c r="I252" s="2" t="s">
        <v>22</v>
      </c>
      <c r="J252" s="2" t="s">
        <v>672</v>
      </c>
      <c r="K252" s="0" t="s">
        <v>673</v>
      </c>
      <c r="L252" s="0" t="s">
        <v>25</v>
      </c>
      <c r="M252" s="0" t="s">
        <v>674</v>
      </c>
      <c r="N252" s="0" t="s">
        <v>905</v>
      </c>
      <c r="O252" s="0" t="n">
        <v>1</v>
      </c>
      <c r="P252" s="0" t="s">
        <v>95</v>
      </c>
      <c r="Q252" s="0" t="s">
        <v>906</v>
      </c>
      <c r="R252" s="3"/>
      <c r="S252" s="2" t="s">
        <v>30</v>
      </c>
    </row>
    <row r="253" customFormat="false" ht="15" hidden="false" customHeight="false" outlineLevel="0" collapsed="false">
      <c r="A253" s="0" t="n">
        <v>252</v>
      </c>
      <c r="D253" s="0" t="s">
        <v>907</v>
      </c>
      <c r="E253" s="0" t="s">
        <v>181</v>
      </c>
      <c r="H253" s="0" t="s">
        <v>21</v>
      </c>
      <c r="I253" s="2" t="s">
        <v>22</v>
      </c>
      <c r="J253" s="2" t="s">
        <v>672</v>
      </c>
      <c r="K253" s="0" t="s">
        <v>673</v>
      </c>
      <c r="L253" s="0" t="s">
        <v>25</v>
      </c>
      <c r="M253" s="0" t="s">
        <v>674</v>
      </c>
      <c r="N253" s="0" t="s">
        <v>908</v>
      </c>
      <c r="O253" s="0" t="n">
        <v>1</v>
      </c>
      <c r="P253" s="0" t="s">
        <v>617</v>
      </c>
      <c r="Q253" s="0" t="s">
        <v>909</v>
      </c>
      <c r="R253" s="3"/>
      <c r="S253" s="2" t="s">
        <v>30</v>
      </c>
    </row>
    <row r="254" customFormat="false" ht="15" hidden="false" customHeight="false" outlineLevel="0" collapsed="false">
      <c r="A254" s="0" t="n">
        <v>253</v>
      </c>
      <c r="D254" s="0" t="s">
        <v>910</v>
      </c>
      <c r="E254" s="0" t="s">
        <v>20</v>
      </c>
      <c r="H254" s="0" t="s">
        <v>21</v>
      </c>
      <c r="I254" s="2" t="s">
        <v>22</v>
      </c>
      <c r="J254" s="2" t="s">
        <v>672</v>
      </c>
      <c r="K254" s="0" t="s">
        <v>673</v>
      </c>
      <c r="L254" s="0" t="s">
        <v>25</v>
      </c>
      <c r="M254" s="0" t="s">
        <v>674</v>
      </c>
      <c r="N254" s="0" t="s">
        <v>911</v>
      </c>
      <c r="O254" s="0" t="n">
        <v>1</v>
      </c>
      <c r="P254" s="0" t="s">
        <v>191</v>
      </c>
      <c r="Q254" s="0" t="s">
        <v>912</v>
      </c>
      <c r="R254" s="3"/>
      <c r="S254" s="2" t="s">
        <v>30</v>
      </c>
    </row>
    <row r="255" customFormat="false" ht="15" hidden="false" customHeight="false" outlineLevel="0" collapsed="false">
      <c r="A255" s="0" t="n">
        <v>254</v>
      </c>
      <c r="D255" s="0" t="s">
        <v>913</v>
      </c>
      <c r="E255" s="0" t="s">
        <v>20</v>
      </c>
      <c r="H255" s="0" t="s">
        <v>21</v>
      </c>
      <c r="I255" s="2" t="s">
        <v>22</v>
      </c>
      <c r="J255" s="2" t="s">
        <v>672</v>
      </c>
      <c r="K255" s="0" t="s">
        <v>673</v>
      </c>
      <c r="L255" s="0" t="s">
        <v>25</v>
      </c>
      <c r="M255" s="0" t="s">
        <v>674</v>
      </c>
      <c r="N255" s="0" t="s">
        <v>914</v>
      </c>
      <c r="O255" s="0" t="n">
        <v>1</v>
      </c>
      <c r="P255" s="0" t="s">
        <v>507</v>
      </c>
      <c r="Q255" s="0" t="s">
        <v>915</v>
      </c>
      <c r="R255" s="3"/>
      <c r="S255" s="2" t="s">
        <v>30</v>
      </c>
    </row>
    <row r="256" customFormat="false" ht="15" hidden="false" customHeight="false" outlineLevel="0" collapsed="false">
      <c r="A256" s="0" t="n">
        <v>255</v>
      </c>
      <c r="D256" s="0" t="s">
        <v>916</v>
      </c>
      <c r="E256" s="0" t="s">
        <v>20</v>
      </c>
      <c r="H256" s="0" t="s">
        <v>21</v>
      </c>
      <c r="I256" s="2" t="s">
        <v>22</v>
      </c>
      <c r="J256" s="2" t="s">
        <v>672</v>
      </c>
      <c r="K256" s="0" t="s">
        <v>673</v>
      </c>
      <c r="L256" s="0" t="s">
        <v>25</v>
      </c>
      <c r="M256" s="0" t="s">
        <v>674</v>
      </c>
      <c r="N256" s="0" t="s">
        <v>917</v>
      </c>
      <c r="O256" s="0" t="n">
        <v>1</v>
      </c>
      <c r="P256" s="0" t="s">
        <v>918</v>
      </c>
      <c r="Q256" s="0" t="s">
        <v>919</v>
      </c>
      <c r="R256" s="3"/>
      <c r="S256" s="2" t="s">
        <v>30</v>
      </c>
    </row>
    <row r="257" customFormat="false" ht="15" hidden="false" customHeight="false" outlineLevel="0" collapsed="false">
      <c r="A257" s="0" t="n">
        <v>256</v>
      </c>
      <c r="D257" s="0" t="s">
        <v>920</v>
      </c>
      <c r="E257" s="0" t="s">
        <v>20</v>
      </c>
      <c r="H257" s="0" t="s">
        <v>21</v>
      </c>
      <c r="I257" s="2" t="s">
        <v>22</v>
      </c>
      <c r="J257" s="2" t="s">
        <v>672</v>
      </c>
      <c r="K257" s="0" t="s">
        <v>673</v>
      </c>
      <c r="L257" s="0" t="s">
        <v>921</v>
      </c>
      <c r="M257" s="0" t="s">
        <v>674</v>
      </c>
      <c r="N257" s="0" t="s">
        <v>922</v>
      </c>
      <c r="O257" s="0" t="n">
        <v>1</v>
      </c>
      <c r="P257" s="0" t="s">
        <v>748</v>
      </c>
      <c r="Q257" s="0" t="s">
        <v>923</v>
      </c>
      <c r="R257" s="3"/>
      <c r="S257" s="2" t="s">
        <v>924</v>
      </c>
    </row>
    <row r="258" customFormat="false" ht="15" hidden="false" customHeight="false" outlineLevel="0" collapsed="false">
      <c r="A258" s="0" t="n">
        <v>257</v>
      </c>
      <c r="D258" s="0" t="s">
        <v>925</v>
      </c>
      <c r="E258" s="0" t="s">
        <v>20</v>
      </c>
      <c r="H258" s="0" t="s">
        <v>21</v>
      </c>
      <c r="I258" s="2" t="s">
        <v>22</v>
      </c>
      <c r="J258" s="2" t="s">
        <v>672</v>
      </c>
      <c r="K258" s="0" t="s">
        <v>673</v>
      </c>
      <c r="L258" s="0" t="s">
        <v>25</v>
      </c>
      <c r="M258" s="0" t="s">
        <v>674</v>
      </c>
      <c r="N258" s="0" t="s">
        <v>926</v>
      </c>
      <c r="O258" s="0" t="n">
        <v>1</v>
      </c>
      <c r="P258" s="0" t="s">
        <v>313</v>
      </c>
      <c r="Q258" s="0" t="s">
        <v>927</v>
      </c>
      <c r="R258" s="3"/>
      <c r="S258" s="2" t="s">
        <v>30</v>
      </c>
    </row>
    <row r="259" customFormat="false" ht="15" hidden="false" customHeight="false" outlineLevel="0" collapsed="false">
      <c r="A259" s="0" t="n">
        <v>258</v>
      </c>
      <c r="D259" s="0" t="s">
        <v>928</v>
      </c>
      <c r="E259" s="0" t="s">
        <v>20</v>
      </c>
      <c r="H259" s="0" t="s">
        <v>21</v>
      </c>
      <c r="I259" s="2" t="s">
        <v>22</v>
      </c>
      <c r="J259" s="2" t="s">
        <v>672</v>
      </c>
      <c r="K259" s="0" t="s">
        <v>673</v>
      </c>
      <c r="L259" s="0" t="s">
        <v>25</v>
      </c>
      <c r="M259" s="0" t="s">
        <v>674</v>
      </c>
      <c r="N259" s="0" t="s">
        <v>929</v>
      </c>
      <c r="O259" s="0" t="n">
        <v>1</v>
      </c>
      <c r="P259" s="0" t="s">
        <v>701</v>
      </c>
      <c r="Q259" s="0" t="s">
        <v>930</v>
      </c>
      <c r="R259" s="3"/>
      <c r="S259" s="2" t="s">
        <v>30</v>
      </c>
    </row>
    <row r="260" customFormat="false" ht="15" hidden="false" customHeight="false" outlineLevel="0" collapsed="false">
      <c r="A260" s="0" t="n">
        <v>259</v>
      </c>
      <c r="D260" s="0" t="s">
        <v>931</v>
      </c>
      <c r="E260" s="0" t="s">
        <v>20</v>
      </c>
      <c r="H260" s="0" t="s">
        <v>21</v>
      </c>
      <c r="I260" s="2" t="s">
        <v>22</v>
      </c>
      <c r="J260" s="2" t="s">
        <v>672</v>
      </c>
      <c r="K260" s="0" t="s">
        <v>673</v>
      </c>
      <c r="L260" s="0" t="s">
        <v>25</v>
      </c>
      <c r="M260" s="0" t="s">
        <v>674</v>
      </c>
      <c r="N260" s="0" t="s">
        <v>932</v>
      </c>
      <c r="O260" s="0" t="n">
        <v>1</v>
      </c>
      <c r="P260" s="0" t="s">
        <v>61</v>
      </c>
      <c r="Q260" s="0" t="s">
        <v>933</v>
      </c>
      <c r="R260" s="3"/>
      <c r="S260" s="2" t="s">
        <v>30</v>
      </c>
    </row>
    <row r="261" customFormat="false" ht="15" hidden="false" customHeight="false" outlineLevel="0" collapsed="false">
      <c r="A261" s="0" t="n">
        <v>260</v>
      </c>
      <c r="D261" s="0" t="s">
        <v>934</v>
      </c>
      <c r="E261" s="0" t="s">
        <v>20</v>
      </c>
      <c r="H261" s="0" t="s">
        <v>21</v>
      </c>
      <c r="I261" s="2" t="s">
        <v>22</v>
      </c>
      <c r="J261" s="2" t="s">
        <v>672</v>
      </c>
      <c r="K261" s="0" t="s">
        <v>673</v>
      </c>
      <c r="L261" s="0" t="s">
        <v>25</v>
      </c>
      <c r="M261" s="0" t="s">
        <v>674</v>
      </c>
      <c r="N261" s="0" t="s">
        <v>935</v>
      </c>
      <c r="O261" s="0" t="n">
        <v>1</v>
      </c>
      <c r="P261" s="0" t="s">
        <v>130</v>
      </c>
      <c r="Q261" s="0" t="s">
        <v>936</v>
      </c>
      <c r="R261" s="3"/>
      <c r="S261" s="2" t="s">
        <v>30</v>
      </c>
    </row>
    <row r="262" customFormat="false" ht="15" hidden="false" customHeight="false" outlineLevel="0" collapsed="false">
      <c r="A262" s="0" t="n">
        <v>261</v>
      </c>
      <c r="D262" s="0" t="s">
        <v>937</v>
      </c>
      <c r="E262" s="0" t="s">
        <v>20</v>
      </c>
      <c r="H262" s="0" t="s">
        <v>21</v>
      </c>
      <c r="I262" s="2" t="s">
        <v>22</v>
      </c>
      <c r="J262" s="2" t="s">
        <v>672</v>
      </c>
      <c r="K262" s="0" t="s">
        <v>673</v>
      </c>
      <c r="L262" s="0" t="s">
        <v>938</v>
      </c>
      <c r="M262" s="0" t="s">
        <v>674</v>
      </c>
      <c r="N262" s="0" t="s">
        <v>939</v>
      </c>
      <c r="O262" s="0" t="n">
        <v>1</v>
      </c>
      <c r="P262" s="0" t="s">
        <v>126</v>
      </c>
      <c r="Q262" s="0" t="s">
        <v>940</v>
      </c>
      <c r="R262" s="3"/>
      <c r="S262" s="2" t="s">
        <v>941</v>
      </c>
    </row>
    <row r="263" customFormat="false" ht="15" hidden="false" customHeight="false" outlineLevel="0" collapsed="false">
      <c r="A263" s="0" t="n">
        <v>262</v>
      </c>
      <c r="D263" s="0" t="s">
        <v>942</v>
      </c>
      <c r="E263" s="0" t="s">
        <v>20</v>
      </c>
      <c r="H263" s="0" t="s">
        <v>21</v>
      </c>
      <c r="I263" s="2" t="s">
        <v>22</v>
      </c>
      <c r="J263" s="2" t="s">
        <v>672</v>
      </c>
      <c r="K263" s="0" t="s">
        <v>673</v>
      </c>
      <c r="L263" s="0" t="s">
        <v>943</v>
      </c>
      <c r="M263" s="0" t="s">
        <v>674</v>
      </c>
      <c r="N263" s="0" t="s">
        <v>944</v>
      </c>
      <c r="O263" s="0" t="n">
        <v>1</v>
      </c>
      <c r="P263" s="0" t="s">
        <v>846</v>
      </c>
      <c r="Q263" s="0" t="s">
        <v>945</v>
      </c>
      <c r="R263" s="3"/>
      <c r="S263" s="2" t="s">
        <v>946</v>
      </c>
    </row>
    <row r="264" customFormat="false" ht="15" hidden="false" customHeight="false" outlineLevel="0" collapsed="false">
      <c r="A264" s="0" t="n">
        <v>263</v>
      </c>
      <c r="D264" s="0" t="s">
        <v>947</v>
      </c>
      <c r="E264" s="0" t="s">
        <v>20</v>
      </c>
      <c r="H264" s="0" t="s">
        <v>21</v>
      </c>
      <c r="I264" s="2" t="s">
        <v>22</v>
      </c>
      <c r="J264" s="2" t="s">
        <v>672</v>
      </c>
      <c r="K264" s="0" t="s">
        <v>673</v>
      </c>
      <c r="L264" s="0" t="s">
        <v>25</v>
      </c>
      <c r="M264" s="0" t="s">
        <v>674</v>
      </c>
      <c r="N264" s="0" t="s">
        <v>948</v>
      </c>
      <c r="O264" s="0" t="n">
        <v>1</v>
      </c>
      <c r="P264" s="0" t="s">
        <v>479</v>
      </c>
      <c r="Q264" s="0" t="s">
        <v>949</v>
      </c>
      <c r="R264" s="3"/>
      <c r="S264" s="2" t="s">
        <v>30</v>
      </c>
    </row>
    <row r="265" customFormat="false" ht="15" hidden="false" customHeight="false" outlineLevel="0" collapsed="false">
      <c r="A265" s="0" t="n">
        <v>264</v>
      </c>
      <c r="D265" s="0" t="s">
        <v>950</v>
      </c>
      <c r="E265" s="0" t="s">
        <v>20</v>
      </c>
      <c r="H265" s="0" t="s">
        <v>21</v>
      </c>
      <c r="I265" s="2" t="s">
        <v>22</v>
      </c>
      <c r="J265" s="2" t="s">
        <v>672</v>
      </c>
      <c r="K265" s="0" t="s">
        <v>673</v>
      </c>
      <c r="L265" s="0" t="s">
        <v>25</v>
      </c>
      <c r="M265" s="0" t="s">
        <v>674</v>
      </c>
      <c r="N265" s="0" t="s">
        <v>951</v>
      </c>
      <c r="O265" s="0" t="n">
        <v>1</v>
      </c>
      <c r="P265" s="0" t="s">
        <v>95</v>
      </c>
      <c r="Q265" s="0" t="s">
        <v>952</v>
      </c>
      <c r="R265" s="3"/>
      <c r="S265" s="2" t="s">
        <v>30</v>
      </c>
    </row>
    <row r="266" customFormat="false" ht="15" hidden="false" customHeight="false" outlineLevel="0" collapsed="false">
      <c r="A266" s="0" t="n">
        <v>265</v>
      </c>
      <c r="D266" s="0" t="s">
        <v>953</v>
      </c>
      <c r="E266" s="0" t="s">
        <v>20</v>
      </c>
      <c r="H266" s="0" t="s">
        <v>21</v>
      </c>
      <c r="I266" s="2" t="s">
        <v>22</v>
      </c>
      <c r="J266" s="2" t="s">
        <v>672</v>
      </c>
      <c r="K266" s="0" t="s">
        <v>673</v>
      </c>
      <c r="L266" s="0" t="s">
        <v>25</v>
      </c>
      <c r="M266" s="0" t="s">
        <v>674</v>
      </c>
      <c r="N266" s="0" t="s">
        <v>954</v>
      </c>
      <c r="O266" s="0" t="n">
        <v>1</v>
      </c>
      <c r="P266" s="0" t="s">
        <v>313</v>
      </c>
      <c r="Q266" s="0" t="s">
        <v>955</v>
      </c>
      <c r="R266" s="3"/>
      <c r="S266" s="2" t="s">
        <v>30</v>
      </c>
    </row>
    <row r="267" customFormat="false" ht="15" hidden="false" customHeight="false" outlineLevel="0" collapsed="false">
      <c r="A267" s="0" t="n">
        <v>266</v>
      </c>
      <c r="D267" s="0" t="s">
        <v>956</v>
      </c>
      <c r="E267" s="0" t="s">
        <v>20</v>
      </c>
      <c r="H267" s="0" t="s">
        <v>21</v>
      </c>
      <c r="I267" s="2" t="s">
        <v>22</v>
      </c>
      <c r="J267" s="2" t="s">
        <v>672</v>
      </c>
      <c r="K267" s="0" t="s">
        <v>673</v>
      </c>
      <c r="L267" s="0" t="s">
        <v>25</v>
      </c>
      <c r="M267" s="0" t="s">
        <v>674</v>
      </c>
      <c r="N267" s="0" t="s">
        <v>957</v>
      </c>
      <c r="O267" s="0" t="n">
        <v>1</v>
      </c>
      <c r="P267" s="0" t="s">
        <v>45</v>
      </c>
      <c r="Q267" s="0" t="s">
        <v>958</v>
      </c>
      <c r="R267" s="3"/>
      <c r="S267" s="2" t="s">
        <v>30</v>
      </c>
    </row>
    <row r="268" customFormat="false" ht="15" hidden="false" customHeight="false" outlineLevel="0" collapsed="false">
      <c r="A268" s="0" t="n">
        <v>267</v>
      </c>
      <c r="D268" s="0" t="s">
        <v>959</v>
      </c>
      <c r="E268" s="0" t="s">
        <v>20</v>
      </c>
      <c r="H268" s="0" t="s">
        <v>21</v>
      </c>
      <c r="I268" s="2" t="s">
        <v>22</v>
      </c>
      <c r="J268" s="2" t="s">
        <v>672</v>
      </c>
      <c r="K268" s="0" t="s">
        <v>673</v>
      </c>
      <c r="L268" s="0" t="s">
        <v>25</v>
      </c>
      <c r="M268" s="0" t="s">
        <v>674</v>
      </c>
      <c r="N268" s="0" t="s">
        <v>960</v>
      </c>
      <c r="O268" s="0" t="n">
        <v>1</v>
      </c>
      <c r="P268" s="0" t="s">
        <v>103</v>
      </c>
      <c r="Q268" s="0" t="s">
        <v>961</v>
      </c>
      <c r="R268" s="3"/>
      <c r="S268" s="2" t="s">
        <v>30</v>
      </c>
    </row>
    <row r="269" customFormat="false" ht="15" hidden="false" customHeight="false" outlineLevel="0" collapsed="false">
      <c r="A269" s="0" t="n">
        <v>268</v>
      </c>
      <c r="D269" s="0" t="s">
        <v>962</v>
      </c>
      <c r="E269" s="0" t="s">
        <v>20</v>
      </c>
      <c r="H269" s="0" t="s">
        <v>21</v>
      </c>
      <c r="I269" s="2" t="s">
        <v>22</v>
      </c>
      <c r="J269" s="2" t="s">
        <v>672</v>
      </c>
      <c r="K269" s="0" t="s">
        <v>673</v>
      </c>
      <c r="L269" s="0" t="s">
        <v>25</v>
      </c>
      <c r="M269" s="0" t="s">
        <v>674</v>
      </c>
      <c r="N269" s="0" t="s">
        <v>963</v>
      </c>
      <c r="O269" s="0" t="n">
        <v>1</v>
      </c>
      <c r="P269" s="0" t="s">
        <v>748</v>
      </c>
      <c r="Q269" s="0" t="s">
        <v>964</v>
      </c>
      <c r="R269" s="3"/>
      <c r="S269" s="2" t="s">
        <v>30</v>
      </c>
    </row>
    <row r="270" customFormat="false" ht="15" hidden="false" customHeight="false" outlineLevel="0" collapsed="false">
      <c r="A270" s="0" t="n">
        <v>269</v>
      </c>
      <c r="D270" s="0" t="s">
        <v>965</v>
      </c>
      <c r="E270" s="0" t="s">
        <v>20</v>
      </c>
      <c r="H270" s="0" t="s">
        <v>21</v>
      </c>
      <c r="I270" s="2" t="s">
        <v>22</v>
      </c>
      <c r="J270" s="2" t="s">
        <v>672</v>
      </c>
      <c r="K270" s="0" t="s">
        <v>673</v>
      </c>
      <c r="L270" s="0" t="s">
        <v>966</v>
      </c>
      <c r="M270" s="0" t="s">
        <v>674</v>
      </c>
      <c r="N270" s="0" t="s">
        <v>967</v>
      </c>
      <c r="O270" s="0" t="n">
        <v>1</v>
      </c>
      <c r="P270" s="0" t="s">
        <v>130</v>
      </c>
      <c r="Q270" s="0" t="s">
        <v>968</v>
      </c>
      <c r="R270" s="3"/>
      <c r="S270" s="2" t="s">
        <v>969</v>
      </c>
    </row>
    <row r="271" customFormat="false" ht="15" hidden="false" customHeight="false" outlineLevel="0" collapsed="false">
      <c r="A271" s="0" t="n">
        <v>270</v>
      </c>
      <c r="D271" s="0" t="s">
        <v>970</v>
      </c>
      <c r="E271" s="0" t="s">
        <v>268</v>
      </c>
      <c r="H271" s="0" t="s">
        <v>21</v>
      </c>
      <c r="I271" s="2" t="s">
        <v>22</v>
      </c>
      <c r="J271" s="2" t="s">
        <v>672</v>
      </c>
      <c r="K271" s="0" t="s">
        <v>673</v>
      </c>
      <c r="L271" s="0" t="s">
        <v>25</v>
      </c>
      <c r="M271" s="0" t="s">
        <v>674</v>
      </c>
      <c r="N271" s="0" t="s">
        <v>971</v>
      </c>
      <c r="O271" s="0" t="n">
        <v>1</v>
      </c>
      <c r="P271" s="0" t="s">
        <v>103</v>
      </c>
      <c r="Q271" s="0" t="s">
        <v>972</v>
      </c>
      <c r="R271" s="3"/>
      <c r="S271" s="2" t="s">
        <v>30</v>
      </c>
    </row>
    <row r="272" customFormat="false" ht="15" hidden="false" customHeight="false" outlineLevel="0" collapsed="false">
      <c r="A272" s="0" t="n">
        <v>271</v>
      </c>
      <c r="D272" s="0" t="s">
        <v>973</v>
      </c>
      <c r="E272" s="0" t="s">
        <v>20</v>
      </c>
      <c r="H272" s="0" t="s">
        <v>21</v>
      </c>
      <c r="I272" s="2" t="s">
        <v>22</v>
      </c>
      <c r="J272" s="2" t="s">
        <v>672</v>
      </c>
      <c r="K272" s="0" t="s">
        <v>673</v>
      </c>
      <c r="L272" s="0" t="s">
        <v>974</v>
      </c>
      <c r="M272" s="0" t="s">
        <v>674</v>
      </c>
      <c r="N272" s="0" t="s">
        <v>975</v>
      </c>
      <c r="O272" s="0" t="n">
        <v>1</v>
      </c>
      <c r="P272" s="0" t="s">
        <v>617</v>
      </c>
      <c r="Q272" s="0" t="s">
        <v>976</v>
      </c>
      <c r="R272" s="3"/>
      <c r="S272" s="2" t="s">
        <v>977</v>
      </c>
    </row>
    <row r="273" customFormat="false" ht="15" hidden="false" customHeight="false" outlineLevel="0" collapsed="false">
      <c r="A273" s="0" t="n">
        <v>272</v>
      </c>
      <c r="D273" s="0" t="s">
        <v>978</v>
      </c>
      <c r="E273" s="0" t="s">
        <v>20</v>
      </c>
      <c r="H273" s="0" t="s">
        <v>21</v>
      </c>
      <c r="I273" s="2" t="s">
        <v>22</v>
      </c>
      <c r="J273" s="2" t="s">
        <v>672</v>
      </c>
      <c r="K273" s="0" t="s">
        <v>673</v>
      </c>
      <c r="L273" s="0" t="s">
        <v>25</v>
      </c>
      <c r="M273" s="0" t="s">
        <v>674</v>
      </c>
      <c r="N273" s="0" t="s">
        <v>979</v>
      </c>
      <c r="O273" s="0" t="n">
        <v>1</v>
      </c>
      <c r="P273" s="0" t="s">
        <v>45</v>
      </c>
      <c r="Q273" s="0" t="s">
        <v>980</v>
      </c>
      <c r="R273" s="3"/>
      <c r="S273" s="2" t="s">
        <v>30</v>
      </c>
    </row>
    <row r="274" customFormat="false" ht="15" hidden="false" customHeight="false" outlineLevel="0" collapsed="false">
      <c r="A274" s="0" t="n">
        <v>273</v>
      </c>
      <c r="D274" s="0" t="s">
        <v>981</v>
      </c>
      <c r="E274" s="0" t="s">
        <v>682</v>
      </c>
      <c r="H274" s="0" t="s">
        <v>21</v>
      </c>
      <c r="I274" s="2" t="s">
        <v>22</v>
      </c>
      <c r="J274" s="2" t="s">
        <v>672</v>
      </c>
      <c r="K274" s="0" t="s">
        <v>673</v>
      </c>
      <c r="L274" s="0" t="s">
        <v>25</v>
      </c>
      <c r="M274" s="0" t="s">
        <v>674</v>
      </c>
      <c r="N274" s="0" t="s">
        <v>982</v>
      </c>
      <c r="O274" s="0" t="n">
        <v>1</v>
      </c>
      <c r="P274" s="0" t="s">
        <v>103</v>
      </c>
      <c r="Q274" s="0" t="s">
        <v>983</v>
      </c>
      <c r="R274" s="3"/>
      <c r="S274" s="2" t="s">
        <v>30</v>
      </c>
    </row>
    <row r="275" customFormat="false" ht="15" hidden="false" customHeight="false" outlineLevel="0" collapsed="false">
      <c r="A275" s="0" t="n">
        <v>274</v>
      </c>
      <c r="D275" s="0" t="s">
        <v>984</v>
      </c>
      <c r="E275" s="0" t="s">
        <v>20</v>
      </c>
      <c r="H275" s="0" t="s">
        <v>21</v>
      </c>
      <c r="I275" s="2" t="s">
        <v>22</v>
      </c>
      <c r="J275" s="2" t="s">
        <v>672</v>
      </c>
      <c r="K275" s="0" t="s">
        <v>673</v>
      </c>
      <c r="L275" s="0" t="s">
        <v>25</v>
      </c>
      <c r="M275" s="0" t="s">
        <v>674</v>
      </c>
      <c r="N275" s="0" t="s">
        <v>985</v>
      </c>
      <c r="O275" s="0" t="n">
        <v>1</v>
      </c>
      <c r="P275" s="0" t="s">
        <v>130</v>
      </c>
      <c r="Q275" s="0" t="s">
        <v>986</v>
      </c>
      <c r="R275" s="3"/>
      <c r="S275" s="2" t="s">
        <v>30</v>
      </c>
    </row>
    <row r="276" customFormat="false" ht="15" hidden="false" customHeight="false" outlineLevel="0" collapsed="false">
      <c r="A276" s="0" t="n">
        <v>275</v>
      </c>
      <c r="D276" s="0" t="s">
        <v>987</v>
      </c>
      <c r="E276" s="0" t="s">
        <v>20</v>
      </c>
      <c r="H276" s="0" t="s">
        <v>21</v>
      </c>
      <c r="I276" s="2" t="s">
        <v>22</v>
      </c>
      <c r="J276" s="2" t="s">
        <v>672</v>
      </c>
      <c r="K276" s="0" t="s">
        <v>673</v>
      </c>
      <c r="L276" s="0" t="s">
        <v>25</v>
      </c>
      <c r="M276" s="0" t="s">
        <v>674</v>
      </c>
      <c r="N276" s="0" t="s">
        <v>988</v>
      </c>
      <c r="O276" s="0" t="n">
        <v>1</v>
      </c>
      <c r="P276" s="0" t="s">
        <v>617</v>
      </c>
      <c r="Q276" s="0" t="s">
        <v>989</v>
      </c>
      <c r="R276" s="3"/>
      <c r="S276" s="2" t="s">
        <v>30</v>
      </c>
    </row>
    <row r="277" customFormat="false" ht="15" hidden="false" customHeight="false" outlineLevel="0" collapsed="false">
      <c r="A277" s="0" t="n">
        <v>276</v>
      </c>
      <c r="D277" s="0" t="s">
        <v>990</v>
      </c>
      <c r="E277" s="0" t="s">
        <v>20</v>
      </c>
      <c r="H277" s="0" t="s">
        <v>21</v>
      </c>
      <c r="I277" s="2" t="s">
        <v>22</v>
      </c>
      <c r="J277" s="2" t="s">
        <v>672</v>
      </c>
      <c r="K277" s="0" t="s">
        <v>673</v>
      </c>
      <c r="L277" s="0" t="s">
        <v>25</v>
      </c>
      <c r="M277" s="0" t="s">
        <v>674</v>
      </c>
      <c r="N277" s="0" t="s">
        <v>991</v>
      </c>
      <c r="O277" s="0" t="n">
        <v>1</v>
      </c>
      <c r="P277" s="0" t="s">
        <v>297</v>
      </c>
      <c r="Q277" s="0" t="s">
        <v>992</v>
      </c>
      <c r="R277" s="3"/>
      <c r="S277" s="2" t="s">
        <v>30</v>
      </c>
    </row>
    <row r="278" customFormat="false" ht="15" hidden="false" customHeight="false" outlineLevel="0" collapsed="false">
      <c r="A278" s="0" t="n">
        <v>277</v>
      </c>
      <c r="D278" s="0" t="s">
        <v>993</v>
      </c>
      <c r="E278" s="0" t="s">
        <v>20</v>
      </c>
      <c r="H278" s="0" t="s">
        <v>21</v>
      </c>
      <c r="I278" s="2" t="s">
        <v>22</v>
      </c>
      <c r="J278" s="2" t="s">
        <v>672</v>
      </c>
      <c r="K278" s="0" t="s">
        <v>673</v>
      </c>
      <c r="L278" s="0" t="s">
        <v>25</v>
      </c>
      <c r="M278" s="0" t="s">
        <v>674</v>
      </c>
      <c r="N278" s="0" t="s">
        <v>994</v>
      </c>
      <c r="O278" s="0" t="n">
        <v>1</v>
      </c>
      <c r="P278" s="0" t="s">
        <v>95</v>
      </c>
      <c r="Q278" s="0" t="s">
        <v>995</v>
      </c>
      <c r="R278" s="3"/>
      <c r="S278" s="2" t="s">
        <v>30</v>
      </c>
    </row>
    <row r="279" customFormat="false" ht="15" hidden="false" customHeight="false" outlineLevel="0" collapsed="false">
      <c r="A279" s="0" t="n">
        <v>278</v>
      </c>
      <c r="D279" s="0" t="s">
        <v>996</v>
      </c>
      <c r="E279" s="0" t="s">
        <v>20</v>
      </c>
      <c r="H279" s="0" t="s">
        <v>21</v>
      </c>
      <c r="I279" s="2" t="s">
        <v>22</v>
      </c>
      <c r="J279" s="2" t="s">
        <v>672</v>
      </c>
      <c r="K279" s="0" t="s">
        <v>673</v>
      </c>
      <c r="L279" s="0" t="s">
        <v>25</v>
      </c>
      <c r="M279" s="0" t="s">
        <v>674</v>
      </c>
      <c r="N279" s="0" t="s">
        <v>997</v>
      </c>
      <c r="O279" s="0" t="n">
        <v>1</v>
      </c>
      <c r="P279" s="0" t="s">
        <v>103</v>
      </c>
      <c r="Q279" s="0" t="s">
        <v>998</v>
      </c>
      <c r="R279" s="3"/>
      <c r="S279" s="2" t="s">
        <v>30</v>
      </c>
    </row>
    <row r="280" customFormat="false" ht="15" hidden="false" customHeight="false" outlineLevel="0" collapsed="false">
      <c r="A280" s="0" t="n">
        <v>279</v>
      </c>
      <c r="D280" s="0" t="s">
        <v>999</v>
      </c>
      <c r="E280" s="0" t="s">
        <v>20</v>
      </c>
      <c r="H280" s="0" t="s">
        <v>21</v>
      </c>
      <c r="I280" s="2" t="s">
        <v>22</v>
      </c>
      <c r="J280" s="2" t="s">
        <v>672</v>
      </c>
      <c r="K280" s="0" t="s">
        <v>673</v>
      </c>
      <c r="L280" s="0" t="s">
        <v>25</v>
      </c>
      <c r="M280" s="0" t="s">
        <v>674</v>
      </c>
      <c r="N280" s="0" t="s">
        <v>1000</v>
      </c>
      <c r="O280" s="0" t="n">
        <v>1</v>
      </c>
      <c r="P280" s="0" t="s">
        <v>95</v>
      </c>
      <c r="Q280" s="0" t="s">
        <v>1001</v>
      </c>
      <c r="R280" s="3"/>
      <c r="S280" s="2" t="s">
        <v>30</v>
      </c>
    </row>
    <row r="281" customFormat="false" ht="15" hidden="false" customHeight="false" outlineLevel="0" collapsed="false">
      <c r="A281" s="0" t="n">
        <v>280</v>
      </c>
      <c r="D281" s="0" t="s">
        <v>1002</v>
      </c>
      <c r="E281" s="0" t="s">
        <v>20</v>
      </c>
      <c r="H281" s="0" t="s">
        <v>21</v>
      </c>
      <c r="I281" s="2" t="s">
        <v>22</v>
      </c>
      <c r="J281" s="2" t="s">
        <v>672</v>
      </c>
      <c r="K281" s="0" t="s">
        <v>673</v>
      </c>
      <c r="L281" s="0" t="s">
        <v>25</v>
      </c>
      <c r="M281" s="0" t="s">
        <v>674</v>
      </c>
      <c r="N281" s="0" t="s">
        <v>1003</v>
      </c>
      <c r="O281" s="0" t="n">
        <v>1</v>
      </c>
      <c r="P281" s="0" t="s">
        <v>507</v>
      </c>
      <c r="Q281" s="0" t="s">
        <v>1004</v>
      </c>
      <c r="R281" s="3"/>
      <c r="S281" s="2" t="s">
        <v>30</v>
      </c>
    </row>
    <row r="282" customFormat="false" ht="15" hidden="false" customHeight="false" outlineLevel="0" collapsed="false">
      <c r="A282" s="0" t="n">
        <v>281</v>
      </c>
      <c r="D282" s="0" t="s">
        <v>1005</v>
      </c>
      <c r="E282" s="0" t="s">
        <v>20</v>
      </c>
      <c r="H282" s="0" t="s">
        <v>21</v>
      </c>
      <c r="I282" s="2" t="s">
        <v>22</v>
      </c>
      <c r="J282" s="2" t="s">
        <v>672</v>
      </c>
      <c r="K282" s="0" t="s">
        <v>673</v>
      </c>
      <c r="L282" s="0" t="s">
        <v>25</v>
      </c>
      <c r="M282" s="0" t="s">
        <v>674</v>
      </c>
      <c r="N282" s="0" t="s">
        <v>1006</v>
      </c>
      <c r="O282" s="0" t="n">
        <v>1</v>
      </c>
      <c r="P282" s="0" t="s">
        <v>130</v>
      </c>
      <c r="Q282" s="0" t="s">
        <v>1007</v>
      </c>
      <c r="R282" s="3"/>
      <c r="S282" s="2" t="s">
        <v>30</v>
      </c>
    </row>
    <row r="283" customFormat="false" ht="15" hidden="false" customHeight="false" outlineLevel="0" collapsed="false">
      <c r="A283" s="0" t="n">
        <v>282</v>
      </c>
      <c r="D283" s="0" t="s">
        <v>1008</v>
      </c>
      <c r="E283" s="0" t="s">
        <v>20</v>
      </c>
      <c r="H283" s="0" t="s">
        <v>21</v>
      </c>
      <c r="I283" s="2" t="s">
        <v>22</v>
      </c>
      <c r="J283" s="2" t="s">
        <v>672</v>
      </c>
      <c r="K283" s="0" t="s">
        <v>673</v>
      </c>
      <c r="L283" s="0" t="s">
        <v>1009</v>
      </c>
      <c r="M283" s="0" t="s">
        <v>674</v>
      </c>
      <c r="N283" s="0" t="s">
        <v>1010</v>
      </c>
      <c r="O283" s="0" t="n">
        <v>1</v>
      </c>
      <c r="P283" s="0" t="s">
        <v>130</v>
      </c>
      <c r="Q283" s="0" t="s">
        <v>1011</v>
      </c>
      <c r="R283" s="3"/>
      <c r="S283" s="2" t="s">
        <v>1012</v>
      </c>
    </row>
    <row r="284" customFormat="false" ht="15" hidden="false" customHeight="false" outlineLevel="0" collapsed="false">
      <c r="A284" s="0" t="n">
        <v>283</v>
      </c>
      <c r="D284" s="0" t="s">
        <v>1013</v>
      </c>
      <c r="E284" s="0" t="s">
        <v>20</v>
      </c>
      <c r="H284" s="0" t="s">
        <v>21</v>
      </c>
      <c r="I284" s="2" t="s">
        <v>22</v>
      </c>
      <c r="J284" s="2" t="s">
        <v>672</v>
      </c>
      <c r="K284" s="0" t="s">
        <v>673</v>
      </c>
      <c r="L284" s="0" t="s">
        <v>25</v>
      </c>
      <c r="M284" s="0" t="s">
        <v>674</v>
      </c>
      <c r="N284" s="0" t="s">
        <v>1014</v>
      </c>
      <c r="O284" s="0" t="n">
        <v>1</v>
      </c>
      <c r="P284" s="0" t="s">
        <v>191</v>
      </c>
      <c r="Q284" s="0" t="s">
        <v>1015</v>
      </c>
      <c r="R284" s="3"/>
      <c r="S284" s="2" t="s">
        <v>30</v>
      </c>
    </row>
    <row r="285" customFormat="false" ht="15" hidden="false" customHeight="false" outlineLevel="0" collapsed="false">
      <c r="A285" s="0" t="n">
        <v>284</v>
      </c>
      <c r="D285" s="0" t="s">
        <v>1016</v>
      </c>
      <c r="E285" s="0" t="s">
        <v>20</v>
      </c>
      <c r="H285" s="0" t="s">
        <v>21</v>
      </c>
      <c r="I285" s="2" t="s">
        <v>22</v>
      </c>
      <c r="J285" s="2" t="s">
        <v>672</v>
      </c>
      <c r="K285" s="0" t="s">
        <v>673</v>
      </c>
      <c r="L285" s="0" t="s">
        <v>25</v>
      </c>
      <c r="M285" s="0" t="s">
        <v>674</v>
      </c>
      <c r="N285" s="0" t="s">
        <v>1017</v>
      </c>
      <c r="O285" s="0" t="n">
        <v>1</v>
      </c>
      <c r="P285" s="0" t="s">
        <v>479</v>
      </c>
      <c r="Q285" s="0" t="s">
        <v>1018</v>
      </c>
      <c r="R285" s="3"/>
      <c r="S285" s="2" t="s">
        <v>30</v>
      </c>
    </row>
    <row r="286" customFormat="false" ht="15" hidden="false" customHeight="false" outlineLevel="0" collapsed="false">
      <c r="A286" s="0" t="n">
        <v>285</v>
      </c>
      <c r="D286" s="0" t="s">
        <v>1019</v>
      </c>
      <c r="E286" s="0" t="s">
        <v>20</v>
      </c>
      <c r="H286" s="0" t="s">
        <v>21</v>
      </c>
      <c r="I286" s="2" t="s">
        <v>22</v>
      </c>
      <c r="J286" s="2" t="s">
        <v>672</v>
      </c>
      <c r="K286" s="0" t="s">
        <v>673</v>
      </c>
      <c r="L286" s="0" t="s">
        <v>25</v>
      </c>
      <c r="M286" s="0" t="s">
        <v>674</v>
      </c>
      <c r="N286" s="0" t="s">
        <v>1020</v>
      </c>
      <c r="O286" s="0" t="n">
        <v>1</v>
      </c>
      <c r="P286" s="0" t="s">
        <v>507</v>
      </c>
      <c r="Q286" s="0" t="s">
        <v>1021</v>
      </c>
      <c r="R286" s="3"/>
      <c r="S286" s="2" t="s">
        <v>30</v>
      </c>
    </row>
    <row r="287" customFormat="false" ht="15" hidden="false" customHeight="false" outlineLevel="0" collapsed="false">
      <c r="A287" s="0" t="n">
        <v>286</v>
      </c>
      <c r="D287" s="0" t="s">
        <v>1022</v>
      </c>
      <c r="E287" s="0" t="s">
        <v>20</v>
      </c>
      <c r="H287" s="0" t="s">
        <v>21</v>
      </c>
      <c r="I287" s="2" t="s">
        <v>22</v>
      </c>
      <c r="J287" s="2" t="s">
        <v>672</v>
      </c>
      <c r="K287" s="0" t="s">
        <v>673</v>
      </c>
      <c r="L287" s="0" t="s">
        <v>1023</v>
      </c>
      <c r="M287" s="0" t="s">
        <v>674</v>
      </c>
      <c r="N287" s="0" t="s">
        <v>1024</v>
      </c>
      <c r="O287" s="0" t="n">
        <v>1</v>
      </c>
      <c r="P287" s="0" t="s">
        <v>130</v>
      </c>
      <c r="Q287" s="0" t="s">
        <v>1025</v>
      </c>
      <c r="R287" s="3"/>
      <c r="S287" s="2" t="s">
        <v>1026</v>
      </c>
    </row>
    <row r="288" customFormat="false" ht="15" hidden="false" customHeight="false" outlineLevel="0" collapsed="false">
      <c r="A288" s="0" t="n">
        <v>287</v>
      </c>
      <c r="D288" s="0" t="s">
        <v>1027</v>
      </c>
      <c r="E288" s="0" t="s">
        <v>20</v>
      </c>
      <c r="H288" s="0" t="s">
        <v>21</v>
      </c>
      <c r="I288" s="2" t="s">
        <v>22</v>
      </c>
      <c r="J288" s="2" t="s">
        <v>672</v>
      </c>
      <c r="K288" s="0" t="s">
        <v>673</v>
      </c>
      <c r="L288" s="0" t="s">
        <v>25</v>
      </c>
      <c r="M288" s="0" t="s">
        <v>674</v>
      </c>
      <c r="N288" s="0" t="s">
        <v>1028</v>
      </c>
      <c r="O288" s="0" t="n">
        <v>1</v>
      </c>
      <c r="P288" s="0" t="s">
        <v>313</v>
      </c>
      <c r="Q288" s="0" t="s">
        <v>1029</v>
      </c>
      <c r="R288" s="3"/>
      <c r="S288" s="2" t="s">
        <v>30</v>
      </c>
    </row>
    <row r="289" customFormat="false" ht="15" hidden="false" customHeight="false" outlineLevel="0" collapsed="false">
      <c r="A289" s="0" t="n">
        <v>288</v>
      </c>
      <c r="D289" s="0" t="s">
        <v>1030</v>
      </c>
      <c r="E289" s="0" t="s">
        <v>20</v>
      </c>
      <c r="H289" s="0" t="s">
        <v>21</v>
      </c>
      <c r="I289" s="2" t="s">
        <v>22</v>
      </c>
      <c r="J289" s="2" t="s">
        <v>672</v>
      </c>
      <c r="K289" s="0" t="s">
        <v>673</v>
      </c>
      <c r="L289" s="0" t="s">
        <v>25</v>
      </c>
      <c r="M289" s="0" t="s">
        <v>674</v>
      </c>
      <c r="N289" s="0" t="s">
        <v>1031</v>
      </c>
      <c r="O289" s="0" t="n">
        <v>1</v>
      </c>
      <c r="P289" s="0" t="s">
        <v>479</v>
      </c>
      <c r="Q289" s="0" t="s">
        <v>1032</v>
      </c>
      <c r="R289" s="3"/>
      <c r="S289" s="2" t="s">
        <v>30</v>
      </c>
    </row>
    <row r="290" customFormat="false" ht="15" hidden="false" customHeight="false" outlineLevel="0" collapsed="false">
      <c r="A290" s="0" t="n">
        <v>289</v>
      </c>
      <c r="D290" s="0" t="s">
        <v>1033</v>
      </c>
      <c r="E290" s="0" t="s">
        <v>20</v>
      </c>
      <c r="H290" s="0" t="s">
        <v>21</v>
      </c>
      <c r="I290" s="2" t="s">
        <v>22</v>
      </c>
      <c r="J290" s="2" t="s">
        <v>672</v>
      </c>
      <c r="K290" s="0" t="s">
        <v>673</v>
      </c>
      <c r="L290" s="0" t="s">
        <v>25</v>
      </c>
      <c r="M290" s="0" t="s">
        <v>674</v>
      </c>
      <c r="N290" s="0" t="s">
        <v>1034</v>
      </c>
      <c r="O290" s="0" t="n">
        <v>1</v>
      </c>
      <c r="P290" s="0" t="s">
        <v>313</v>
      </c>
      <c r="Q290" s="0" t="s">
        <v>1035</v>
      </c>
      <c r="R290" s="3"/>
      <c r="S290" s="2" t="s">
        <v>30</v>
      </c>
    </row>
    <row r="291" customFormat="false" ht="15" hidden="false" customHeight="false" outlineLevel="0" collapsed="false">
      <c r="A291" s="0" t="n">
        <v>290</v>
      </c>
      <c r="D291" s="0" t="s">
        <v>1036</v>
      </c>
      <c r="E291" s="0" t="s">
        <v>20</v>
      </c>
      <c r="H291" s="0" t="s">
        <v>21</v>
      </c>
      <c r="I291" s="2" t="s">
        <v>22</v>
      </c>
      <c r="J291" s="2" t="s">
        <v>672</v>
      </c>
      <c r="K291" s="0" t="s">
        <v>673</v>
      </c>
      <c r="L291" s="0" t="s">
        <v>25</v>
      </c>
      <c r="M291" s="0" t="s">
        <v>674</v>
      </c>
      <c r="N291" s="0" t="s">
        <v>1037</v>
      </c>
      <c r="O291" s="0" t="n">
        <v>1</v>
      </c>
      <c r="P291" s="0" t="s">
        <v>432</v>
      </c>
      <c r="Q291" s="0" t="s">
        <v>1038</v>
      </c>
      <c r="R291" s="3"/>
      <c r="S291" s="2" t="s">
        <v>30</v>
      </c>
    </row>
    <row r="292" customFormat="false" ht="15" hidden="false" customHeight="false" outlineLevel="0" collapsed="false">
      <c r="A292" s="0" t="n">
        <v>291</v>
      </c>
      <c r="D292" s="0" t="s">
        <v>1039</v>
      </c>
      <c r="E292" s="0" t="s">
        <v>20</v>
      </c>
      <c r="H292" s="0" t="s">
        <v>21</v>
      </c>
      <c r="I292" s="2" t="s">
        <v>22</v>
      </c>
      <c r="J292" s="2" t="s">
        <v>672</v>
      </c>
      <c r="K292" s="0" t="s">
        <v>673</v>
      </c>
      <c r="L292" s="0" t="s">
        <v>25</v>
      </c>
      <c r="M292" s="0" t="s">
        <v>674</v>
      </c>
      <c r="N292" s="0" t="s">
        <v>1040</v>
      </c>
      <c r="O292" s="0" t="n">
        <v>1</v>
      </c>
      <c r="P292" s="0" t="s">
        <v>262</v>
      </c>
      <c r="Q292" s="0" t="s">
        <v>1041</v>
      </c>
      <c r="R292" s="3"/>
      <c r="S292" s="2" t="s">
        <v>30</v>
      </c>
    </row>
    <row r="293" customFormat="false" ht="15" hidden="false" customHeight="false" outlineLevel="0" collapsed="false">
      <c r="A293" s="0" t="n">
        <v>292</v>
      </c>
      <c r="D293" s="0" t="s">
        <v>1042</v>
      </c>
      <c r="E293" s="0" t="s">
        <v>20</v>
      </c>
      <c r="H293" s="0" t="s">
        <v>21</v>
      </c>
      <c r="I293" s="2" t="s">
        <v>22</v>
      </c>
      <c r="J293" s="2" t="s">
        <v>672</v>
      </c>
      <c r="K293" s="0" t="s">
        <v>673</v>
      </c>
      <c r="L293" s="0" t="s">
        <v>25</v>
      </c>
      <c r="M293" s="0" t="s">
        <v>674</v>
      </c>
      <c r="N293" s="0" t="s">
        <v>1043</v>
      </c>
      <c r="O293" s="0" t="n">
        <v>1</v>
      </c>
      <c r="P293" s="0" t="s">
        <v>262</v>
      </c>
      <c r="Q293" s="0" t="s">
        <v>1044</v>
      </c>
      <c r="R293" s="3"/>
      <c r="S293" s="2" t="s">
        <v>30</v>
      </c>
    </row>
    <row r="294" customFormat="false" ht="15" hidden="false" customHeight="false" outlineLevel="0" collapsed="false">
      <c r="A294" s="0" t="n">
        <v>293</v>
      </c>
      <c r="D294" s="0" t="s">
        <v>1045</v>
      </c>
      <c r="E294" s="0" t="s">
        <v>20</v>
      </c>
      <c r="H294" s="0" t="s">
        <v>21</v>
      </c>
      <c r="I294" s="2" t="s">
        <v>22</v>
      </c>
      <c r="J294" s="2" t="s">
        <v>672</v>
      </c>
      <c r="K294" s="0" t="s">
        <v>673</v>
      </c>
      <c r="L294" s="0" t="s">
        <v>25</v>
      </c>
      <c r="M294" s="0" t="s">
        <v>674</v>
      </c>
      <c r="N294" s="0" t="s">
        <v>1046</v>
      </c>
      <c r="O294" s="0" t="n">
        <v>1</v>
      </c>
      <c r="P294" s="0" t="s">
        <v>617</v>
      </c>
      <c r="Q294" s="0" t="s">
        <v>1047</v>
      </c>
      <c r="R294" s="3"/>
      <c r="S294" s="2" t="s">
        <v>30</v>
      </c>
    </row>
    <row r="295" customFormat="false" ht="15" hidden="false" customHeight="false" outlineLevel="0" collapsed="false">
      <c r="A295" s="0" t="n">
        <v>294</v>
      </c>
      <c r="D295" s="0" t="s">
        <v>1048</v>
      </c>
      <c r="E295" s="0" t="s">
        <v>20</v>
      </c>
      <c r="H295" s="0" t="s">
        <v>21</v>
      </c>
      <c r="I295" s="2" t="s">
        <v>22</v>
      </c>
      <c r="J295" s="2" t="s">
        <v>672</v>
      </c>
      <c r="K295" s="0" t="s">
        <v>673</v>
      </c>
      <c r="L295" s="0" t="s">
        <v>1049</v>
      </c>
      <c r="M295" s="0" t="s">
        <v>674</v>
      </c>
      <c r="N295" s="0" t="s">
        <v>1050</v>
      </c>
      <c r="O295" s="0" t="n">
        <v>1</v>
      </c>
      <c r="P295" s="0" t="s">
        <v>276</v>
      </c>
      <c r="Q295" s="0" t="s">
        <v>1051</v>
      </c>
      <c r="R295" s="3"/>
      <c r="S295" s="2" t="s">
        <v>1052</v>
      </c>
    </row>
    <row r="296" customFormat="false" ht="15" hidden="false" customHeight="false" outlineLevel="0" collapsed="false">
      <c r="A296" s="0" t="n">
        <v>295</v>
      </c>
      <c r="D296" s="0" t="s">
        <v>1053</v>
      </c>
      <c r="E296" s="0" t="s">
        <v>20</v>
      </c>
      <c r="H296" s="0" t="s">
        <v>21</v>
      </c>
      <c r="I296" s="2" t="s">
        <v>22</v>
      </c>
      <c r="J296" s="2" t="s">
        <v>672</v>
      </c>
      <c r="K296" s="0" t="s">
        <v>673</v>
      </c>
      <c r="L296" s="0" t="s">
        <v>25</v>
      </c>
      <c r="M296" s="0" t="s">
        <v>674</v>
      </c>
      <c r="N296" s="0" t="s">
        <v>1054</v>
      </c>
      <c r="O296" s="0" t="n">
        <v>1</v>
      </c>
      <c r="P296" s="0" t="s">
        <v>28</v>
      </c>
      <c r="Q296" s="0" t="s">
        <v>1055</v>
      </c>
      <c r="R296" s="3"/>
      <c r="S296" s="2" t="s">
        <v>30</v>
      </c>
    </row>
    <row r="297" customFormat="false" ht="15" hidden="false" customHeight="false" outlineLevel="0" collapsed="false">
      <c r="A297" s="0" t="n">
        <v>296</v>
      </c>
      <c r="D297" s="0" t="s">
        <v>1056</v>
      </c>
      <c r="E297" s="0" t="s">
        <v>20</v>
      </c>
      <c r="H297" s="0" t="s">
        <v>21</v>
      </c>
      <c r="I297" s="2" t="s">
        <v>22</v>
      </c>
      <c r="J297" s="2" t="s">
        <v>672</v>
      </c>
      <c r="K297" s="0" t="s">
        <v>673</v>
      </c>
      <c r="L297" s="0" t="s">
        <v>25</v>
      </c>
      <c r="M297" s="0" t="s">
        <v>674</v>
      </c>
      <c r="N297" s="0" t="s">
        <v>1057</v>
      </c>
      <c r="O297" s="0" t="n">
        <v>1</v>
      </c>
      <c r="P297" s="0" t="s">
        <v>57</v>
      </c>
      <c r="Q297" s="0" t="s">
        <v>1058</v>
      </c>
      <c r="R297" s="3"/>
      <c r="S297" s="2" t="s">
        <v>30</v>
      </c>
    </row>
    <row r="298" customFormat="false" ht="15" hidden="false" customHeight="false" outlineLevel="0" collapsed="false">
      <c r="A298" s="0" t="n">
        <v>297</v>
      </c>
      <c r="D298" s="0" t="s">
        <v>1059</v>
      </c>
      <c r="E298" s="0" t="s">
        <v>20</v>
      </c>
      <c r="H298" s="0" t="s">
        <v>21</v>
      </c>
      <c r="I298" s="2" t="s">
        <v>22</v>
      </c>
      <c r="J298" s="2" t="s">
        <v>672</v>
      </c>
      <c r="K298" s="0" t="s">
        <v>673</v>
      </c>
      <c r="L298" s="0" t="s">
        <v>25</v>
      </c>
      <c r="M298" s="0" t="s">
        <v>674</v>
      </c>
      <c r="N298" s="0" t="s">
        <v>1060</v>
      </c>
      <c r="O298" s="0" t="n">
        <v>1</v>
      </c>
      <c r="P298" s="0" t="s">
        <v>130</v>
      </c>
      <c r="Q298" s="0" t="s">
        <v>1061</v>
      </c>
      <c r="R298" s="3"/>
      <c r="S298" s="2" t="s">
        <v>30</v>
      </c>
    </row>
    <row r="299" customFormat="false" ht="15" hidden="false" customHeight="false" outlineLevel="0" collapsed="false">
      <c r="A299" s="0" t="n">
        <v>298</v>
      </c>
      <c r="D299" s="0" t="s">
        <v>1062</v>
      </c>
      <c r="E299" s="0" t="s">
        <v>20</v>
      </c>
      <c r="H299" s="0" t="s">
        <v>21</v>
      </c>
      <c r="I299" s="2" t="s">
        <v>22</v>
      </c>
      <c r="J299" s="2" t="s">
        <v>672</v>
      </c>
      <c r="K299" s="0" t="s">
        <v>673</v>
      </c>
      <c r="L299" s="0" t="s">
        <v>25</v>
      </c>
      <c r="M299" s="0" t="s">
        <v>674</v>
      </c>
      <c r="N299" s="0" t="s">
        <v>1063</v>
      </c>
      <c r="O299" s="0" t="n">
        <v>1</v>
      </c>
      <c r="P299" s="0" t="s">
        <v>186</v>
      </c>
      <c r="Q299" s="0" t="s">
        <v>1064</v>
      </c>
      <c r="R299" s="3"/>
      <c r="S299" s="2" t="s">
        <v>30</v>
      </c>
    </row>
    <row r="300" customFormat="false" ht="15" hidden="false" customHeight="false" outlineLevel="0" collapsed="false">
      <c r="A300" s="0" t="n">
        <v>299</v>
      </c>
      <c r="D300" s="0" t="s">
        <v>1065</v>
      </c>
      <c r="E300" s="0" t="s">
        <v>282</v>
      </c>
      <c r="H300" s="0" t="s">
        <v>21</v>
      </c>
      <c r="I300" s="2" t="s">
        <v>22</v>
      </c>
      <c r="J300" s="2" t="s">
        <v>672</v>
      </c>
      <c r="K300" s="0" t="s">
        <v>673</v>
      </c>
      <c r="L300" s="0" t="s">
        <v>25</v>
      </c>
      <c r="M300" s="0" t="s">
        <v>674</v>
      </c>
      <c r="N300" s="0" t="s">
        <v>1066</v>
      </c>
      <c r="O300" s="0" t="n">
        <v>1</v>
      </c>
      <c r="P300" s="0" t="s">
        <v>1067</v>
      </c>
      <c r="Q300" s="0" t="s">
        <v>1068</v>
      </c>
      <c r="R300" s="3"/>
      <c r="S300" s="2" t="s">
        <v>30</v>
      </c>
    </row>
    <row r="301" customFormat="false" ht="15" hidden="false" customHeight="false" outlineLevel="0" collapsed="false">
      <c r="A301" s="0" t="n">
        <v>300</v>
      </c>
      <c r="D301" s="0" t="s">
        <v>1069</v>
      </c>
      <c r="E301" s="0" t="s">
        <v>203</v>
      </c>
      <c r="H301" s="0" t="s">
        <v>21</v>
      </c>
      <c r="I301" s="2" t="s">
        <v>22</v>
      </c>
      <c r="J301" s="2" t="s">
        <v>672</v>
      </c>
      <c r="K301" s="0" t="s">
        <v>673</v>
      </c>
      <c r="L301" s="0" t="s">
        <v>25</v>
      </c>
      <c r="M301" s="0" t="s">
        <v>674</v>
      </c>
      <c r="N301" s="0" t="s">
        <v>1070</v>
      </c>
      <c r="O301" s="0" t="n">
        <v>1</v>
      </c>
      <c r="P301" s="0" t="s">
        <v>432</v>
      </c>
      <c r="Q301" s="0" t="s">
        <v>1071</v>
      </c>
      <c r="R301" s="3"/>
      <c r="S301" s="2" t="s">
        <v>30</v>
      </c>
    </row>
    <row r="302" customFormat="false" ht="15" hidden="false" customHeight="false" outlineLevel="0" collapsed="false">
      <c r="A302" s="0" t="n">
        <v>301</v>
      </c>
      <c r="D302" s="0" t="s">
        <v>1072</v>
      </c>
      <c r="E302" s="0" t="s">
        <v>282</v>
      </c>
      <c r="H302" s="0" t="s">
        <v>21</v>
      </c>
      <c r="I302" s="2" t="s">
        <v>22</v>
      </c>
      <c r="J302" s="2" t="s">
        <v>672</v>
      </c>
      <c r="K302" s="0" t="s">
        <v>673</v>
      </c>
      <c r="L302" s="0" t="s">
        <v>25</v>
      </c>
      <c r="M302" s="0" t="s">
        <v>674</v>
      </c>
      <c r="N302" s="0" t="s">
        <v>1073</v>
      </c>
      <c r="O302" s="0" t="n">
        <v>1</v>
      </c>
      <c r="P302" s="0" t="s">
        <v>679</v>
      </c>
      <c r="Q302" s="0" t="s">
        <v>1074</v>
      </c>
      <c r="R302" s="3"/>
      <c r="S302" s="2" t="s">
        <v>30</v>
      </c>
    </row>
    <row r="303" customFormat="false" ht="15" hidden="false" customHeight="false" outlineLevel="0" collapsed="false">
      <c r="A303" s="0" t="n">
        <v>302</v>
      </c>
      <c r="D303" s="0" t="s">
        <v>1075</v>
      </c>
      <c r="E303" s="0" t="s">
        <v>268</v>
      </c>
      <c r="H303" s="0" t="s">
        <v>21</v>
      </c>
      <c r="I303" s="2" t="s">
        <v>22</v>
      </c>
      <c r="J303" s="2" t="s">
        <v>672</v>
      </c>
      <c r="K303" s="0" t="s">
        <v>673</v>
      </c>
      <c r="L303" s="0" t="s">
        <v>25</v>
      </c>
      <c r="M303" s="0" t="s">
        <v>674</v>
      </c>
      <c r="N303" s="0" t="s">
        <v>1076</v>
      </c>
      <c r="O303" s="0" t="n">
        <v>1</v>
      </c>
      <c r="P303" s="0" t="s">
        <v>130</v>
      </c>
      <c r="Q303" s="0" t="s">
        <v>1077</v>
      </c>
      <c r="R303" s="3"/>
      <c r="S303" s="2" t="s">
        <v>30</v>
      </c>
    </row>
    <row r="304" customFormat="false" ht="15" hidden="false" customHeight="false" outlineLevel="0" collapsed="false">
      <c r="A304" s="0" t="n">
        <v>303</v>
      </c>
      <c r="D304" s="0" t="s">
        <v>1078</v>
      </c>
      <c r="E304" s="0" t="s">
        <v>20</v>
      </c>
      <c r="H304" s="0" t="s">
        <v>21</v>
      </c>
      <c r="I304" s="2" t="s">
        <v>22</v>
      </c>
      <c r="J304" s="2" t="s">
        <v>672</v>
      </c>
      <c r="K304" s="0" t="s">
        <v>673</v>
      </c>
      <c r="L304" s="0" t="s">
        <v>25</v>
      </c>
      <c r="M304" s="0" t="s">
        <v>674</v>
      </c>
      <c r="N304" s="0" t="s">
        <v>1079</v>
      </c>
      <c r="O304" s="0" t="n">
        <v>1</v>
      </c>
      <c r="P304" s="0" t="s">
        <v>1067</v>
      </c>
      <c r="Q304" s="0" t="s">
        <v>1080</v>
      </c>
      <c r="R304" s="3"/>
      <c r="S304" s="2" t="s">
        <v>30</v>
      </c>
    </row>
    <row r="305" customFormat="false" ht="15" hidden="false" customHeight="false" outlineLevel="0" collapsed="false">
      <c r="A305" s="0" t="n">
        <v>304</v>
      </c>
      <c r="D305" s="0" t="s">
        <v>1081</v>
      </c>
      <c r="E305" s="0" t="s">
        <v>20</v>
      </c>
      <c r="H305" s="0" t="s">
        <v>21</v>
      </c>
      <c r="I305" s="2" t="s">
        <v>22</v>
      </c>
      <c r="J305" s="2" t="s">
        <v>672</v>
      </c>
      <c r="K305" s="0" t="s">
        <v>673</v>
      </c>
      <c r="L305" s="0" t="s">
        <v>25</v>
      </c>
      <c r="M305" s="0" t="s">
        <v>674</v>
      </c>
      <c r="N305" s="0" t="s">
        <v>1082</v>
      </c>
      <c r="O305" s="0" t="n">
        <v>1</v>
      </c>
      <c r="P305" s="0" t="s">
        <v>1067</v>
      </c>
      <c r="Q305" s="0" t="s">
        <v>1083</v>
      </c>
      <c r="R305" s="3"/>
      <c r="S305" s="2" t="s">
        <v>30</v>
      </c>
    </row>
    <row r="306" customFormat="false" ht="15" hidden="false" customHeight="false" outlineLevel="0" collapsed="false">
      <c r="A306" s="0" t="n">
        <v>305</v>
      </c>
      <c r="D306" s="0" t="s">
        <v>1084</v>
      </c>
      <c r="E306" s="0" t="s">
        <v>20</v>
      </c>
      <c r="H306" s="0" t="s">
        <v>21</v>
      </c>
      <c r="I306" s="2" t="s">
        <v>22</v>
      </c>
      <c r="J306" s="2" t="s">
        <v>672</v>
      </c>
      <c r="K306" s="0" t="s">
        <v>673</v>
      </c>
      <c r="L306" s="0" t="s">
        <v>25</v>
      </c>
      <c r="M306" s="0" t="s">
        <v>674</v>
      </c>
      <c r="N306" s="0" t="s">
        <v>1085</v>
      </c>
      <c r="O306" s="0" t="n">
        <v>1</v>
      </c>
      <c r="P306" s="0" t="s">
        <v>851</v>
      </c>
      <c r="Q306" s="0" t="s">
        <v>1086</v>
      </c>
      <c r="R306" s="3"/>
      <c r="S306" s="2" t="s">
        <v>30</v>
      </c>
    </row>
    <row r="307" customFormat="false" ht="15" hidden="false" customHeight="false" outlineLevel="0" collapsed="false">
      <c r="A307" s="0" t="n">
        <v>306</v>
      </c>
      <c r="D307" s="0" t="s">
        <v>1087</v>
      </c>
      <c r="E307" s="0" t="s">
        <v>20</v>
      </c>
      <c r="H307" s="0" t="s">
        <v>21</v>
      </c>
      <c r="I307" s="2" t="s">
        <v>22</v>
      </c>
      <c r="J307" s="2" t="s">
        <v>672</v>
      </c>
      <c r="K307" s="0" t="s">
        <v>673</v>
      </c>
      <c r="L307" s="0" t="s">
        <v>25</v>
      </c>
      <c r="M307" s="0" t="s">
        <v>674</v>
      </c>
      <c r="N307" s="0" t="s">
        <v>1088</v>
      </c>
      <c r="O307" s="0" t="n">
        <v>1</v>
      </c>
      <c r="P307" s="0" t="s">
        <v>103</v>
      </c>
      <c r="Q307" s="0" t="s">
        <v>1089</v>
      </c>
      <c r="R307" s="3"/>
      <c r="S307" s="2" t="s">
        <v>30</v>
      </c>
    </row>
    <row r="308" customFormat="false" ht="15" hidden="false" customHeight="false" outlineLevel="0" collapsed="false">
      <c r="A308" s="0" t="n">
        <v>307</v>
      </c>
      <c r="D308" s="0" t="s">
        <v>1090</v>
      </c>
      <c r="E308" s="0" t="s">
        <v>20</v>
      </c>
      <c r="H308" s="0" t="s">
        <v>21</v>
      </c>
      <c r="I308" s="2" t="s">
        <v>22</v>
      </c>
      <c r="J308" s="2" t="s">
        <v>672</v>
      </c>
      <c r="K308" s="0" t="s">
        <v>673</v>
      </c>
      <c r="L308" s="0" t="s">
        <v>1091</v>
      </c>
      <c r="M308" s="0" t="s">
        <v>674</v>
      </c>
      <c r="N308" s="0" t="s">
        <v>1092</v>
      </c>
      <c r="O308" s="0" t="n">
        <v>1</v>
      </c>
      <c r="P308" s="0" t="s">
        <v>130</v>
      </c>
      <c r="Q308" s="0" t="s">
        <v>1093</v>
      </c>
      <c r="R308" s="3"/>
      <c r="S308" s="2" t="s">
        <v>1094</v>
      </c>
    </row>
    <row r="309" customFormat="false" ht="15" hidden="false" customHeight="false" outlineLevel="0" collapsed="false">
      <c r="A309" s="0" t="n">
        <v>308</v>
      </c>
      <c r="D309" s="0" t="s">
        <v>1095</v>
      </c>
      <c r="E309" s="0" t="s">
        <v>20</v>
      </c>
      <c r="H309" s="0" t="s">
        <v>21</v>
      </c>
      <c r="I309" s="2" t="s">
        <v>22</v>
      </c>
      <c r="J309" s="2" t="s">
        <v>672</v>
      </c>
      <c r="K309" s="0" t="s">
        <v>673</v>
      </c>
      <c r="L309" s="0" t="s">
        <v>25</v>
      </c>
      <c r="M309" s="0" t="s">
        <v>674</v>
      </c>
      <c r="N309" s="0" t="s">
        <v>1096</v>
      </c>
      <c r="O309" s="0" t="n">
        <v>1</v>
      </c>
      <c r="P309" s="0" t="s">
        <v>28</v>
      </c>
      <c r="Q309" s="0" t="s">
        <v>1097</v>
      </c>
      <c r="R309" s="3"/>
      <c r="S309" s="2" t="s">
        <v>30</v>
      </c>
    </row>
    <row r="310" customFormat="false" ht="15" hidden="false" customHeight="false" outlineLevel="0" collapsed="false">
      <c r="A310" s="0" t="n">
        <v>309</v>
      </c>
      <c r="D310" s="0" t="s">
        <v>1098</v>
      </c>
      <c r="E310" s="0" t="s">
        <v>20</v>
      </c>
      <c r="H310" s="0" t="s">
        <v>21</v>
      </c>
      <c r="I310" s="2" t="s">
        <v>22</v>
      </c>
      <c r="J310" s="2" t="s">
        <v>672</v>
      </c>
      <c r="K310" s="0" t="s">
        <v>673</v>
      </c>
      <c r="L310" s="0" t="s">
        <v>25</v>
      </c>
      <c r="M310" s="0" t="s">
        <v>674</v>
      </c>
      <c r="N310" s="0" t="s">
        <v>1099</v>
      </c>
      <c r="O310" s="0" t="n">
        <v>1</v>
      </c>
      <c r="P310" s="0" t="s">
        <v>701</v>
      </c>
      <c r="Q310" s="0" t="s">
        <v>1100</v>
      </c>
      <c r="R310" s="3"/>
      <c r="S310" s="2" t="s">
        <v>30</v>
      </c>
    </row>
    <row r="311" customFormat="false" ht="15" hidden="false" customHeight="false" outlineLevel="0" collapsed="false">
      <c r="A311" s="0" t="n">
        <v>310</v>
      </c>
      <c r="D311" s="0" t="s">
        <v>1101</v>
      </c>
      <c r="E311" s="0" t="s">
        <v>20</v>
      </c>
      <c r="H311" s="0" t="s">
        <v>21</v>
      </c>
      <c r="I311" s="2" t="s">
        <v>22</v>
      </c>
      <c r="J311" s="2" t="s">
        <v>672</v>
      </c>
      <c r="K311" s="0" t="s">
        <v>673</v>
      </c>
      <c r="L311" s="0" t="s">
        <v>25</v>
      </c>
      <c r="M311" s="0" t="s">
        <v>674</v>
      </c>
      <c r="N311" s="0" t="s">
        <v>1102</v>
      </c>
      <c r="O311" s="0" t="n">
        <v>1</v>
      </c>
      <c r="P311" s="0" t="s">
        <v>191</v>
      </c>
      <c r="Q311" s="0" t="s">
        <v>1103</v>
      </c>
      <c r="R311" s="3"/>
      <c r="S311" s="2" t="s">
        <v>30</v>
      </c>
    </row>
    <row r="312" customFormat="false" ht="15" hidden="false" customHeight="false" outlineLevel="0" collapsed="false">
      <c r="A312" s="0" t="n">
        <v>311</v>
      </c>
      <c r="D312" s="0" t="s">
        <v>1104</v>
      </c>
      <c r="E312" s="0" t="s">
        <v>20</v>
      </c>
      <c r="H312" s="0" t="s">
        <v>21</v>
      </c>
      <c r="I312" s="2" t="s">
        <v>22</v>
      </c>
      <c r="J312" s="2" t="s">
        <v>672</v>
      </c>
      <c r="K312" s="0" t="s">
        <v>673</v>
      </c>
      <c r="L312" s="0" t="s">
        <v>25</v>
      </c>
      <c r="M312" s="0" t="s">
        <v>674</v>
      </c>
      <c r="N312" s="0" t="s">
        <v>1105</v>
      </c>
      <c r="O312" s="0" t="n">
        <v>1</v>
      </c>
      <c r="P312" s="0" t="s">
        <v>57</v>
      </c>
      <c r="Q312" s="0" t="s">
        <v>1106</v>
      </c>
      <c r="R312" s="3"/>
      <c r="S312" s="2" t="s">
        <v>30</v>
      </c>
    </row>
    <row r="313" customFormat="false" ht="15" hidden="false" customHeight="false" outlineLevel="0" collapsed="false">
      <c r="A313" s="0" t="n">
        <v>312</v>
      </c>
      <c r="D313" s="0" t="s">
        <v>1107</v>
      </c>
      <c r="E313" s="0" t="s">
        <v>20</v>
      </c>
      <c r="H313" s="0" t="s">
        <v>21</v>
      </c>
      <c r="I313" s="2" t="s">
        <v>22</v>
      </c>
      <c r="J313" s="2" t="s">
        <v>672</v>
      </c>
      <c r="K313" s="0" t="s">
        <v>673</v>
      </c>
      <c r="L313" s="0" t="s">
        <v>25</v>
      </c>
      <c r="M313" s="0" t="s">
        <v>674</v>
      </c>
      <c r="N313" s="0" t="s">
        <v>1108</v>
      </c>
      <c r="O313" s="0" t="n">
        <v>1</v>
      </c>
      <c r="P313" s="0" t="s">
        <v>103</v>
      </c>
      <c r="Q313" s="0" t="s">
        <v>1109</v>
      </c>
      <c r="R313" s="3"/>
      <c r="S313" s="2" t="s">
        <v>30</v>
      </c>
    </row>
    <row r="314" customFormat="false" ht="15" hidden="false" customHeight="false" outlineLevel="0" collapsed="false">
      <c r="A314" s="0" t="n">
        <v>313</v>
      </c>
      <c r="D314" s="0" t="s">
        <v>1110</v>
      </c>
      <c r="E314" s="0" t="s">
        <v>20</v>
      </c>
      <c r="H314" s="0" t="s">
        <v>21</v>
      </c>
      <c r="I314" s="2" t="s">
        <v>22</v>
      </c>
      <c r="J314" s="2" t="s">
        <v>672</v>
      </c>
      <c r="K314" s="0" t="s">
        <v>673</v>
      </c>
      <c r="L314" s="0" t="s">
        <v>25</v>
      </c>
      <c r="M314" s="0" t="s">
        <v>674</v>
      </c>
      <c r="N314" s="0" t="s">
        <v>1111</v>
      </c>
      <c r="O314" s="0" t="n">
        <v>1</v>
      </c>
      <c r="P314" s="0" t="s">
        <v>479</v>
      </c>
      <c r="Q314" s="0" t="s">
        <v>1112</v>
      </c>
      <c r="R314" s="3"/>
      <c r="S314" s="2" t="s">
        <v>30</v>
      </c>
    </row>
    <row r="315" customFormat="false" ht="15" hidden="false" customHeight="false" outlineLevel="0" collapsed="false">
      <c r="A315" s="0" t="n">
        <v>314</v>
      </c>
      <c r="D315" s="0" t="s">
        <v>1113</v>
      </c>
      <c r="E315" s="0" t="s">
        <v>20</v>
      </c>
      <c r="H315" s="0" t="s">
        <v>21</v>
      </c>
      <c r="I315" s="2" t="s">
        <v>22</v>
      </c>
      <c r="J315" s="2" t="s">
        <v>672</v>
      </c>
      <c r="K315" s="0" t="s">
        <v>673</v>
      </c>
      <c r="L315" s="0" t="s">
        <v>25</v>
      </c>
      <c r="M315" s="0" t="s">
        <v>674</v>
      </c>
      <c r="N315" s="0" t="s">
        <v>1114</v>
      </c>
      <c r="O315" s="0" t="n">
        <v>1</v>
      </c>
      <c r="P315" s="0" t="s">
        <v>347</v>
      </c>
      <c r="Q315" s="0" t="s">
        <v>1115</v>
      </c>
      <c r="R315" s="3"/>
      <c r="S315" s="2" t="s">
        <v>30</v>
      </c>
    </row>
    <row r="316" customFormat="false" ht="15" hidden="false" customHeight="false" outlineLevel="0" collapsed="false">
      <c r="A316" s="0" t="n">
        <v>315</v>
      </c>
      <c r="D316" s="0" t="s">
        <v>1116</v>
      </c>
      <c r="E316" s="0" t="s">
        <v>20</v>
      </c>
      <c r="H316" s="0" t="s">
        <v>21</v>
      </c>
      <c r="I316" s="2" t="s">
        <v>22</v>
      </c>
      <c r="J316" s="2" t="s">
        <v>672</v>
      </c>
      <c r="K316" s="0" t="s">
        <v>673</v>
      </c>
      <c r="L316" s="0" t="s">
        <v>25</v>
      </c>
      <c r="M316" s="0" t="s">
        <v>674</v>
      </c>
      <c r="N316" s="0" t="s">
        <v>1117</v>
      </c>
      <c r="O316" s="0" t="n">
        <v>1</v>
      </c>
      <c r="P316" s="0" t="s">
        <v>130</v>
      </c>
      <c r="Q316" s="0" t="s">
        <v>1118</v>
      </c>
      <c r="R316" s="3"/>
      <c r="S316" s="2" t="s">
        <v>30</v>
      </c>
    </row>
    <row r="317" customFormat="false" ht="15" hidden="false" customHeight="false" outlineLevel="0" collapsed="false">
      <c r="A317" s="0" t="n">
        <v>316</v>
      </c>
      <c r="D317" s="0" t="s">
        <v>1119</v>
      </c>
      <c r="E317" s="0" t="s">
        <v>1120</v>
      </c>
      <c r="H317" s="0" t="s">
        <v>21</v>
      </c>
      <c r="I317" s="2" t="s">
        <v>22</v>
      </c>
      <c r="J317" s="2" t="s">
        <v>672</v>
      </c>
      <c r="K317" s="0" t="s">
        <v>673</v>
      </c>
      <c r="L317" s="0" t="s">
        <v>25</v>
      </c>
      <c r="M317" s="0" t="s">
        <v>674</v>
      </c>
      <c r="N317" s="0" t="s">
        <v>1121</v>
      </c>
      <c r="O317" s="0" t="n">
        <v>1</v>
      </c>
      <c r="P317" s="0" t="s">
        <v>701</v>
      </c>
      <c r="Q317" s="0" t="s">
        <v>1122</v>
      </c>
      <c r="R317" s="3"/>
      <c r="S317" s="2" t="s">
        <v>30</v>
      </c>
    </row>
    <row r="318" customFormat="false" ht="15" hidden="false" customHeight="false" outlineLevel="0" collapsed="false">
      <c r="A318" s="0" t="n">
        <v>317</v>
      </c>
      <c r="D318" s="0" t="s">
        <v>1123</v>
      </c>
      <c r="E318" s="0" t="s">
        <v>20</v>
      </c>
      <c r="H318" s="0" t="s">
        <v>21</v>
      </c>
      <c r="I318" s="2" t="s">
        <v>22</v>
      </c>
      <c r="J318" s="2" t="s">
        <v>672</v>
      </c>
      <c r="K318" s="0" t="s">
        <v>673</v>
      </c>
      <c r="L318" s="0" t="s">
        <v>25</v>
      </c>
      <c r="M318" s="0" t="s">
        <v>674</v>
      </c>
      <c r="N318" s="0" t="s">
        <v>1124</v>
      </c>
      <c r="O318" s="0" t="n">
        <v>1</v>
      </c>
      <c r="P318" s="0" t="s">
        <v>103</v>
      </c>
      <c r="Q318" s="0" t="s">
        <v>1125</v>
      </c>
      <c r="R318" s="3"/>
      <c r="S318" s="2" t="s">
        <v>30</v>
      </c>
    </row>
    <row r="319" customFormat="false" ht="15" hidden="false" customHeight="false" outlineLevel="0" collapsed="false">
      <c r="A319" s="0" t="n">
        <v>318</v>
      </c>
      <c r="D319" s="0" t="s">
        <v>1126</v>
      </c>
      <c r="E319" s="0" t="s">
        <v>20</v>
      </c>
      <c r="H319" s="0" t="s">
        <v>21</v>
      </c>
      <c r="I319" s="2" t="s">
        <v>22</v>
      </c>
      <c r="J319" s="2" t="s">
        <v>672</v>
      </c>
      <c r="K319" s="0" t="s">
        <v>673</v>
      </c>
      <c r="L319" s="0" t="s">
        <v>25</v>
      </c>
      <c r="M319" s="0" t="s">
        <v>674</v>
      </c>
      <c r="N319" s="0" t="s">
        <v>1127</v>
      </c>
      <c r="O319" s="0" t="n">
        <v>1</v>
      </c>
      <c r="P319" s="0" t="s">
        <v>421</v>
      </c>
      <c r="Q319" s="0" t="s">
        <v>1128</v>
      </c>
      <c r="R319" s="3"/>
      <c r="S319" s="2" t="s">
        <v>30</v>
      </c>
    </row>
    <row r="320" customFormat="false" ht="15" hidden="false" customHeight="false" outlineLevel="0" collapsed="false">
      <c r="A320" s="0" t="n">
        <v>319</v>
      </c>
      <c r="D320" s="0" t="s">
        <v>1129</v>
      </c>
      <c r="E320" s="0" t="s">
        <v>20</v>
      </c>
      <c r="H320" s="0" t="s">
        <v>21</v>
      </c>
      <c r="I320" s="2" t="s">
        <v>22</v>
      </c>
      <c r="J320" s="2" t="s">
        <v>672</v>
      </c>
      <c r="K320" s="0" t="s">
        <v>673</v>
      </c>
      <c r="L320" s="0" t="s">
        <v>25</v>
      </c>
      <c r="M320" s="0" t="s">
        <v>674</v>
      </c>
      <c r="N320" s="0" t="s">
        <v>1130</v>
      </c>
      <c r="O320" s="0" t="n">
        <v>1</v>
      </c>
      <c r="P320" s="0" t="s">
        <v>130</v>
      </c>
      <c r="Q320" s="0" t="s">
        <v>1131</v>
      </c>
      <c r="R320" s="3"/>
      <c r="S320" s="2" t="s">
        <v>30</v>
      </c>
    </row>
    <row r="321" customFormat="false" ht="15" hidden="false" customHeight="false" outlineLevel="0" collapsed="false">
      <c r="A321" s="0" t="n">
        <v>320</v>
      </c>
      <c r="D321" s="0" t="s">
        <v>1132</v>
      </c>
      <c r="E321" s="0" t="s">
        <v>20</v>
      </c>
      <c r="H321" s="0" t="s">
        <v>21</v>
      </c>
      <c r="I321" s="2" t="s">
        <v>22</v>
      </c>
      <c r="J321" s="2" t="s">
        <v>672</v>
      </c>
      <c r="K321" s="0" t="s">
        <v>673</v>
      </c>
      <c r="L321" s="0" t="s">
        <v>25</v>
      </c>
      <c r="M321" s="0" t="s">
        <v>674</v>
      </c>
      <c r="N321" s="0" t="s">
        <v>1133</v>
      </c>
      <c r="O321" s="0" t="n">
        <v>1</v>
      </c>
      <c r="P321" s="0" t="s">
        <v>805</v>
      </c>
      <c r="Q321" s="0" t="s">
        <v>1134</v>
      </c>
      <c r="R321" s="3"/>
      <c r="S321" s="2" t="s">
        <v>30</v>
      </c>
    </row>
    <row r="322" customFormat="false" ht="15" hidden="false" customHeight="false" outlineLevel="0" collapsed="false">
      <c r="A322" s="0" t="n">
        <v>321</v>
      </c>
      <c r="D322" s="0" t="s">
        <v>1135</v>
      </c>
      <c r="E322" s="0" t="s">
        <v>20</v>
      </c>
      <c r="H322" s="0" t="s">
        <v>21</v>
      </c>
      <c r="I322" s="2" t="s">
        <v>22</v>
      </c>
      <c r="J322" s="2" t="s">
        <v>672</v>
      </c>
      <c r="K322" s="0" t="s">
        <v>673</v>
      </c>
      <c r="L322" s="0" t="s">
        <v>25</v>
      </c>
      <c r="M322" s="0" t="s">
        <v>674</v>
      </c>
      <c r="N322" s="0" t="s">
        <v>1136</v>
      </c>
      <c r="O322" s="0" t="n">
        <v>1</v>
      </c>
      <c r="P322" s="0" t="s">
        <v>297</v>
      </c>
      <c r="Q322" s="0" t="s">
        <v>1137</v>
      </c>
      <c r="R322" s="3"/>
      <c r="S322" s="2" t="s">
        <v>30</v>
      </c>
    </row>
    <row r="323" customFormat="false" ht="15" hidden="false" customHeight="false" outlineLevel="0" collapsed="false">
      <c r="A323" s="0" t="n">
        <v>322</v>
      </c>
      <c r="D323" s="0" t="s">
        <v>1138</v>
      </c>
      <c r="E323" s="0" t="s">
        <v>20</v>
      </c>
      <c r="H323" s="0" t="s">
        <v>21</v>
      </c>
      <c r="I323" s="2" t="s">
        <v>22</v>
      </c>
      <c r="J323" s="2" t="s">
        <v>672</v>
      </c>
      <c r="K323" s="0" t="s">
        <v>673</v>
      </c>
      <c r="L323" s="0" t="s">
        <v>25</v>
      </c>
      <c r="M323" s="0" t="s">
        <v>674</v>
      </c>
      <c r="N323" s="0" t="s">
        <v>1139</v>
      </c>
      <c r="O323" s="0" t="n">
        <v>1</v>
      </c>
      <c r="P323" s="0" t="s">
        <v>297</v>
      </c>
      <c r="Q323" s="0" t="s">
        <v>1140</v>
      </c>
      <c r="R323" s="3"/>
      <c r="S323" s="2" t="s">
        <v>30</v>
      </c>
    </row>
    <row r="324" customFormat="false" ht="15" hidden="false" customHeight="false" outlineLevel="0" collapsed="false">
      <c r="A324" s="0" t="n">
        <v>323</v>
      </c>
      <c r="D324" s="0" t="s">
        <v>1141</v>
      </c>
      <c r="E324" s="0" t="s">
        <v>282</v>
      </c>
      <c r="H324" s="0" t="s">
        <v>21</v>
      </c>
      <c r="I324" s="2" t="s">
        <v>22</v>
      </c>
      <c r="J324" s="2" t="s">
        <v>672</v>
      </c>
      <c r="K324" s="0" t="s">
        <v>673</v>
      </c>
      <c r="L324" s="0" t="s">
        <v>25</v>
      </c>
      <c r="M324" s="0" t="s">
        <v>674</v>
      </c>
      <c r="N324" s="0" t="s">
        <v>1142</v>
      </c>
      <c r="O324" s="0" t="n">
        <v>1</v>
      </c>
      <c r="P324" s="0" t="s">
        <v>57</v>
      </c>
      <c r="Q324" s="0" t="s">
        <v>1143</v>
      </c>
      <c r="R324" s="3"/>
      <c r="S324" s="2" t="s">
        <v>30</v>
      </c>
    </row>
    <row r="325" customFormat="false" ht="15" hidden="false" customHeight="false" outlineLevel="0" collapsed="false">
      <c r="A325" s="0" t="n">
        <v>324</v>
      </c>
      <c r="D325" s="0" t="s">
        <v>1144</v>
      </c>
      <c r="E325" s="0" t="s">
        <v>20</v>
      </c>
      <c r="H325" s="0" t="s">
        <v>21</v>
      </c>
      <c r="I325" s="2" t="s">
        <v>22</v>
      </c>
      <c r="J325" s="2" t="s">
        <v>672</v>
      </c>
      <c r="K325" s="0" t="s">
        <v>673</v>
      </c>
      <c r="L325" s="0" t="s">
        <v>25</v>
      </c>
      <c r="M325" s="0" t="s">
        <v>674</v>
      </c>
      <c r="N325" s="0" t="s">
        <v>1145</v>
      </c>
      <c r="O325" s="0" t="n">
        <v>1</v>
      </c>
      <c r="P325" s="0" t="s">
        <v>297</v>
      </c>
      <c r="Q325" s="0" t="s">
        <v>1146</v>
      </c>
      <c r="R325" s="3"/>
      <c r="S325" s="2" t="s">
        <v>30</v>
      </c>
    </row>
    <row r="326" customFormat="false" ht="15" hidden="false" customHeight="false" outlineLevel="0" collapsed="false">
      <c r="A326" s="0" t="n">
        <v>325</v>
      </c>
      <c r="D326" s="0" t="s">
        <v>1147</v>
      </c>
      <c r="E326" s="0" t="s">
        <v>1148</v>
      </c>
      <c r="H326" s="0" t="s">
        <v>21</v>
      </c>
      <c r="I326" s="2" t="s">
        <v>22</v>
      </c>
      <c r="J326" s="2" t="s">
        <v>672</v>
      </c>
      <c r="K326" s="0" t="s">
        <v>673</v>
      </c>
      <c r="L326" s="0" t="s">
        <v>25</v>
      </c>
      <c r="M326" s="0" t="s">
        <v>674</v>
      </c>
      <c r="N326" s="0" t="s">
        <v>1149</v>
      </c>
      <c r="O326" s="0" t="n">
        <v>1</v>
      </c>
      <c r="P326" s="0" t="s">
        <v>297</v>
      </c>
      <c r="Q326" s="0" t="s">
        <v>1150</v>
      </c>
      <c r="R326" s="3"/>
      <c r="S326" s="2" t="s">
        <v>30</v>
      </c>
    </row>
    <row r="327" customFormat="false" ht="15" hidden="false" customHeight="false" outlineLevel="0" collapsed="false">
      <c r="A327" s="0" t="n">
        <v>326</v>
      </c>
      <c r="D327" s="0" t="s">
        <v>1151</v>
      </c>
      <c r="E327" s="0" t="s">
        <v>20</v>
      </c>
      <c r="H327" s="0" t="s">
        <v>21</v>
      </c>
      <c r="I327" s="2" t="s">
        <v>22</v>
      </c>
      <c r="J327" s="2" t="s">
        <v>672</v>
      </c>
      <c r="K327" s="0" t="s">
        <v>673</v>
      </c>
      <c r="L327" s="0" t="s">
        <v>25</v>
      </c>
      <c r="M327" s="0" t="s">
        <v>674</v>
      </c>
      <c r="N327" s="0" t="s">
        <v>1152</v>
      </c>
      <c r="O327" s="0" t="n">
        <v>1</v>
      </c>
      <c r="P327" s="0" t="s">
        <v>130</v>
      </c>
      <c r="Q327" s="0" t="s">
        <v>1153</v>
      </c>
      <c r="R327" s="3"/>
      <c r="S327" s="2" t="s">
        <v>30</v>
      </c>
    </row>
    <row r="328" customFormat="false" ht="15" hidden="false" customHeight="false" outlineLevel="0" collapsed="false">
      <c r="A328" s="0" t="n">
        <v>327</v>
      </c>
      <c r="D328" s="0" t="s">
        <v>1154</v>
      </c>
      <c r="E328" s="0" t="s">
        <v>20</v>
      </c>
      <c r="H328" s="0" t="s">
        <v>21</v>
      </c>
      <c r="I328" s="2" t="s">
        <v>22</v>
      </c>
      <c r="J328" s="2" t="s">
        <v>672</v>
      </c>
      <c r="K328" s="0" t="s">
        <v>673</v>
      </c>
      <c r="L328" s="0" t="s">
        <v>25</v>
      </c>
      <c r="M328" s="0" t="s">
        <v>674</v>
      </c>
      <c r="N328" s="0" t="s">
        <v>1155</v>
      </c>
      <c r="O328" s="0" t="n">
        <v>1</v>
      </c>
      <c r="P328" s="0" t="s">
        <v>432</v>
      </c>
      <c r="Q328" s="0" t="s">
        <v>1156</v>
      </c>
      <c r="R328" s="3"/>
      <c r="S328" s="2" t="s">
        <v>30</v>
      </c>
    </row>
    <row r="329" customFormat="false" ht="15" hidden="false" customHeight="false" outlineLevel="0" collapsed="false">
      <c r="A329" s="0" t="n">
        <v>328</v>
      </c>
      <c r="D329" s="0" t="s">
        <v>1157</v>
      </c>
      <c r="E329" s="0" t="s">
        <v>20</v>
      </c>
      <c r="H329" s="0" t="s">
        <v>21</v>
      </c>
      <c r="I329" s="2" t="s">
        <v>22</v>
      </c>
      <c r="J329" s="2" t="s">
        <v>672</v>
      </c>
      <c r="K329" s="0" t="s">
        <v>673</v>
      </c>
      <c r="L329" s="0" t="s">
        <v>25</v>
      </c>
      <c r="M329" s="0" t="s">
        <v>674</v>
      </c>
      <c r="N329" s="0" t="s">
        <v>1158</v>
      </c>
      <c r="O329" s="0" t="n">
        <v>1</v>
      </c>
      <c r="P329" s="0" t="s">
        <v>479</v>
      </c>
      <c r="Q329" s="0" t="s">
        <v>1159</v>
      </c>
      <c r="R329" s="3"/>
      <c r="S329" s="2" t="s">
        <v>30</v>
      </c>
    </row>
    <row r="330" customFormat="false" ht="15" hidden="false" customHeight="false" outlineLevel="0" collapsed="false">
      <c r="A330" s="0" t="n">
        <v>329</v>
      </c>
      <c r="D330" s="0" t="s">
        <v>1160</v>
      </c>
      <c r="E330" s="0" t="s">
        <v>20</v>
      </c>
      <c r="H330" s="0" t="s">
        <v>21</v>
      </c>
      <c r="I330" s="2" t="s">
        <v>22</v>
      </c>
      <c r="J330" s="2" t="s">
        <v>672</v>
      </c>
      <c r="K330" s="0" t="s">
        <v>673</v>
      </c>
      <c r="L330" s="0" t="s">
        <v>25</v>
      </c>
      <c r="M330" s="0" t="s">
        <v>674</v>
      </c>
      <c r="N330" s="0" t="s">
        <v>1161</v>
      </c>
      <c r="O330" s="0" t="n">
        <v>1</v>
      </c>
      <c r="P330" s="0" t="s">
        <v>1067</v>
      </c>
      <c r="R330" s="3"/>
      <c r="S330" s="2" t="s">
        <v>30</v>
      </c>
    </row>
    <row r="331" customFormat="false" ht="15" hidden="false" customHeight="false" outlineLevel="0" collapsed="false">
      <c r="A331" s="0" t="n">
        <v>330</v>
      </c>
      <c r="D331" s="0" t="s">
        <v>1162</v>
      </c>
      <c r="E331" s="0" t="s">
        <v>181</v>
      </c>
      <c r="H331" s="0" t="s">
        <v>21</v>
      </c>
      <c r="I331" s="2" t="s">
        <v>22</v>
      </c>
      <c r="J331" s="2" t="s">
        <v>672</v>
      </c>
      <c r="K331" s="0" t="s">
        <v>673</v>
      </c>
      <c r="L331" s="0" t="s">
        <v>25</v>
      </c>
      <c r="M331" s="0" t="s">
        <v>674</v>
      </c>
      <c r="N331" s="0" t="s">
        <v>1163</v>
      </c>
      <c r="O331" s="0" t="n">
        <v>1</v>
      </c>
      <c r="P331" s="0" t="s">
        <v>1164</v>
      </c>
      <c r="Q331" s="0" t="s">
        <v>1165</v>
      </c>
      <c r="R331" s="3"/>
      <c r="S331" s="2" t="s">
        <v>30</v>
      </c>
    </row>
    <row r="332" customFormat="false" ht="15" hidden="false" customHeight="false" outlineLevel="0" collapsed="false">
      <c r="A332" s="0" t="n">
        <v>331</v>
      </c>
      <c r="D332" s="0" t="s">
        <v>1166</v>
      </c>
      <c r="E332" s="0" t="s">
        <v>20</v>
      </c>
      <c r="H332" s="0" t="s">
        <v>21</v>
      </c>
      <c r="I332" s="2" t="s">
        <v>22</v>
      </c>
      <c r="J332" s="2" t="s">
        <v>672</v>
      </c>
      <c r="K332" s="0" t="s">
        <v>673</v>
      </c>
      <c r="L332" s="0" t="s">
        <v>25</v>
      </c>
      <c r="M332" s="0" t="s">
        <v>674</v>
      </c>
      <c r="N332" s="0" t="s">
        <v>1167</v>
      </c>
      <c r="O332" s="0" t="n">
        <v>1</v>
      </c>
      <c r="P332" s="0" t="s">
        <v>479</v>
      </c>
      <c r="Q332" s="0" t="s">
        <v>1168</v>
      </c>
      <c r="R332" s="3"/>
      <c r="S332" s="2" t="s">
        <v>30</v>
      </c>
    </row>
    <row r="333" customFormat="false" ht="15" hidden="false" customHeight="false" outlineLevel="0" collapsed="false">
      <c r="A333" s="0" t="n">
        <v>332</v>
      </c>
      <c r="D333" s="0" t="s">
        <v>1169</v>
      </c>
      <c r="E333" s="0" t="s">
        <v>20</v>
      </c>
      <c r="H333" s="0" t="s">
        <v>21</v>
      </c>
      <c r="I333" s="2" t="s">
        <v>22</v>
      </c>
      <c r="J333" s="2" t="s">
        <v>672</v>
      </c>
      <c r="K333" s="0" t="s">
        <v>673</v>
      </c>
      <c r="L333" s="0" t="s">
        <v>1170</v>
      </c>
      <c r="M333" s="0" t="s">
        <v>674</v>
      </c>
      <c r="N333" s="0" t="s">
        <v>1171</v>
      </c>
      <c r="O333" s="0" t="n">
        <v>1</v>
      </c>
      <c r="P333" s="0" t="s">
        <v>186</v>
      </c>
      <c r="Q333" s="0" t="s">
        <v>1172</v>
      </c>
      <c r="R333" s="3"/>
      <c r="S333" s="2" t="s">
        <v>1173</v>
      </c>
    </row>
    <row r="334" customFormat="false" ht="15" hidden="false" customHeight="false" outlineLevel="0" collapsed="false">
      <c r="A334" s="0" t="n">
        <v>333</v>
      </c>
      <c r="D334" s="0" t="s">
        <v>1174</v>
      </c>
      <c r="E334" s="0" t="s">
        <v>20</v>
      </c>
      <c r="H334" s="0" t="s">
        <v>21</v>
      </c>
      <c r="I334" s="2" t="s">
        <v>22</v>
      </c>
      <c r="J334" s="2" t="s">
        <v>672</v>
      </c>
      <c r="K334" s="0" t="s">
        <v>673</v>
      </c>
      <c r="L334" s="0" t="s">
        <v>25</v>
      </c>
      <c r="M334" s="0" t="s">
        <v>674</v>
      </c>
      <c r="N334" s="0" t="s">
        <v>1175</v>
      </c>
      <c r="O334" s="0" t="n">
        <v>1</v>
      </c>
      <c r="P334" s="0" t="s">
        <v>701</v>
      </c>
      <c r="Q334" s="0" t="s">
        <v>1176</v>
      </c>
      <c r="R334" s="3"/>
      <c r="S334" s="2" t="s">
        <v>30</v>
      </c>
    </row>
    <row r="335" customFormat="false" ht="15" hidden="false" customHeight="false" outlineLevel="0" collapsed="false">
      <c r="A335" s="0" t="n">
        <v>334</v>
      </c>
      <c r="D335" s="0" t="s">
        <v>1177</v>
      </c>
      <c r="E335" s="0" t="s">
        <v>181</v>
      </c>
      <c r="H335" s="0" t="s">
        <v>21</v>
      </c>
      <c r="I335" s="2" t="s">
        <v>22</v>
      </c>
      <c r="J335" s="2" t="s">
        <v>672</v>
      </c>
      <c r="K335" s="0" t="s">
        <v>673</v>
      </c>
      <c r="L335" s="0" t="s">
        <v>25</v>
      </c>
      <c r="M335" s="0" t="s">
        <v>674</v>
      </c>
      <c r="N335" s="0" t="s">
        <v>1178</v>
      </c>
      <c r="O335" s="0" t="n">
        <v>1</v>
      </c>
      <c r="P335" s="0" t="s">
        <v>103</v>
      </c>
      <c r="Q335" s="0" t="s">
        <v>1179</v>
      </c>
      <c r="R335" s="3"/>
      <c r="S335" s="2" t="s">
        <v>30</v>
      </c>
    </row>
    <row r="336" customFormat="false" ht="15" hidden="false" customHeight="false" outlineLevel="0" collapsed="false">
      <c r="A336" s="0" t="n">
        <v>335</v>
      </c>
      <c r="D336" s="0" t="s">
        <v>1180</v>
      </c>
      <c r="E336" s="0" t="s">
        <v>268</v>
      </c>
      <c r="H336" s="0" t="s">
        <v>21</v>
      </c>
      <c r="I336" s="2" t="s">
        <v>22</v>
      </c>
      <c r="J336" s="2" t="s">
        <v>672</v>
      </c>
      <c r="K336" s="0" t="s">
        <v>673</v>
      </c>
      <c r="L336" s="0" t="s">
        <v>25</v>
      </c>
      <c r="M336" s="0" t="s">
        <v>674</v>
      </c>
      <c r="N336" s="0" t="s">
        <v>1181</v>
      </c>
      <c r="O336" s="0" t="n">
        <v>1</v>
      </c>
      <c r="P336" s="0" t="s">
        <v>1182</v>
      </c>
      <c r="Q336" s="0" t="s">
        <v>1183</v>
      </c>
      <c r="R336" s="3"/>
      <c r="S336" s="2" t="s">
        <v>30</v>
      </c>
    </row>
    <row r="337" customFormat="false" ht="15" hidden="false" customHeight="false" outlineLevel="0" collapsed="false">
      <c r="A337" s="0" t="n">
        <v>336</v>
      </c>
      <c r="D337" s="0" t="s">
        <v>1184</v>
      </c>
      <c r="E337" s="0" t="s">
        <v>20</v>
      </c>
      <c r="H337" s="0" t="s">
        <v>21</v>
      </c>
      <c r="I337" s="2" t="s">
        <v>22</v>
      </c>
      <c r="J337" s="2" t="s">
        <v>672</v>
      </c>
      <c r="K337" s="0" t="s">
        <v>673</v>
      </c>
      <c r="L337" s="0" t="s">
        <v>25</v>
      </c>
      <c r="M337" s="0" t="s">
        <v>674</v>
      </c>
      <c r="N337" s="0" t="s">
        <v>1185</v>
      </c>
      <c r="O337" s="0" t="n">
        <v>1</v>
      </c>
      <c r="P337" s="0" t="s">
        <v>95</v>
      </c>
      <c r="Q337" s="0" t="s">
        <v>1186</v>
      </c>
      <c r="R337" s="3"/>
      <c r="S337" s="2" t="s">
        <v>30</v>
      </c>
    </row>
    <row r="338" customFormat="false" ht="15" hidden="false" customHeight="false" outlineLevel="0" collapsed="false">
      <c r="A338" s="0" t="n">
        <v>337</v>
      </c>
      <c r="D338" s="0" t="s">
        <v>1187</v>
      </c>
      <c r="E338" s="0" t="s">
        <v>20</v>
      </c>
      <c r="H338" s="0" t="s">
        <v>21</v>
      </c>
      <c r="I338" s="2" t="s">
        <v>22</v>
      </c>
      <c r="J338" s="2" t="s">
        <v>672</v>
      </c>
      <c r="K338" s="0" t="s">
        <v>673</v>
      </c>
      <c r="L338" s="0" t="s">
        <v>25</v>
      </c>
      <c r="M338" s="0" t="s">
        <v>674</v>
      </c>
      <c r="N338" s="0" t="s">
        <v>1188</v>
      </c>
      <c r="O338" s="0" t="n">
        <v>1</v>
      </c>
      <c r="P338" s="0" t="s">
        <v>701</v>
      </c>
      <c r="Q338" s="0" t="s">
        <v>1189</v>
      </c>
      <c r="R338" s="3"/>
      <c r="S338" s="2" t="s">
        <v>30</v>
      </c>
    </row>
    <row r="339" customFormat="false" ht="15" hidden="false" customHeight="false" outlineLevel="0" collapsed="false">
      <c r="A339" s="0" t="n">
        <v>338</v>
      </c>
      <c r="D339" s="0" t="s">
        <v>1190</v>
      </c>
      <c r="E339" s="0" t="s">
        <v>282</v>
      </c>
      <c r="H339" s="0" t="s">
        <v>21</v>
      </c>
      <c r="I339" s="2" t="s">
        <v>22</v>
      </c>
      <c r="J339" s="2" t="s">
        <v>672</v>
      </c>
      <c r="K339" s="0" t="s">
        <v>673</v>
      </c>
      <c r="L339" s="0" t="s">
        <v>25</v>
      </c>
      <c r="M339" s="0" t="s">
        <v>674</v>
      </c>
      <c r="N339" s="0" t="s">
        <v>1191</v>
      </c>
      <c r="O339" s="0" t="n">
        <v>1</v>
      </c>
      <c r="P339" s="0" t="s">
        <v>489</v>
      </c>
      <c r="Q339" s="0" t="s">
        <v>1192</v>
      </c>
      <c r="R339" s="3"/>
      <c r="S339" s="2" t="s">
        <v>30</v>
      </c>
    </row>
    <row r="340" customFormat="false" ht="15" hidden="false" customHeight="false" outlineLevel="0" collapsed="false">
      <c r="A340" s="0" t="n">
        <v>339</v>
      </c>
      <c r="D340" s="0" t="s">
        <v>1193</v>
      </c>
      <c r="E340" s="0" t="s">
        <v>268</v>
      </c>
      <c r="H340" s="0" t="s">
        <v>21</v>
      </c>
      <c r="I340" s="2" t="s">
        <v>22</v>
      </c>
      <c r="J340" s="2" t="s">
        <v>672</v>
      </c>
      <c r="K340" s="0" t="s">
        <v>673</v>
      </c>
      <c r="L340" s="0" t="s">
        <v>25</v>
      </c>
      <c r="M340" s="0" t="s">
        <v>674</v>
      </c>
      <c r="N340" s="0" t="s">
        <v>1194</v>
      </c>
      <c r="O340" s="0" t="n">
        <v>1</v>
      </c>
      <c r="P340" s="0" t="s">
        <v>28</v>
      </c>
      <c r="Q340" s="0" t="s">
        <v>1195</v>
      </c>
      <c r="R340" s="3"/>
      <c r="S340" s="2" t="s">
        <v>30</v>
      </c>
    </row>
    <row r="341" customFormat="false" ht="15" hidden="false" customHeight="false" outlineLevel="0" collapsed="false">
      <c r="A341" s="0" t="n">
        <v>340</v>
      </c>
      <c r="D341" s="0" t="s">
        <v>1196</v>
      </c>
      <c r="E341" s="0" t="s">
        <v>20</v>
      </c>
      <c r="H341" s="0" t="s">
        <v>21</v>
      </c>
      <c r="I341" s="2" t="s">
        <v>22</v>
      </c>
      <c r="J341" s="2" t="s">
        <v>672</v>
      </c>
      <c r="K341" s="0" t="s">
        <v>673</v>
      </c>
      <c r="L341" s="0" t="s">
        <v>25</v>
      </c>
      <c r="M341" s="0" t="s">
        <v>674</v>
      </c>
      <c r="N341" s="0" t="s">
        <v>1197</v>
      </c>
      <c r="O341" s="0" t="n">
        <v>1</v>
      </c>
      <c r="P341" s="0" t="s">
        <v>479</v>
      </c>
      <c r="Q341" s="0" t="s">
        <v>1198</v>
      </c>
      <c r="R341" s="3"/>
      <c r="S341" s="2" t="s">
        <v>30</v>
      </c>
    </row>
    <row r="342" customFormat="false" ht="15" hidden="false" customHeight="false" outlineLevel="0" collapsed="false">
      <c r="A342" s="0" t="n">
        <v>341</v>
      </c>
      <c r="D342" s="0" t="s">
        <v>1199</v>
      </c>
      <c r="E342" s="0" t="s">
        <v>268</v>
      </c>
      <c r="H342" s="0" t="s">
        <v>21</v>
      </c>
      <c r="I342" s="2" t="s">
        <v>22</v>
      </c>
      <c r="J342" s="2" t="s">
        <v>672</v>
      </c>
      <c r="K342" s="0" t="s">
        <v>673</v>
      </c>
      <c r="L342" s="0" t="s">
        <v>25</v>
      </c>
      <c r="M342" s="0" t="s">
        <v>674</v>
      </c>
      <c r="N342" s="0" t="s">
        <v>1200</v>
      </c>
      <c r="O342" s="0" t="n">
        <v>1</v>
      </c>
      <c r="P342" s="0" t="s">
        <v>1182</v>
      </c>
      <c r="Q342" s="0" t="s">
        <v>1201</v>
      </c>
      <c r="R342" s="3"/>
      <c r="S342" s="2" t="s">
        <v>30</v>
      </c>
    </row>
    <row r="343" customFormat="false" ht="15" hidden="false" customHeight="false" outlineLevel="0" collapsed="false">
      <c r="A343" s="0" t="n">
        <v>342</v>
      </c>
      <c r="D343" s="0" t="s">
        <v>1202</v>
      </c>
      <c r="E343" s="0" t="s">
        <v>20</v>
      </c>
      <c r="F343" s="0" t="s">
        <v>1203</v>
      </c>
      <c r="H343" s="0" t="s">
        <v>21</v>
      </c>
      <c r="I343" s="2" t="s">
        <v>22</v>
      </c>
      <c r="J343" s="2" t="s">
        <v>672</v>
      </c>
      <c r="K343" s="0" t="s">
        <v>673</v>
      </c>
      <c r="L343" s="0" t="s">
        <v>1204</v>
      </c>
      <c r="M343" s="0" t="s">
        <v>674</v>
      </c>
      <c r="N343" s="0" t="s">
        <v>1205</v>
      </c>
      <c r="O343" s="0" t="n">
        <v>1</v>
      </c>
      <c r="P343" s="0" t="s">
        <v>918</v>
      </c>
      <c r="Q343" s="0" t="s">
        <v>1206</v>
      </c>
      <c r="R343" s="3" t="s">
        <v>1207</v>
      </c>
      <c r="S343" s="2" t="s">
        <v>1208</v>
      </c>
    </row>
    <row r="344" customFormat="false" ht="15" hidden="false" customHeight="false" outlineLevel="0" collapsed="false">
      <c r="A344" s="0" t="n">
        <v>343</v>
      </c>
      <c r="D344" s="0" t="s">
        <v>1209</v>
      </c>
      <c r="E344" s="0" t="s">
        <v>20</v>
      </c>
      <c r="H344" s="0" t="s">
        <v>21</v>
      </c>
      <c r="I344" s="2" t="s">
        <v>22</v>
      </c>
      <c r="J344" s="2" t="s">
        <v>672</v>
      </c>
      <c r="K344" s="0" t="s">
        <v>673</v>
      </c>
      <c r="L344" s="0" t="s">
        <v>1210</v>
      </c>
      <c r="M344" s="0" t="s">
        <v>674</v>
      </c>
      <c r="N344" s="0" t="s">
        <v>1211</v>
      </c>
      <c r="O344" s="0" t="n">
        <v>1</v>
      </c>
      <c r="P344" s="0" t="s">
        <v>130</v>
      </c>
      <c r="Q344" s="0" t="s">
        <v>1212</v>
      </c>
      <c r="R344" s="3"/>
      <c r="S344" s="2" t="s">
        <v>1213</v>
      </c>
    </row>
    <row r="345" customFormat="false" ht="15" hidden="false" customHeight="false" outlineLevel="0" collapsed="false">
      <c r="A345" s="0" t="n">
        <v>344</v>
      </c>
      <c r="D345" s="0" t="s">
        <v>1214</v>
      </c>
      <c r="E345" s="0" t="s">
        <v>777</v>
      </c>
      <c r="H345" s="0" t="s">
        <v>21</v>
      </c>
      <c r="I345" s="2" t="s">
        <v>22</v>
      </c>
      <c r="J345" s="2" t="s">
        <v>672</v>
      </c>
      <c r="K345" s="0" t="s">
        <v>673</v>
      </c>
      <c r="L345" s="0" t="s">
        <v>25</v>
      </c>
      <c r="M345" s="0" t="s">
        <v>674</v>
      </c>
      <c r="N345" s="0" t="s">
        <v>1215</v>
      </c>
      <c r="O345" s="0" t="n">
        <v>1</v>
      </c>
      <c r="P345" s="0" t="s">
        <v>57</v>
      </c>
      <c r="Q345" s="0" t="s">
        <v>1216</v>
      </c>
      <c r="R345" s="3"/>
      <c r="S345" s="2" t="s">
        <v>30</v>
      </c>
    </row>
    <row r="346" customFormat="false" ht="15" hidden="false" customHeight="false" outlineLevel="0" collapsed="false">
      <c r="A346" s="0" t="n">
        <v>345</v>
      </c>
      <c r="D346" s="0" t="s">
        <v>1217</v>
      </c>
      <c r="E346" s="0" t="s">
        <v>20</v>
      </c>
      <c r="H346" s="0" t="s">
        <v>21</v>
      </c>
      <c r="I346" s="2" t="s">
        <v>22</v>
      </c>
      <c r="J346" s="2" t="s">
        <v>672</v>
      </c>
      <c r="K346" s="0" t="s">
        <v>673</v>
      </c>
      <c r="L346" s="0" t="s">
        <v>1218</v>
      </c>
      <c r="M346" s="0" t="s">
        <v>674</v>
      </c>
      <c r="N346" s="0" t="s">
        <v>1219</v>
      </c>
      <c r="O346" s="0" t="n">
        <v>1</v>
      </c>
      <c r="P346" s="0" t="s">
        <v>846</v>
      </c>
      <c r="Q346" s="0" t="s">
        <v>1220</v>
      </c>
      <c r="R346" s="3"/>
      <c r="S346" s="2" t="s">
        <v>1221</v>
      </c>
    </row>
    <row r="347" customFormat="false" ht="15" hidden="false" customHeight="false" outlineLevel="0" collapsed="false">
      <c r="A347" s="0" t="n">
        <v>346</v>
      </c>
      <c r="D347" s="0" t="s">
        <v>1222</v>
      </c>
      <c r="E347" s="0" t="s">
        <v>20</v>
      </c>
      <c r="H347" s="0" t="s">
        <v>21</v>
      </c>
      <c r="I347" s="2" t="s">
        <v>22</v>
      </c>
      <c r="J347" s="2" t="s">
        <v>672</v>
      </c>
      <c r="K347" s="0" t="s">
        <v>673</v>
      </c>
      <c r="L347" s="0" t="s">
        <v>25</v>
      </c>
      <c r="M347" s="0" t="s">
        <v>674</v>
      </c>
      <c r="N347" s="0" t="s">
        <v>1223</v>
      </c>
      <c r="O347" s="0" t="n">
        <v>1</v>
      </c>
      <c r="P347" s="0" t="s">
        <v>130</v>
      </c>
      <c r="Q347" s="0" t="s">
        <v>1224</v>
      </c>
      <c r="R347" s="3"/>
      <c r="S347" s="2" t="s">
        <v>30</v>
      </c>
    </row>
    <row r="348" customFormat="false" ht="15" hidden="false" customHeight="false" outlineLevel="0" collapsed="false">
      <c r="A348" s="0" t="n">
        <v>347</v>
      </c>
      <c r="D348" s="0" t="s">
        <v>1225</v>
      </c>
      <c r="E348" s="0" t="s">
        <v>20</v>
      </c>
      <c r="H348" s="0" t="s">
        <v>21</v>
      </c>
      <c r="I348" s="2" t="s">
        <v>22</v>
      </c>
      <c r="J348" s="2" t="s">
        <v>672</v>
      </c>
      <c r="K348" s="0" t="s">
        <v>673</v>
      </c>
      <c r="L348" s="0" t="s">
        <v>25</v>
      </c>
      <c r="M348" s="0" t="s">
        <v>674</v>
      </c>
      <c r="N348" s="0" t="s">
        <v>1226</v>
      </c>
      <c r="O348" s="0" t="n">
        <v>1</v>
      </c>
      <c r="P348" s="0" t="s">
        <v>748</v>
      </c>
      <c r="Q348" s="0" t="s">
        <v>1227</v>
      </c>
      <c r="R348" s="3"/>
      <c r="S348" s="2" t="s">
        <v>30</v>
      </c>
    </row>
    <row r="349" customFormat="false" ht="15" hidden="false" customHeight="false" outlineLevel="0" collapsed="false">
      <c r="A349" s="0" t="n">
        <v>348</v>
      </c>
      <c r="D349" s="0" t="s">
        <v>1228</v>
      </c>
      <c r="E349" s="0" t="s">
        <v>20</v>
      </c>
      <c r="H349" s="0" t="s">
        <v>21</v>
      </c>
      <c r="I349" s="2" t="s">
        <v>22</v>
      </c>
      <c r="J349" s="2" t="s">
        <v>672</v>
      </c>
      <c r="K349" s="0" t="s">
        <v>673</v>
      </c>
      <c r="L349" s="0" t="s">
        <v>25</v>
      </c>
      <c r="M349" s="0" t="s">
        <v>674</v>
      </c>
      <c r="N349" s="0" t="s">
        <v>1229</v>
      </c>
      <c r="O349" s="0" t="n">
        <v>1</v>
      </c>
      <c r="P349" s="0" t="s">
        <v>61</v>
      </c>
      <c r="Q349" s="0" t="s">
        <v>1230</v>
      </c>
      <c r="R349" s="3"/>
      <c r="S349" s="2" t="s">
        <v>30</v>
      </c>
    </row>
    <row r="350" customFormat="false" ht="15" hidden="false" customHeight="false" outlineLevel="0" collapsed="false">
      <c r="A350" s="0" t="n">
        <v>349</v>
      </c>
      <c r="D350" s="0" t="s">
        <v>1231</v>
      </c>
      <c r="E350" s="0" t="s">
        <v>20</v>
      </c>
      <c r="H350" s="0" t="s">
        <v>21</v>
      </c>
      <c r="I350" s="2" t="s">
        <v>22</v>
      </c>
      <c r="J350" s="2" t="s">
        <v>672</v>
      </c>
      <c r="K350" s="0" t="s">
        <v>673</v>
      </c>
      <c r="L350" s="0" t="s">
        <v>25</v>
      </c>
      <c r="M350" s="0" t="s">
        <v>674</v>
      </c>
      <c r="N350" s="0" t="s">
        <v>1232</v>
      </c>
      <c r="O350" s="0" t="n">
        <v>1</v>
      </c>
      <c r="P350" s="0" t="s">
        <v>297</v>
      </c>
      <c r="Q350" s="0" t="s">
        <v>1233</v>
      </c>
      <c r="R350" s="3"/>
      <c r="S350" s="2" t="s">
        <v>30</v>
      </c>
    </row>
    <row r="351" customFormat="false" ht="15" hidden="false" customHeight="false" outlineLevel="0" collapsed="false">
      <c r="A351" s="0" t="n">
        <v>350</v>
      </c>
      <c r="D351" s="0" t="s">
        <v>1234</v>
      </c>
      <c r="E351" s="0" t="s">
        <v>20</v>
      </c>
      <c r="H351" s="0" t="s">
        <v>21</v>
      </c>
      <c r="I351" s="2" t="s">
        <v>22</v>
      </c>
      <c r="J351" s="2" t="s">
        <v>672</v>
      </c>
      <c r="K351" s="0" t="s">
        <v>673</v>
      </c>
      <c r="L351" s="0" t="s">
        <v>25</v>
      </c>
      <c r="M351" s="0" t="s">
        <v>674</v>
      </c>
      <c r="N351" s="0" t="s">
        <v>1235</v>
      </c>
      <c r="O351" s="0" t="n">
        <v>1</v>
      </c>
      <c r="P351" s="0" t="s">
        <v>902</v>
      </c>
      <c r="Q351" s="0" t="s">
        <v>1236</v>
      </c>
      <c r="R351" s="3"/>
      <c r="S351" s="2" t="s">
        <v>30</v>
      </c>
    </row>
    <row r="352" customFormat="false" ht="15" hidden="false" customHeight="false" outlineLevel="0" collapsed="false">
      <c r="A352" s="0" t="n">
        <v>351</v>
      </c>
      <c r="D352" s="0" t="s">
        <v>1237</v>
      </c>
      <c r="E352" s="0" t="s">
        <v>20</v>
      </c>
      <c r="H352" s="0" t="s">
        <v>21</v>
      </c>
      <c r="I352" s="2" t="s">
        <v>22</v>
      </c>
      <c r="J352" s="2" t="s">
        <v>672</v>
      </c>
      <c r="K352" s="0" t="s">
        <v>673</v>
      </c>
      <c r="L352" s="0" t="s">
        <v>25</v>
      </c>
      <c r="M352" s="0" t="s">
        <v>674</v>
      </c>
      <c r="N352" s="0" t="s">
        <v>1238</v>
      </c>
      <c r="O352" s="0" t="n">
        <v>1</v>
      </c>
      <c r="P352" s="0" t="s">
        <v>846</v>
      </c>
      <c r="R352" s="3"/>
      <c r="S352" s="2" t="s">
        <v>30</v>
      </c>
    </row>
    <row r="353" customFormat="false" ht="15" hidden="false" customHeight="false" outlineLevel="0" collapsed="false">
      <c r="A353" s="0" t="n">
        <v>352</v>
      </c>
      <c r="D353" s="0" t="s">
        <v>1239</v>
      </c>
      <c r="E353" s="0" t="s">
        <v>20</v>
      </c>
      <c r="H353" s="0" t="s">
        <v>21</v>
      </c>
      <c r="I353" s="2" t="s">
        <v>22</v>
      </c>
      <c r="J353" s="2" t="s">
        <v>672</v>
      </c>
      <c r="K353" s="0" t="s">
        <v>673</v>
      </c>
      <c r="L353" s="0" t="s">
        <v>25</v>
      </c>
      <c r="M353" s="0" t="s">
        <v>674</v>
      </c>
      <c r="N353" s="0" t="s">
        <v>1240</v>
      </c>
      <c r="O353" s="0" t="n">
        <v>1</v>
      </c>
      <c r="P353" s="0" t="s">
        <v>130</v>
      </c>
      <c r="Q353" s="0" t="s">
        <v>1241</v>
      </c>
      <c r="R353" s="3"/>
      <c r="S353" s="2" t="s">
        <v>30</v>
      </c>
    </row>
    <row r="354" customFormat="false" ht="15" hidden="false" customHeight="false" outlineLevel="0" collapsed="false">
      <c r="A354" s="0" t="n">
        <v>353</v>
      </c>
      <c r="D354" s="0" t="s">
        <v>1242</v>
      </c>
      <c r="E354" s="0" t="s">
        <v>20</v>
      </c>
      <c r="H354" s="0" t="s">
        <v>21</v>
      </c>
      <c r="I354" s="2" t="s">
        <v>22</v>
      </c>
      <c r="J354" s="2" t="s">
        <v>672</v>
      </c>
      <c r="K354" s="0" t="s">
        <v>673</v>
      </c>
      <c r="L354" s="0" t="s">
        <v>1243</v>
      </c>
      <c r="M354" s="0" t="s">
        <v>674</v>
      </c>
      <c r="N354" s="0" t="s">
        <v>1244</v>
      </c>
      <c r="O354" s="0" t="n">
        <v>1</v>
      </c>
      <c r="P354" s="0" t="s">
        <v>130</v>
      </c>
      <c r="Q354" s="0" t="s">
        <v>1245</v>
      </c>
      <c r="R354" s="3"/>
      <c r="S354" s="2" t="s">
        <v>1246</v>
      </c>
    </row>
    <row r="355" customFormat="false" ht="15" hidden="false" customHeight="false" outlineLevel="0" collapsed="false">
      <c r="A355" s="0" t="n">
        <v>354</v>
      </c>
      <c r="D355" s="0" t="s">
        <v>1247</v>
      </c>
      <c r="E355" s="0" t="s">
        <v>20</v>
      </c>
      <c r="H355" s="0" t="s">
        <v>21</v>
      </c>
      <c r="I355" s="2" t="s">
        <v>22</v>
      </c>
      <c r="J355" s="2" t="s">
        <v>672</v>
      </c>
      <c r="K355" s="0" t="s">
        <v>673</v>
      </c>
      <c r="L355" s="0" t="s">
        <v>25</v>
      </c>
      <c r="M355" s="0" t="s">
        <v>674</v>
      </c>
      <c r="N355" s="0" t="s">
        <v>1248</v>
      </c>
      <c r="O355" s="0" t="n">
        <v>1</v>
      </c>
      <c r="P355" s="0" t="s">
        <v>95</v>
      </c>
      <c r="Q355" s="0" t="s">
        <v>1249</v>
      </c>
      <c r="R355" s="3"/>
      <c r="S355" s="2" t="s">
        <v>30</v>
      </c>
    </row>
    <row r="356" customFormat="false" ht="15" hidden="false" customHeight="false" outlineLevel="0" collapsed="false">
      <c r="A356" s="0" t="n">
        <v>355</v>
      </c>
      <c r="D356" s="0" t="s">
        <v>1250</v>
      </c>
      <c r="E356" s="0" t="s">
        <v>20</v>
      </c>
      <c r="H356" s="0" t="s">
        <v>21</v>
      </c>
      <c r="I356" s="2" t="s">
        <v>22</v>
      </c>
      <c r="J356" s="2" t="s">
        <v>672</v>
      </c>
      <c r="K356" s="0" t="s">
        <v>673</v>
      </c>
      <c r="L356" s="0" t="s">
        <v>25</v>
      </c>
      <c r="M356" s="0" t="s">
        <v>674</v>
      </c>
      <c r="N356" s="0" t="s">
        <v>1251</v>
      </c>
      <c r="O356" s="0" t="n">
        <v>1</v>
      </c>
      <c r="P356" s="0" t="s">
        <v>701</v>
      </c>
      <c r="Q356" s="0" t="s">
        <v>1252</v>
      </c>
      <c r="R356" s="3"/>
      <c r="S356" s="2" t="s">
        <v>30</v>
      </c>
    </row>
    <row r="357" customFormat="false" ht="15" hidden="false" customHeight="false" outlineLevel="0" collapsed="false">
      <c r="A357" s="0" t="n">
        <v>356</v>
      </c>
      <c r="D357" s="0" t="s">
        <v>1253</v>
      </c>
      <c r="E357" s="0" t="s">
        <v>20</v>
      </c>
      <c r="H357" s="0" t="s">
        <v>21</v>
      </c>
      <c r="I357" s="2" t="s">
        <v>22</v>
      </c>
      <c r="J357" s="2" t="s">
        <v>672</v>
      </c>
      <c r="K357" s="0" t="s">
        <v>673</v>
      </c>
      <c r="L357" s="0" t="s">
        <v>25</v>
      </c>
      <c r="M357" s="0" t="s">
        <v>674</v>
      </c>
      <c r="N357" s="0" t="s">
        <v>1254</v>
      </c>
      <c r="O357" s="0" t="n">
        <v>1</v>
      </c>
      <c r="P357" s="0" t="s">
        <v>846</v>
      </c>
      <c r="Q357" s="0" t="s">
        <v>1255</v>
      </c>
      <c r="R357" s="3"/>
      <c r="S357" s="2" t="s">
        <v>30</v>
      </c>
    </row>
    <row r="358" customFormat="false" ht="15" hidden="false" customHeight="false" outlineLevel="0" collapsed="false">
      <c r="A358" s="0" t="n">
        <v>357</v>
      </c>
      <c r="D358" s="0" t="s">
        <v>1256</v>
      </c>
      <c r="E358" s="0" t="s">
        <v>20</v>
      </c>
      <c r="H358" s="0" t="s">
        <v>21</v>
      </c>
      <c r="I358" s="2" t="s">
        <v>22</v>
      </c>
      <c r="J358" s="2" t="s">
        <v>672</v>
      </c>
      <c r="K358" s="0" t="s">
        <v>673</v>
      </c>
      <c r="L358" s="0" t="s">
        <v>25</v>
      </c>
      <c r="M358" s="0" t="s">
        <v>674</v>
      </c>
      <c r="N358" s="0" t="s">
        <v>1257</v>
      </c>
      <c r="O358" s="0" t="n">
        <v>1</v>
      </c>
      <c r="P358" s="0" t="s">
        <v>95</v>
      </c>
      <c r="Q358" s="0" t="s">
        <v>1258</v>
      </c>
      <c r="R358" s="3"/>
      <c r="S358" s="2" t="s">
        <v>30</v>
      </c>
    </row>
    <row r="359" customFormat="false" ht="15" hidden="false" customHeight="false" outlineLevel="0" collapsed="false">
      <c r="A359" s="0" t="n">
        <v>358</v>
      </c>
      <c r="D359" s="0" t="s">
        <v>1259</v>
      </c>
      <c r="E359" s="0" t="s">
        <v>20</v>
      </c>
      <c r="H359" s="0" t="s">
        <v>21</v>
      </c>
      <c r="I359" s="2" t="s">
        <v>22</v>
      </c>
      <c r="J359" s="2" t="s">
        <v>672</v>
      </c>
      <c r="K359" s="0" t="s">
        <v>673</v>
      </c>
      <c r="L359" s="0" t="s">
        <v>25</v>
      </c>
      <c r="M359" s="0" t="s">
        <v>674</v>
      </c>
      <c r="N359" s="0" t="s">
        <v>1260</v>
      </c>
      <c r="O359" s="0" t="n">
        <v>1</v>
      </c>
      <c r="P359" s="0" t="s">
        <v>851</v>
      </c>
      <c r="Q359" s="0" t="s">
        <v>1261</v>
      </c>
      <c r="R359" s="3"/>
      <c r="S359" s="2" t="s">
        <v>30</v>
      </c>
    </row>
    <row r="360" customFormat="false" ht="15" hidden="false" customHeight="false" outlineLevel="0" collapsed="false">
      <c r="A360" s="0" t="n">
        <v>359</v>
      </c>
      <c r="D360" s="0" t="s">
        <v>1262</v>
      </c>
      <c r="E360" s="0" t="s">
        <v>20</v>
      </c>
      <c r="H360" s="0" t="s">
        <v>21</v>
      </c>
      <c r="I360" s="2" t="s">
        <v>22</v>
      </c>
      <c r="J360" s="2" t="s">
        <v>672</v>
      </c>
      <c r="K360" s="0" t="s">
        <v>673</v>
      </c>
      <c r="L360" s="0" t="s">
        <v>25</v>
      </c>
      <c r="M360" s="0" t="s">
        <v>674</v>
      </c>
      <c r="N360" s="0" t="s">
        <v>1263</v>
      </c>
      <c r="O360" s="0" t="n">
        <v>1</v>
      </c>
      <c r="P360" s="0" t="s">
        <v>479</v>
      </c>
      <c r="Q360" s="0" t="s">
        <v>1264</v>
      </c>
      <c r="R360" s="3"/>
      <c r="S360" s="2" t="s">
        <v>30</v>
      </c>
    </row>
    <row r="361" customFormat="false" ht="15" hidden="false" customHeight="false" outlineLevel="0" collapsed="false">
      <c r="A361" s="0" t="n">
        <v>360</v>
      </c>
      <c r="D361" s="0" t="s">
        <v>1265</v>
      </c>
      <c r="E361" s="0" t="s">
        <v>20</v>
      </c>
      <c r="H361" s="0" t="s">
        <v>21</v>
      </c>
      <c r="I361" s="2" t="s">
        <v>22</v>
      </c>
      <c r="J361" s="2" t="s">
        <v>672</v>
      </c>
      <c r="K361" s="0" t="s">
        <v>673</v>
      </c>
      <c r="L361" s="0" t="s">
        <v>25</v>
      </c>
      <c r="M361" s="0" t="s">
        <v>674</v>
      </c>
      <c r="N361" s="0" t="s">
        <v>1266</v>
      </c>
      <c r="O361" s="0" t="n">
        <v>1</v>
      </c>
      <c r="P361" s="0" t="s">
        <v>1164</v>
      </c>
      <c r="Q361" s="0" t="s">
        <v>1267</v>
      </c>
      <c r="R361" s="3"/>
      <c r="S361" s="2" t="s">
        <v>30</v>
      </c>
    </row>
    <row r="362" customFormat="false" ht="15" hidden="false" customHeight="false" outlineLevel="0" collapsed="false">
      <c r="A362" s="0" t="n">
        <v>361</v>
      </c>
      <c r="D362" s="0" t="s">
        <v>1268</v>
      </c>
      <c r="E362" s="0" t="s">
        <v>20</v>
      </c>
      <c r="H362" s="0" t="s">
        <v>21</v>
      </c>
      <c r="I362" s="2" t="s">
        <v>22</v>
      </c>
      <c r="J362" s="2" t="s">
        <v>672</v>
      </c>
      <c r="K362" s="0" t="s">
        <v>673</v>
      </c>
      <c r="L362" s="0" t="s">
        <v>25</v>
      </c>
      <c r="M362" s="0" t="s">
        <v>674</v>
      </c>
      <c r="N362" s="0" t="s">
        <v>1269</v>
      </c>
      <c r="O362" s="0" t="n">
        <v>1</v>
      </c>
      <c r="P362" s="0" t="s">
        <v>297</v>
      </c>
      <c r="Q362" s="0" t="s">
        <v>1270</v>
      </c>
      <c r="R362" s="3"/>
      <c r="S362" s="2" t="s">
        <v>30</v>
      </c>
    </row>
    <row r="363" customFormat="false" ht="15" hidden="false" customHeight="false" outlineLevel="0" collapsed="false">
      <c r="A363" s="0" t="n">
        <v>362</v>
      </c>
      <c r="D363" s="0" t="s">
        <v>1271</v>
      </c>
      <c r="E363" s="0" t="s">
        <v>20</v>
      </c>
      <c r="H363" s="0" t="s">
        <v>21</v>
      </c>
      <c r="I363" s="2" t="s">
        <v>22</v>
      </c>
      <c r="J363" s="2" t="s">
        <v>672</v>
      </c>
      <c r="K363" s="0" t="s">
        <v>673</v>
      </c>
      <c r="L363" s="0" t="s">
        <v>25</v>
      </c>
      <c r="M363" s="0" t="s">
        <v>674</v>
      </c>
      <c r="N363" s="0" t="s">
        <v>1272</v>
      </c>
      <c r="O363" s="0" t="n">
        <v>1</v>
      </c>
      <c r="P363" s="0" t="s">
        <v>701</v>
      </c>
      <c r="Q363" s="0" t="s">
        <v>1273</v>
      </c>
      <c r="R363" s="3"/>
      <c r="S363" s="2" t="s">
        <v>30</v>
      </c>
    </row>
    <row r="364" customFormat="false" ht="15" hidden="false" customHeight="false" outlineLevel="0" collapsed="false">
      <c r="A364" s="0" t="n">
        <v>363</v>
      </c>
      <c r="D364" s="0" t="s">
        <v>1274</v>
      </c>
      <c r="E364" s="0" t="s">
        <v>20</v>
      </c>
      <c r="H364" s="0" t="s">
        <v>21</v>
      </c>
      <c r="I364" s="2" t="s">
        <v>22</v>
      </c>
      <c r="J364" s="2" t="s">
        <v>672</v>
      </c>
      <c r="K364" s="0" t="s">
        <v>673</v>
      </c>
      <c r="L364" s="0" t="s">
        <v>25</v>
      </c>
      <c r="M364" s="0" t="s">
        <v>674</v>
      </c>
      <c r="N364" s="0" t="s">
        <v>1275</v>
      </c>
      <c r="O364" s="0" t="n">
        <v>1</v>
      </c>
      <c r="P364" s="0" t="s">
        <v>130</v>
      </c>
      <c r="Q364" s="0" t="s">
        <v>1276</v>
      </c>
      <c r="R364" s="3"/>
      <c r="S364" s="2" t="s">
        <v>30</v>
      </c>
    </row>
    <row r="365" customFormat="false" ht="15" hidden="false" customHeight="false" outlineLevel="0" collapsed="false">
      <c r="A365" s="0" t="n">
        <v>364</v>
      </c>
      <c r="D365" s="0" t="s">
        <v>1277</v>
      </c>
      <c r="E365" s="0" t="s">
        <v>20</v>
      </c>
      <c r="H365" s="0" t="s">
        <v>21</v>
      </c>
      <c r="I365" s="2" t="s">
        <v>22</v>
      </c>
      <c r="J365" s="2" t="s">
        <v>672</v>
      </c>
      <c r="K365" s="0" t="s">
        <v>673</v>
      </c>
      <c r="L365" s="0" t="s">
        <v>25</v>
      </c>
      <c r="M365" s="0" t="s">
        <v>674</v>
      </c>
      <c r="N365" s="0" t="s">
        <v>1278</v>
      </c>
      <c r="O365" s="0" t="n">
        <v>1</v>
      </c>
      <c r="P365" s="0" t="s">
        <v>95</v>
      </c>
      <c r="Q365" s="0" t="s">
        <v>1279</v>
      </c>
      <c r="R365" s="3"/>
      <c r="S365" s="2" t="s">
        <v>30</v>
      </c>
    </row>
    <row r="366" customFormat="false" ht="15" hidden="false" customHeight="false" outlineLevel="0" collapsed="false">
      <c r="A366" s="0" t="n">
        <v>365</v>
      </c>
      <c r="D366" s="0" t="s">
        <v>1280</v>
      </c>
      <c r="E366" s="0" t="s">
        <v>20</v>
      </c>
      <c r="H366" s="0" t="s">
        <v>21</v>
      </c>
      <c r="I366" s="2" t="s">
        <v>22</v>
      </c>
      <c r="J366" s="2" t="s">
        <v>672</v>
      </c>
      <c r="K366" s="0" t="s">
        <v>673</v>
      </c>
      <c r="L366" s="0" t="s">
        <v>25</v>
      </c>
      <c r="M366" s="0" t="s">
        <v>674</v>
      </c>
      <c r="N366" s="0" t="s">
        <v>1281</v>
      </c>
      <c r="O366" s="0" t="n">
        <v>1</v>
      </c>
      <c r="P366" s="0" t="s">
        <v>313</v>
      </c>
      <c r="Q366" s="0" t="s">
        <v>1282</v>
      </c>
      <c r="R366" s="3"/>
      <c r="S366" s="2" t="s">
        <v>30</v>
      </c>
    </row>
    <row r="367" customFormat="false" ht="15" hidden="false" customHeight="false" outlineLevel="0" collapsed="false">
      <c r="A367" s="0" t="n">
        <v>366</v>
      </c>
      <c r="D367" s="0" t="s">
        <v>1283</v>
      </c>
      <c r="E367" s="0" t="s">
        <v>20</v>
      </c>
      <c r="H367" s="0" t="s">
        <v>21</v>
      </c>
      <c r="I367" s="2" t="s">
        <v>22</v>
      </c>
      <c r="J367" s="2" t="s">
        <v>672</v>
      </c>
      <c r="K367" s="0" t="s">
        <v>673</v>
      </c>
      <c r="L367" s="0" t="s">
        <v>1284</v>
      </c>
      <c r="M367" s="0" t="s">
        <v>674</v>
      </c>
      <c r="N367" s="0" t="s">
        <v>1285</v>
      </c>
      <c r="O367" s="0" t="n">
        <v>1</v>
      </c>
      <c r="P367" s="0" t="s">
        <v>130</v>
      </c>
      <c r="Q367" s="0" t="s">
        <v>1286</v>
      </c>
      <c r="R367" s="3"/>
      <c r="S367" s="2" t="s">
        <v>1287</v>
      </c>
    </row>
    <row r="368" customFormat="false" ht="15" hidden="false" customHeight="false" outlineLevel="0" collapsed="false">
      <c r="A368" s="0" t="n">
        <v>367</v>
      </c>
      <c r="D368" s="0" t="s">
        <v>1288</v>
      </c>
      <c r="E368" s="0" t="s">
        <v>20</v>
      </c>
      <c r="H368" s="0" t="s">
        <v>21</v>
      </c>
      <c r="I368" s="2" t="s">
        <v>22</v>
      </c>
      <c r="J368" s="2" t="s">
        <v>672</v>
      </c>
      <c r="K368" s="0" t="s">
        <v>673</v>
      </c>
      <c r="L368" s="0" t="s">
        <v>25</v>
      </c>
      <c r="M368" s="0" t="s">
        <v>674</v>
      </c>
      <c r="N368" s="0" t="s">
        <v>1289</v>
      </c>
      <c r="O368" s="0" t="n">
        <v>1</v>
      </c>
      <c r="P368" s="0" t="s">
        <v>40</v>
      </c>
      <c r="Q368" s="0" t="s">
        <v>1290</v>
      </c>
      <c r="R368" s="3"/>
      <c r="S368" s="2" t="s">
        <v>30</v>
      </c>
    </row>
    <row r="369" customFormat="false" ht="15" hidden="false" customHeight="false" outlineLevel="0" collapsed="false">
      <c r="A369" s="0" t="n">
        <v>368</v>
      </c>
      <c r="D369" s="0" t="s">
        <v>1291</v>
      </c>
      <c r="E369" s="0" t="s">
        <v>20</v>
      </c>
      <c r="H369" s="0" t="s">
        <v>21</v>
      </c>
      <c r="I369" s="2" t="s">
        <v>22</v>
      </c>
      <c r="J369" s="2" t="s">
        <v>672</v>
      </c>
      <c r="K369" s="0" t="s">
        <v>673</v>
      </c>
      <c r="L369" s="0" t="s">
        <v>25</v>
      </c>
      <c r="M369" s="0" t="s">
        <v>674</v>
      </c>
      <c r="N369" s="0" t="s">
        <v>1292</v>
      </c>
      <c r="O369" s="0" t="n">
        <v>1</v>
      </c>
      <c r="P369" s="0" t="s">
        <v>297</v>
      </c>
      <c r="Q369" s="0" t="s">
        <v>1293</v>
      </c>
      <c r="R369" s="3"/>
      <c r="S369" s="2" t="s">
        <v>30</v>
      </c>
    </row>
    <row r="370" customFormat="false" ht="15" hidden="false" customHeight="false" outlineLevel="0" collapsed="false">
      <c r="A370" s="0" t="n">
        <v>369</v>
      </c>
      <c r="D370" s="0" t="s">
        <v>1294</v>
      </c>
      <c r="E370" s="0" t="s">
        <v>20</v>
      </c>
      <c r="H370" s="0" t="s">
        <v>21</v>
      </c>
      <c r="I370" s="2" t="s">
        <v>22</v>
      </c>
      <c r="J370" s="2" t="s">
        <v>672</v>
      </c>
      <c r="K370" s="0" t="s">
        <v>673</v>
      </c>
      <c r="L370" s="0" t="s">
        <v>25</v>
      </c>
      <c r="M370" s="0" t="s">
        <v>674</v>
      </c>
      <c r="N370" s="0" t="s">
        <v>1295</v>
      </c>
      <c r="O370" s="0" t="n">
        <v>1</v>
      </c>
      <c r="P370" s="0" t="s">
        <v>262</v>
      </c>
      <c r="Q370" s="0" t="s">
        <v>1296</v>
      </c>
      <c r="R370" s="3"/>
      <c r="S370" s="2" t="s">
        <v>30</v>
      </c>
    </row>
    <row r="371" customFormat="false" ht="15" hidden="false" customHeight="false" outlineLevel="0" collapsed="false">
      <c r="A371" s="0" t="n">
        <v>370</v>
      </c>
      <c r="D371" s="0" t="s">
        <v>1297</v>
      </c>
      <c r="E371" s="0" t="s">
        <v>181</v>
      </c>
      <c r="H371" s="0" t="s">
        <v>21</v>
      </c>
      <c r="I371" s="2" t="s">
        <v>22</v>
      </c>
      <c r="J371" s="2" t="s">
        <v>672</v>
      </c>
      <c r="K371" s="0" t="s">
        <v>673</v>
      </c>
      <c r="L371" s="0" t="s">
        <v>25</v>
      </c>
      <c r="M371" s="0" t="s">
        <v>674</v>
      </c>
      <c r="N371" s="0" t="s">
        <v>1298</v>
      </c>
      <c r="O371" s="0" t="n">
        <v>1</v>
      </c>
      <c r="P371" s="0" t="s">
        <v>103</v>
      </c>
      <c r="Q371" s="0" t="s">
        <v>1299</v>
      </c>
      <c r="R371" s="3"/>
      <c r="S371" s="2" t="s">
        <v>30</v>
      </c>
    </row>
    <row r="372" customFormat="false" ht="15" hidden="false" customHeight="false" outlineLevel="0" collapsed="false">
      <c r="A372" s="0" t="n">
        <v>371</v>
      </c>
      <c r="D372" s="0" t="s">
        <v>1300</v>
      </c>
      <c r="E372" s="0" t="s">
        <v>282</v>
      </c>
      <c r="H372" s="0" t="s">
        <v>21</v>
      </c>
      <c r="I372" s="2" t="s">
        <v>22</v>
      </c>
      <c r="J372" s="2" t="s">
        <v>672</v>
      </c>
      <c r="K372" s="0" t="s">
        <v>673</v>
      </c>
      <c r="L372" s="0" t="s">
        <v>25</v>
      </c>
      <c r="M372" s="0" t="s">
        <v>674</v>
      </c>
      <c r="N372" s="0" t="s">
        <v>1301</v>
      </c>
      <c r="O372" s="0" t="n">
        <v>1</v>
      </c>
      <c r="P372" s="0" t="s">
        <v>116</v>
      </c>
      <c r="Q372" s="0" t="s">
        <v>1302</v>
      </c>
      <c r="R372" s="3"/>
      <c r="S372" s="2" t="s">
        <v>30</v>
      </c>
    </row>
    <row r="373" customFormat="false" ht="15" hidden="false" customHeight="false" outlineLevel="0" collapsed="false">
      <c r="A373" s="0" t="n">
        <v>372</v>
      </c>
      <c r="D373" s="0" t="s">
        <v>1303</v>
      </c>
      <c r="E373" s="0" t="s">
        <v>20</v>
      </c>
      <c r="H373" s="0" t="s">
        <v>21</v>
      </c>
      <c r="I373" s="2" t="s">
        <v>22</v>
      </c>
      <c r="J373" s="2" t="s">
        <v>672</v>
      </c>
      <c r="K373" s="0" t="s">
        <v>673</v>
      </c>
      <c r="L373" s="0" t="s">
        <v>25</v>
      </c>
      <c r="M373" s="0" t="s">
        <v>674</v>
      </c>
      <c r="N373" s="0" t="s">
        <v>1304</v>
      </c>
      <c r="O373" s="0" t="n">
        <v>1</v>
      </c>
      <c r="P373" s="0" t="s">
        <v>57</v>
      </c>
      <c r="Q373" s="0" t="s">
        <v>1305</v>
      </c>
      <c r="R373" s="3"/>
      <c r="S373" s="2" t="s">
        <v>30</v>
      </c>
    </row>
    <row r="374" customFormat="false" ht="15" hidden="false" customHeight="false" outlineLevel="0" collapsed="false">
      <c r="A374" s="0" t="n">
        <v>373</v>
      </c>
      <c r="D374" s="0" t="s">
        <v>1306</v>
      </c>
      <c r="E374" s="0" t="s">
        <v>20</v>
      </c>
      <c r="H374" s="0" t="s">
        <v>21</v>
      </c>
      <c r="I374" s="2" t="s">
        <v>22</v>
      </c>
      <c r="J374" s="2" t="s">
        <v>672</v>
      </c>
      <c r="K374" s="0" t="s">
        <v>673</v>
      </c>
      <c r="L374" s="0" t="s">
        <v>25</v>
      </c>
      <c r="M374" s="0" t="s">
        <v>674</v>
      </c>
      <c r="N374" s="0" t="s">
        <v>1307</v>
      </c>
      <c r="O374" s="0" t="n">
        <v>1</v>
      </c>
      <c r="P374" s="0" t="s">
        <v>262</v>
      </c>
      <c r="Q374" s="0" t="s">
        <v>1308</v>
      </c>
      <c r="R374" s="3"/>
      <c r="S374" s="2" t="s">
        <v>30</v>
      </c>
    </row>
    <row r="375" customFormat="false" ht="15" hidden="false" customHeight="false" outlineLevel="0" collapsed="false">
      <c r="A375" s="0" t="n">
        <v>374</v>
      </c>
      <c r="D375" s="0" t="s">
        <v>1309</v>
      </c>
      <c r="E375" s="0" t="s">
        <v>20</v>
      </c>
      <c r="H375" s="0" t="s">
        <v>21</v>
      </c>
      <c r="I375" s="2" t="s">
        <v>22</v>
      </c>
      <c r="J375" s="2" t="s">
        <v>672</v>
      </c>
      <c r="K375" s="0" t="s">
        <v>673</v>
      </c>
      <c r="L375" s="0" t="s">
        <v>25</v>
      </c>
      <c r="M375" s="0" t="s">
        <v>674</v>
      </c>
      <c r="N375" s="0" t="s">
        <v>1310</v>
      </c>
      <c r="O375" s="0" t="n">
        <v>1</v>
      </c>
      <c r="P375" s="0" t="s">
        <v>95</v>
      </c>
      <c r="Q375" s="0" t="s">
        <v>1311</v>
      </c>
      <c r="R375" s="3"/>
      <c r="S375" s="2" t="s">
        <v>30</v>
      </c>
    </row>
    <row r="376" customFormat="false" ht="15" hidden="false" customHeight="false" outlineLevel="0" collapsed="false">
      <c r="A376" s="0" t="n">
        <v>375</v>
      </c>
      <c r="D376" s="0" t="s">
        <v>1312</v>
      </c>
      <c r="E376" s="0" t="s">
        <v>20</v>
      </c>
      <c r="H376" s="0" t="s">
        <v>21</v>
      </c>
      <c r="I376" s="2" t="s">
        <v>22</v>
      </c>
      <c r="J376" s="2" t="s">
        <v>672</v>
      </c>
      <c r="K376" s="0" t="s">
        <v>673</v>
      </c>
      <c r="L376" s="0" t="s">
        <v>25</v>
      </c>
      <c r="M376" s="0" t="s">
        <v>674</v>
      </c>
      <c r="N376" s="0" t="s">
        <v>1313</v>
      </c>
      <c r="O376" s="0" t="n">
        <v>1</v>
      </c>
      <c r="P376" s="0" t="s">
        <v>846</v>
      </c>
      <c r="Q376" s="0" t="s">
        <v>1314</v>
      </c>
      <c r="R376" s="3"/>
      <c r="S376" s="2" t="s">
        <v>30</v>
      </c>
    </row>
    <row r="377" customFormat="false" ht="15" hidden="false" customHeight="false" outlineLevel="0" collapsed="false">
      <c r="A377" s="0" t="n">
        <v>376</v>
      </c>
      <c r="D377" s="0" t="s">
        <v>1315</v>
      </c>
      <c r="E377" s="0" t="s">
        <v>20</v>
      </c>
      <c r="H377" s="0" t="s">
        <v>21</v>
      </c>
      <c r="I377" s="2" t="s">
        <v>22</v>
      </c>
      <c r="J377" s="2" t="s">
        <v>672</v>
      </c>
      <c r="K377" s="0" t="s">
        <v>673</v>
      </c>
      <c r="L377" s="0" t="s">
        <v>25</v>
      </c>
      <c r="M377" s="0" t="s">
        <v>674</v>
      </c>
      <c r="N377" s="0" t="s">
        <v>1316</v>
      </c>
      <c r="O377" s="0" t="n">
        <v>1</v>
      </c>
      <c r="P377" s="0" t="s">
        <v>617</v>
      </c>
      <c r="Q377" s="0" t="s">
        <v>1317</v>
      </c>
      <c r="R377" s="3"/>
      <c r="S377" s="2" t="s">
        <v>30</v>
      </c>
    </row>
    <row r="378" customFormat="false" ht="15" hidden="false" customHeight="false" outlineLevel="0" collapsed="false">
      <c r="A378" s="0" t="n">
        <v>377</v>
      </c>
      <c r="D378" s="0" t="s">
        <v>1318</v>
      </c>
      <c r="E378" s="0" t="s">
        <v>20</v>
      </c>
      <c r="H378" s="0" t="s">
        <v>21</v>
      </c>
      <c r="I378" s="2" t="s">
        <v>22</v>
      </c>
      <c r="J378" s="2" t="s">
        <v>672</v>
      </c>
      <c r="K378" s="0" t="s">
        <v>673</v>
      </c>
      <c r="L378" s="0" t="s">
        <v>25</v>
      </c>
      <c r="M378" s="0" t="s">
        <v>674</v>
      </c>
      <c r="N378" s="0" t="s">
        <v>1319</v>
      </c>
      <c r="O378" s="0" t="n">
        <v>1</v>
      </c>
      <c r="P378" s="0" t="s">
        <v>130</v>
      </c>
      <c r="Q378" s="0" t="s">
        <v>1320</v>
      </c>
      <c r="R378" s="3"/>
      <c r="S378" s="2" t="s">
        <v>30</v>
      </c>
    </row>
    <row r="379" customFormat="false" ht="15" hidden="false" customHeight="false" outlineLevel="0" collapsed="false">
      <c r="A379" s="0" t="n">
        <v>378</v>
      </c>
      <c r="D379" s="0" t="s">
        <v>1321</v>
      </c>
      <c r="E379" s="0" t="s">
        <v>20</v>
      </c>
      <c r="H379" s="0" t="s">
        <v>21</v>
      </c>
      <c r="I379" s="2" t="s">
        <v>22</v>
      </c>
      <c r="J379" s="2" t="s">
        <v>672</v>
      </c>
      <c r="K379" s="0" t="s">
        <v>673</v>
      </c>
      <c r="L379" s="0" t="s">
        <v>25</v>
      </c>
      <c r="M379" s="0" t="s">
        <v>674</v>
      </c>
      <c r="N379" s="0" t="s">
        <v>1322</v>
      </c>
      <c r="O379" s="0" t="n">
        <v>1</v>
      </c>
      <c r="P379" s="0" t="s">
        <v>262</v>
      </c>
      <c r="Q379" s="0" t="s">
        <v>1323</v>
      </c>
      <c r="R379" s="3"/>
      <c r="S379" s="2" t="s">
        <v>30</v>
      </c>
    </row>
    <row r="380" customFormat="false" ht="15" hidden="false" customHeight="false" outlineLevel="0" collapsed="false">
      <c r="A380" s="0" t="n">
        <v>379</v>
      </c>
      <c r="D380" s="0" t="s">
        <v>1324</v>
      </c>
      <c r="E380" s="0" t="s">
        <v>20</v>
      </c>
      <c r="H380" s="0" t="s">
        <v>21</v>
      </c>
      <c r="I380" s="2" t="s">
        <v>22</v>
      </c>
      <c r="J380" s="2" t="s">
        <v>672</v>
      </c>
      <c r="K380" s="0" t="s">
        <v>673</v>
      </c>
      <c r="L380" s="0" t="s">
        <v>25</v>
      </c>
      <c r="M380" s="0" t="s">
        <v>674</v>
      </c>
      <c r="N380" s="0" t="s">
        <v>1325</v>
      </c>
      <c r="O380" s="0" t="n">
        <v>1</v>
      </c>
      <c r="P380" s="0" t="s">
        <v>103</v>
      </c>
      <c r="Q380" s="0" t="s">
        <v>1326</v>
      </c>
      <c r="R380" s="3"/>
      <c r="S380" s="2" t="s">
        <v>30</v>
      </c>
    </row>
    <row r="381" customFormat="false" ht="15" hidden="false" customHeight="false" outlineLevel="0" collapsed="false">
      <c r="A381" s="0" t="n">
        <v>380</v>
      </c>
      <c r="D381" s="0" t="s">
        <v>1327</v>
      </c>
      <c r="E381" s="0" t="s">
        <v>1328</v>
      </c>
      <c r="H381" s="0" t="s">
        <v>21</v>
      </c>
      <c r="I381" s="2" t="s">
        <v>22</v>
      </c>
      <c r="J381" s="2" t="s">
        <v>672</v>
      </c>
      <c r="K381" s="0" t="s">
        <v>673</v>
      </c>
      <c r="L381" s="0" t="s">
        <v>25</v>
      </c>
      <c r="M381" s="0" t="s">
        <v>674</v>
      </c>
      <c r="N381" s="0" t="s">
        <v>1329</v>
      </c>
      <c r="O381" s="0" t="n">
        <v>1</v>
      </c>
      <c r="P381" s="0" t="s">
        <v>489</v>
      </c>
      <c r="Q381" s="0" t="s">
        <v>1330</v>
      </c>
      <c r="R381" s="3"/>
      <c r="S381" s="2" t="s">
        <v>30</v>
      </c>
    </row>
    <row r="382" customFormat="false" ht="15" hidden="false" customHeight="false" outlineLevel="0" collapsed="false">
      <c r="A382" s="0" t="n">
        <v>381</v>
      </c>
      <c r="D382" s="0" t="s">
        <v>1331</v>
      </c>
      <c r="E382" s="0" t="s">
        <v>181</v>
      </c>
      <c r="H382" s="0" t="s">
        <v>21</v>
      </c>
      <c r="I382" s="2" t="s">
        <v>22</v>
      </c>
      <c r="J382" s="2" t="s">
        <v>672</v>
      </c>
      <c r="K382" s="0" t="s">
        <v>673</v>
      </c>
      <c r="L382" s="0" t="s">
        <v>25</v>
      </c>
      <c r="M382" s="0" t="s">
        <v>674</v>
      </c>
      <c r="N382" s="0" t="s">
        <v>1332</v>
      </c>
      <c r="O382" s="0" t="n">
        <v>1</v>
      </c>
      <c r="P382" s="0" t="s">
        <v>1067</v>
      </c>
      <c r="R382" s="3"/>
      <c r="S382" s="2" t="s">
        <v>30</v>
      </c>
    </row>
    <row r="383" customFormat="false" ht="15" hidden="false" customHeight="false" outlineLevel="0" collapsed="false">
      <c r="A383" s="0" t="n">
        <v>382</v>
      </c>
      <c r="D383" s="0" t="s">
        <v>1333</v>
      </c>
      <c r="E383" s="0" t="s">
        <v>20</v>
      </c>
      <c r="H383" s="0" t="s">
        <v>21</v>
      </c>
      <c r="I383" s="2" t="s">
        <v>22</v>
      </c>
      <c r="J383" s="2" t="s">
        <v>672</v>
      </c>
      <c r="K383" s="0" t="s">
        <v>673</v>
      </c>
      <c r="L383" s="0" t="s">
        <v>25</v>
      </c>
      <c r="M383" s="0" t="s">
        <v>674</v>
      </c>
      <c r="N383" s="0" t="s">
        <v>1334</v>
      </c>
      <c r="O383" s="0" t="n">
        <v>1</v>
      </c>
      <c r="P383" s="0" t="s">
        <v>479</v>
      </c>
      <c r="Q383" s="0" t="s">
        <v>1335</v>
      </c>
      <c r="R383" s="3"/>
      <c r="S383" s="2" t="s">
        <v>30</v>
      </c>
    </row>
    <row r="384" customFormat="false" ht="15" hidden="false" customHeight="false" outlineLevel="0" collapsed="false">
      <c r="A384" s="0" t="n">
        <v>383</v>
      </c>
      <c r="D384" s="0" t="s">
        <v>1336</v>
      </c>
      <c r="E384" s="0" t="s">
        <v>20</v>
      </c>
      <c r="H384" s="0" t="s">
        <v>21</v>
      </c>
      <c r="I384" s="2" t="s">
        <v>22</v>
      </c>
      <c r="J384" s="2" t="s">
        <v>672</v>
      </c>
      <c r="K384" s="0" t="s">
        <v>673</v>
      </c>
      <c r="L384" s="0" t="s">
        <v>25</v>
      </c>
      <c r="M384" s="0" t="s">
        <v>674</v>
      </c>
      <c r="N384" s="0" t="s">
        <v>1337</v>
      </c>
      <c r="O384" s="0" t="n">
        <v>1</v>
      </c>
      <c r="P384" s="0" t="s">
        <v>130</v>
      </c>
      <c r="Q384" s="0" t="s">
        <v>1338</v>
      </c>
      <c r="R384" s="3"/>
      <c r="S384" s="2" t="s">
        <v>30</v>
      </c>
    </row>
    <row r="385" customFormat="false" ht="15" hidden="false" customHeight="false" outlineLevel="0" collapsed="false">
      <c r="A385" s="0" t="n">
        <v>384</v>
      </c>
      <c r="D385" s="0" t="s">
        <v>1339</v>
      </c>
      <c r="E385" s="0" t="s">
        <v>286</v>
      </c>
      <c r="H385" s="0" t="s">
        <v>21</v>
      </c>
      <c r="I385" s="2" t="s">
        <v>22</v>
      </c>
      <c r="J385" s="2" t="s">
        <v>672</v>
      </c>
      <c r="K385" s="0" t="s">
        <v>673</v>
      </c>
      <c r="L385" s="0" t="s">
        <v>25</v>
      </c>
      <c r="M385" s="0" t="s">
        <v>674</v>
      </c>
      <c r="N385" s="0" t="s">
        <v>1340</v>
      </c>
      <c r="O385" s="0" t="n">
        <v>1</v>
      </c>
      <c r="P385" s="0" t="s">
        <v>421</v>
      </c>
      <c r="Q385" s="0" t="s">
        <v>1341</v>
      </c>
      <c r="R385" s="3"/>
      <c r="S385" s="2" t="s">
        <v>30</v>
      </c>
    </row>
    <row r="386" customFormat="false" ht="15" hidden="false" customHeight="false" outlineLevel="0" collapsed="false">
      <c r="A386" s="0" t="n">
        <v>385</v>
      </c>
      <c r="D386" s="0" t="s">
        <v>1342</v>
      </c>
      <c r="E386" s="0" t="s">
        <v>20</v>
      </c>
      <c r="H386" s="0" t="s">
        <v>21</v>
      </c>
      <c r="I386" s="2" t="s">
        <v>22</v>
      </c>
      <c r="J386" s="2" t="s">
        <v>672</v>
      </c>
      <c r="K386" s="0" t="s">
        <v>673</v>
      </c>
      <c r="L386" s="0" t="s">
        <v>25</v>
      </c>
      <c r="M386" s="0" t="s">
        <v>674</v>
      </c>
      <c r="N386" s="0" t="s">
        <v>1343</v>
      </c>
      <c r="O386" s="0" t="n">
        <v>1</v>
      </c>
      <c r="P386" s="0" t="s">
        <v>53</v>
      </c>
      <c r="Q386" s="0" t="s">
        <v>1344</v>
      </c>
      <c r="R386" s="3"/>
      <c r="S386" s="2" t="s">
        <v>30</v>
      </c>
    </row>
    <row r="387" customFormat="false" ht="15" hidden="false" customHeight="false" outlineLevel="0" collapsed="false">
      <c r="A387" s="0" t="n">
        <v>386</v>
      </c>
      <c r="D387" s="0" t="s">
        <v>1345</v>
      </c>
      <c r="E387" s="0" t="s">
        <v>20</v>
      </c>
      <c r="H387" s="0" t="s">
        <v>21</v>
      </c>
      <c r="I387" s="2" t="s">
        <v>22</v>
      </c>
      <c r="J387" s="2" t="s">
        <v>672</v>
      </c>
      <c r="K387" s="0" t="s">
        <v>673</v>
      </c>
      <c r="L387" s="0" t="s">
        <v>25</v>
      </c>
      <c r="M387" s="0" t="s">
        <v>674</v>
      </c>
      <c r="N387" s="0" t="s">
        <v>1346</v>
      </c>
      <c r="O387" s="0" t="n">
        <v>1</v>
      </c>
      <c r="P387" s="0" t="s">
        <v>479</v>
      </c>
      <c r="Q387" s="0" t="s">
        <v>1347</v>
      </c>
      <c r="R387" s="3"/>
      <c r="S387" s="2" t="s">
        <v>30</v>
      </c>
    </row>
    <row r="388" customFormat="false" ht="15" hidden="false" customHeight="false" outlineLevel="0" collapsed="false">
      <c r="A388" s="0" t="n">
        <v>387</v>
      </c>
      <c r="D388" s="0" t="s">
        <v>1348</v>
      </c>
      <c r="E388" s="0" t="s">
        <v>20</v>
      </c>
      <c r="H388" s="0" t="s">
        <v>21</v>
      </c>
      <c r="I388" s="2" t="s">
        <v>22</v>
      </c>
      <c r="J388" s="2" t="s">
        <v>672</v>
      </c>
      <c r="K388" s="0" t="s">
        <v>673</v>
      </c>
      <c r="L388" s="0" t="s">
        <v>25</v>
      </c>
      <c r="M388" s="0" t="s">
        <v>674</v>
      </c>
      <c r="N388" s="0" t="s">
        <v>1349</v>
      </c>
      <c r="O388" s="0" t="n">
        <v>1</v>
      </c>
      <c r="P388" s="0" t="s">
        <v>313</v>
      </c>
      <c r="Q388" s="0" t="s">
        <v>1350</v>
      </c>
      <c r="R388" s="3"/>
      <c r="S388" s="2" t="s">
        <v>30</v>
      </c>
    </row>
    <row r="389" customFormat="false" ht="15" hidden="false" customHeight="false" outlineLevel="0" collapsed="false">
      <c r="A389" s="0" t="n">
        <v>388</v>
      </c>
      <c r="D389" s="0" t="s">
        <v>1351</v>
      </c>
      <c r="E389" s="0" t="s">
        <v>203</v>
      </c>
      <c r="H389" s="0" t="s">
        <v>21</v>
      </c>
      <c r="I389" s="2" t="s">
        <v>22</v>
      </c>
      <c r="J389" s="2" t="s">
        <v>672</v>
      </c>
      <c r="K389" s="0" t="s">
        <v>673</v>
      </c>
      <c r="L389" s="0" t="s">
        <v>25</v>
      </c>
      <c r="M389" s="0" t="s">
        <v>674</v>
      </c>
      <c r="N389" s="0" t="s">
        <v>1352</v>
      </c>
      <c r="O389" s="0" t="n">
        <v>1</v>
      </c>
      <c r="P389" s="0" t="s">
        <v>95</v>
      </c>
      <c r="Q389" s="0" t="s">
        <v>1353</v>
      </c>
      <c r="R389" s="3"/>
      <c r="S389" s="2" t="s">
        <v>30</v>
      </c>
    </row>
    <row r="390" customFormat="false" ht="15" hidden="false" customHeight="false" outlineLevel="0" collapsed="false">
      <c r="A390" s="0" t="n">
        <v>389</v>
      </c>
      <c r="D390" s="0" t="s">
        <v>1354</v>
      </c>
      <c r="E390" s="0" t="s">
        <v>20</v>
      </c>
      <c r="H390" s="0" t="s">
        <v>21</v>
      </c>
      <c r="I390" s="2" t="s">
        <v>22</v>
      </c>
      <c r="J390" s="2" t="s">
        <v>672</v>
      </c>
      <c r="K390" s="0" t="s">
        <v>673</v>
      </c>
      <c r="L390" s="0" t="s">
        <v>25</v>
      </c>
      <c r="M390" s="0" t="s">
        <v>674</v>
      </c>
      <c r="N390" s="0" t="s">
        <v>1355</v>
      </c>
      <c r="O390" s="0" t="n">
        <v>1</v>
      </c>
      <c r="P390" s="0" t="s">
        <v>276</v>
      </c>
      <c r="Q390" s="0" t="s">
        <v>1356</v>
      </c>
      <c r="R390" s="3"/>
      <c r="S390" s="2" t="s">
        <v>30</v>
      </c>
    </row>
    <row r="391" customFormat="false" ht="15" hidden="false" customHeight="false" outlineLevel="0" collapsed="false">
      <c r="A391" s="0" t="n">
        <v>390</v>
      </c>
      <c r="D391" s="0" t="s">
        <v>1357</v>
      </c>
      <c r="E391" s="0" t="s">
        <v>20</v>
      </c>
      <c r="H391" s="0" t="s">
        <v>21</v>
      </c>
      <c r="I391" s="2" t="s">
        <v>22</v>
      </c>
      <c r="J391" s="2" t="s">
        <v>672</v>
      </c>
      <c r="K391" s="0" t="s">
        <v>673</v>
      </c>
      <c r="L391" s="0" t="s">
        <v>25</v>
      </c>
      <c r="M391" s="0" t="s">
        <v>674</v>
      </c>
      <c r="N391" s="0" t="s">
        <v>1358</v>
      </c>
      <c r="O391" s="0" t="n">
        <v>1</v>
      </c>
      <c r="P391" s="0" t="s">
        <v>617</v>
      </c>
      <c r="Q391" s="0" t="s">
        <v>1359</v>
      </c>
      <c r="R391" s="3"/>
      <c r="S391" s="2" t="s">
        <v>30</v>
      </c>
    </row>
    <row r="392" customFormat="false" ht="15" hidden="false" customHeight="false" outlineLevel="0" collapsed="false">
      <c r="A392" s="0" t="n">
        <v>391</v>
      </c>
      <c r="D392" s="0" t="s">
        <v>1360</v>
      </c>
      <c r="E392" s="0" t="s">
        <v>20</v>
      </c>
      <c r="H392" s="0" t="s">
        <v>21</v>
      </c>
      <c r="I392" s="2" t="s">
        <v>22</v>
      </c>
      <c r="J392" s="2" t="s">
        <v>672</v>
      </c>
      <c r="K392" s="0" t="s">
        <v>673</v>
      </c>
      <c r="L392" s="0" t="s">
        <v>25</v>
      </c>
      <c r="M392" s="0" t="s">
        <v>674</v>
      </c>
      <c r="N392" s="0" t="s">
        <v>1361</v>
      </c>
      <c r="O392" s="0" t="n">
        <v>1</v>
      </c>
      <c r="P392" s="0" t="s">
        <v>61</v>
      </c>
      <c r="Q392" s="0" t="s">
        <v>1362</v>
      </c>
      <c r="R392" s="3"/>
      <c r="S392" s="2" t="s">
        <v>30</v>
      </c>
    </row>
    <row r="393" customFormat="false" ht="15" hidden="false" customHeight="false" outlineLevel="0" collapsed="false">
      <c r="A393" s="0" t="n">
        <v>392</v>
      </c>
      <c r="D393" s="0" t="s">
        <v>1363</v>
      </c>
      <c r="E393" s="0" t="s">
        <v>20</v>
      </c>
      <c r="H393" s="0" t="s">
        <v>21</v>
      </c>
      <c r="I393" s="2" t="s">
        <v>22</v>
      </c>
      <c r="J393" s="2" t="s">
        <v>672</v>
      </c>
      <c r="K393" s="0" t="s">
        <v>673</v>
      </c>
      <c r="L393" s="0" t="s">
        <v>25</v>
      </c>
      <c r="M393" s="0" t="s">
        <v>674</v>
      </c>
      <c r="N393" s="0" t="s">
        <v>1364</v>
      </c>
      <c r="O393" s="0" t="n">
        <v>1</v>
      </c>
      <c r="P393" s="0" t="s">
        <v>262</v>
      </c>
      <c r="Q393" s="0" t="s">
        <v>1365</v>
      </c>
      <c r="R393" s="3"/>
      <c r="S393" s="2" t="s">
        <v>30</v>
      </c>
    </row>
    <row r="394" customFormat="false" ht="15" hidden="false" customHeight="false" outlineLevel="0" collapsed="false">
      <c r="A394" s="0" t="n">
        <v>393</v>
      </c>
      <c r="D394" s="0" t="s">
        <v>1366</v>
      </c>
      <c r="E394" s="0" t="s">
        <v>1367</v>
      </c>
      <c r="H394" s="0" t="s">
        <v>21</v>
      </c>
      <c r="I394" s="2" t="s">
        <v>22</v>
      </c>
      <c r="J394" s="2" t="s">
        <v>672</v>
      </c>
      <c r="K394" s="0" t="s">
        <v>673</v>
      </c>
      <c r="L394" s="0" t="s">
        <v>25</v>
      </c>
      <c r="M394" s="0" t="s">
        <v>674</v>
      </c>
      <c r="N394" s="0" t="s">
        <v>1368</v>
      </c>
      <c r="O394" s="0" t="n">
        <v>1</v>
      </c>
      <c r="P394" s="0" t="s">
        <v>95</v>
      </c>
      <c r="Q394" s="0" t="s">
        <v>1369</v>
      </c>
      <c r="R394" s="3"/>
      <c r="S394" s="2" t="s">
        <v>30</v>
      </c>
    </row>
    <row r="395" customFormat="false" ht="15" hidden="false" customHeight="false" outlineLevel="0" collapsed="false">
      <c r="A395" s="0" t="n">
        <v>394</v>
      </c>
      <c r="D395" s="0" t="s">
        <v>1370</v>
      </c>
      <c r="E395" s="0" t="s">
        <v>20</v>
      </c>
      <c r="H395" s="0" t="s">
        <v>21</v>
      </c>
      <c r="I395" s="2" t="s">
        <v>22</v>
      </c>
      <c r="J395" s="2" t="s">
        <v>672</v>
      </c>
      <c r="K395" s="0" t="s">
        <v>673</v>
      </c>
      <c r="L395" s="0" t="s">
        <v>25</v>
      </c>
      <c r="M395" s="0" t="s">
        <v>674</v>
      </c>
      <c r="N395" s="0" t="s">
        <v>1371</v>
      </c>
      <c r="O395" s="0" t="n">
        <v>1</v>
      </c>
      <c r="P395" s="0" t="s">
        <v>95</v>
      </c>
      <c r="Q395" s="0" t="s">
        <v>1372</v>
      </c>
      <c r="R395" s="3"/>
      <c r="S395" s="2" t="s">
        <v>30</v>
      </c>
    </row>
    <row r="396" customFormat="false" ht="15" hidden="false" customHeight="false" outlineLevel="0" collapsed="false">
      <c r="A396" s="0" t="n">
        <v>395</v>
      </c>
      <c r="D396" s="0" t="s">
        <v>1373</v>
      </c>
      <c r="E396" s="0" t="s">
        <v>20</v>
      </c>
      <c r="H396" s="0" t="s">
        <v>21</v>
      </c>
      <c r="I396" s="2" t="s">
        <v>22</v>
      </c>
      <c r="J396" s="2" t="s">
        <v>672</v>
      </c>
      <c r="K396" s="0" t="s">
        <v>673</v>
      </c>
      <c r="L396" s="0" t="s">
        <v>25</v>
      </c>
      <c r="M396" s="0" t="s">
        <v>674</v>
      </c>
      <c r="N396" s="0" t="s">
        <v>1374</v>
      </c>
      <c r="O396" s="0" t="n">
        <v>1</v>
      </c>
      <c r="P396" s="0" t="s">
        <v>479</v>
      </c>
      <c r="Q396" s="0" t="s">
        <v>1375</v>
      </c>
      <c r="R396" s="3"/>
      <c r="S396" s="2" t="s">
        <v>30</v>
      </c>
    </row>
    <row r="397" customFormat="false" ht="15" hidden="false" customHeight="false" outlineLevel="0" collapsed="false">
      <c r="A397" s="0" t="n">
        <v>396</v>
      </c>
      <c r="D397" s="0" t="s">
        <v>1376</v>
      </c>
      <c r="E397" s="0" t="s">
        <v>20</v>
      </c>
      <c r="H397" s="0" t="s">
        <v>21</v>
      </c>
      <c r="I397" s="2" t="s">
        <v>22</v>
      </c>
      <c r="J397" s="2" t="s">
        <v>672</v>
      </c>
      <c r="K397" s="0" t="s">
        <v>673</v>
      </c>
      <c r="L397" s="0" t="s">
        <v>25</v>
      </c>
      <c r="M397" s="0" t="s">
        <v>674</v>
      </c>
      <c r="N397" s="0" t="s">
        <v>1377</v>
      </c>
      <c r="O397" s="0" t="n">
        <v>1</v>
      </c>
      <c r="P397" s="0" t="s">
        <v>347</v>
      </c>
      <c r="Q397" s="0" t="s">
        <v>1378</v>
      </c>
      <c r="R397" s="3"/>
      <c r="S397" s="2" t="s">
        <v>30</v>
      </c>
    </row>
    <row r="398" customFormat="false" ht="15" hidden="false" customHeight="false" outlineLevel="0" collapsed="false">
      <c r="A398" s="0" t="n">
        <v>397</v>
      </c>
      <c r="D398" s="0" t="s">
        <v>1379</v>
      </c>
      <c r="E398" s="0" t="s">
        <v>282</v>
      </c>
      <c r="H398" s="0" t="s">
        <v>21</v>
      </c>
      <c r="I398" s="2" t="s">
        <v>22</v>
      </c>
      <c r="J398" s="2" t="s">
        <v>672</v>
      </c>
      <c r="K398" s="0" t="s">
        <v>673</v>
      </c>
      <c r="L398" s="0" t="s">
        <v>25</v>
      </c>
      <c r="M398" s="0" t="s">
        <v>674</v>
      </c>
      <c r="N398" s="0" t="s">
        <v>1380</v>
      </c>
      <c r="O398" s="0" t="n">
        <v>1</v>
      </c>
      <c r="P398" s="0" t="s">
        <v>262</v>
      </c>
      <c r="Q398" s="0" t="s">
        <v>1381</v>
      </c>
      <c r="R398" s="3"/>
      <c r="S398" s="2" t="s">
        <v>30</v>
      </c>
    </row>
    <row r="399" customFormat="false" ht="15" hidden="false" customHeight="false" outlineLevel="0" collapsed="false">
      <c r="A399" s="0" t="n">
        <v>398</v>
      </c>
      <c r="D399" s="0" t="s">
        <v>1382</v>
      </c>
      <c r="E399" s="0" t="s">
        <v>20</v>
      </c>
      <c r="H399" s="0" t="s">
        <v>21</v>
      </c>
      <c r="I399" s="2" t="s">
        <v>22</v>
      </c>
      <c r="J399" s="2" t="s">
        <v>672</v>
      </c>
      <c r="K399" s="0" t="s">
        <v>673</v>
      </c>
      <c r="L399" s="0" t="s">
        <v>25</v>
      </c>
      <c r="M399" s="0" t="s">
        <v>674</v>
      </c>
      <c r="N399" s="0" t="s">
        <v>1383</v>
      </c>
      <c r="O399" s="0" t="n">
        <v>1</v>
      </c>
      <c r="P399" s="0" t="s">
        <v>479</v>
      </c>
      <c r="Q399" s="0" t="s">
        <v>1384</v>
      </c>
      <c r="R399" s="3"/>
      <c r="S399" s="2" t="s">
        <v>30</v>
      </c>
    </row>
    <row r="400" customFormat="false" ht="15" hidden="false" customHeight="false" outlineLevel="0" collapsed="false">
      <c r="A400" s="0" t="n">
        <v>399</v>
      </c>
      <c r="D400" s="0" t="s">
        <v>1385</v>
      </c>
      <c r="E400" s="0" t="s">
        <v>20</v>
      </c>
      <c r="H400" s="0" t="s">
        <v>21</v>
      </c>
      <c r="I400" s="2" t="s">
        <v>22</v>
      </c>
      <c r="J400" s="2" t="s">
        <v>672</v>
      </c>
      <c r="K400" s="0" t="s">
        <v>673</v>
      </c>
      <c r="L400" s="0" t="s">
        <v>25</v>
      </c>
      <c r="M400" s="0" t="s">
        <v>674</v>
      </c>
      <c r="N400" s="0" t="s">
        <v>1386</v>
      </c>
      <c r="O400" s="0" t="n">
        <v>1</v>
      </c>
      <c r="P400" s="0" t="s">
        <v>479</v>
      </c>
      <c r="Q400" s="0" t="s">
        <v>1387</v>
      </c>
      <c r="R400" s="3"/>
      <c r="S400" s="2" t="s">
        <v>30</v>
      </c>
    </row>
    <row r="401" customFormat="false" ht="15" hidden="false" customHeight="false" outlineLevel="0" collapsed="false">
      <c r="A401" s="0" t="n">
        <v>400</v>
      </c>
      <c r="D401" s="0" t="s">
        <v>1388</v>
      </c>
      <c r="E401" s="0" t="s">
        <v>20</v>
      </c>
      <c r="H401" s="0" t="s">
        <v>21</v>
      </c>
      <c r="I401" s="2" t="s">
        <v>22</v>
      </c>
      <c r="J401" s="2" t="s">
        <v>672</v>
      </c>
      <c r="K401" s="0" t="s">
        <v>673</v>
      </c>
      <c r="L401" s="0" t="s">
        <v>25</v>
      </c>
      <c r="M401" s="0" t="s">
        <v>674</v>
      </c>
      <c r="N401" s="0" t="s">
        <v>1389</v>
      </c>
      <c r="O401" s="0" t="n">
        <v>1</v>
      </c>
      <c r="P401" s="0" t="s">
        <v>421</v>
      </c>
      <c r="Q401" s="0" t="s">
        <v>1390</v>
      </c>
      <c r="R401" s="3"/>
      <c r="S401" s="2" t="s">
        <v>30</v>
      </c>
    </row>
    <row r="402" customFormat="false" ht="15" hidden="false" customHeight="false" outlineLevel="0" collapsed="false">
      <c r="A402" s="0" t="n">
        <v>401</v>
      </c>
      <c r="D402" s="0" t="s">
        <v>1391</v>
      </c>
      <c r="E402" s="0" t="s">
        <v>20</v>
      </c>
      <c r="H402" s="0" t="s">
        <v>21</v>
      </c>
      <c r="I402" s="2" t="s">
        <v>22</v>
      </c>
      <c r="J402" s="2" t="s">
        <v>672</v>
      </c>
      <c r="K402" s="0" t="s">
        <v>673</v>
      </c>
      <c r="L402" s="0" t="s">
        <v>25</v>
      </c>
      <c r="M402" s="0" t="s">
        <v>674</v>
      </c>
      <c r="N402" s="0" t="s">
        <v>1386</v>
      </c>
      <c r="O402" s="0" t="n">
        <v>1</v>
      </c>
      <c r="P402" s="0" t="s">
        <v>479</v>
      </c>
      <c r="Q402" s="0" t="s">
        <v>1387</v>
      </c>
      <c r="R402" s="3"/>
      <c r="S402" s="2" t="s">
        <v>30</v>
      </c>
    </row>
    <row r="403" customFormat="false" ht="15" hidden="false" customHeight="false" outlineLevel="0" collapsed="false">
      <c r="A403" s="0" t="n">
        <v>402</v>
      </c>
      <c r="D403" s="0" t="s">
        <v>1392</v>
      </c>
      <c r="E403" s="0" t="s">
        <v>20</v>
      </c>
      <c r="H403" s="0" t="s">
        <v>21</v>
      </c>
      <c r="I403" s="2" t="s">
        <v>22</v>
      </c>
      <c r="J403" s="2" t="s">
        <v>672</v>
      </c>
      <c r="K403" s="0" t="s">
        <v>673</v>
      </c>
      <c r="L403" s="0" t="s">
        <v>25</v>
      </c>
      <c r="M403" s="0" t="s">
        <v>674</v>
      </c>
      <c r="N403" s="0" t="s">
        <v>1393</v>
      </c>
      <c r="O403" s="0" t="n">
        <v>1</v>
      </c>
      <c r="P403" s="0" t="s">
        <v>479</v>
      </c>
      <c r="Q403" s="0" t="s">
        <v>1394</v>
      </c>
      <c r="R403" s="3"/>
      <c r="S403" s="2" t="s">
        <v>30</v>
      </c>
    </row>
    <row r="404" customFormat="false" ht="15" hidden="false" customHeight="false" outlineLevel="0" collapsed="false">
      <c r="A404" s="0" t="n">
        <v>403</v>
      </c>
      <c r="D404" s="0" t="s">
        <v>1395</v>
      </c>
      <c r="E404" s="0" t="s">
        <v>20</v>
      </c>
      <c r="H404" s="0" t="s">
        <v>21</v>
      </c>
      <c r="I404" s="2" t="s">
        <v>22</v>
      </c>
      <c r="J404" s="2" t="s">
        <v>672</v>
      </c>
      <c r="K404" s="0" t="s">
        <v>673</v>
      </c>
      <c r="L404" s="0" t="s">
        <v>25</v>
      </c>
      <c r="M404" s="0" t="s">
        <v>674</v>
      </c>
      <c r="N404" s="0" t="s">
        <v>1396</v>
      </c>
      <c r="O404" s="0" t="n">
        <v>1</v>
      </c>
      <c r="P404" s="0" t="s">
        <v>40</v>
      </c>
      <c r="Q404" s="0" t="s">
        <v>1397</v>
      </c>
      <c r="R404" s="3"/>
      <c r="S404" s="2" t="s">
        <v>30</v>
      </c>
    </row>
    <row r="405" customFormat="false" ht="15" hidden="false" customHeight="false" outlineLevel="0" collapsed="false">
      <c r="A405" s="0" t="n">
        <v>404</v>
      </c>
      <c r="D405" s="0" t="s">
        <v>1398</v>
      </c>
      <c r="E405" s="0" t="s">
        <v>1148</v>
      </c>
      <c r="H405" s="0" t="s">
        <v>21</v>
      </c>
      <c r="I405" s="2" t="s">
        <v>22</v>
      </c>
      <c r="J405" s="2" t="s">
        <v>672</v>
      </c>
      <c r="K405" s="0" t="s">
        <v>673</v>
      </c>
      <c r="L405" s="0" t="s">
        <v>25</v>
      </c>
      <c r="M405" s="0" t="s">
        <v>674</v>
      </c>
      <c r="N405" s="0" t="s">
        <v>1399</v>
      </c>
      <c r="O405" s="0" t="n">
        <v>1</v>
      </c>
      <c r="P405" s="0" t="s">
        <v>507</v>
      </c>
      <c r="Q405" s="0" t="s">
        <v>1400</v>
      </c>
      <c r="R405" s="3"/>
      <c r="S405" s="2" t="s">
        <v>30</v>
      </c>
    </row>
    <row r="406" customFormat="false" ht="15" hidden="false" customHeight="false" outlineLevel="0" collapsed="false">
      <c r="A406" s="0" t="n">
        <v>405</v>
      </c>
      <c r="D406" s="0" t="s">
        <v>1401</v>
      </c>
      <c r="E406" s="0" t="s">
        <v>20</v>
      </c>
      <c r="H406" s="0" t="s">
        <v>21</v>
      </c>
      <c r="I406" s="2" t="s">
        <v>22</v>
      </c>
      <c r="J406" s="2" t="s">
        <v>672</v>
      </c>
      <c r="K406" s="0" t="s">
        <v>673</v>
      </c>
      <c r="L406" s="0" t="s">
        <v>25</v>
      </c>
      <c r="M406" s="0" t="s">
        <v>674</v>
      </c>
      <c r="N406" s="0" t="s">
        <v>1402</v>
      </c>
      <c r="O406" s="0" t="n">
        <v>1</v>
      </c>
      <c r="P406" s="0" t="s">
        <v>432</v>
      </c>
      <c r="Q406" s="0" t="s">
        <v>1403</v>
      </c>
      <c r="R406" s="3"/>
      <c r="S406" s="2" t="s">
        <v>30</v>
      </c>
    </row>
    <row r="407" customFormat="false" ht="15" hidden="false" customHeight="false" outlineLevel="0" collapsed="false">
      <c r="A407" s="0" t="n">
        <v>406</v>
      </c>
      <c r="D407" s="0" t="s">
        <v>1404</v>
      </c>
      <c r="E407" s="0" t="s">
        <v>268</v>
      </c>
      <c r="H407" s="0" t="s">
        <v>21</v>
      </c>
      <c r="I407" s="2" t="s">
        <v>22</v>
      </c>
      <c r="J407" s="2" t="s">
        <v>672</v>
      </c>
      <c r="K407" s="0" t="s">
        <v>673</v>
      </c>
      <c r="L407" s="0" t="s">
        <v>25</v>
      </c>
      <c r="M407" s="0" t="s">
        <v>674</v>
      </c>
      <c r="N407" s="0" t="s">
        <v>1405</v>
      </c>
      <c r="O407" s="0" t="n">
        <v>1</v>
      </c>
      <c r="P407" s="0" t="s">
        <v>40</v>
      </c>
      <c r="Q407" s="0" t="s">
        <v>1406</v>
      </c>
      <c r="R407" s="3"/>
      <c r="S407" s="2" t="s">
        <v>30</v>
      </c>
    </row>
    <row r="408" customFormat="false" ht="15" hidden="false" customHeight="false" outlineLevel="0" collapsed="false">
      <c r="A408" s="0" t="n">
        <v>407</v>
      </c>
      <c r="D408" s="0" t="s">
        <v>1407</v>
      </c>
      <c r="E408" s="0" t="s">
        <v>20</v>
      </c>
      <c r="H408" s="0" t="s">
        <v>21</v>
      </c>
      <c r="I408" s="2" t="s">
        <v>22</v>
      </c>
      <c r="J408" s="2" t="s">
        <v>672</v>
      </c>
      <c r="K408" s="0" t="s">
        <v>673</v>
      </c>
      <c r="L408" s="0" t="s">
        <v>1408</v>
      </c>
      <c r="M408" s="0" t="s">
        <v>674</v>
      </c>
      <c r="N408" s="0" t="s">
        <v>1409</v>
      </c>
      <c r="O408" s="0" t="n">
        <v>1</v>
      </c>
      <c r="P408" s="0" t="s">
        <v>507</v>
      </c>
      <c r="Q408" s="0" t="s">
        <v>1410</v>
      </c>
      <c r="R408" s="3"/>
      <c r="S408" s="2" t="s">
        <v>1411</v>
      </c>
    </row>
    <row r="409" customFormat="false" ht="15" hidden="false" customHeight="false" outlineLevel="0" collapsed="false">
      <c r="A409" s="0" t="n">
        <v>408</v>
      </c>
      <c r="D409" s="0" t="s">
        <v>1412</v>
      </c>
      <c r="E409" s="0" t="s">
        <v>20</v>
      </c>
      <c r="H409" s="0" t="s">
        <v>21</v>
      </c>
      <c r="I409" s="2" t="s">
        <v>22</v>
      </c>
      <c r="J409" s="2" t="s">
        <v>672</v>
      </c>
      <c r="K409" s="0" t="s">
        <v>673</v>
      </c>
      <c r="L409" s="0" t="s">
        <v>25</v>
      </c>
      <c r="M409" s="0" t="s">
        <v>674</v>
      </c>
      <c r="N409" s="0" t="s">
        <v>1413</v>
      </c>
      <c r="O409" s="0" t="n">
        <v>1</v>
      </c>
      <c r="P409" s="0" t="s">
        <v>479</v>
      </c>
      <c r="Q409" s="0" t="s">
        <v>1414</v>
      </c>
      <c r="R409" s="3"/>
      <c r="S409" s="2" t="s">
        <v>30</v>
      </c>
    </row>
    <row r="410" customFormat="false" ht="15" hidden="false" customHeight="false" outlineLevel="0" collapsed="false">
      <c r="A410" s="0" t="n">
        <v>409</v>
      </c>
      <c r="D410" s="0" t="s">
        <v>1415</v>
      </c>
      <c r="E410" s="0" t="s">
        <v>20</v>
      </c>
      <c r="H410" s="0" t="s">
        <v>21</v>
      </c>
      <c r="I410" s="2" t="s">
        <v>22</v>
      </c>
      <c r="J410" s="2" t="s">
        <v>672</v>
      </c>
      <c r="K410" s="0" t="s">
        <v>673</v>
      </c>
      <c r="L410" s="0" t="s">
        <v>1416</v>
      </c>
      <c r="M410" s="0" t="s">
        <v>674</v>
      </c>
      <c r="N410" s="0" t="s">
        <v>1417</v>
      </c>
      <c r="O410" s="0" t="n">
        <v>1</v>
      </c>
      <c r="P410" s="0" t="s">
        <v>313</v>
      </c>
      <c r="Q410" s="0" t="s">
        <v>1418</v>
      </c>
      <c r="R410" s="3"/>
      <c r="S410" s="2" t="s">
        <v>1419</v>
      </c>
    </row>
    <row r="411" customFormat="false" ht="15" hidden="false" customHeight="false" outlineLevel="0" collapsed="false">
      <c r="A411" s="0" t="n">
        <v>410</v>
      </c>
      <c r="D411" s="0" t="s">
        <v>1420</v>
      </c>
      <c r="E411" s="0" t="s">
        <v>20</v>
      </c>
      <c r="H411" s="0" t="s">
        <v>21</v>
      </c>
      <c r="I411" s="2" t="s">
        <v>22</v>
      </c>
      <c r="J411" s="2" t="s">
        <v>672</v>
      </c>
      <c r="K411" s="0" t="s">
        <v>673</v>
      </c>
      <c r="L411" s="0" t="s">
        <v>25</v>
      </c>
      <c r="M411" s="0" t="s">
        <v>674</v>
      </c>
      <c r="N411" s="0" t="s">
        <v>1421</v>
      </c>
      <c r="O411" s="0" t="n">
        <v>1</v>
      </c>
      <c r="P411" s="0" t="s">
        <v>40</v>
      </c>
      <c r="Q411" s="0" t="s">
        <v>1422</v>
      </c>
      <c r="R411" s="3"/>
      <c r="S411" s="2" t="s">
        <v>30</v>
      </c>
    </row>
    <row r="412" customFormat="false" ht="15" hidden="false" customHeight="false" outlineLevel="0" collapsed="false">
      <c r="A412" s="0" t="n">
        <v>411</v>
      </c>
      <c r="D412" s="0" t="s">
        <v>1423</v>
      </c>
      <c r="E412" s="0" t="s">
        <v>20</v>
      </c>
      <c r="H412" s="0" t="s">
        <v>21</v>
      </c>
      <c r="I412" s="2" t="s">
        <v>22</v>
      </c>
      <c r="J412" s="2" t="s">
        <v>672</v>
      </c>
      <c r="K412" s="0" t="s">
        <v>673</v>
      </c>
      <c r="L412" s="0" t="s">
        <v>25</v>
      </c>
      <c r="M412" s="0" t="s">
        <v>674</v>
      </c>
      <c r="N412" s="0" t="s">
        <v>1424</v>
      </c>
      <c r="O412" s="0" t="n">
        <v>1</v>
      </c>
      <c r="P412" s="0" t="s">
        <v>297</v>
      </c>
      <c r="Q412" s="0" t="s">
        <v>1425</v>
      </c>
      <c r="R412" s="3"/>
      <c r="S412" s="2" t="s">
        <v>30</v>
      </c>
    </row>
    <row r="413" customFormat="false" ht="15" hidden="false" customHeight="false" outlineLevel="0" collapsed="false">
      <c r="A413" s="0" t="n">
        <v>412</v>
      </c>
      <c r="D413" s="0" t="s">
        <v>1426</v>
      </c>
      <c r="E413" s="0" t="s">
        <v>282</v>
      </c>
      <c r="H413" s="0" t="s">
        <v>21</v>
      </c>
      <c r="I413" s="2" t="s">
        <v>22</v>
      </c>
      <c r="J413" s="2" t="s">
        <v>672</v>
      </c>
      <c r="K413" s="0" t="s">
        <v>673</v>
      </c>
      <c r="L413" s="0" t="s">
        <v>25</v>
      </c>
      <c r="M413" s="0" t="s">
        <v>674</v>
      </c>
      <c r="N413" s="0" t="s">
        <v>1427</v>
      </c>
      <c r="O413" s="0" t="n">
        <v>1</v>
      </c>
      <c r="P413" s="0" t="s">
        <v>297</v>
      </c>
      <c r="Q413" s="0" t="s">
        <v>1428</v>
      </c>
      <c r="R413" s="3"/>
      <c r="S413" s="2" t="s">
        <v>30</v>
      </c>
    </row>
    <row r="414" customFormat="false" ht="15" hidden="false" customHeight="false" outlineLevel="0" collapsed="false">
      <c r="A414" s="0" t="n">
        <v>413</v>
      </c>
      <c r="D414" s="0" t="s">
        <v>1429</v>
      </c>
      <c r="E414" s="0" t="s">
        <v>282</v>
      </c>
      <c r="H414" s="0" t="s">
        <v>21</v>
      </c>
      <c r="I414" s="2" t="s">
        <v>22</v>
      </c>
      <c r="J414" s="2" t="s">
        <v>672</v>
      </c>
      <c r="K414" s="0" t="s">
        <v>673</v>
      </c>
      <c r="L414" s="0" t="s">
        <v>25</v>
      </c>
      <c r="M414" s="0" t="s">
        <v>674</v>
      </c>
      <c r="N414" s="0" t="s">
        <v>1430</v>
      </c>
      <c r="O414" s="0" t="n">
        <v>1</v>
      </c>
      <c r="P414" s="0" t="s">
        <v>152</v>
      </c>
      <c r="Q414" s="0" t="s">
        <v>1431</v>
      </c>
      <c r="R414" s="3"/>
      <c r="S414" s="2" t="s">
        <v>30</v>
      </c>
    </row>
    <row r="415" customFormat="false" ht="15" hidden="false" customHeight="false" outlineLevel="0" collapsed="false">
      <c r="A415" s="0" t="n">
        <v>414</v>
      </c>
      <c r="D415" s="0" t="s">
        <v>1432</v>
      </c>
      <c r="E415" s="0" t="s">
        <v>282</v>
      </c>
      <c r="H415" s="0" t="s">
        <v>21</v>
      </c>
      <c r="I415" s="2" t="s">
        <v>22</v>
      </c>
      <c r="J415" s="2" t="s">
        <v>672</v>
      </c>
      <c r="K415" s="0" t="s">
        <v>673</v>
      </c>
      <c r="L415" s="0" t="s">
        <v>25</v>
      </c>
      <c r="M415" s="0" t="s">
        <v>674</v>
      </c>
      <c r="N415" s="0" t="s">
        <v>1433</v>
      </c>
      <c r="O415" s="0" t="n">
        <v>1</v>
      </c>
      <c r="P415" s="0" t="s">
        <v>57</v>
      </c>
      <c r="Q415" s="0" t="s">
        <v>1434</v>
      </c>
      <c r="R415" s="3"/>
      <c r="S415" s="2" t="s">
        <v>30</v>
      </c>
    </row>
    <row r="416" customFormat="false" ht="15" hidden="false" customHeight="false" outlineLevel="0" collapsed="false">
      <c r="A416" s="0" t="n">
        <v>415</v>
      </c>
      <c r="D416" s="0" t="s">
        <v>1435</v>
      </c>
      <c r="E416" s="0" t="s">
        <v>20</v>
      </c>
      <c r="H416" s="0" t="s">
        <v>21</v>
      </c>
      <c r="I416" s="2" t="s">
        <v>22</v>
      </c>
      <c r="J416" s="2" t="s">
        <v>672</v>
      </c>
      <c r="K416" s="0" t="s">
        <v>673</v>
      </c>
      <c r="L416" s="0" t="s">
        <v>25</v>
      </c>
      <c r="M416" s="0" t="s">
        <v>674</v>
      </c>
      <c r="N416" s="0" t="s">
        <v>1436</v>
      </c>
      <c r="O416" s="0" t="n">
        <v>1</v>
      </c>
      <c r="P416" s="0" t="s">
        <v>313</v>
      </c>
      <c r="Q416" s="0" t="s">
        <v>1437</v>
      </c>
      <c r="R416" s="3"/>
      <c r="S416" s="2" t="s">
        <v>30</v>
      </c>
    </row>
    <row r="417" customFormat="false" ht="15" hidden="false" customHeight="false" outlineLevel="0" collapsed="false">
      <c r="A417" s="0" t="n">
        <v>416</v>
      </c>
      <c r="D417" s="0" t="s">
        <v>1438</v>
      </c>
      <c r="E417" s="0" t="s">
        <v>20</v>
      </c>
      <c r="H417" s="0" t="s">
        <v>21</v>
      </c>
      <c r="I417" s="2" t="s">
        <v>22</v>
      </c>
      <c r="J417" s="2" t="s">
        <v>672</v>
      </c>
      <c r="K417" s="0" t="s">
        <v>673</v>
      </c>
      <c r="L417" s="0" t="s">
        <v>25</v>
      </c>
      <c r="M417" s="0" t="s">
        <v>674</v>
      </c>
      <c r="N417" s="0" t="s">
        <v>1439</v>
      </c>
      <c r="O417" s="0" t="n">
        <v>1</v>
      </c>
      <c r="P417" s="0" t="s">
        <v>297</v>
      </c>
      <c r="Q417" s="0" t="s">
        <v>1440</v>
      </c>
      <c r="R417" s="3"/>
      <c r="S417" s="2" t="s">
        <v>30</v>
      </c>
    </row>
    <row r="418" customFormat="false" ht="15" hidden="false" customHeight="false" outlineLevel="0" collapsed="false">
      <c r="A418" s="0" t="n">
        <v>417</v>
      </c>
      <c r="D418" s="0" t="s">
        <v>1441</v>
      </c>
      <c r="E418" s="0" t="s">
        <v>20</v>
      </c>
      <c r="H418" s="0" t="s">
        <v>21</v>
      </c>
      <c r="I418" s="2" t="s">
        <v>22</v>
      </c>
      <c r="J418" s="2" t="s">
        <v>672</v>
      </c>
      <c r="K418" s="0" t="s">
        <v>673</v>
      </c>
      <c r="L418" s="0" t="s">
        <v>25</v>
      </c>
      <c r="M418" s="0" t="s">
        <v>674</v>
      </c>
      <c r="N418" s="0" t="s">
        <v>1442</v>
      </c>
      <c r="O418" s="0" t="n">
        <v>1</v>
      </c>
      <c r="P418" s="0" t="s">
        <v>679</v>
      </c>
      <c r="Q418" s="0" t="s">
        <v>1443</v>
      </c>
      <c r="R418" s="3"/>
      <c r="S418" s="2" t="s">
        <v>30</v>
      </c>
    </row>
    <row r="419" customFormat="false" ht="15" hidden="false" customHeight="false" outlineLevel="0" collapsed="false">
      <c r="A419" s="0" t="n">
        <v>418</v>
      </c>
      <c r="D419" s="0" t="s">
        <v>1444</v>
      </c>
      <c r="E419" s="0" t="s">
        <v>20</v>
      </c>
      <c r="H419" s="0" t="s">
        <v>21</v>
      </c>
      <c r="I419" s="2" t="s">
        <v>22</v>
      </c>
      <c r="J419" s="2" t="s">
        <v>672</v>
      </c>
      <c r="K419" s="0" t="s">
        <v>673</v>
      </c>
      <c r="L419" s="0" t="s">
        <v>25</v>
      </c>
      <c r="M419" s="0" t="s">
        <v>674</v>
      </c>
      <c r="N419" s="0" t="s">
        <v>1445</v>
      </c>
      <c r="O419" s="0" t="n">
        <v>1</v>
      </c>
      <c r="P419" s="0" t="s">
        <v>1164</v>
      </c>
      <c r="Q419" s="0" t="s">
        <v>1446</v>
      </c>
      <c r="R419" s="3"/>
      <c r="S419" s="2" t="s">
        <v>30</v>
      </c>
    </row>
    <row r="420" customFormat="false" ht="15" hidden="false" customHeight="false" outlineLevel="0" collapsed="false">
      <c r="A420" s="0" t="n">
        <v>419</v>
      </c>
      <c r="D420" s="0" t="s">
        <v>1447</v>
      </c>
      <c r="E420" s="0" t="s">
        <v>20</v>
      </c>
      <c r="H420" s="0" t="s">
        <v>21</v>
      </c>
      <c r="I420" s="2" t="s">
        <v>22</v>
      </c>
      <c r="J420" s="2" t="s">
        <v>672</v>
      </c>
      <c r="K420" s="0" t="s">
        <v>673</v>
      </c>
      <c r="L420" s="0" t="s">
        <v>25</v>
      </c>
      <c r="M420" s="0" t="s">
        <v>674</v>
      </c>
      <c r="N420" s="0" t="s">
        <v>1448</v>
      </c>
      <c r="O420" s="0" t="n">
        <v>1</v>
      </c>
      <c r="P420" s="0" t="s">
        <v>57</v>
      </c>
      <c r="Q420" s="0" t="s">
        <v>1449</v>
      </c>
      <c r="R420" s="3"/>
      <c r="S420" s="2" t="s">
        <v>30</v>
      </c>
    </row>
    <row r="421" customFormat="false" ht="15" hidden="false" customHeight="false" outlineLevel="0" collapsed="false">
      <c r="A421" s="0" t="n">
        <v>420</v>
      </c>
      <c r="D421" s="0" t="s">
        <v>1450</v>
      </c>
      <c r="E421" s="0" t="s">
        <v>20</v>
      </c>
      <c r="H421" s="0" t="s">
        <v>21</v>
      </c>
      <c r="I421" s="2" t="s">
        <v>22</v>
      </c>
      <c r="J421" s="2" t="s">
        <v>672</v>
      </c>
      <c r="K421" s="0" t="s">
        <v>673</v>
      </c>
      <c r="L421" s="0" t="s">
        <v>25</v>
      </c>
      <c r="M421" s="0" t="s">
        <v>674</v>
      </c>
      <c r="N421" s="0" t="s">
        <v>1451</v>
      </c>
      <c r="O421" s="0" t="n">
        <v>1</v>
      </c>
      <c r="P421" s="0" t="s">
        <v>45</v>
      </c>
      <c r="Q421" s="0" t="s">
        <v>1452</v>
      </c>
      <c r="R421" s="3"/>
      <c r="S421" s="2" t="s">
        <v>30</v>
      </c>
    </row>
    <row r="422" customFormat="false" ht="15" hidden="false" customHeight="false" outlineLevel="0" collapsed="false">
      <c r="A422" s="0" t="n">
        <v>421</v>
      </c>
      <c r="D422" s="0" t="s">
        <v>1453</v>
      </c>
      <c r="E422" s="0" t="s">
        <v>20</v>
      </c>
      <c r="H422" s="0" t="s">
        <v>21</v>
      </c>
      <c r="I422" s="2" t="s">
        <v>22</v>
      </c>
      <c r="J422" s="2" t="s">
        <v>672</v>
      </c>
      <c r="K422" s="0" t="s">
        <v>673</v>
      </c>
      <c r="L422" s="0" t="s">
        <v>25</v>
      </c>
      <c r="M422" s="0" t="s">
        <v>674</v>
      </c>
      <c r="N422" s="0" t="s">
        <v>1454</v>
      </c>
      <c r="O422" s="0" t="n">
        <v>1</v>
      </c>
      <c r="P422" s="0" t="s">
        <v>701</v>
      </c>
      <c r="Q422" s="0" t="s">
        <v>1455</v>
      </c>
      <c r="R422" s="3"/>
      <c r="S422" s="2" t="s">
        <v>30</v>
      </c>
    </row>
    <row r="423" customFormat="false" ht="15" hidden="false" customHeight="false" outlineLevel="0" collapsed="false">
      <c r="A423" s="0" t="n">
        <v>422</v>
      </c>
      <c r="D423" s="0" t="s">
        <v>1456</v>
      </c>
      <c r="E423" s="0" t="s">
        <v>20</v>
      </c>
      <c r="H423" s="0" t="s">
        <v>21</v>
      </c>
      <c r="I423" s="2" t="s">
        <v>22</v>
      </c>
      <c r="J423" s="2" t="s">
        <v>672</v>
      </c>
      <c r="K423" s="0" t="s">
        <v>673</v>
      </c>
      <c r="L423" s="0" t="s">
        <v>1457</v>
      </c>
      <c r="M423" s="0" t="s">
        <v>674</v>
      </c>
      <c r="N423" s="0" t="s">
        <v>1458</v>
      </c>
      <c r="O423" s="0" t="n">
        <v>1</v>
      </c>
      <c r="P423" s="0" t="s">
        <v>347</v>
      </c>
      <c r="Q423" s="0" t="s">
        <v>1459</v>
      </c>
      <c r="R423" s="3"/>
      <c r="S423" s="2" t="s">
        <v>1460</v>
      </c>
    </row>
    <row r="424" customFormat="false" ht="15" hidden="false" customHeight="false" outlineLevel="0" collapsed="false">
      <c r="A424" s="0" t="n">
        <v>423</v>
      </c>
      <c r="D424" s="0" t="s">
        <v>1461</v>
      </c>
      <c r="E424" s="0" t="s">
        <v>20</v>
      </c>
      <c r="H424" s="0" t="s">
        <v>21</v>
      </c>
      <c r="I424" s="2" t="s">
        <v>22</v>
      </c>
      <c r="J424" s="2" t="s">
        <v>672</v>
      </c>
      <c r="K424" s="0" t="s">
        <v>673</v>
      </c>
      <c r="L424" s="0" t="s">
        <v>1462</v>
      </c>
      <c r="M424" s="0" t="s">
        <v>674</v>
      </c>
      <c r="N424" s="0" t="s">
        <v>1463</v>
      </c>
      <c r="O424" s="0" t="n">
        <v>1</v>
      </c>
      <c r="P424" s="0" t="s">
        <v>617</v>
      </c>
      <c r="Q424" s="0" t="s">
        <v>1464</v>
      </c>
      <c r="R424" s="3"/>
      <c r="S424" s="2" t="s">
        <v>1465</v>
      </c>
    </row>
    <row r="425" customFormat="false" ht="15" hidden="false" customHeight="false" outlineLevel="0" collapsed="false">
      <c r="A425" s="0" t="n">
        <v>424</v>
      </c>
      <c r="D425" s="0" t="s">
        <v>1466</v>
      </c>
      <c r="E425" s="0" t="s">
        <v>20</v>
      </c>
      <c r="H425" s="0" t="s">
        <v>21</v>
      </c>
      <c r="I425" s="2" t="s">
        <v>22</v>
      </c>
      <c r="J425" s="2" t="s">
        <v>672</v>
      </c>
      <c r="K425" s="0" t="s">
        <v>673</v>
      </c>
      <c r="L425" s="0" t="s">
        <v>25</v>
      </c>
      <c r="M425" s="0" t="s">
        <v>674</v>
      </c>
      <c r="N425" s="0" t="s">
        <v>1467</v>
      </c>
      <c r="O425" s="0" t="n">
        <v>1</v>
      </c>
      <c r="P425" s="0" t="s">
        <v>617</v>
      </c>
      <c r="Q425" s="0" t="s">
        <v>1468</v>
      </c>
      <c r="R425" s="3"/>
      <c r="S425" s="2" t="s">
        <v>30</v>
      </c>
    </row>
    <row r="426" customFormat="false" ht="15" hidden="false" customHeight="false" outlineLevel="0" collapsed="false">
      <c r="A426" s="0" t="n">
        <v>425</v>
      </c>
      <c r="D426" s="0" t="s">
        <v>1469</v>
      </c>
      <c r="E426" s="0" t="s">
        <v>20</v>
      </c>
      <c r="H426" s="0" t="s">
        <v>21</v>
      </c>
      <c r="I426" s="2" t="s">
        <v>22</v>
      </c>
      <c r="J426" s="2" t="s">
        <v>672</v>
      </c>
      <c r="K426" s="0" t="s">
        <v>673</v>
      </c>
      <c r="L426" s="0" t="s">
        <v>1470</v>
      </c>
      <c r="M426" s="0" t="s">
        <v>674</v>
      </c>
      <c r="N426" s="0" t="s">
        <v>1471</v>
      </c>
      <c r="O426" s="0" t="n">
        <v>1</v>
      </c>
      <c r="P426" s="0" t="s">
        <v>130</v>
      </c>
      <c r="Q426" s="0" t="s">
        <v>1472</v>
      </c>
      <c r="R426" s="3"/>
      <c r="S426" s="2" t="s">
        <v>1473</v>
      </c>
    </row>
    <row r="427" customFormat="false" ht="15" hidden="false" customHeight="false" outlineLevel="0" collapsed="false">
      <c r="A427" s="0" t="n">
        <v>426</v>
      </c>
      <c r="D427" s="0" t="s">
        <v>1474</v>
      </c>
      <c r="E427" s="0" t="s">
        <v>20</v>
      </c>
      <c r="H427" s="0" t="s">
        <v>21</v>
      </c>
      <c r="I427" s="2" t="s">
        <v>22</v>
      </c>
      <c r="J427" s="2" t="s">
        <v>672</v>
      </c>
      <c r="K427" s="0" t="s">
        <v>673</v>
      </c>
      <c r="L427" s="0" t="s">
        <v>25</v>
      </c>
      <c r="M427" s="0" t="s">
        <v>674</v>
      </c>
      <c r="N427" s="0" t="s">
        <v>1475</v>
      </c>
      <c r="O427" s="0" t="n">
        <v>1</v>
      </c>
      <c r="P427" s="0" t="s">
        <v>479</v>
      </c>
      <c r="Q427" s="0" t="s">
        <v>1476</v>
      </c>
      <c r="R427" s="3"/>
      <c r="S427" s="2" t="s">
        <v>30</v>
      </c>
    </row>
    <row r="428" customFormat="false" ht="15" hidden="false" customHeight="false" outlineLevel="0" collapsed="false">
      <c r="A428" s="0" t="n">
        <v>427</v>
      </c>
      <c r="D428" s="0" t="s">
        <v>1477</v>
      </c>
      <c r="E428" s="0" t="s">
        <v>20</v>
      </c>
      <c r="H428" s="0" t="s">
        <v>21</v>
      </c>
      <c r="I428" s="2" t="s">
        <v>22</v>
      </c>
      <c r="J428" s="2" t="s">
        <v>672</v>
      </c>
      <c r="K428" s="0" t="s">
        <v>673</v>
      </c>
      <c r="L428" s="0" t="s">
        <v>25</v>
      </c>
      <c r="M428" s="0" t="s">
        <v>674</v>
      </c>
      <c r="N428" s="0" t="s">
        <v>1478</v>
      </c>
      <c r="O428" s="0" t="n">
        <v>1</v>
      </c>
      <c r="P428" s="0" t="s">
        <v>297</v>
      </c>
      <c r="Q428" s="0" t="s">
        <v>1479</v>
      </c>
      <c r="R428" s="3"/>
      <c r="S428" s="2" t="s">
        <v>30</v>
      </c>
    </row>
    <row r="429" customFormat="false" ht="15" hidden="false" customHeight="false" outlineLevel="0" collapsed="false">
      <c r="A429" s="0" t="n">
        <v>428</v>
      </c>
      <c r="D429" s="0" t="s">
        <v>1480</v>
      </c>
      <c r="E429" s="0" t="s">
        <v>20</v>
      </c>
      <c r="H429" s="0" t="s">
        <v>21</v>
      </c>
      <c r="I429" s="2" t="s">
        <v>22</v>
      </c>
      <c r="J429" s="2" t="s">
        <v>672</v>
      </c>
      <c r="K429" s="0" t="s">
        <v>673</v>
      </c>
      <c r="L429" s="0" t="s">
        <v>25</v>
      </c>
      <c r="M429" s="0" t="s">
        <v>674</v>
      </c>
      <c r="N429" s="0" t="s">
        <v>1481</v>
      </c>
      <c r="O429" s="0" t="n">
        <v>1</v>
      </c>
      <c r="P429" s="0" t="s">
        <v>276</v>
      </c>
      <c r="Q429" s="0" t="s">
        <v>1482</v>
      </c>
      <c r="R429" s="3"/>
      <c r="S429" s="2" t="s">
        <v>30</v>
      </c>
    </row>
    <row r="430" customFormat="false" ht="15" hidden="false" customHeight="false" outlineLevel="0" collapsed="false">
      <c r="A430" s="0" t="n">
        <v>429</v>
      </c>
      <c r="D430" s="0" t="s">
        <v>1483</v>
      </c>
      <c r="E430" s="0" t="s">
        <v>268</v>
      </c>
      <c r="H430" s="0" t="s">
        <v>21</v>
      </c>
      <c r="I430" s="2" t="s">
        <v>22</v>
      </c>
      <c r="J430" s="2" t="s">
        <v>672</v>
      </c>
      <c r="K430" s="0" t="s">
        <v>673</v>
      </c>
      <c r="L430" s="0" t="s">
        <v>25</v>
      </c>
      <c r="M430" s="0" t="s">
        <v>674</v>
      </c>
      <c r="N430" s="0" t="s">
        <v>1484</v>
      </c>
      <c r="O430" s="0" t="n">
        <v>1</v>
      </c>
      <c r="P430" s="0" t="s">
        <v>28</v>
      </c>
      <c r="Q430" s="0" t="s">
        <v>1485</v>
      </c>
      <c r="R430" s="3"/>
      <c r="S430" s="2" t="s">
        <v>30</v>
      </c>
    </row>
    <row r="431" customFormat="false" ht="15" hidden="false" customHeight="false" outlineLevel="0" collapsed="false">
      <c r="A431" s="0" t="n">
        <v>430</v>
      </c>
      <c r="D431" s="0" t="s">
        <v>1486</v>
      </c>
      <c r="E431" s="0" t="s">
        <v>860</v>
      </c>
      <c r="H431" s="0" t="s">
        <v>21</v>
      </c>
      <c r="I431" s="2" t="s">
        <v>22</v>
      </c>
      <c r="J431" s="2" t="s">
        <v>672</v>
      </c>
      <c r="K431" s="0" t="s">
        <v>673</v>
      </c>
      <c r="L431" s="0" t="s">
        <v>25</v>
      </c>
      <c r="M431" s="0" t="s">
        <v>674</v>
      </c>
      <c r="N431" s="0" t="s">
        <v>1487</v>
      </c>
      <c r="O431" s="0" t="n">
        <v>1</v>
      </c>
      <c r="P431" s="0" t="s">
        <v>507</v>
      </c>
      <c r="Q431" s="0" t="s">
        <v>1488</v>
      </c>
      <c r="R431" s="3"/>
      <c r="S431" s="2" t="s">
        <v>30</v>
      </c>
    </row>
    <row r="432" customFormat="false" ht="15" hidden="false" customHeight="false" outlineLevel="0" collapsed="false">
      <c r="A432" s="0" t="n">
        <v>431</v>
      </c>
      <c r="D432" s="0" t="s">
        <v>1489</v>
      </c>
      <c r="E432" s="0" t="s">
        <v>286</v>
      </c>
      <c r="H432" s="0" t="s">
        <v>21</v>
      </c>
      <c r="I432" s="2" t="s">
        <v>22</v>
      </c>
      <c r="J432" s="2" t="s">
        <v>672</v>
      </c>
      <c r="K432" s="0" t="s">
        <v>673</v>
      </c>
      <c r="L432" s="0" t="s">
        <v>25</v>
      </c>
      <c r="M432" s="0" t="s">
        <v>674</v>
      </c>
      <c r="N432" s="0" t="s">
        <v>1490</v>
      </c>
      <c r="O432" s="0" t="n">
        <v>1</v>
      </c>
      <c r="P432" s="0" t="s">
        <v>103</v>
      </c>
      <c r="Q432" s="0" t="s">
        <v>1491</v>
      </c>
      <c r="R432" s="3"/>
      <c r="S432" s="2" t="s">
        <v>30</v>
      </c>
    </row>
    <row r="433" customFormat="false" ht="15" hidden="false" customHeight="false" outlineLevel="0" collapsed="false">
      <c r="A433" s="0" t="n">
        <v>432</v>
      </c>
      <c r="D433" s="0" t="s">
        <v>1492</v>
      </c>
      <c r="E433" s="0" t="s">
        <v>20</v>
      </c>
      <c r="H433" s="0" t="s">
        <v>21</v>
      </c>
      <c r="I433" s="2" t="s">
        <v>22</v>
      </c>
      <c r="J433" s="2" t="s">
        <v>672</v>
      </c>
      <c r="K433" s="0" t="s">
        <v>673</v>
      </c>
      <c r="L433" s="0" t="s">
        <v>25</v>
      </c>
      <c r="M433" s="0" t="s">
        <v>674</v>
      </c>
      <c r="N433" s="0" t="s">
        <v>1493</v>
      </c>
      <c r="O433" s="0" t="n">
        <v>1</v>
      </c>
      <c r="P433" s="0" t="s">
        <v>617</v>
      </c>
      <c r="Q433" s="0" t="s">
        <v>1494</v>
      </c>
      <c r="R433" s="3"/>
      <c r="S433" s="2" t="s">
        <v>30</v>
      </c>
    </row>
    <row r="434" customFormat="false" ht="15" hidden="false" customHeight="false" outlineLevel="0" collapsed="false">
      <c r="A434" s="0" t="n">
        <v>433</v>
      </c>
      <c r="D434" s="0" t="s">
        <v>1495</v>
      </c>
      <c r="E434" s="0" t="s">
        <v>20</v>
      </c>
      <c r="H434" s="0" t="s">
        <v>21</v>
      </c>
      <c r="I434" s="2" t="s">
        <v>22</v>
      </c>
      <c r="J434" s="2" t="s">
        <v>672</v>
      </c>
      <c r="K434" s="0" t="s">
        <v>673</v>
      </c>
      <c r="L434" s="0" t="s">
        <v>25</v>
      </c>
      <c r="M434" s="0" t="s">
        <v>674</v>
      </c>
      <c r="N434" s="0" t="s">
        <v>1496</v>
      </c>
      <c r="O434" s="0" t="n">
        <v>1</v>
      </c>
      <c r="P434" s="0" t="s">
        <v>1497</v>
      </c>
      <c r="Q434" s="0" t="s">
        <v>1498</v>
      </c>
      <c r="R434" s="3"/>
      <c r="S434" s="2" t="s">
        <v>30</v>
      </c>
    </row>
    <row r="435" customFormat="false" ht="15" hidden="false" customHeight="false" outlineLevel="0" collapsed="false">
      <c r="A435" s="0" t="n">
        <v>434</v>
      </c>
      <c r="D435" s="0" t="s">
        <v>1499</v>
      </c>
      <c r="E435" s="0" t="s">
        <v>268</v>
      </c>
      <c r="H435" s="0" t="s">
        <v>21</v>
      </c>
      <c r="I435" s="2" t="s">
        <v>22</v>
      </c>
      <c r="J435" s="2" t="s">
        <v>672</v>
      </c>
      <c r="K435" s="0" t="s">
        <v>673</v>
      </c>
      <c r="L435" s="0" t="s">
        <v>25</v>
      </c>
      <c r="M435" s="0" t="s">
        <v>674</v>
      </c>
      <c r="N435" s="0" t="s">
        <v>1500</v>
      </c>
      <c r="O435" s="0" t="n">
        <v>1</v>
      </c>
      <c r="P435" s="0" t="s">
        <v>95</v>
      </c>
      <c r="Q435" s="0" t="s">
        <v>1501</v>
      </c>
      <c r="R435" s="3"/>
      <c r="S435" s="2" t="s">
        <v>30</v>
      </c>
    </row>
    <row r="436" customFormat="false" ht="15" hidden="false" customHeight="false" outlineLevel="0" collapsed="false">
      <c r="A436" s="0" t="n">
        <v>435</v>
      </c>
      <c r="D436" s="0" t="s">
        <v>1502</v>
      </c>
      <c r="E436" s="0" t="s">
        <v>20</v>
      </c>
      <c r="H436" s="0" t="s">
        <v>21</v>
      </c>
      <c r="I436" s="2" t="s">
        <v>22</v>
      </c>
      <c r="J436" s="2" t="s">
        <v>672</v>
      </c>
      <c r="K436" s="0" t="s">
        <v>673</v>
      </c>
      <c r="L436" s="0" t="s">
        <v>25</v>
      </c>
      <c r="M436" s="0" t="s">
        <v>674</v>
      </c>
      <c r="N436" s="0" t="s">
        <v>1503</v>
      </c>
      <c r="O436" s="0" t="n">
        <v>1</v>
      </c>
      <c r="P436" s="0" t="s">
        <v>1504</v>
      </c>
      <c r="Q436" s="0" t="s">
        <v>1505</v>
      </c>
      <c r="R436" s="3"/>
      <c r="S436" s="2" t="s">
        <v>30</v>
      </c>
    </row>
    <row r="437" customFormat="false" ht="15" hidden="false" customHeight="false" outlineLevel="0" collapsed="false">
      <c r="A437" s="0" t="n">
        <v>436</v>
      </c>
      <c r="D437" s="0" t="s">
        <v>1506</v>
      </c>
      <c r="E437" s="0" t="s">
        <v>20</v>
      </c>
      <c r="H437" s="0" t="s">
        <v>21</v>
      </c>
      <c r="I437" s="2" t="s">
        <v>22</v>
      </c>
      <c r="J437" s="2" t="s">
        <v>672</v>
      </c>
      <c r="K437" s="0" t="s">
        <v>673</v>
      </c>
      <c r="L437" s="0" t="s">
        <v>25</v>
      </c>
      <c r="M437" s="0" t="s">
        <v>674</v>
      </c>
      <c r="N437" s="0" t="s">
        <v>1507</v>
      </c>
      <c r="O437" s="0" t="n">
        <v>1</v>
      </c>
      <c r="P437" s="0" t="s">
        <v>421</v>
      </c>
      <c r="Q437" s="0" t="s">
        <v>1508</v>
      </c>
      <c r="R437" s="3"/>
      <c r="S437" s="2" t="s">
        <v>30</v>
      </c>
    </row>
    <row r="438" customFormat="false" ht="15" hidden="false" customHeight="false" outlineLevel="0" collapsed="false">
      <c r="A438" s="0" t="n">
        <v>437</v>
      </c>
      <c r="D438" s="0" t="s">
        <v>1509</v>
      </c>
      <c r="E438" s="0" t="s">
        <v>20</v>
      </c>
      <c r="H438" s="0" t="s">
        <v>21</v>
      </c>
      <c r="I438" s="2" t="s">
        <v>22</v>
      </c>
      <c r="J438" s="2" t="s">
        <v>672</v>
      </c>
      <c r="K438" s="0" t="s">
        <v>673</v>
      </c>
      <c r="L438" s="0" t="s">
        <v>25</v>
      </c>
      <c r="M438" s="0" t="s">
        <v>674</v>
      </c>
      <c r="N438" s="0" t="s">
        <v>1510</v>
      </c>
      <c r="O438" s="0" t="n">
        <v>1</v>
      </c>
      <c r="P438" s="0" t="s">
        <v>276</v>
      </c>
      <c r="Q438" s="0" t="s">
        <v>1511</v>
      </c>
      <c r="R438" s="3"/>
      <c r="S438" s="2" t="s">
        <v>30</v>
      </c>
    </row>
    <row r="439" customFormat="false" ht="15" hidden="false" customHeight="false" outlineLevel="0" collapsed="false">
      <c r="A439" s="0" t="n">
        <v>438</v>
      </c>
      <c r="D439" s="0" t="s">
        <v>1512</v>
      </c>
      <c r="E439" s="0" t="s">
        <v>20</v>
      </c>
      <c r="H439" s="0" t="s">
        <v>21</v>
      </c>
      <c r="I439" s="2" t="s">
        <v>22</v>
      </c>
      <c r="J439" s="2" t="s">
        <v>672</v>
      </c>
      <c r="K439" s="0" t="s">
        <v>673</v>
      </c>
      <c r="L439" s="0" t="s">
        <v>1513</v>
      </c>
      <c r="M439" s="0" t="s">
        <v>674</v>
      </c>
      <c r="N439" s="0" t="s">
        <v>1514</v>
      </c>
      <c r="O439" s="0" t="n">
        <v>1</v>
      </c>
      <c r="P439" s="0" t="s">
        <v>479</v>
      </c>
      <c r="Q439" s="0" t="s">
        <v>1515</v>
      </c>
      <c r="R439" s="3"/>
      <c r="S439" s="2" t="s">
        <v>1516</v>
      </c>
    </row>
    <row r="440" customFormat="false" ht="15" hidden="false" customHeight="false" outlineLevel="0" collapsed="false">
      <c r="A440" s="0" t="n">
        <v>439</v>
      </c>
      <c r="D440" s="0" t="s">
        <v>1517</v>
      </c>
      <c r="E440" s="0" t="s">
        <v>20</v>
      </c>
      <c r="H440" s="0" t="s">
        <v>21</v>
      </c>
      <c r="I440" s="2" t="s">
        <v>22</v>
      </c>
      <c r="J440" s="2" t="s">
        <v>672</v>
      </c>
      <c r="K440" s="0" t="s">
        <v>673</v>
      </c>
      <c r="L440" s="0" t="s">
        <v>25</v>
      </c>
      <c r="M440" s="0" t="s">
        <v>674</v>
      </c>
      <c r="N440" s="0" t="s">
        <v>1518</v>
      </c>
      <c r="O440" s="0" t="n">
        <v>1</v>
      </c>
      <c r="P440" s="0" t="s">
        <v>53</v>
      </c>
      <c r="Q440" s="0" t="s">
        <v>1519</v>
      </c>
      <c r="R440" s="3"/>
      <c r="S440" s="2" t="s">
        <v>30</v>
      </c>
    </row>
    <row r="441" customFormat="false" ht="15" hidden="false" customHeight="false" outlineLevel="0" collapsed="false">
      <c r="A441" s="0" t="n">
        <v>440</v>
      </c>
      <c r="D441" s="0" t="s">
        <v>1520</v>
      </c>
      <c r="E441" s="0" t="s">
        <v>282</v>
      </c>
      <c r="H441" s="0" t="s">
        <v>21</v>
      </c>
      <c r="I441" s="2" t="s">
        <v>22</v>
      </c>
      <c r="J441" s="2" t="s">
        <v>672</v>
      </c>
      <c r="K441" s="0" t="s">
        <v>673</v>
      </c>
      <c r="L441" s="0" t="s">
        <v>25</v>
      </c>
      <c r="M441" s="0" t="s">
        <v>674</v>
      </c>
      <c r="N441" s="0" t="s">
        <v>1521</v>
      </c>
      <c r="O441" s="0" t="n">
        <v>1</v>
      </c>
      <c r="P441" s="0" t="s">
        <v>918</v>
      </c>
      <c r="Q441" s="0" t="s">
        <v>1522</v>
      </c>
      <c r="R441" s="3"/>
      <c r="S441" s="2" t="s">
        <v>30</v>
      </c>
    </row>
    <row r="442" customFormat="false" ht="15" hidden="false" customHeight="false" outlineLevel="0" collapsed="false">
      <c r="A442" s="0" t="n">
        <v>441</v>
      </c>
      <c r="D442" s="0" t="s">
        <v>1523</v>
      </c>
      <c r="E442" s="0" t="s">
        <v>282</v>
      </c>
      <c r="H442" s="0" t="s">
        <v>21</v>
      </c>
      <c r="I442" s="2" t="s">
        <v>22</v>
      </c>
      <c r="J442" s="2" t="s">
        <v>672</v>
      </c>
      <c r="K442" s="0" t="s">
        <v>673</v>
      </c>
      <c r="L442" s="0" t="s">
        <v>25</v>
      </c>
      <c r="M442" s="0" t="s">
        <v>674</v>
      </c>
      <c r="N442" s="0" t="s">
        <v>1524</v>
      </c>
      <c r="O442" s="0" t="n">
        <v>1</v>
      </c>
      <c r="P442" s="0" t="s">
        <v>57</v>
      </c>
      <c r="Q442" s="0" t="s">
        <v>1525</v>
      </c>
      <c r="R442" s="3"/>
      <c r="S442" s="2" t="s">
        <v>30</v>
      </c>
    </row>
    <row r="443" customFormat="false" ht="15" hidden="false" customHeight="false" outlineLevel="0" collapsed="false">
      <c r="A443" s="0" t="n">
        <v>442</v>
      </c>
      <c r="D443" s="0" t="s">
        <v>1526</v>
      </c>
      <c r="E443" s="0" t="s">
        <v>20</v>
      </c>
      <c r="H443" s="0" t="s">
        <v>21</v>
      </c>
      <c r="I443" s="2" t="s">
        <v>22</v>
      </c>
      <c r="J443" s="2" t="s">
        <v>672</v>
      </c>
      <c r="K443" s="0" t="s">
        <v>673</v>
      </c>
      <c r="L443" s="0" t="s">
        <v>25</v>
      </c>
      <c r="M443" s="0" t="s">
        <v>674</v>
      </c>
      <c r="N443" s="0" t="s">
        <v>1527</v>
      </c>
      <c r="O443" s="0" t="n">
        <v>1</v>
      </c>
      <c r="P443" s="0" t="s">
        <v>276</v>
      </c>
      <c r="Q443" s="0" t="s">
        <v>1528</v>
      </c>
      <c r="R443" s="3"/>
      <c r="S443" s="2" t="s">
        <v>30</v>
      </c>
    </row>
    <row r="444" customFormat="false" ht="15" hidden="false" customHeight="false" outlineLevel="0" collapsed="false">
      <c r="A444" s="0" t="n">
        <v>443</v>
      </c>
      <c r="D444" s="0" t="s">
        <v>1529</v>
      </c>
      <c r="E444" s="0" t="s">
        <v>20</v>
      </c>
      <c r="H444" s="0" t="s">
        <v>21</v>
      </c>
      <c r="I444" s="2" t="s">
        <v>22</v>
      </c>
      <c r="J444" s="2" t="s">
        <v>672</v>
      </c>
      <c r="K444" s="0" t="s">
        <v>673</v>
      </c>
      <c r="L444" s="0" t="s">
        <v>25</v>
      </c>
      <c r="M444" s="0" t="s">
        <v>674</v>
      </c>
      <c r="N444" s="0" t="s">
        <v>1530</v>
      </c>
      <c r="O444" s="0" t="n">
        <v>1</v>
      </c>
      <c r="P444" s="0" t="s">
        <v>130</v>
      </c>
      <c r="Q444" s="0" t="s">
        <v>1531</v>
      </c>
      <c r="R444" s="3"/>
      <c r="S444" s="2" t="s">
        <v>30</v>
      </c>
    </row>
    <row r="445" customFormat="false" ht="15" hidden="false" customHeight="false" outlineLevel="0" collapsed="false">
      <c r="A445" s="0" t="n">
        <v>444</v>
      </c>
      <c r="D445" s="0" t="s">
        <v>1532</v>
      </c>
      <c r="E445" s="0" t="s">
        <v>20</v>
      </c>
      <c r="H445" s="0" t="s">
        <v>21</v>
      </c>
      <c r="I445" s="2" t="s">
        <v>22</v>
      </c>
      <c r="J445" s="2" t="s">
        <v>672</v>
      </c>
      <c r="K445" s="0" t="s">
        <v>673</v>
      </c>
      <c r="L445" s="0" t="s">
        <v>1533</v>
      </c>
      <c r="M445" s="0" t="s">
        <v>674</v>
      </c>
      <c r="N445" s="0" t="s">
        <v>1534</v>
      </c>
      <c r="O445" s="0" t="n">
        <v>1</v>
      </c>
      <c r="P445" s="0" t="s">
        <v>421</v>
      </c>
      <c r="Q445" s="0" t="s">
        <v>1535</v>
      </c>
      <c r="R445" s="3"/>
      <c r="S445" s="2" t="s">
        <v>1536</v>
      </c>
    </row>
    <row r="446" customFormat="false" ht="15" hidden="false" customHeight="false" outlineLevel="0" collapsed="false">
      <c r="A446" s="0" t="n">
        <v>445</v>
      </c>
      <c r="D446" s="0" t="s">
        <v>1537</v>
      </c>
      <c r="E446" s="0" t="s">
        <v>20</v>
      </c>
      <c r="H446" s="0" t="s">
        <v>21</v>
      </c>
      <c r="I446" s="2" t="s">
        <v>22</v>
      </c>
      <c r="J446" s="2" t="s">
        <v>672</v>
      </c>
      <c r="K446" s="0" t="s">
        <v>673</v>
      </c>
      <c r="L446" s="0" t="s">
        <v>25</v>
      </c>
      <c r="M446" s="0" t="s">
        <v>674</v>
      </c>
      <c r="N446" s="0" t="s">
        <v>1538</v>
      </c>
      <c r="O446" s="0" t="n">
        <v>1</v>
      </c>
      <c r="P446" s="0" t="s">
        <v>479</v>
      </c>
      <c r="Q446" s="0" t="s">
        <v>1539</v>
      </c>
      <c r="R446" s="3"/>
      <c r="S446" s="2" t="s">
        <v>30</v>
      </c>
    </row>
    <row r="447" customFormat="false" ht="15" hidden="false" customHeight="false" outlineLevel="0" collapsed="false">
      <c r="A447" s="0" t="n">
        <v>446</v>
      </c>
      <c r="D447" s="0" t="s">
        <v>1540</v>
      </c>
      <c r="E447" s="0" t="s">
        <v>268</v>
      </c>
      <c r="H447" s="0" t="s">
        <v>21</v>
      </c>
      <c r="I447" s="2" t="s">
        <v>22</v>
      </c>
      <c r="J447" s="2" t="s">
        <v>672</v>
      </c>
      <c r="K447" s="0" t="s">
        <v>673</v>
      </c>
      <c r="L447" s="0" t="s">
        <v>25</v>
      </c>
      <c r="M447" s="0" t="s">
        <v>674</v>
      </c>
      <c r="N447" s="0" t="s">
        <v>1541</v>
      </c>
      <c r="O447" s="0" t="n">
        <v>1</v>
      </c>
      <c r="P447" s="0" t="s">
        <v>432</v>
      </c>
      <c r="Q447" s="0" t="s">
        <v>1542</v>
      </c>
      <c r="R447" s="3"/>
      <c r="S447" s="2" t="s">
        <v>30</v>
      </c>
    </row>
    <row r="448" customFormat="false" ht="15" hidden="false" customHeight="false" outlineLevel="0" collapsed="false">
      <c r="A448" s="0" t="n">
        <v>447</v>
      </c>
      <c r="D448" s="0" t="s">
        <v>1543</v>
      </c>
      <c r="E448" s="0" t="s">
        <v>268</v>
      </c>
      <c r="H448" s="0" t="s">
        <v>21</v>
      </c>
      <c r="I448" s="2" t="s">
        <v>22</v>
      </c>
      <c r="J448" s="2" t="s">
        <v>672</v>
      </c>
      <c r="K448" s="0" t="s">
        <v>673</v>
      </c>
      <c r="L448" s="0" t="s">
        <v>25</v>
      </c>
      <c r="M448" s="0" t="s">
        <v>674</v>
      </c>
      <c r="N448" s="0" t="s">
        <v>1544</v>
      </c>
      <c r="O448" s="0" t="n">
        <v>1</v>
      </c>
      <c r="P448" s="0" t="s">
        <v>432</v>
      </c>
      <c r="Q448" s="0" t="s">
        <v>1545</v>
      </c>
      <c r="R448" s="3"/>
      <c r="S448" s="2" t="s">
        <v>30</v>
      </c>
    </row>
    <row r="449" customFormat="false" ht="15" hidden="false" customHeight="false" outlineLevel="0" collapsed="false">
      <c r="A449" s="0" t="n">
        <v>448</v>
      </c>
      <c r="D449" s="0" t="s">
        <v>1546</v>
      </c>
      <c r="E449" s="0" t="s">
        <v>203</v>
      </c>
      <c r="H449" s="0" t="s">
        <v>21</v>
      </c>
      <c r="I449" s="2" t="s">
        <v>22</v>
      </c>
      <c r="J449" s="2" t="s">
        <v>672</v>
      </c>
      <c r="K449" s="0" t="s">
        <v>673</v>
      </c>
      <c r="L449" s="0" t="s">
        <v>25</v>
      </c>
      <c r="M449" s="0" t="s">
        <v>674</v>
      </c>
      <c r="N449" s="0" t="s">
        <v>1547</v>
      </c>
      <c r="O449" s="0" t="n">
        <v>1</v>
      </c>
      <c r="P449" s="0" t="s">
        <v>1548</v>
      </c>
      <c r="Q449" s="0" t="s">
        <v>1549</v>
      </c>
      <c r="R449" s="3"/>
      <c r="S449" s="2" t="s">
        <v>30</v>
      </c>
    </row>
    <row r="450" customFormat="false" ht="15" hidden="false" customHeight="false" outlineLevel="0" collapsed="false">
      <c r="A450" s="0" t="n">
        <v>449</v>
      </c>
      <c r="D450" s="0" t="s">
        <v>1550</v>
      </c>
      <c r="E450" s="0" t="s">
        <v>282</v>
      </c>
      <c r="H450" s="0" t="s">
        <v>21</v>
      </c>
      <c r="I450" s="2" t="s">
        <v>22</v>
      </c>
      <c r="J450" s="2" t="s">
        <v>672</v>
      </c>
      <c r="K450" s="0" t="s">
        <v>673</v>
      </c>
      <c r="L450" s="0" t="s">
        <v>25</v>
      </c>
      <c r="M450" s="0" t="s">
        <v>674</v>
      </c>
      <c r="N450" s="0" t="s">
        <v>1551</v>
      </c>
      <c r="O450" s="0" t="n">
        <v>1</v>
      </c>
      <c r="P450" s="0" t="s">
        <v>103</v>
      </c>
      <c r="Q450" s="0" t="s">
        <v>1552</v>
      </c>
      <c r="R450" s="3"/>
      <c r="S450" s="2" t="s">
        <v>30</v>
      </c>
    </row>
    <row r="451" customFormat="false" ht="15" hidden="false" customHeight="false" outlineLevel="0" collapsed="false">
      <c r="A451" s="0" t="n">
        <v>450</v>
      </c>
      <c r="D451" s="0" t="s">
        <v>1553</v>
      </c>
      <c r="E451" s="0" t="s">
        <v>20</v>
      </c>
      <c r="H451" s="0" t="s">
        <v>21</v>
      </c>
      <c r="I451" s="2" t="s">
        <v>22</v>
      </c>
      <c r="J451" s="2" t="s">
        <v>672</v>
      </c>
      <c r="K451" s="0" t="s">
        <v>673</v>
      </c>
      <c r="L451" s="0" t="s">
        <v>1554</v>
      </c>
      <c r="M451" s="0" t="s">
        <v>674</v>
      </c>
      <c r="N451" s="0" t="s">
        <v>1555</v>
      </c>
      <c r="O451" s="0" t="n">
        <v>1</v>
      </c>
      <c r="P451" s="0" t="s">
        <v>297</v>
      </c>
      <c r="Q451" s="0" t="s">
        <v>1556</v>
      </c>
      <c r="R451" s="3"/>
      <c r="S451" s="2" t="s">
        <v>1557</v>
      </c>
    </row>
    <row r="452" customFormat="false" ht="15" hidden="false" customHeight="false" outlineLevel="0" collapsed="false">
      <c r="A452" s="0" t="n">
        <v>451</v>
      </c>
      <c r="D452" s="0" t="s">
        <v>1558</v>
      </c>
      <c r="E452" s="0" t="s">
        <v>20</v>
      </c>
      <c r="H452" s="0" t="s">
        <v>21</v>
      </c>
      <c r="I452" s="2" t="s">
        <v>22</v>
      </c>
      <c r="J452" s="2" t="s">
        <v>672</v>
      </c>
      <c r="K452" s="0" t="s">
        <v>673</v>
      </c>
      <c r="L452" s="0" t="s">
        <v>1559</v>
      </c>
      <c r="M452" s="0" t="s">
        <v>674</v>
      </c>
      <c r="N452" s="0" t="s">
        <v>1560</v>
      </c>
      <c r="O452" s="0" t="n">
        <v>1</v>
      </c>
      <c r="P452" s="0" t="s">
        <v>902</v>
      </c>
      <c r="Q452" s="0" t="s">
        <v>1561</v>
      </c>
      <c r="R452" s="3"/>
      <c r="S452" s="2" t="s">
        <v>1562</v>
      </c>
    </row>
    <row r="453" customFormat="false" ht="15" hidden="false" customHeight="false" outlineLevel="0" collapsed="false">
      <c r="A453" s="0" t="n">
        <v>452</v>
      </c>
      <c r="D453" s="0" t="s">
        <v>1563</v>
      </c>
      <c r="E453" s="0" t="s">
        <v>20</v>
      </c>
      <c r="H453" s="0" t="s">
        <v>21</v>
      </c>
      <c r="I453" s="2" t="s">
        <v>22</v>
      </c>
      <c r="J453" s="2" t="s">
        <v>672</v>
      </c>
      <c r="K453" s="0" t="s">
        <v>673</v>
      </c>
      <c r="L453" s="0" t="s">
        <v>25</v>
      </c>
      <c r="M453" s="0" t="s">
        <v>674</v>
      </c>
      <c r="N453" s="0" t="s">
        <v>1564</v>
      </c>
      <c r="O453" s="0" t="n">
        <v>1</v>
      </c>
      <c r="P453" s="0" t="s">
        <v>748</v>
      </c>
      <c r="Q453" s="0" t="s">
        <v>1565</v>
      </c>
      <c r="R453" s="3"/>
      <c r="S453" s="2" t="s">
        <v>30</v>
      </c>
    </row>
    <row r="454" customFormat="false" ht="15" hidden="false" customHeight="false" outlineLevel="0" collapsed="false">
      <c r="A454" s="0" t="n">
        <v>453</v>
      </c>
      <c r="D454" s="0" t="s">
        <v>1566</v>
      </c>
      <c r="E454" s="0" t="s">
        <v>20</v>
      </c>
      <c r="H454" s="0" t="s">
        <v>21</v>
      </c>
      <c r="I454" s="2" t="s">
        <v>22</v>
      </c>
      <c r="J454" s="2" t="s">
        <v>672</v>
      </c>
      <c r="K454" s="0" t="s">
        <v>673</v>
      </c>
      <c r="L454" s="0" t="s">
        <v>25</v>
      </c>
      <c r="M454" s="0" t="s">
        <v>674</v>
      </c>
      <c r="N454" s="0" t="s">
        <v>1567</v>
      </c>
      <c r="O454" s="0" t="n">
        <v>1</v>
      </c>
      <c r="P454" s="0" t="s">
        <v>40</v>
      </c>
      <c r="Q454" s="0" t="s">
        <v>1568</v>
      </c>
      <c r="R454" s="3"/>
      <c r="S454" s="2" t="s">
        <v>30</v>
      </c>
    </row>
    <row r="455" customFormat="false" ht="15" hidden="false" customHeight="false" outlineLevel="0" collapsed="false">
      <c r="A455" s="0" t="n">
        <v>454</v>
      </c>
      <c r="D455" s="0" t="s">
        <v>1569</v>
      </c>
      <c r="E455" s="0" t="s">
        <v>20</v>
      </c>
      <c r="H455" s="0" t="s">
        <v>21</v>
      </c>
      <c r="I455" s="2" t="s">
        <v>22</v>
      </c>
      <c r="J455" s="2" t="s">
        <v>672</v>
      </c>
      <c r="K455" s="0" t="s">
        <v>673</v>
      </c>
      <c r="L455" s="0" t="s">
        <v>25</v>
      </c>
      <c r="M455" s="0" t="s">
        <v>674</v>
      </c>
      <c r="N455" s="0" t="s">
        <v>1570</v>
      </c>
      <c r="O455" s="0" t="n">
        <v>1</v>
      </c>
      <c r="P455" s="0" t="s">
        <v>95</v>
      </c>
      <c r="Q455" s="0" t="s">
        <v>1571</v>
      </c>
      <c r="R455" s="3"/>
      <c r="S455" s="2" t="s">
        <v>30</v>
      </c>
    </row>
    <row r="456" customFormat="false" ht="15" hidden="false" customHeight="false" outlineLevel="0" collapsed="false">
      <c r="A456" s="0" t="n">
        <v>455</v>
      </c>
      <c r="D456" s="0" t="s">
        <v>1572</v>
      </c>
      <c r="E456" s="0" t="s">
        <v>20</v>
      </c>
      <c r="H456" s="0" t="s">
        <v>21</v>
      </c>
      <c r="I456" s="2" t="s">
        <v>22</v>
      </c>
      <c r="J456" s="2" t="s">
        <v>672</v>
      </c>
      <c r="K456" s="0" t="s">
        <v>673</v>
      </c>
      <c r="L456" s="0" t="s">
        <v>25</v>
      </c>
      <c r="M456" s="0" t="s">
        <v>674</v>
      </c>
      <c r="N456" s="0" t="s">
        <v>1573</v>
      </c>
      <c r="O456" s="0" t="n">
        <v>1</v>
      </c>
      <c r="P456" s="0" t="s">
        <v>421</v>
      </c>
      <c r="Q456" s="0" t="s">
        <v>1574</v>
      </c>
      <c r="R456" s="3"/>
      <c r="S456" s="2" t="s">
        <v>30</v>
      </c>
    </row>
    <row r="457" customFormat="false" ht="15" hidden="false" customHeight="false" outlineLevel="0" collapsed="false">
      <c r="A457" s="0" t="n">
        <v>456</v>
      </c>
      <c r="D457" s="0" t="s">
        <v>1575</v>
      </c>
      <c r="E457" s="0" t="s">
        <v>20</v>
      </c>
      <c r="H457" s="0" t="s">
        <v>21</v>
      </c>
      <c r="I457" s="2" t="s">
        <v>22</v>
      </c>
      <c r="J457" s="2" t="s">
        <v>672</v>
      </c>
      <c r="K457" s="0" t="s">
        <v>673</v>
      </c>
      <c r="L457" s="0" t="s">
        <v>25</v>
      </c>
      <c r="M457" s="0" t="s">
        <v>674</v>
      </c>
      <c r="N457" s="0" t="s">
        <v>1576</v>
      </c>
      <c r="O457" s="0" t="n">
        <v>1</v>
      </c>
      <c r="P457" s="0" t="s">
        <v>701</v>
      </c>
      <c r="Q457" s="0" t="s">
        <v>1577</v>
      </c>
      <c r="R457" s="3"/>
      <c r="S457" s="2" t="s">
        <v>30</v>
      </c>
    </row>
    <row r="458" customFormat="false" ht="15" hidden="false" customHeight="false" outlineLevel="0" collapsed="false">
      <c r="A458" s="0" t="n">
        <v>457</v>
      </c>
      <c r="D458" s="0" t="s">
        <v>1578</v>
      </c>
      <c r="E458" s="0" t="s">
        <v>20</v>
      </c>
      <c r="H458" s="0" t="s">
        <v>21</v>
      </c>
      <c r="I458" s="2" t="s">
        <v>22</v>
      </c>
      <c r="J458" s="2" t="s">
        <v>672</v>
      </c>
      <c r="K458" s="0" t="s">
        <v>673</v>
      </c>
      <c r="L458" s="0" t="s">
        <v>1579</v>
      </c>
      <c r="M458" s="0" t="s">
        <v>674</v>
      </c>
      <c r="N458" s="0" t="s">
        <v>1580</v>
      </c>
      <c r="O458" s="0" t="n">
        <v>1</v>
      </c>
      <c r="P458" s="0" t="s">
        <v>421</v>
      </c>
      <c r="Q458" s="0" t="s">
        <v>1581</v>
      </c>
      <c r="R458" s="3"/>
      <c r="S458" s="2" t="s">
        <v>1582</v>
      </c>
    </row>
    <row r="459" customFormat="false" ht="15" hidden="false" customHeight="false" outlineLevel="0" collapsed="false">
      <c r="A459" s="0" t="n">
        <v>458</v>
      </c>
      <c r="D459" s="0" t="s">
        <v>1583</v>
      </c>
      <c r="E459" s="0" t="s">
        <v>20</v>
      </c>
      <c r="H459" s="0" t="s">
        <v>21</v>
      </c>
      <c r="I459" s="2" t="s">
        <v>22</v>
      </c>
      <c r="J459" s="2" t="s">
        <v>672</v>
      </c>
      <c r="K459" s="0" t="s">
        <v>673</v>
      </c>
      <c r="L459" s="0" t="s">
        <v>1584</v>
      </c>
      <c r="M459" s="0" t="s">
        <v>674</v>
      </c>
      <c r="N459" s="0" t="s">
        <v>1585</v>
      </c>
      <c r="O459" s="0" t="n">
        <v>1</v>
      </c>
      <c r="P459" s="0" t="s">
        <v>126</v>
      </c>
      <c r="Q459" s="0" t="s">
        <v>1586</v>
      </c>
      <c r="R459" s="3"/>
      <c r="S459" s="2" t="s">
        <v>1587</v>
      </c>
    </row>
    <row r="460" customFormat="false" ht="15" hidden="false" customHeight="false" outlineLevel="0" collapsed="false">
      <c r="A460" s="0" t="n">
        <v>459</v>
      </c>
      <c r="D460" s="0" t="s">
        <v>1588</v>
      </c>
      <c r="E460" s="0" t="s">
        <v>20</v>
      </c>
      <c r="H460" s="0" t="s">
        <v>21</v>
      </c>
      <c r="I460" s="2" t="s">
        <v>22</v>
      </c>
      <c r="J460" s="2" t="s">
        <v>672</v>
      </c>
      <c r="K460" s="0" t="s">
        <v>673</v>
      </c>
      <c r="L460" s="0" t="s">
        <v>25</v>
      </c>
      <c r="M460" s="0" t="s">
        <v>674</v>
      </c>
      <c r="N460" s="0" t="s">
        <v>1589</v>
      </c>
      <c r="O460" s="0" t="n">
        <v>1</v>
      </c>
      <c r="P460" s="0" t="s">
        <v>95</v>
      </c>
      <c r="Q460" s="0" t="s">
        <v>1590</v>
      </c>
      <c r="R460" s="3"/>
      <c r="S460" s="2" t="s">
        <v>30</v>
      </c>
    </row>
    <row r="461" customFormat="false" ht="15" hidden="false" customHeight="false" outlineLevel="0" collapsed="false">
      <c r="A461" s="0" t="n">
        <v>460</v>
      </c>
      <c r="D461" s="0" t="s">
        <v>1591</v>
      </c>
      <c r="E461" s="0" t="s">
        <v>20</v>
      </c>
      <c r="H461" s="0" t="s">
        <v>21</v>
      </c>
      <c r="I461" s="2" t="s">
        <v>22</v>
      </c>
      <c r="J461" s="2" t="s">
        <v>672</v>
      </c>
      <c r="K461" s="0" t="s">
        <v>673</v>
      </c>
      <c r="L461" s="0" t="s">
        <v>1592</v>
      </c>
      <c r="M461" s="0" t="s">
        <v>674</v>
      </c>
      <c r="N461" s="0" t="s">
        <v>1593</v>
      </c>
      <c r="O461" s="0" t="n">
        <v>1</v>
      </c>
      <c r="P461" s="0" t="s">
        <v>347</v>
      </c>
      <c r="Q461" s="0" t="s">
        <v>1594</v>
      </c>
      <c r="R461" s="3"/>
      <c r="S461" s="2" t="s">
        <v>1595</v>
      </c>
    </row>
    <row r="462" customFormat="false" ht="15" hidden="false" customHeight="false" outlineLevel="0" collapsed="false">
      <c r="A462" s="0" t="n">
        <v>461</v>
      </c>
      <c r="D462" s="0" t="s">
        <v>1596</v>
      </c>
      <c r="E462" s="0" t="s">
        <v>20</v>
      </c>
      <c r="H462" s="0" t="s">
        <v>21</v>
      </c>
      <c r="I462" s="2" t="s">
        <v>22</v>
      </c>
      <c r="J462" s="2" t="s">
        <v>672</v>
      </c>
      <c r="K462" s="0" t="s">
        <v>673</v>
      </c>
      <c r="L462" s="0" t="s">
        <v>25</v>
      </c>
      <c r="M462" s="0" t="s">
        <v>674</v>
      </c>
      <c r="N462" s="0" t="s">
        <v>1597</v>
      </c>
      <c r="O462" s="0" t="n">
        <v>1</v>
      </c>
      <c r="P462" s="0" t="s">
        <v>479</v>
      </c>
      <c r="Q462" s="0" t="s">
        <v>1598</v>
      </c>
      <c r="R462" s="3"/>
      <c r="S462" s="2" t="s">
        <v>30</v>
      </c>
    </row>
    <row r="463" customFormat="false" ht="15" hidden="false" customHeight="false" outlineLevel="0" collapsed="false">
      <c r="A463" s="0" t="n">
        <v>462</v>
      </c>
      <c r="D463" s="0" t="s">
        <v>1599</v>
      </c>
      <c r="E463" s="0" t="s">
        <v>1600</v>
      </c>
      <c r="H463" s="0" t="s">
        <v>21</v>
      </c>
      <c r="I463" s="2" t="s">
        <v>22</v>
      </c>
      <c r="J463" s="2" t="s">
        <v>672</v>
      </c>
      <c r="K463" s="0" t="s">
        <v>673</v>
      </c>
      <c r="L463" s="0" t="s">
        <v>25</v>
      </c>
      <c r="M463" s="0" t="s">
        <v>674</v>
      </c>
      <c r="N463" s="0" t="s">
        <v>1601</v>
      </c>
      <c r="O463" s="0" t="n">
        <v>1</v>
      </c>
      <c r="P463" s="0" t="s">
        <v>297</v>
      </c>
      <c r="Q463" s="0" t="s">
        <v>1602</v>
      </c>
      <c r="R463" s="3"/>
      <c r="S463" s="2" t="s">
        <v>30</v>
      </c>
    </row>
    <row r="464" customFormat="false" ht="15" hidden="false" customHeight="false" outlineLevel="0" collapsed="false">
      <c r="A464" s="0" t="n">
        <v>463</v>
      </c>
      <c r="D464" s="0" t="s">
        <v>1603</v>
      </c>
      <c r="E464" s="0" t="s">
        <v>20</v>
      </c>
      <c r="H464" s="0" t="s">
        <v>21</v>
      </c>
      <c r="I464" s="2" t="s">
        <v>22</v>
      </c>
      <c r="J464" s="2" t="s">
        <v>672</v>
      </c>
      <c r="K464" s="0" t="s">
        <v>673</v>
      </c>
      <c r="L464" s="0" t="s">
        <v>25</v>
      </c>
      <c r="M464" s="0" t="s">
        <v>674</v>
      </c>
      <c r="N464" s="0" t="s">
        <v>1604</v>
      </c>
      <c r="O464" s="0" t="n">
        <v>1</v>
      </c>
      <c r="P464" s="0" t="s">
        <v>28</v>
      </c>
      <c r="Q464" s="0" t="s">
        <v>1605</v>
      </c>
      <c r="R464" s="3"/>
      <c r="S464" s="2" t="s">
        <v>30</v>
      </c>
    </row>
    <row r="465" customFormat="false" ht="15" hidden="false" customHeight="false" outlineLevel="0" collapsed="false">
      <c r="A465" s="0" t="n">
        <v>464</v>
      </c>
      <c r="D465" s="0" t="s">
        <v>1606</v>
      </c>
      <c r="E465" s="0" t="s">
        <v>20</v>
      </c>
      <c r="H465" s="0" t="s">
        <v>21</v>
      </c>
      <c r="I465" s="2" t="s">
        <v>22</v>
      </c>
      <c r="J465" s="2" t="s">
        <v>672</v>
      </c>
      <c r="K465" s="0" t="s">
        <v>673</v>
      </c>
      <c r="L465" s="0" t="s">
        <v>25</v>
      </c>
      <c r="M465" s="0" t="s">
        <v>674</v>
      </c>
      <c r="N465" s="0" t="s">
        <v>1607</v>
      </c>
      <c r="O465" s="0" t="n">
        <v>1</v>
      </c>
      <c r="P465" s="0" t="s">
        <v>61</v>
      </c>
      <c r="Q465" s="0" t="s">
        <v>1608</v>
      </c>
      <c r="R465" s="3"/>
      <c r="S465" s="2" t="s">
        <v>30</v>
      </c>
    </row>
    <row r="466" customFormat="false" ht="15" hidden="false" customHeight="false" outlineLevel="0" collapsed="false">
      <c r="A466" s="0" t="n">
        <v>465</v>
      </c>
      <c r="D466" s="0" t="s">
        <v>1609</v>
      </c>
      <c r="E466" s="0" t="s">
        <v>1610</v>
      </c>
      <c r="H466" s="0" t="s">
        <v>21</v>
      </c>
      <c r="I466" s="2" t="s">
        <v>22</v>
      </c>
      <c r="J466" s="2" t="s">
        <v>672</v>
      </c>
      <c r="K466" s="0" t="s">
        <v>673</v>
      </c>
      <c r="L466" s="0" t="s">
        <v>25</v>
      </c>
      <c r="M466" s="0" t="s">
        <v>674</v>
      </c>
      <c r="N466" s="0" t="s">
        <v>1611</v>
      </c>
      <c r="O466" s="0" t="n">
        <v>1</v>
      </c>
      <c r="P466" s="0" t="s">
        <v>701</v>
      </c>
      <c r="Q466" s="0" t="s">
        <v>1612</v>
      </c>
      <c r="R466" s="3"/>
      <c r="S466" s="2" t="s">
        <v>30</v>
      </c>
    </row>
    <row r="467" customFormat="false" ht="15" hidden="false" customHeight="false" outlineLevel="0" collapsed="false">
      <c r="A467" s="0" t="n">
        <v>466</v>
      </c>
      <c r="D467" s="0" t="s">
        <v>1613</v>
      </c>
      <c r="E467" s="0" t="s">
        <v>20</v>
      </c>
      <c r="H467" s="0" t="s">
        <v>21</v>
      </c>
      <c r="I467" s="2" t="s">
        <v>22</v>
      </c>
      <c r="J467" s="2" t="s">
        <v>672</v>
      </c>
      <c r="K467" s="0" t="s">
        <v>673</v>
      </c>
      <c r="L467" s="0" t="s">
        <v>25</v>
      </c>
      <c r="M467" s="0" t="s">
        <v>674</v>
      </c>
      <c r="N467" s="0" t="s">
        <v>1614</v>
      </c>
      <c r="O467" s="0" t="n">
        <v>1</v>
      </c>
      <c r="P467" s="0" t="s">
        <v>262</v>
      </c>
      <c r="Q467" s="0" t="s">
        <v>1615</v>
      </c>
      <c r="R467" s="3"/>
      <c r="S467" s="2" t="s">
        <v>30</v>
      </c>
    </row>
    <row r="468" customFormat="false" ht="15" hidden="false" customHeight="false" outlineLevel="0" collapsed="false">
      <c r="A468" s="0" t="n">
        <v>467</v>
      </c>
      <c r="D468" s="0" t="s">
        <v>1616</v>
      </c>
      <c r="E468" s="0" t="s">
        <v>1617</v>
      </c>
      <c r="H468" s="0" t="s">
        <v>21</v>
      </c>
      <c r="I468" s="2" t="s">
        <v>22</v>
      </c>
      <c r="J468" s="2" t="s">
        <v>672</v>
      </c>
      <c r="K468" s="0" t="s">
        <v>673</v>
      </c>
      <c r="L468" s="0" t="s">
        <v>25</v>
      </c>
      <c r="M468" s="0" t="s">
        <v>674</v>
      </c>
      <c r="N468" s="0" t="s">
        <v>1618</v>
      </c>
      <c r="O468" s="0" t="n">
        <v>1</v>
      </c>
      <c r="P468" s="0" t="s">
        <v>130</v>
      </c>
      <c r="Q468" s="0" t="s">
        <v>1619</v>
      </c>
      <c r="R468" s="3"/>
      <c r="S468" s="2" t="s">
        <v>30</v>
      </c>
    </row>
    <row r="469" customFormat="false" ht="15" hidden="false" customHeight="false" outlineLevel="0" collapsed="false">
      <c r="A469" s="0" t="n">
        <v>468</v>
      </c>
      <c r="D469" s="0" t="s">
        <v>1620</v>
      </c>
      <c r="E469" s="0" t="s">
        <v>20</v>
      </c>
      <c r="H469" s="0" t="s">
        <v>21</v>
      </c>
      <c r="I469" s="2" t="s">
        <v>22</v>
      </c>
      <c r="J469" s="2" t="s">
        <v>672</v>
      </c>
      <c r="K469" s="0" t="s">
        <v>673</v>
      </c>
      <c r="L469" s="0" t="s">
        <v>25</v>
      </c>
      <c r="M469" s="0" t="s">
        <v>674</v>
      </c>
      <c r="N469" s="0" t="s">
        <v>1621</v>
      </c>
      <c r="O469" s="0" t="n">
        <v>1</v>
      </c>
      <c r="P469" s="0" t="s">
        <v>103</v>
      </c>
      <c r="Q469" s="0" t="s">
        <v>1622</v>
      </c>
      <c r="R469" s="3"/>
      <c r="S469" s="2" t="s">
        <v>30</v>
      </c>
    </row>
    <row r="470" customFormat="false" ht="15" hidden="false" customHeight="false" outlineLevel="0" collapsed="false">
      <c r="A470" s="0" t="n">
        <v>469</v>
      </c>
      <c r="D470" s="0" t="s">
        <v>1623</v>
      </c>
      <c r="E470" s="0" t="s">
        <v>282</v>
      </c>
      <c r="H470" s="0" t="s">
        <v>21</v>
      </c>
      <c r="I470" s="2" t="s">
        <v>22</v>
      </c>
      <c r="J470" s="2" t="s">
        <v>672</v>
      </c>
      <c r="K470" s="0" t="s">
        <v>673</v>
      </c>
      <c r="L470" s="0" t="s">
        <v>25</v>
      </c>
      <c r="M470" s="0" t="s">
        <v>674</v>
      </c>
      <c r="N470" s="0" t="s">
        <v>1624</v>
      </c>
      <c r="O470" s="0" t="n">
        <v>1</v>
      </c>
      <c r="P470" s="0" t="s">
        <v>57</v>
      </c>
      <c r="Q470" s="0" t="s">
        <v>1625</v>
      </c>
      <c r="R470" s="3"/>
      <c r="S470" s="2" t="s">
        <v>30</v>
      </c>
    </row>
    <row r="471" customFormat="false" ht="15" hidden="false" customHeight="false" outlineLevel="0" collapsed="false">
      <c r="A471" s="0" t="n">
        <v>470</v>
      </c>
      <c r="D471" s="0" t="s">
        <v>1626</v>
      </c>
      <c r="E471" s="0" t="s">
        <v>20</v>
      </c>
      <c r="H471" s="0" t="s">
        <v>21</v>
      </c>
      <c r="I471" s="2" t="s">
        <v>22</v>
      </c>
      <c r="J471" s="2" t="s">
        <v>672</v>
      </c>
      <c r="K471" s="0" t="s">
        <v>673</v>
      </c>
      <c r="L471" s="0" t="s">
        <v>1627</v>
      </c>
      <c r="M471" s="0" t="s">
        <v>674</v>
      </c>
      <c r="N471" s="0" t="s">
        <v>1628</v>
      </c>
      <c r="O471" s="0" t="n">
        <v>1</v>
      </c>
      <c r="P471" s="0" t="s">
        <v>130</v>
      </c>
      <c r="Q471" s="0" t="s">
        <v>1629</v>
      </c>
      <c r="R471" s="3"/>
      <c r="S471" s="2" t="s">
        <v>1630</v>
      </c>
    </row>
    <row r="472" customFormat="false" ht="15" hidden="false" customHeight="false" outlineLevel="0" collapsed="false">
      <c r="A472" s="0" t="n">
        <v>471</v>
      </c>
      <c r="D472" s="0" t="s">
        <v>1631</v>
      </c>
      <c r="E472" s="0" t="s">
        <v>20</v>
      </c>
      <c r="H472" s="0" t="s">
        <v>21</v>
      </c>
      <c r="I472" s="2" t="s">
        <v>22</v>
      </c>
      <c r="J472" s="2" t="s">
        <v>672</v>
      </c>
      <c r="K472" s="0" t="s">
        <v>673</v>
      </c>
      <c r="L472" s="0" t="s">
        <v>25</v>
      </c>
      <c r="M472" s="0" t="s">
        <v>674</v>
      </c>
      <c r="N472" s="0" t="s">
        <v>1632</v>
      </c>
      <c r="O472" s="0" t="n">
        <v>1</v>
      </c>
      <c r="P472" s="0" t="s">
        <v>103</v>
      </c>
      <c r="Q472" s="0" t="s">
        <v>1633</v>
      </c>
      <c r="R472" s="3"/>
      <c r="S472" s="2" t="s">
        <v>30</v>
      </c>
    </row>
    <row r="473" customFormat="false" ht="15" hidden="false" customHeight="false" outlineLevel="0" collapsed="false">
      <c r="A473" s="0" t="n">
        <v>472</v>
      </c>
      <c r="D473" s="0" t="s">
        <v>1634</v>
      </c>
      <c r="E473" s="0" t="s">
        <v>20</v>
      </c>
      <c r="H473" s="0" t="s">
        <v>21</v>
      </c>
      <c r="I473" s="2" t="s">
        <v>22</v>
      </c>
      <c r="J473" s="2" t="s">
        <v>672</v>
      </c>
      <c r="K473" s="0" t="s">
        <v>673</v>
      </c>
      <c r="L473" s="0" t="s">
        <v>1635</v>
      </c>
      <c r="M473" s="0" t="s">
        <v>674</v>
      </c>
      <c r="N473" s="0" t="s">
        <v>1636</v>
      </c>
      <c r="O473" s="0" t="n">
        <v>1</v>
      </c>
      <c r="P473" s="0" t="s">
        <v>40</v>
      </c>
      <c r="Q473" s="0" t="s">
        <v>1637</v>
      </c>
      <c r="R473" s="3"/>
      <c r="S473" s="2" t="s">
        <v>1638</v>
      </c>
    </row>
    <row r="474" customFormat="false" ht="15" hidden="false" customHeight="false" outlineLevel="0" collapsed="false">
      <c r="A474" s="0" t="n">
        <v>473</v>
      </c>
      <c r="D474" s="0" t="s">
        <v>1639</v>
      </c>
      <c r="E474" s="0" t="s">
        <v>20</v>
      </c>
      <c r="H474" s="0" t="s">
        <v>21</v>
      </c>
      <c r="I474" s="2" t="s">
        <v>22</v>
      </c>
      <c r="J474" s="2" t="s">
        <v>672</v>
      </c>
      <c r="K474" s="0" t="s">
        <v>673</v>
      </c>
      <c r="L474" s="0" t="s">
        <v>25</v>
      </c>
      <c r="M474" s="0" t="s">
        <v>674</v>
      </c>
      <c r="N474" s="0" t="s">
        <v>1640</v>
      </c>
      <c r="O474" s="0" t="n">
        <v>1</v>
      </c>
      <c r="P474" s="0" t="s">
        <v>134</v>
      </c>
      <c r="Q474" s="0" t="s">
        <v>1641</v>
      </c>
      <c r="R474" s="3"/>
      <c r="S474" s="2" t="s">
        <v>30</v>
      </c>
    </row>
    <row r="475" customFormat="false" ht="15" hidden="false" customHeight="false" outlineLevel="0" collapsed="false">
      <c r="A475" s="0" t="n">
        <v>474</v>
      </c>
      <c r="D475" s="0" t="s">
        <v>1642</v>
      </c>
      <c r="E475" s="0" t="s">
        <v>20</v>
      </c>
      <c r="H475" s="0" t="s">
        <v>21</v>
      </c>
      <c r="I475" s="2" t="s">
        <v>22</v>
      </c>
      <c r="J475" s="2" t="s">
        <v>672</v>
      </c>
      <c r="K475" s="0" t="s">
        <v>673</v>
      </c>
      <c r="L475" s="0" t="s">
        <v>1643</v>
      </c>
      <c r="M475" s="0" t="s">
        <v>674</v>
      </c>
      <c r="N475" s="0" t="s">
        <v>1644</v>
      </c>
      <c r="O475" s="0" t="n">
        <v>1</v>
      </c>
      <c r="P475" s="0" t="s">
        <v>421</v>
      </c>
      <c r="Q475" s="0" t="s">
        <v>1645</v>
      </c>
      <c r="R475" s="3"/>
      <c r="S475" s="2" t="s">
        <v>1646</v>
      </c>
    </row>
    <row r="476" customFormat="false" ht="15" hidden="false" customHeight="false" outlineLevel="0" collapsed="false">
      <c r="A476" s="0" t="n">
        <v>475</v>
      </c>
      <c r="D476" s="0" t="s">
        <v>1647</v>
      </c>
      <c r="E476" s="0" t="s">
        <v>20</v>
      </c>
      <c r="H476" s="0" t="s">
        <v>21</v>
      </c>
      <c r="I476" s="2" t="s">
        <v>22</v>
      </c>
      <c r="J476" s="2" t="s">
        <v>672</v>
      </c>
      <c r="K476" s="0" t="s">
        <v>673</v>
      </c>
      <c r="L476" s="0" t="s">
        <v>25</v>
      </c>
      <c r="M476" s="0" t="s">
        <v>674</v>
      </c>
      <c r="N476" s="0" t="s">
        <v>1648</v>
      </c>
      <c r="O476" s="0" t="n">
        <v>1</v>
      </c>
      <c r="P476" s="0" t="s">
        <v>262</v>
      </c>
      <c r="Q476" s="0" t="s">
        <v>1649</v>
      </c>
      <c r="R476" s="3"/>
      <c r="S476" s="2" t="s">
        <v>30</v>
      </c>
    </row>
    <row r="477" customFormat="false" ht="15" hidden="false" customHeight="false" outlineLevel="0" collapsed="false">
      <c r="A477" s="0" t="n">
        <v>476</v>
      </c>
      <c r="D477" s="0" t="s">
        <v>1650</v>
      </c>
      <c r="E477" s="0" t="s">
        <v>20</v>
      </c>
      <c r="H477" s="0" t="s">
        <v>21</v>
      </c>
      <c r="I477" s="2" t="s">
        <v>22</v>
      </c>
      <c r="J477" s="2" t="s">
        <v>672</v>
      </c>
      <c r="K477" s="0" t="s">
        <v>673</v>
      </c>
      <c r="L477" s="0" t="s">
        <v>25</v>
      </c>
      <c r="M477" s="0" t="s">
        <v>674</v>
      </c>
      <c r="N477" s="0" t="s">
        <v>1651</v>
      </c>
      <c r="O477" s="0" t="n">
        <v>1</v>
      </c>
      <c r="P477" s="0" t="s">
        <v>479</v>
      </c>
      <c r="Q477" s="0" t="s">
        <v>1652</v>
      </c>
      <c r="R477" s="3"/>
      <c r="S477" s="2" t="s">
        <v>30</v>
      </c>
    </row>
    <row r="478" customFormat="false" ht="15" hidden="false" customHeight="false" outlineLevel="0" collapsed="false">
      <c r="A478" s="0" t="n">
        <v>477</v>
      </c>
      <c r="D478" s="0" t="s">
        <v>1653</v>
      </c>
      <c r="E478" s="0" t="s">
        <v>20</v>
      </c>
      <c r="H478" s="0" t="s">
        <v>21</v>
      </c>
      <c r="I478" s="2" t="s">
        <v>22</v>
      </c>
      <c r="J478" s="2" t="s">
        <v>672</v>
      </c>
      <c r="K478" s="0" t="s">
        <v>673</v>
      </c>
      <c r="L478" s="0" t="s">
        <v>25</v>
      </c>
      <c r="M478" s="0" t="s">
        <v>674</v>
      </c>
      <c r="N478" s="0" t="s">
        <v>1654</v>
      </c>
      <c r="O478" s="0" t="n">
        <v>1</v>
      </c>
      <c r="P478" s="0" t="s">
        <v>479</v>
      </c>
      <c r="Q478" s="0" t="s">
        <v>1655</v>
      </c>
      <c r="R478" s="3"/>
      <c r="S478" s="2" t="s">
        <v>30</v>
      </c>
    </row>
    <row r="479" customFormat="false" ht="15" hidden="false" customHeight="false" outlineLevel="0" collapsed="false">
      <c r="A479" s="0" t="n">
        <v>478</v>
      </c>
      <c r="D479" s="0" t="s">
        <v>1656</v>
      </c>
      <c r="E479" s="0" t="s">
        <v>20</v>
      </c>
      <c r="H479" s="0" t="s">
        <v>21</v>
      </c>
      <c r="I479" s="2" t="s">
        <v>22</v>
      </c>
      <c r="J479" s="2" t="s">
        <v>672</v>
      </c>
      <c r="K479" s="0" t="s">
        <v>673</v>
      </c>
      <c r="L479" s="0" t="s">
        <v>25</v>
      </c>
      <c r="M479" s="0" t="s">
        <v>674</v>
      </c>
      <c r="N479" s="0" t="s">
        <v>1657</v>
      </c>
      <c r="O479" s="0" t="n">
        <v>1</v>
      </c>
      <c r="P479" s="0" t="s">
        <v>126</v>
      </c>
      <c r="Q479" s="0" t="s">
        <v>1658</v>
      </c>
      <c r="R479" s="3"/>
      <c r="S479" s="2" t="s">
        <v>30</v>
      </c>
    </row>
    <row r="480" customFormat="false" ht="15" hidden="false" customHeight="false" outlineLevel="0" collapsed="false">
      <c r="A480" s="0" t="n">
        <v>479</v>
      </c>
      <c r="D480" s="0" t="s">
        <v>1659</v>
      </c>
      <c r="E480" s="0" t="s">
        <v>282</v>
      </c>
      <c r="H480" s="0" t="s">
        <v>21</v>
      </c>
      <c r="I480" s="2" t="s">
        <v>22</v>
      </c>
      <c r="J480" s="2" t="s">
        <v>672</v>
      </c>
      <c r="K480" s="0" t="s">
        <v>673</v>
      </c>
      <c r="L480" s="0" t="s">
        <v>25</v>
      </c>
      <c r="M480" s="0" t="s">
        <v>674</v>
      </c>
      <c r="N480" s="0" t="s">
        <v>1660</v>
      </c>
      <c r="O480" s="0" t="n">
        <v>1</v>
      </c>
      <c r="P480" s="0" t="s">
        <v>297</v>
      </c>
      <c r="Q480" s="0" t="s">
        <v>1661</v>
      </c>
      <c r="R480" s="3"/>
      <c r="S480" s="2" t="s">
        <v>30</v>
      </c>
    </row>
    <row r="481" customFormat="false" ht="15" hidden="false" customHeight="false" outlineLevel="0" collapsed="false">
      <c r="A481" s="0" t="n">
        <v>480</v>
      </c>
      <c r="D481" s="0" t="s">
        <v>1662</v>
      </c>
      <c r="E481" s="0" t="s">
        <v>20</v>
      </c>
      <c r="H481" s="0" t="s">
        <v>21</v>
      </c>
      <c r="I481" s="2" t="s">
        <v>22</v>
      </c>
      <c r="J481" s="2" t="s">
        <v>672</v>
      </c>
      <c r="K481" s="0" t="s">
        <v>673</v>
      </c>
      <c r="L481" s="0" t="s">
        <v>25</v>
      </c>
      <c r="M481" s="0" t="s">
        <v>674</v>
      </c>
      <c r="N481" s="0" t="s">
        <v>1663</v>
      </c>
      <c r="O481" s="0" t="n">
        <v>1</v>
      </c>
      <c r="P481" s="0" t="s">
        <v>130</v>
      </c>
      <c r="Q481" s="0" t="s">
        <v>1664</v>
      </c>
      <c r="R481" s="3"/>
      <c r="S481" s="2" t="s">
        <v>30</v>
      </c>
    </row>
    <row r="482" customFormat="false" ht="15" hidden="false" customHeight="false" outlineLevel="0" collapsed="false">
      <c r="A482" s="0" t="n">
        <v>481</v>
      </c>
      <c r="D482" s="0" t="s">
        <v>1665</v>
      </c>
      <c r="E482" s="0" t="s">
        <v>20</v>
      </c>
      <c r="H482" s="0" t="s">
        <v>21</v>
      </c>
      <c r="I482" s="2" t="s">
        <v>22</v>
      </c>
      <c r="J482" s="2" t="s">
        <v>672</v>
      </c>
      <c r="K482" s="0" t="s">
        <v>673</v>
      </c>
      <c r="L482" s="0" t="s">
        <v>25</v>
      </c>
      <c r="M482" s="0" t="s">
        <v>674</v>
      </c>
      <c r="N482" s="0" t="s">
        <v>1666</v>
      </c>
      <c r="O482" s="0" t="n">
        <v>1</v>
      </c>
      <c r="P482" s="0" t="s">
        <v>902</v>
      </c>
      <c r="Q482" s="0" t="s">
        <v>1667</v>
      </c>
      <c r="R482" s="3"/>
      <c r="S482" s="2" t="s">
        <v>30</v>
      </c>
    </row>
    <row r="483" customFormat="false" ht="15" hidden="false" customHeight="false" outlineLevel="0" collapsed="false">
      <c r="A483" s="0" t="n">
        <v>482</v>
      </c>
      <c r="D483" s="0" t="s">
        <v>1668</v>
      </c>
      <c r="E483" s="0" t="s">
        <v>268</v>
      </c>
      <c r="H483" s="0" t="s">
        <v>21</v>
      </c>
      <c r="I483" s="2" t="s">
        <v>22</v>
      </c>
      <c r="J483" s="2" t="s">
        <v>672</v>
      </c>
      <c r="K483" s="0" t="s">
        <v>673</v>
      </c>
      <c r="L483" s="0" t="s">
        <v>25</v>
      </c>
      <c r="M483" s="0" t="s">
        <v>674</v>
      </c>
      <c r="N483" s="0" t="s">
        <v>1669</v>
      </c>
      <c r="O483" s="0" t="n">
        <v>1</v>
      </c>
      <c r="P483" s="0" t="s">
        <v>507</v>
      </c>
      <c r="Q483" s="0" t="s">
        <v>1670</v>
      </c>
      <c r="R483" s="3"/>
      <c r="S483" s="2" t="s">
        <v>30</v>
      </c>
    </row>
    <row r="484" customFormat="false" ht="15" hidden="false" customHeight="false" outlineLevel="0" collapsed="false">
      <c r="A484" s="0" t="n">
        <v>483</v>
      </c>
      <c r="D484" s="0" t="s">
        <v>1671</v>
      </c>
      <c r="E484" s="0" t="s">
        <v>268</v>
      </c>
      <c r="H484" s="0" t="s">
        <v>21</v>
      </c>
      <c r="I484" s="2" t="s">
        <v>22</v>
      </c>
      <c r="J484" s="2" t="s">
        <v>672</v>
      </c>
      <c r="K484" s="0" t="s">
        <v>673</v>
      </c>
      <c r="L484" s="0" t="s">
        <v>25</v>
      </c>
      <c r="M484" s="0" t="s">
        <v>674</v>
      </c>
      <c r="N484" s="0" t="s">
        <v>1672</v>
      </c>
      <c r="O484" s="0" t="n">
        <v>1</v>
      </c>
      <c r="P484" s="0" t="s">
        <v>1067</v>
      </c>
      <c r="Q484" s="0" t="s">
        <v>1673</v>
      </c>
      <c r="R484" s="3"/>
      <c r="S484" s="2" t="s">
        <v>30</v>
      </c>
    </row>
    <row r="485" customFormat="false" ht="15" hidden="false" customHeight="false" outlineLevel="0" collapsed="false">
      <c r="A485" s="0" t="n">
        <v>484</v>
      </c>
      <c r="D485" s="0" t="s">
        <v>1674</v>
      </c>
      <c r="E485" s="0" t="s">
        <v>20</v>
      </c>
      <c r="H485" s="0" t="s">
        <v>21</v>
      </c>
      <c r="I485" s="2" t="s">
        <v>22</v>
      </c>
      <c r="J485" s="2" t="s">
        <v>672</v>
      </c>
      <c r="K485" s="0" t="s">
        <v>673</v>
      </c>
      <c r="L485" s="0" t="s">
        <v>25</v>
      </c>
      <c r="M485" s="0" t="s">
        <v>674</v>
      </c>
      <c r="N485" s="0" t="s">
        <v>1675</v>
      </c>
      <c r="O485" s="0" t="n">
        <v>1</v>
      </c>
      <c r="P485" s="0" t="s">
        <v>61</v>
      </c>
      <c r="Q485" s="0" t="s">
        <v>1676</v>
      </c>
      <c r="R485" s="3"/>
      <c r="S485" s="2" t="s">
        <v>30</v>
      </c>
    </row>
    <row r="486" customFormat="false" ht="15" hidden="false" customHeight="false" outlineLevel="0" collapsed="false">
      <c r="A486" s="0" t="n">
        <v>485</v>
      </c>
      <c r="D486" s="0" t="s">
        <v>1677</v>
      </c>
      <c r="E486" s="0" t="s">
        <v>20</v>
      </c>
      <c r="H486" s="0" t="s">
        <v>21</v>
      </c>
      <c r="I486" s="2" t="s">
        <v>22</v>
      </c>
      <c r="J486" s="2" t="s">
        <v>672</v>
      </c>
      <c r="K486" s="0" t="s">
        <v>673</v>
      </c>
      <c r="L486" s="0" t="s">
        <v>25</v>
      </c>
      <c r="M486" s="0" t="s">
        <v>674</v>
      </c>
      <c r="N486" s="0" t="s">
        <v>1678</v>
      </c>
      <c r="O486" s="0" t="n">
        <v>1</v>
      </c>
      <c r="P486" s="0" t="s">
        <v>313</v>
      </c>
      <c r="Q486" s="0" t="s">
        <v>1679</v>
      </c>
      <c r="R486" s="3"/>
      <c r="S486" s="2" t="s">
        <v>30</v>
      </c>
    </row>
    <row r="487" customFormat="false" ht="15" hidden="false" customHeight="false" outlineLevel="0" collapsed="false">
      <c r="A487" s="0" t="n">
        <v>486</v>
      </c>
      <c r="D487" s="0" t="s">
        <v>1680</v>
      </c>
      <c r="E487" s="0" t="s">
        <v>20</v>
      </c>
      <c r="H487" s="0" t="s">
        <v>21</v>
      </c>
      <c r="I487" s="2" t="s">
        <v>22</v>
      </c>
      <c r="J487" s="2" t="s">
        <v>672</v>
      </c>
      <c r="K487" s="0" t="s">
        <v>673</v>
      </c>
      <c r="L487" s="0" t="s">
        <v>25</v>
      </c>
      <c r="M487" s="0" t="s">
        <v>674</v>
      </c>
      <c r="N487" s="0" t="s">
        <v>1681</v>
      </c>
      <c r="O487" s="0" t="n">
        <v>1</v>
      </c>
      <c r="P487" s="0" t="s">
        <v>507</v>
      </c>
      <c r="Q487" s="0" t="s">
        <v>1682</v>
      </c>
      <c r="R487" s="3"/>
      <c r="S487" s="2" t="s">
        <v>30</v>
      </c>
    </row>
    <row r="488" customFormat="false" ht="15" hidden="false" customHeight="false" outlineLevel="0" collapsed="false">
      <c r="A488" s="0" t="n">
        <v>487</v>
      </c>
      <c r="D488" s="0" t="s">
        <v>1683</v>
      </c>
      <c r="E488" s="0" t="s">
        <v>20</v>
      </c>
      <c r="H488" s="0" t="s">
        <v>21</v>
      </c>
      <c r="I488" s="2" t="s">
        <v>22</v>
      </c>
      <c r="J488" s="2" t="s">
        <v>672</v>
      </c>
      <c r="K488" s="0" t="s">
        <v>673</v>
      </c>
      <c r="L488" s="0" t="s">
        <v>25</v>
      </c>
      <c r="M488" s="0" t="s">
        <v>674</v>
      </c>
      <c r="N488" s="0" t="s">
        <v>1684</v>
      </c>
      <c r="O488" s="0" t="n">
        <v>1</v>
      </c>
      <c r="P488" s="0" t="s">
        <v>116</v>
      </c>
      <c r="Q488" s="0" t="s">
        <v>1685</v>
      </c>
      <c r="R488" s="3"/>
      <c r="S488" s="2" t="s">
        <v>30</v>
      </c>
    </row>
    <row r="489" customFormat="false" ht="15" hidden="false" customHeight="false" outlineLevel="0" collapsed="false">
      <c r="A489" s="0" t="n">
        <v>488</v>
      </c>
      <c r="D489" s="0" t="s">
        <v>1686</v>
      </c>
      <c r="E489" s="0" t="s">
        <v>20</v>
      </c>
      <c r="H489" s="0" t="s">
        <v>21</v>
      </c>
      <c r="I489" s="2" t="s">
        <v>22</v>
      </c>
      <c r="J489" s="2" t="s">
        <v>672</v>
      </c>
      <c r="K489" s="0" t="s">
        <v>673</v>
      </c>
      <c r="L489" s="0" t="s">
        <v>25</v>
      </c>
      <c r="M489" s="0" t="s">
        <v>674</v>
      </c>
      <c r="N489" s="0" t="s">
        <v>1687</v>
      </c>
      <c r="O489" s="0" t="n">
        <v>1</v>
      </c>
      <c r="P489" s="0" t="s">
        <v>130</v>
      </c>
      <c r="Q489" s="0" t="s">
        <v>1688</v>
      </c>
      <c r="R489" s="3"/>
      <c r="S489" s="2" t="s">
        <v>30</v>
      </c>
    </row>
    <row r="490" customFormat="false" ht="15" hidden="false" customHeight="false" outlineLevel="0" collapsed="false">
      <c r="A490" s="0" t="n">
        <v>489</v>
      </c>
      <c r="D490" s="0" t="s">
        <v>1689</v>
      </c>
      <c r="E490" s="0" t="s">
        <v>20</v>
      </c>
      <c r="H490" s="0" t="s">
        <v>21</v>
      </c>
      <c r="I490" s="2" t="s">
        <v>22</v>
      </c>
      <c r="J490" s="2" t="s">
        <v>672</v>
      </c>
      <c r="K490" s="0" t="s">
        <v>673</v>
      </c>
      <c r="L490" s="0" t="s">
        <v>25</v>
      </c>
      <c r="M490" s="0" t="s">
        <v>674</v>
      </c>
      <c r="N490" s="0" t="s">
        <v>1690</v>
      </c>
      <c r="O490" s="0" t="n">
        <v>1</v>
      </c>
      <c r="P490" s="0" t="s">
        <v>61</v>
      </c>
      <c r="Q490" s="0" t="s">
        <v>1691</v>
      </c>
      <c r="R490" s="3"/>
      <c r="S490" s="2" t="s">
        <v>30</v>
      </c>
    </row>
    <row r="491" customFormat="false" ht="15" hidden="false" customHeight="false" outlineLevel="0" collapsed="false">
      <c r="A491" s="0" t="n">
        <v>490</v>
      </c>
      <c r="D491" s="0" t="s">
        <v>1692</v>
      </c>
      <c r="E491" s="0" t="s">
        <v>20</v>
      </c>
      <c r="H491" s="0" t="s">
        <v>21</v>
      </c>
      <c r="I491" s="2" t="s">
        <v>22</v>
      </c>
      <c r="J491" s="2" t="s">
        <v>672</v>
      </c>
      <c r="K491" s="0" t="s">
        <v>673</v>
      </c>
      <c r="L491" s="0" t="s">
        <v>25</v>
      </c>
      <c r="M491" s="0" t="s">
        <v>674</v>
      </c>
      <c r="N491" s="0" t="s">
        <v>1693</v>
      </c>
      <c r="O491" s="0" t="n">
        <v>1</v>
      </c>
      <c r="P491" s="0" t="s">
        <v>918</v>
      </c>
      <c r="Q491" s="0" t="s">
        <v>1694</v>
      </c>
      <c r="R491" s="3"/>
      <c r="S491" s="2" t="s">
        <v>30</v>
      </c>
    </row>
    <row r="492" customFormat="false" ht="15" hidden="false" customHeight="false" outlineLevel="0" collapsed="false">
      <c r="A492" s="0" t="n">
        <v>491</v>
      </c>
      <c r="D492" s="0" t="s">
        <v>1695</v>
      </c>
      <c r="E492" s="0" t="s">
        <v>430</v>
      </c>
      <c r="H492" s="0" t="s">
        <v>21</v>
      </c>
      <c r="I492" s="2" t="s">
        <v>22</v>
      </c>
      <c r="J492" s="2" t="s">
        <v>672</v>
      </c>
      <c r="K492" s="0" t="s">
        <v>673</v>
      </c>
      <c r="L492" s="0" t="s">
        <v>25</v>
      </c>
      <c r="M492" s="0" t="s">
        <v>674</v>
      </c>
      <c r="N492" s="0" t="s">
        <v>1696</v>
      </c>
      <c r="O492" s="0" t="n">
        <v>1</v>
      </c>
      <c r="P492" s="0" t="s">
        <v>846</v>
      </c>
      <c r="Q492" s="0" t="s">
        <v>1697</v>
      </c>
      <c r="R492" s="3"/>
      <c r="S492" s="2" t="s">
        <v>30</v>
      </c>
    </row>
    <row r="493" customFormat="false" ht="15" hidden="false" customHeight="false" outlineLevel="0" collapsed="false">
      <c r="A493" s="0" t="n">
        <v>492</v>
      </c>
      <c r="D493" s="0" t="s">
        <v>1698</v>
      </c>
      <c r="E493" s="0" t="s">
        <v>20</v>
      </c>
      <c r="H493" s="0" t="s">
        <v>21</v>
      </c>
      <c r="I493" s="2" t="s">
        <v>22</v>
      </c>
      <c r="J493" s="2" t="s">
        <v>672</v>
      </c>
      <c r="K493" s="0" t="s">
        <v>673</v>
      </c>
      <c r="L493" s="0" t="s">
        <v>25</v>
      </c>
      <c r="M493" s="0" t="s">
        <v>674</v>
      </c>
      <c r="N493" s="0" t="s">
        <v>1699</v>
      </c>
      <c r="O493" s="0" t="n">
        <v>1</v>
      </c>
      <c r="P493" s="0" t="s">
        <v>1067</v>
      </c>
      <c r="Q493" s="0" t="s">
        <v>1700</v>
      </c>
      <c r="R493" s="3"/>
      <c r="S493" s="2" t="s">
        <v>30</v>
      </c>
    </row>
    <row r="494" customFormat="false" ht="15" hidden="false" customHeight="false" outlineLevel="0" collapsed="false">
      <c r="A494" s="0" t="n">
        <v>493</v>
      </c>
      <c r="D494" s="0" t="s">
        <v>1701</v>
      </c>
      <c r="E494" s="0" t="s">
        <v>20</v>
      </c>
      <c r="H494" s="0" t="s">
        <v>21</v>
      </c>
      <c r="I494" s="2" t="s">
        <v>22</v>
      </c>
      <c r="J494" s="2" t="s">
        <v>672</v>
      </c>
      <c r="K494" s="0" t="s">
        <v>673</v>
      </c>
      <c r="L494" s="0" t="s">
        <v>1702</v>
      </c>
      <c r="M494" s="0" t="s">
        <v>674</v>
      </c>
      <c r="N494" s="0" t="s">
        <v>1703</v>
      </c>
      <c r="O494" s="0" t="n">
        <v>1</v>
      </c>
      <c r="P494" s="0" t="s">
        <v>846</v>
      </c>
      <c r="Q494" s="0" t="s">
        <v>1704</v>
      </c>
      <c r="R494" s="3"/>
      <c r="S494" s="2" t="s">
        <v>1705</v>
      </c>
    </row>
    <row r="495" customFormat="false" ht="15" hidden="false" customHeight="false" outlineLevel="0" collapsed="false">
      <c r="A495" s="0" t="n">
        <v>494</v>
      </c>
      <c r="D495" s="0" t="s">
        <v>1706</v>
      </c>
      <c r="E495" s="0" t="s">
        <v>20</v>
      </c>
      <c r="H495" s="0" t="s">
        <v>21</v>
      </c>
      <c r="I495" s="2" t="s">
        <v>22</v>
      </c>
      <c r="J495" s="2" t="s">
        <v>672</v>
      </c>
      <c r="K495" s="0" t="s">
        <v>673</v>
      </c>
      <c r="L495" s="0" t="s">
        <v>25</v>
      </c>
      <c r="M495" s="0" t="s">
        <v>674</v>
      </c>
      <c r="N495" s="0" t="s">
        <v>1707</v>
      </c>
      <c r="O495" s="0" t="n">
        <v>1</v>
      </c>
      <c r="P495" s="0" t="s">
        <v>95</v>
      </c>
      <c r="Q495" s="0" t="s">
        <v>1708</v>
      </c>
      <c r="R495" s="3"/>
      <c r="S495" s="2" t="s">
        <v>30</v>
      </c>
    </row>
    <row r="496" customFormat="false" ht="15" hidden="false" customHeight="false" outlineLevel="0" collapsed="false">
      <c r="A496" s="0" t="n">
        <v>495</v>
      </c>
      <c r="D496" s="0" t="s">
        <v>1709</v>
      </c>
      <c r="E496" s="0" t="s">
        <v>20</v>
      </c>
      <c r="H496" s="0" t="s">
        <v>21</v>
      </c>
      <c r="I496" s="2" t="s">
        <v>22</v>
      </c>
      <c r="J496" s="2" t="s">
        <v>672</v>
      </c>
      <c r="K496" s="0" t="s">
        <v>673</v>
      </c>
      <c r="L496" s="0" t="s">
        <v>25</v>
      </c>
      <c r="M496" s="0" t="s">
        <v>674</v>
      </c>
      <c r="N496" s="0" t="s">
        <v>1710</v>
      </c>
      <c r="O496" s="0" t="n">
        <v>1</v>
      </c>
      <c r="P496" s="0" t="s">
        <v>617</v>
      </c>
      <c r="Q496" s="0" t="s">
        <v>1711</v>
      </c>
      <c r="R496" s="3"/>
      <c r="S496" s="2" t="s">
        <v>30</v>
      </c>
    </row>
    <row r="497" customFormat="false" ht="15" hidden="false" customHeight="false" outlineLevel="0" collapsed="false">
      <c r="A497" s="0" t="n">
        <v>496</v>
      </c>
      <c r="D497" s="0" t="s">
        <v>1712</v>
      </c>
      <c r="E497" s="0" t="s">
        <v>20</v>
      </c>
      <c r="H497" s="0" t="s">
        <v>21</v>
      </c>
      <c r="I497" s="2" t="s">
        <v>22</v>
      </c>
      <c r="J497" s="2" t="s">
        <v>672</v>
      </c>
      <c r="K497" s="0" t="s">
        <v>673</v>
      </c>
      <c r="L497" s="0" t="s">
        <v>1713</v>
      </c>
      <c r="M497" s="0" t="s">
        <v>674</v>
      </c>
      <c r="N497" s="0" t="s">
        <v>1714</v>
      </c>
      <c r="O497" s="0" t="n">
        <v>1</v>
      </c>
      <c r="P497" s="0" t="s">
        <v>734</v>
      </c>
      <c r="Q497" s="0" t="s">
        <v>1715</v>
      </c>
      <c r="R497" s="3"/>
      <c r="S497" s="2" t="s">
        <v>1716</v>
      </c>
    </row>
    <row r="498" customFormat="false" ht="15" hidden="false" customHeight="false" outlineLevel="0" collapsed="false">
      <c r="A498" s="0" t="n">
        <v>497</v>
      </c>
      <c r="D498" s="0" t="s">
        <v>1717</v>
      </c>
      <c r="E498" s="0" t="s">
        <v>1718</v>
      </c>
      <c r="H498" s="0" t="s">
        <v>21</v>
      </c>
      <c r="I498" s="2" t="s">
        <v>22</v>
      </c>
      <c r="J498" s="2" t="s">
        <v>672</v>
      </c>
      <c r="K498" s="0" t="s">
        <v>673</v>
      </c>
      <c r="L498" s="0" t="s">
        <v>25</v>
      </c>
      <c r="M498" s="0" t="s">
        <v>674</v>
      </c>
      <c r="N498" s="0" t="s">
        <v>1719</v>
      </c>
      <c r="O498" s="0" t="n">
        <v>1</v>
      </c>
      <c r="P498" s="0" t="s">
        <v>297</v>
      </c>
      <c r="Q498" s="0" t="s">
        <v>1720</v>
      </c>
      <c r="R498" s="3"/>
      <c r="S498" s="2" t="s">
        <v>30</v>
      </c>
    </row>
    <row r="499" customFormat="false" ht="15" hidden="false" customHeight="false" outlineLevel="0" collapsed="false">
      <c r="A499" s="0" t="n">
        <v>498</v>
      </c>
      <c r="D499" s="0" t="s">
        <v>1721</v>
      </c>
      <c r="E499" s="0" t="s">
        <v>282</v>
      </c>
      <c r="H499" s="0" t="s">
        <v>21</v>
      </c>
      <c r="I499" s="2" t="s">
        <v>22</v>
      </c>
      <c r="J499" s="2" t="s">
        <v>672</v>
      </c>
      <c r="K499" s="0" t="s">
        <v>673</v>
      </c>
      <c r="L499" s="0" t="s">
        <v>25</v>
      </c>
      <c r="M499" s="0" t="s">
        <v>674</v>
      </c>
      <c r="N499" s="0" t="s">
        <v>1722</v>
      </c>
      <c r="O499" s="0" t="n">
        <v>1</v>
      </c>
      <c r="P499" s="0" t="s">
        <v>57</v>
      </c>
      <c r="Q499" s="0" t="s">
        <v>1723</v>
      </c>
      <c r="R499" s="3"/>
      <c r="S499" s="2" t="s">
        <v>30</v>
      </c>
    </row>
    <row r="500" customFormat="false" ht="15" hidden="false" customHeight="false" outlineLevel="0" collapsed="false">
      <c r="A500" s="0" t="n">
        <v>499</v>
      </c>
      <c r="D500" s="0" t="s">
        <v>1724</v>
      </c>
      <c r="E500" s="0" t="s">
        <v>181</v>
      </c>
      <c r="H500" s="0" t="s">
        <v>21</v>
      </c>
      <c r="I500" s="2" t="s">
        <v>22</v>
      </c>
      <c r="J500" s="2" t="s">
        <v>672</v>
      </c>
      <c r="K500" s="0" t="s">
        <v>673</v>
      </c>
      <c r="L500" s="0" t="s">
        <v>25</v>
      </c>
      <c r="M500" s="0" t="s">
        <v>674</v>
      </c>
      <c r="N500" s="0" t="s">
        <v>1266</v>
      </c>
      <c r="O500" s="0" t="n">
        <v>1</v>
      </c>
      <c r="P500" s="0" t="s">
        <v>734</v>
      </c>
      <c r="Q500" s="0" t="s">
        <v>1725</v>
      </c>
      <c r="R500" s="3"/>
      <c r="S500" s="2" t="s">
        <v>30</v>
      </c>
    </row>
    <row r="501" customFormat="false" ht="15" hidden="false" customHeight="false" outlineLevel="0" collapsed="false">
      <c r="A501" s="0" t="n">
        <v>500</v>
      </c>
      <c r="D501" s="0" t="s">
        <v>1726</v>
      </c>
      <c r="E501" s="0" t="s">
        <v>20</v>
      </c>
      <c r="H501" s="0" t="s">
        <v>21</v>
      </c>
      <c r="I501" s="2" t="s">
        <v>22</v>
      </c>
      <c r="J501" s="2" t="s">
        <v>672</v>
      </c>
      <c r="K501" s="0" t="s">
        <v>673</v>
      </c>
      <c r="L501" s="0" t="s">
        <v>25</v>
      </c>
      <c r="M501" s="0" t="s">
        <v>674</v>
      </c>
      <c r="N501" s="0" t="s">
        <v>1727</v>
      </c>
      <c r="O501" s="0" t="n">
        <v>1</v>
      </c>
      <c r="P501" s="0" t="s">
        <v>57</v>
      </c>
      <c r="Q501" s="0" t="s">
        <v>1728</v>
      </c>
      <c r="R501" s="3"/>
      <c r="S501" s="2" t="s">
        <v>30</v>
      </c>
    </row>
    <row r="502" customFormat="false" ht="15" hidden="false" customHeight="false" outlineLevel="0" collapsed="false">
      <c r="A502" s="0" t="n">
        <v>501</v>
      </c>
      <c r="D502" s="0" t="s">
        <v>1729</v>
      </c>
      <c r="E502" s="0" t="s">
        <v>20</v>
      </c>
      <c r="H502" s="0" t="s">
        <v>21</v>
      </c>
      <c r="I502" s="2" t="s">
        <v>22</v>
      </c>
      <c r="J502" s="2" t="s">
        <v>672</v>
      </c>
      <c r="K502" s="0" t="s">
        <v>673</v>
      </c>
      <c r="L502" s="0" t="s">
        <v>25</v>
      </c>
      <c r="M502" s="0" t="s">
        <v>674</v>
      </c>
      <c r="N502" s="0" t="s">
        <v>1730</v>
      </c>
      <c r="O502" s="0" t="n">
        <v>1</v>
      </c>
      <c r="P502" s="0" t="s">
        <v>95</v>
      </c>
      <c r="Q502" s="0" t="s">
        <v>1731</v>
      </c>
      <c r="R502" s="3"/>
      <c r="S502" s="2" t="s">
        <v>30</v>
      </c>
    </row>
    <row r="503" customFormat="false" ht="15" hidden="false" customHeight="false" outlineLevel="0" collapsed="false">
      <c r="A503" s="0" t="n">
        <v>502</v>
      </c>
      <c r="D503" s="0" t="s">
        <v>1732</v>
      </c>
      <c r="E503" s="0" t="s">
        <v>20</v>
      </c>
      <c r="H503" s="0" t="s">
        <v>21</v>
      </c>
      <c r="I503" s="2" t="s">
        <v>22</v>
      </c>
      <c r="J503" s="2" t="s">
        <v>672</v>
      </c>
      <c r="K503" s="0" t="s">
        <v>673</v>
      </c>
      <c r="L503" s="0" t="s">
        <v>25</v>
      </c>
      <c r="M503" s="0" t="s">
        <v>674</v>
      </c>
      <c r="N503" s="0" t="s">
        <v>1733</v>
      </c>
      <c r="O503" s="0" t="n">
        <v>1</v>
      </c>
      <c r="P503" s="0" t="s">
        <v>130</v>
      </c>
      <c r="Q503" s="0" t="s">
        <v>1734</v>
      </c>
      <c r="R503" s="3"/>
      <c r="S503" s="2" t="s">
        <v>30</v>
      </c>
    </row>
    <row r="504" customFormat="false" ht="15" hidden="false" customHeight="false" outlineLevel="0" collapsed="false">
      <c r="A504" s="0" t="n">
        <v>503</v>
      </c>
      <c r="D504" s="0" t="s">
        <v>1735</v>
      </c>
      <c r="E504" s="0" t="s">
        <v>20</v>
      </c>
      <c r="H504" s="0" t="s">
        <v>21</v>
      </c>
      <c r="I504" s="2" t="s">
        <v>22</v>
      </c>
      <c r="J504" s="2" t="s">
        <v>672</v>
      </c>
      <c r="K504" s="0" t="s">
        <v>673</v>
      </c>
      <c r="L504" s="0" t="s">
        <v>1736</v>
      </c>
      <c r="M504" s="0" t="s">
        <v>674</v>
      </c>
      <c r="N504" s="0" t="s">
        <v>1737</v>
      </c>
      <c r="O504" s="0" t="n">
        <v>1</v>
      </c>
      <c r="P504" s="0" t="s">
        <v>918</v>
      </c>
      <c r="Q504" s="0" t="s">
        <v>1738</v>
      </c>
      <c r="R504" s="3"/>
      <c r="S504" s="2" t="s">
        <v>1739</v>
      </c>
    </row>
    <row r="505" customFormat="false" ht="15" hidden="false" customHeight="false" outlineLevel="0" collapsed="false">
      <c r="A505" s="0" t="n">
        <v>504</v>
      </c>
      <c r="D505" s="0" t="s">
        <v>1740</v>
      </c>
      <c r="E505" s="0" t="s">
        <v>282</v>
      </c>
      <c r="H505" s="0" t="s">
        <v>21</v>
      </c>
      <c r="I505" s="2" t="s">
        <v>22</v>
      </c>
      <c r="J505" s="2" t="s">
        <v>672</v>
      </c>
      <c r="K505" s="0" t="s">
        <v>673</v>
      </c>
      <c r="L505" s="0" t="s">
        <v>25</v>
      </c>
      <c r="M505" s="0" t="s">
        <v>674</v>
      </c>
      <c r="N505" s="0" t="s">
        <v>1741</v>
      </c>
      <c r="O505" s="0" t="n">
        <v>1</v>
      </c>
      <c r="P505" s="0" t="s">
        <v>57</v>
      </c>
      <c r="Q505" s="0" t="s">
        <v>1742</v>
      </c>
      <c r="R505" s="3"/>
      <c r="S505" s="2" t="s">
        <v>30</v>
      </c>
    </row>
    <row r="506" customFormat="false" ht="15" hidden="false" customHeight="false" outlineLevel="0" collapsed="false">
      <c r="A506" s="0" t="n">
        <v>505</v>
      </c>
      <c r="D506" s="0" t="s">
        <v>1743</v>
      </c>
      <c r="E506" s="0" t="s">
        <v>20</v>
      </c>
      <c r="H506" s="0" t="s">
        <v>21</v>
      </c>
      <c r="I506" s="2" t="s">
        <v>22</v>
      </c>
      <c r="J506" s="2" t="s">
        <v>672</v>
      </c>
      <c r="K506" s="0" t="s">
        <v>673</v>
      </c>
      <c r="L506" s="0" t="s">
        <v>25</v>
      </c>
      <c r="M506" s="0" t="s">
        <v>674</v>
      </c>
      <c r="N506" s="0" t="s">
        <v>1744</v>
      </c>
      <c r="O506" s="0" t="n">
        <v>1</v>
      </c>
      <c r="P506" s="0" t="s">
        <v>347</v>
      </c>
      <c r="Q506" s="0" t="s">
        <v>1745</v>
      </c>
      <c r="R506" s="3"/>
      <c r="S506" s="2" t="s">
        <v>30</v>
      </c>
    </row>
    <row r="507" customFormat="false" ht="15" hidden="false" customHeight="false" outlineLevel="0" collapsed="false">
      <c r="A507" s="0" t="n">
        <v>506</v>
      </c>
      <c r="D507" s="0" t="s">
        <v>1746</v>
      </c>
      <c r="E507" s="0" t="s">
        <v>20</v>
      </c>
      <c r="H507" s="0" t="s">
        <v>21</v>
      </c>
      <c r="I507" s="2" t="s">
        <v>22</v>
      </c>
      <c r="J507" s="2" t="s">
        <v>672</v>
      </c>
      <c r="K507" s="0" t="s">
        <v>673</v>
      </c>
      <c r="L507" s="0" t="s">
        <v>25</v>
      </c>
      <c r="M507" s="0" t="s">
        <v>674</v>
      </c>
      <c r="N507" s="0" t="s">
        <v>1747</v>
      </c>
      <c r="O507" s="0" t="n">
        <v>1</v>
      </c>
      <c r="P507" s="0" t="s">
        <v>479</v>
      </c>
      <c r="Q507" s="0" t="s">
        <v>1748</v>
      </c>
      <c r="R507" s="3"/>
      <c r="S507" s="2" t="s">
        <v>30</v>
      </c>
    </row>
    <row r="508" customFormat="false" ht="15" hidden="false" customHeight="false" outlineLevel="0" collapsed="false">
      <c r="A508" s="0" t="n">
        <v>507</v>
      </c>
      <c r="D508" s="0" t="s">
        <v>1749</v>
      </c>
      <c r="E508" s="0" t="s">
        <v>282</v>
      </c>
      <c r="H508" s="0" t="s">
        <v>21</v>
      </c>
      <c r="I508" s="2" t="s">
        <v>22</v>
      </c>
      <c r="J508" s="2" t="s">
        <v>672</v>
      </c>
      <c r="K508" s="0" t="s">
        <v>673</v>
      </c>
      <c r="L508" s="0" t="s">
        <v>25</v>
      </c>
      <c r="M508" s="0" t="s">
        <v>674</v>
      </c>
      <c r="N508" s="0" t="s">
        <v>1750</v>
      </c>
      <c r="O508" s="0" t="n">
        <v>1</v>
      </c>
      <c r="P508" s="0" t="s">
        <v>57</v>
      </c>
      <c r="Q508" s="0" t="s">
        <v>1751</v>
      </c>
      <c r="R508" s="3"/>
      <c r="S508" s="2" t="s">
        <v>30</v>
      </c>
    </row>
    <row r="509" customFormat="false" ht="15" hidden="false" customHeight="false" outlineLevel="0" collapsed="false">
      <c r="A509" s="0" t="n">
        <v>508</v>
      </c>
      <c r="D509" s="0" t="s">
        <v>1752</v>
      </c>
      <c r="E509" s="0" t="s">
        <v>20</v>
      </c>
      <c r="H509" s="0" t="s">
        <v>21</v>
      </c>
      <c r="I509" s="2" t="s">
        <v>22</v>
      </c>
      <c r="J509" s="2" t="s">
        <v>672</v>
      </c>
      <c r="K509" s="0" t="s">
        <v>673</v>
      </c>
      <c r="L509" s="0" t="s">
        <v>1753</v>
      </c>
      <c r="M509" s="0" t="s">
        <v>674</v>
      </c>
      <c r="N509" s="0" t="s">
        <v>1754</v>
      </c>
      <c r="O509" s="0" t="n">
        <v>1</v>
      </c>
      <c r="P509" s="0" t="s">
        <v>507</v>
      </c>
      <c r="Q509" s="0" t="s">
        <v>1755</v>
      </c>
      <c r="R509" s="3"/>
      <c r="S509" s="2" t="s">
        <v>1756</v>
      </c>
    </row>
    <row r="510" customFormat="false" ht="15" hidden="false" customHeight="false" outlineLevel="0" collapsed="false">
      <c r="A510" s="0" t="n">
        <v>509</v>
      </c>
      <c r="D510" s="0" t="s">
        <v>1757</v>
      </c>
      <c r="E510" s="0" t="s">
        <v>20</v>
      </c>
      <c r="H510" s="0" t="s">
        <v>21</v>
      </c>
      <c r="I510" s="2" t="s">
        <v>22</v>
      </c>
      <c r="J510" s="2" t="s">
        <v>672</v>
      </c>
      <c r="K510" s="0" t="s">
        <v>673</v>
      </c>
      <c r="L510" s="0" t="s">
        <v>32</v>
      </c>
      <c r="M510" s="0" t="s">
        <v>674</v>
      </c>
      <c r="N510" s="0" t="s">
        <v>33</v>
      </c>
      <c r="O510" s="0" t="n">
        <v>0</v>
      </c>
      <c r="P510" s="0" t="s">
        <v>130</v>
      </c>
      <c r="Q510" s="0" t="s">
        <v>1758</v>
      </c>
      <c r="R510" s="3"/>
      <c r="S510" s="2" t="s">
        <v>30</v>
      </c>
    </row>
    <row r="511" customFormat="false" ht="15" hidden="false" customHeight="false" outlineLevel="0" collapsed="false">
      <c r="A511" s="0" t="n">
        <v>510</v>
      </c>
      <c r="D511" s="0" t="s">
        <v>1759</v>
      </c>
      <c r="E511" s="0" t="s">
        <v>20</v>
      </c>
      <c r="H511" s="0" t="s">
        <v>21</v>
      </c>
      <c r="I511" s="2" t="s">
        <v>22</v>
      </c>
      <c r="J511" s="2" t="s">
        <v>672</v>
      </c>
      <c r="K511" s="0" t="s">
        <v>673</v>
      </c>
      <c r="L511" s="0" t="s">
        <v>32</v>
      </c>
      <c r="M511" s="0" t="s">
        <v>674</v>
      </c>
      <c r="N511" s="0" t="s">
        <v>33</v>
      </c>
      <c r="O511" s="0" t="n">
        <v>0</v>
      </c>
      <c r="P511" s="0" t="s">
        <v>186</v>
      </c>
      <c r="Q511" s="0" t="s">
        <v>1760</v>
      </c>
      <c r="R511" s="3"/>
      <c r="S511" s="2" t="s">
        <v>30</v>
      </c>
    </row>
    <row r="512" customFormat="false" ht="15" hidden="false" customHeight="false" outlineLevel="0" collapsed="false">
      <c r="A512" s="0" t="n">
        <v>511</v>
      </c>
      <c r="D512" s="0" t="s">
        <v>1761</v>
      </c>
      <c r="E512" s="0" t="s">
        <v>268</v>
      </c>
      <c r="H512" s="0" t="s">
        <v>21</v>
      </c>
      <c r="I512" s="2" t="s">
        <v>22</v>
      </c>
      <c r="J512" s="2" t="s">
        <v>672</v>
      </c>
      <c r="K512" s="0" t="s">
        <v>673</v>
      </c>
      <c r="L512" s="0" t="s">
        <v>32</v>
      </c>
      <c r="M512" s="0" t="s">
        <v>674</v>
      </c>
      <c r="N512" s="0" t="s">
        <v>33</v>
      </c>
      <c r="O512" s="0" t="n">
        <v>0</v>
      </c>
      <c r="P512" s="0" t="s">
        <v>126</v>
      </c>
      <c r="R512" s="3"/>
      <c r="S512" s="2" t="s">
        <v>30</v>
      </c>
    </row>
    <row r="513" customFormat="false" ht="15" hidden="false" customHeight="false" outlineLevel="0" collapsed="false">
      <c r="A513" s="0" t="n">
        <v>512</v>
      </c>
      <c r="D513" s="0" t="s">
        <v>1762</v>
      </c>
      <c r="E513" s="0" t="s">
        <v>20</v>
      </c>
      <c r="H513" s="0" t="s">
        <v>21</v>
      </c>
      <c r="I513" s="2" t="s">
        <v>22</v>
      </c>
      <c r="J513" s="2" t="s">
        <v>672</v>
      </c>
      <c r="K513" s="0" t="s">
        <v>673</v>
      </c>
      <c r="L513" s="0" t="s">
        <v>32</v>
      </c>
      <c r="M513" s="0" t="s">
        <v>674</v>
      </c>
      <c r="N513" s="0" t="s">
        <v>33</v>
      </c>
      <c r="O513" s="0" t="n">
        <v>0</v>
      </c>
      <c r="P513" s="0" t="s">
        <v>313</v>
      </c>
      <c r="Q513" s="0" t="s">
        <v>1763</v>
      </c>
      <c r="R513" s="3"/>
      <c r="S513" s="2" t="s">
        <v>30</v>
      </c>
    </row>
    <row r="514" customFormat="false" ht="15" hidden="false" customHeight="false" outlineLevel="0" collapsed="false">
      <c r="A514" s="0" t="n">
        <v>513</v>
      </c>
      <c r="D514" s="0" t="s">
        <v>1764</v>
      </c>
      <c r="E514" s="0" t="s">
        <v>268</v>
      </c>
      <c r="H514" s="0" t="s">
        <v>21</v>
      </c>
      <c r="I514" s="2" t="s">
        <v>22</v>
      </c>
      <c r="J514" s="2" t="s">
        <v>672</v>
      </c>
      <c r="K514" s="0" t="s">
        <v>673</v>
      </c>
      <c r="L514" s="0" t="s">
        <v>32</v>
      </c>
      <c r="M514" s="0" t="s">
        <v>674</v>
      </c>
      <c r="N514" s="0" t="s">
        <v>33</v>
      </c>
      <c r="O514" s="0" t="n">
        <v>0</v>
      </c>
      <c r="P514" s="0" t="s">
        <v>748</v>
      </c>
      <c r="Q514" s="0" t="s">
        <v>1765</v>
      </c>
      <c r="R514" s="3"/>
      <c r="S514" s="2" t="s">
        <v>30</v>
      </c>
    </row>
    <row r="515" customFormat="false" ht="15" hidden="false" customHeight="false" outlineLevel="0" collapsed="false">
      <c r="A515" s="0" t="n">
        <v>514</v>
      </c>
      <c r="D515" s="0" t="s">
        <v>1766</v>
      </c>
      <c r="E515" s="0" t="s">
        <v>20</v>
      </c>
      <c r="H515" s="0" t="s">
        <v>21</v>
      </c>
      <c r="I515" s="2" t="s">
        <v>22</v>
      </c>
      <c r="J515" s="2" t="s">
        <v>672</v>
      </c>
      <c r="K515" s="0" t="s">
        <v>673</v>
      </c>
      <c r="L515" s="0" t="s">
        <v>32</v>
      </c>
      <c r="M515" s="0" t="s">
        <v>674</v>
      </c>
      <c r="N515" s="0" t="s">
        <v>33</v>
      </c>
      <c r="O515" s="0" t="n">
        <v>0</v>
      </c>
      <c r="P515" s="0" t="s">
        <v>28</v>
      </c>
      <c r="Q515" s="0" t="s">
        <v>1767</v>
      </c>
      <c r="R515" s="3"/>
      <c r="S515" s="2" t="s">
        <v>30</v>
      </c>
    </row>
    <row r="516" customFormat="false" ht="15" hidden="false" customHeight="false" outlineLevel="0" collapsed="false">
      <c r="A516" s="0" t="n">
        <v>515</v>
      </c>
      <c r="D516" s="0" t="s">
        <v>1768</v>
      </c>
      <c r="E516" s="0" t="s">
        <v>20</v>
      </c>
      <c r="H516" s="0" t="s">
        <v>21</v>
      </c>
      <c r="I516" s="2" t="s">
        <v>22</v>
      </c>
      <c r="J516" s="2" t="s">
        <v>672</v>
      </c>
      <c r="K516" s="0" t="s">
        <v>673</v>
      </c>
      <c r="L516" s="0" t="s">
        <v>32</v>
      </c>
      <c r="M516" s="0" t="s">
        <v>674</v>
      </c>
      <c r="N516" s="0" t="s">
        <v>33</v>
      </c>
      <c r="O516" s="0" t="n">
        <v>0</v>
      </c>
      <c r="P516" s="0" t="s">
        <v>297</v>
      </c>
      <c r="Q516" s="0" t="s">
        <v>1769</v>
      </c>
      <c r="R516" s="3"/>
      <c r="S516" s="2" t="s">
        <v>30</v>
      </c>
    </row>
    <row r="517" customFormat="false" ht="15" hidden="false" customHeight="false" outlineLevel="0" collapsed="false">
      <c r="A517" s="0" t="n">
        <v>516</v>
      </c>
      <c r="D517" s="0" t="s">
        <v>1770</v>
      </c>
      <c r="E517" s="0" t="s">
        <v>20</v>
      </c>
      <c r="H517" s="0" t="s">
        <v>21</v>
      </c>
      <c r="I517" s="2" t="s">
        <v>22</v>
      </c>
      <c r="J517" s="2" t="s">
        <v>672</v>
      </c>
      <c r="K517" s="0" t="s">
        <v>673</v>
      </c>
      <c r="L517" s="0" t="s">
        <v>32</v>
      </c>
      <c r="M517" s="0" t="s">
        <v>674</v>
      </c>
      <c r="N517" s="0" t="s">
        <v>33</v>
      </c>
      <c r="O517" s="0" t="n">
        <v>0</v>
      </c>
      <c r="P517" s="0" t="s">
        <v>679</v>
      </c>
      <c r="Q517" s="0" t="s">
        <v>1771</v>
      </c>
      <c r="R517" s="3"/>
      <c r="S517" s="2" t="s">
        <v>30</v>
      </c>
    </row>
    <row r="518" customFormat="false" ht="15" hidden="false" customHeight="false" outlineLevel="0" collapsed="false">
      <c r="A518" s="0" t="n">
        <v>517</v>
      </c>
      <c r="D518" s="0" t="s">
        <v>1772</v>
      </c>
      <c r="E518" s="0" t="s">
        <v>1610</v>
      </c>
      <c r="H518" s="0" t="s">
        <v>21</v>
      </c>
      <c r="I518" s="2" t="s">
        <v>22</v>
      </c>
      <c r="J518" s="2" t="s">
        <v>672</v>
      </c>
      <c r="K518" s="0" t="s">
        <v>673</v>
      </c>
      <c r="L518" s="0" t="s">
        <v>32</v>
      </c>
      <c r="M518" s="0" t="s">
        <v>674</v>
      </c>
      <c r="N518" s="0" t="s">
        <v>33</v>
      </c>
      <c r="O518" s="0" t="n">
        <v>0</v>
      </c>
      <c r="P518" s="0" t="s">
        <v>679</v>
      </c>
      <c r="Q518" s="0" t="s">
        <v>1773</v>
      </c>
      <c r="R518" s="3"/>
      <c r="S518" s="2" t="s">
        <v>30</v>
      </c>
    </row>
    <row r="519" customFormat="false" ht="15" hidden="false" customHeight="false" outlineLevel="0" collapsed="false">
      <c r="I519" s="2"/>
      <c r="J519" s="2"/>
    </row>
    <row r="520" customFormat="false" ht="15" hidden="false" customHeight="false" outlineLevel="0" collapsed="false">
      <c r="I520" s="2"/>
      <c r="J520" s="2"/>
    </row>
    <row r="521" customFormat="false" ht="15" hidden="false" customHeight="false" outlineLevel="0" collapsed="false">
      <c r="I521" s="2"/>
      <c r="J521" s="2"/>
    </row>
    <row r="522" customFormat="false" ht="15" hidden="false" customHeight="false" outlineLevel="0" collapsed="false">
      <c r="I522" s="2"/>
      <c r="J522" s="2"/>
    </row>
    <row r="523" customFormat="false" ht="15" hidden="false" customHeight="false" outlineLevel="0" collapsed="false">
      <c r="I523" s="2"/>
      <c r="J523" s="2"/>
    </row>
    <row r="524" customFormat="false" ht="15" hidden="false" customHeight="false" outlineLevel="0" collapsed="false">
      <c r="I524" s="2"/>
      <c r="J524" s="2"/>
    </row>
    <row r="525" customFormat="false" ht="15" hidden="false" customHeight="false" outlineLevel="0" collapsed="false">
      <c r="I525" s="2"/>
      <c r="J525" s="2"/>
    </row>
    <row r="526" customFormat="false" ht="15" hidden="false" customHeight="false" outlineLevel="0" collapsed="false">
      <c r="I526" s="2"/>
      <c r="J526" s="2"/>
    </row>
    <row r="527" customFormat="false" ht="15" hidden="false" customHeight="false" outlineLevel="0" collapsed="false">
      <c r="I527" s="2"/>
      <c r="J527" s="2"/>
    </row>
    <row r="528" customFormat="false" ht="15" hidden="false" customHeight="false" outlineLevel="0" collapsed="false">
      <c r="I528" s="2"/>
      <c r="J528" s="2"/>
    </row>
    <row r="529" customFormat="false" ht="15" hidden="false" customHeight="false" outlineLevel="0" collapsed="false">
      <c r="I529" s="2"/>
      <c r="J529" s="2"/>
    </row>
    <row r="530" customFormat="false" ht="15" hidden="false" customHeight="false" outlineLevel="0" collapsed="false">
      <c r="I530" s="2"/>
      <c r="J530" s="2"/>
    </row>
    <row r="531" customFormat="false" ht="15" hidden="false" customHeight="false" outlineLevel="0" collapsed="false">
      <c r="I531" s="2"/>
      <c r="J531" s="2"/>
    </row>
    <row r="532" customFormat="false" ht="15" hidden="false" customHeight="false" outlineLevel="0" collapsed="false">
      <c r="I532" s="2"/>
      <c r="J532" s="2"/>
    </row>
    <row r="533" customFormat="false" ht="15" hidden="false" customHeight="false" outlineLevel="0" collapsed="false">
      <c r="I533" s="2"/>
      <c r="J533" s="2"/>
    </row>
    <row r="534" customFormat="false" ht="15" hidden="false" customHeight="false" outlineLevel="0" collapsed="false">
      <c r="I534" s="2"/>
      <c r="J534" s="2"/>
    </row>
    <row r="535" customFormat="false" ht="15" hidden="false" customHeight="false" outlineLevel="0" collapsed="false">
      <c r="I535" s="2"/>
      <c r="J535" s="2"/>
    </row>
    <row r="536" customFormat="false" ht="15" hidden="false" customHeight="false" outlineLevel="0" collapsed="false">
      <c r="I536" s="2"/>
      <c r="J536" s="2"/>
    </row>
    <row r="537" customFormat="false" ht="15" hidden="false" customHeight="false" outlineLevel="0" collapsed="false">
      <c r="I537" s="2"/>
      <c r="J537" s="2"/>
    </row>
    <row r="538" customFormat="false" ht="15" hidden="false" customHeight="false" outlineLevel="0" collapsed="false">
      <c r="I538" s="2"/>
      <c r="J538" s="2"/>
    </row>
    <row r="539" customFormat="false" ht="15" hidden="false" customHeight="false" outlineLevel="0" collapsed="false">
      <c r="I539" s="2"/>
      <c r="J539" s="2"/>
    </row>
    <row r="540" customFormat="false" ht="15" hidden="false" customHeight="false" outlineLevel="0" collapsed="false">
      <c r="I540" s="2"/>
      <c r="J540" s="2"/>
    </row>
    <row r="541" customFormat="false" ht="15" hidden="false" customHeight="false" outlineLevel="0" collapsed="false">
      <c r="I541" s="2"/>
      <c r="J541" s="2"/>
    </row>
    <row r="542" customFormat="false" ht="15" hidden="false" customHeight="false" outlineLevel="0" collapsed="false">
      <c r="I542" s="2"/>
      <c r="J542" s="2"/>
    </row>
    <row r="543" customFormat="false" ht="15" hidden="false" customHeight="false" outlineLevel="0" collapsed="false">
      <c r="I543" s="2"/>
      <c r="J543" s="2"/>
    </row>
    <row r="544" customFormat="false" ht="15" hidden="false" customHeight="false" outlineLevel="0" collapsed="false">
      <c r="I544" s="2"/>
      <c r="J544" s="2"/>
    </row>
    <row r="545" customFormat="false" ht="15" hidden="false" customHeight="false" outlineLevel="0" collapsed="false">
      <c r="I545" s="2"/>
      <c r="J545" s="2"/>
    </row>
    <row r="546" customFormat="false" ht="15" hidden="false" customHeight="false" outlineLevel="0" collapsed="false">
      <c r="I546" s="2"/>
      <c r="J546" s="2"/>
    </row>
    <row r="547" customFormat="false" ht="15" hidden="false" customHeight="false" outlineLevel="0" collapsed="false">
      <c r="I547" s="2"/>
      <c r="J547" s="2"/>
    </row>
    <row r="548" customFormat="false" ht="15" hidden="false" customHeight="false" outlineLevel="0" collapsed="false">
      <c r="I548" s="2"/>
      <c r="J548" s="2"/>
    </row>
    <row r="549" customFormat="false" ht="15" hidden="false" customHeight="false" outlineLevel="0" collapsed="false">
      <c r="I549" s="2"/>
      <c r="J549" s="2"/>
    </row>
    <row r="550" customFormat="false" ht="15" hidden="false" customHeight="false" outlineLevel="0" collapsed="false">
      <c r="I550" s="2"/>
      <c r="J550" s="2"/>
    </row>
    <row r="551" customFormat="false" ht="15" hidden="false" customHeight="false" outlineLevel="0" collapsed="false">
      <c r="I551" s="2"/>
      <c r="J551" s="2"/>
    </row>
    <row r="552" customFormat="false" ht="15" hidden="false" customHeight="false" outlineLevel="0" collapsed="false">
      <c r="I552" s="2"/>
      <c r="J552" s="2"/>
    </row>
    <row r="553" customFormat="false" ht="15" hidden="false" customHeight="false" outlineLevel="0" collapsed="false">
      <c r="I553" s="2"/>
      <c r="J553" s="2"/>
    </row>
    <row r="554" customFormat="false" ht="15" hidden="false" customHeight="false" outlineLevel="0" collapsed="false">
      <c r="I554" s="2"/>
      <c r="J554" s="2"/>
    </row>
    <row r="555" customFormat="false" ht="15" hidden="false" customHeight="false" outlineLevel="0" collapsed="false">
      <c r="I555" s="2"/>
      <c r="J555" s="2"/>
    </row>
    <row r="556" customFormat="false" ht="15" hidden="false" customHeight="false" outlineLevel="0" collapsed="false">
      <c r="I556" s="2"/>
      <c r="J556" s="2"/>
    </row>
    <row r="557" customFormat="false" ht="15" hidden="false" customHeight="false" outlineLevel="0" collapsed="false">
      <c r="I557" s="2"/>
      <c r="J557" s="2"/>
    </row>
    <row r="558" customFormat="false" ht="15" hidden="false" customHeight="false" outlineLevel="0" collapsed="false">
      <c r="I558" s="2"/>
      <c r="J558" s="2"/>
    </row>
    <row r="559" customFormat="false" ht="15" hidden="false" customHeight="false" outlineLevel="0" collapsed="false">
      <c r="I559" s="2"/>
      <c r="J559" s="2"/>
    </row>
    <row r="560" customFormat="false" ht="15" hidden="false" customHeight="false" outlineLevel="0" collapsed="false">
      <c r="I560" s="2"/>
      <c r="J560" s="2"/>
    </row>
    <row r="561" customFormat="false" ht="15" hidden="false" customHeight="false" outlineLevel="0" collapsed="false">
      <c r="I561" s="2"/>
      <c r="J561" s="2"/>
    </row>
    <row r="562" customFormat="false" ht="15" hidden="false" customHeight="false" outlineLevel="0" collapsed="false">
      <c r="I562" s="2"/>
      <c r="J562" s="2"/>
    </row>
    <row r="563" customFormat="false" ht="15" hidden="false" customHeight="false" outlineLevel="0" collapsed="false">
      <c r="I563" s="2"/>
      <c r="J563" s="2"/>
    </row>
    <row r="564" customFormat="false" ht="15" hidden="false" customHeight="false" outlineLevel="0" collapsed="false">
      <c r="I564" s="2"/>
      <c r="J564" s="2"/>
    </row>
    <row r="565" customFormat="false" ht="15" hidden="false" customHeight="false" outlineLevel="0" collapsed="false">
      <c r="I565" s="2"/>
      <c r="J565" s="2"/>
    </row>
    <row r="566" customFormat="false" ht="15" hidden="false" customHeight="false" outlineLevel="0" collapsed="false">
      <c r="I566" s="2"/>
      <c r="J566" s="2"/>
    </row>
    <row r="567" customFormat="false" ht="15" hidden="false" customHeight="false" outlineLevel="0" collapsed="false">
      <c r="I567" s="2"/>
      <c r="J567" s="2"/>
    </row>
    <row r="568" customFormat="false" ht="15" hidden="false" customHeight="false" outlineLevel="0" collapsed="false">
      <c r="I568" s="2"/>
      <c r="J568" s="2"/>
    </row>
    <row r="569" customFormat="false" ht="15" hidden="false" customHeight="false" outlineLevel="0" collapsed="false">
      <c r="I569" s="2"/>
      <c r="J569" s="2"/>
    </row>
    <row r="570" customFormat="false" ht="15" hidden="false" customHeight="false" outlineLevel="0" collapsed="false">
      <c r="I570" s="2"/>
      <c r="J570" s="2"/>
    </row>
    <row r="571" customFormat="false" ht="15" hidden="false" customHeight="false" outlineLevel="0" collapsed="false">
      <c r="I571" s="2"/>
      <c r="J571" s="2"/>
    </row>
    <row r="572" customFormat="false" ht="15" hidden="false" customHeight="false" outlineLevel="0" collapsed="false">
      <c r="I572" s="2"/>
      <c r="J572" s="2"/>
    </row>
    <row r="573" customFormat="false" ht="15" hidden="false" customHeight="false" outlineLevel="0" collapsed="false">
      <c r="I573" s="2"/>
      <c r="J573" s="2"/>
    </row>
    <row r="574" customFormat="false" ht="15" hidden="false" customHeight="false" outlineLevel="0" collapsed="false">
      <c r="I574" s="2"/>
      <c r="J574" s="2"/>
    </row>
    <row r="575" customFormat="false" ht="15" hidden="false" customHeight="false" outlineLevel="0" collapsed="false">
      <c r="I575" s="2"/>
      <c r="J575" s="2"/>
    </row>
    <row r="576" customFormat="false" ht="15" hidden="false" customHeight="false" outlineLevel="0" collapsed="false">
      <c r="I576" s="2"/>
      <c r="J576" s="2"/>
    </row>
    <row r="577" customFormat="false" ht="15" hidden="false" customHeight="false" outlineLevel="0" collapsed="false">
      <c r="I577" s="2"/>
      <c r="J577" s="2"/>
    </row>
    <row r="578" customFormat="false" ht="15" hidden="false" customHeight="false" outlineLevel="0" collapsed="false">
      <c r="I578" s="2"/>
      <c r="J578" s="2"/>
    </row>
    <row r="579" customFormat="false" ht="15" hidden="false" customHeight="false" outlineLevel="0" collapsed="false">
      <c r="I579" s="2"/>
      <c r="J579" s="2"/>
    </row>
    <row r="580" customFormat="false" ht="15" hidden="false" customHeight="false" outlineLevel="0" collapsed="false">
      <c r="I580" s="2"/>
      <c r="J580" s="2"/>
    </row>
    <row r="581" customFormat="false" ht="15" hidden="false" customHeight="false" outlineLevel="0" collapsed="false">
      <c r="I581" s="2"/>
      <c r="J581" s="2"/>
    </row>
    <row r="582" customFormat="false" ht="15" hidden="false" customHeight="false" outlineLevel="0" collapsed="false">
      <c r="I582" s="2"/>
      <c r="J582" s="2"/>
    </row>
    <row r="583" customFormat="false" ht="15" hidden="false" customHeight="false" outlineLevel="0" collapsed="false">
      <c r="I583" s="2"/>
      <c r="J583" s="2"/>
    </row>
    <row r="584" customFormat="false" ht="15" hidden="false" customHeight="false" outlineLevel="0" collapsed="false">
      <c r="I584" s="2"/>
      <c r="J584" s="2"/>
    </row>
    <row r="585" customFormat="false" ht="15" hidden="false" customHeight="false" outlineLevel="0" collapsed="false">
      <c r="I585" s="2"/>
      <c r="J585" s="2"/>
    </row>
    <row r="586" customFormat="false" ht="15" hidden="false" customHeight="false" outlineLevel="0" collapsed="false">
      <c r="I586" s="2"/>
      <c r="J586" s="2"/>
    </row>
    <row r="587" customFormat="false" ht="15" hidden="false" customHeight="false" outlineLevel="0" collapsed="false">
      <c r="I587" s="2"/>
      <c r="J587" s="2"/>
    </row>
    <row r="588" customFormat="false" ht="15" hidden="false" customHeight="false" outlineLevel="0" collapsed="false">
      <c r="I588" s="2"/>
      <c r="J588" s="2"/>
    </row>
    <row r="589" customFormat="false" ht="15" hidden="false" customHeight="false" outlineLevel="0" collapsed="false">
      <c r="I589" s="2"/>
      <c r="J589" s="2"/>
    </row>
    <row r="590" customFormat="false" ht="15" hidden="false" customHeight="false" outlineLevel="0" collapsed="false">
      <c r="I590" s="2"/>
      <c r="J590" s="2"/>
    </row>
    <row r="591" customFormat="false" ht="15" hidden="false" customHeight="false" outlineLevel="0" collapsed="false">
      <c r="I591" s="2"/>
      <c r="J591" s="2"/>
    </row>
    <row r="592" customFormat="false" ht="15" hidden="false" customHeight="false" outlineLevel="0" collapsed="false">
      <c r="I592" s="2"/>
      <c r="J592" s="2"/>
    </row>
    <row r="593" customFormat="false" ht="15" hidden="false" customHeight="false" outlineLevel="0" collapsed="false">
      <c r="I593" s="2"/>
      <c r="J593" s="2"/>
    </row>
    <row r="594" customFormat="false" ht="15" hidden="false" customHeight="false" outlineLevel="0" collapsed="false">
      <c r="I594" s="2"/>
      <c r="J594" s="2"/>
    </row>
    <row r="595" customFormat="false" ht="15" hidden="false" customHeight="false" outlineLevel="0" collapsed="false">
      <c r="I595" s="2"/>
      <c r="J595" s="2"/>
    </row>
    <row r="596" customFormat="false" ht="15" hidden="false" customHeight="false" outlineLevel="0" collapsed="false">
      <c r="I596" s="2"/>
      <c r="J596" s="2"/>
    </row>
    <row r="597" customFormat="false" ht="15" hidden="false" customHeight="false" outlineLevel="0" collapsed="false">
      <c r="I597" s="2"/>
      <c r="J597" s="2"/>
    </row>
    <row r="598" customFormat="false" ht="15" hidden="false" customHeight="false" outlineLevel="0" collapsed="false">
      <c r="I598" s="2"/>
      <c r="J598" s="2"/>
    </row>
    <row r="599" customFormat="false" ht="15" hidden="false" customHeight="false" outlineLevel="0" collapsed="false">
      <c r="I599" s="2"/>
      <c r="J599" s="2"/>
    </row>
    <row r="600" customFormat="false" ht="15" hidden="false" customHeight="false" outlineLevel="0" collapsed="false">
      <c r="I600" s="2"/>
      <c r="J600" s="2"/>
    </row>
    <row r="601" customFormat="false" ht="15" hidden="false" customHeight="false" outlineLevel="0" collapsed="false">
      <c r="I601" s="2"/>
      <c r="J601" s="2"/>
    </row>
    <row r="602" customFormat="false" ht="15" hidden="false" customHeight="false" outlineLevel="0" collapsed="false">
      <c r="I602" s="2"/>
      <c r="J602" s="2"/>
    </row>
    <row r="603" customFormat="false" ht="15" hidden="false" customHeight="false" outlineLevel="0" collapsed="false">
      <c r="I603" s="2"/>
      <c r="J603" s="2"/>
    </row>
    <row r="604" customFormat="false" ht="15" hidden="false" customHeight="false" outlineLevel="0" collapsed="false">
      <c r="I604" s="2"/>
      <c r="J604" s="2"/>
    </row>
    <row r="605" customFormat="false" ht="15" hidden="false" customHeight="false" outlineLevel="0" collapsed="false">
      <c r="I605" s="2"/>
      <c r="J605" s="2"/>
    </row>
    <row r="606" customFormat="false" ht="15" hidden="false" customHeight="false" outlineLevel="0" collapsed="false">
      <c r="I606" s="2"/>
      <c r="J606" s="2"/>
    </row>
    <row r="607" customFormat="false" ht="15" hidden="false" customHeight="false" outlineLevel="0" collapsed="false">
      <c r="I607" s="2"/>
      <c r="J607" s="2"/>
    </row>
    <row r="608" customFormat="false" ht="15" hidden="false" customHeight="false" outlineLevel="0" collapsed="false">
      <c r="I608" s="2"/>
      <c r="J608" s="2"/>
    </row>
    <row r="609" customFormat="false" ht="15" hidden="false" customHeight="false" outlineLevel="0" collapsed="false">
      <c r="I609" s="2"/>
      <c r="J609" s="2"/>
    </row>
    <row r="610" customFormat="false" ht="15" hidden="false" customHeight="false" outlineLevel="0" collapsed="false">
      <c r="I610" s="2"/>
      <c r="J610" s="2"/>
    </row>
    <row r="611" customFormat="false" ht="15" hidden="false" customHeight="false" outlineLevel="0" collapsed="false">
      <c r="I611" s="2"/>
      <c r="J611" s="2"/>
    </row>
    <row r="612" customFormat="false" ht="15" hidden="false" customHeight="false" outlineLevel="0" collapsed="false">
      <c r="I612" s="2"/>
      <c r="J612" s="2"/>
    </row>
    <row r="613" customFormat="false" ht="15" hidden="false" customHeight="false" outlineLevel="0" collapsed="false">
      <c r="I613" s="2"/>
      <c r="J613" s="2"/>
    </row>
    <row r="614" customFormat="false" ht="15" hidden="false" customHeight="false" outlineLevel="0" collapsed="false">
      <c r="I614" s="2"/>
      <c r="J614" s="2"/>
    </row>
    <row r="615" customFormat="false" ht="15" hidden="false" customHeight="false" outlineLevel="0" collapsed="false">
      <c r="I615" s="2"/>
      <c r="J615" s="2"/>
    </row>
    <row r="616" customFormat="false" ht="15" hidden="false" customHeight="false" outlineLevel="0" collapsed="false">
      <c r="I616" s="2"/>
      <c r="J616" s="2"/>
    </row>
    <row r="617" customFormat="false" ht="15" hidden="false" customHeight="false" outlineLevel="0" collapsed="false">
      <c r="I617" s="2"/>
      <c r="J617" s="2"/>
    </row>
    <row r="618" customFormat="false" ht="15" hidden="false" customHeight="false" outlineLevel="0" collapsed="false">
      <c r="I618" s="2"/>
      <c r="J618" s="2"/>
    </row>
    <row r="619" customFormat="false" ht="15" hidden="false" customHeight="false" outlineLevel="0" collapsed="false">
      <c r="I619" s="2"/>
      <c r="J619" s="2"/>
    </row>
    <row r="620" customFormat="false" ht="15" hidden="false" customHeight="false" outlineLevel="0" collapsed="false">
      <c r="I620" s="2"/>
      <c r="J620" s="2"/>
    </row>
    <row r="621" customFormat="false" ht="15" hidden="false" customHeight="false" outlineLevel="0" collapsed="false">
      <c r="I621" s="2"/>
      <c r="J621" s="2"/>
    </row>
    <row r="622" customFormat="false" ht="15" hidden="false" customHeight="false" outlineLevel="0" collapsed="false">
      <c r="I622" s="2"/>
      <c r="J622" s="2"/>
    </row>
    <row r="623" customFormat="false" ht="15" hidden="false" customHeight="false" outlineLevel="0" collapsed="false">
      <c r="I623" s="2"/>
      <c r="J623" s="2"/>
    </row>
    <row r="624" customFormat="false" ht="15" hidden="false" customHeight="false" outlineLevel="0" collapsed="false">
      <c r="I624" s="2"/>
      <c r="J624" s="2"/>
    </row>
    <row r="625" customFormat="false" ht="15" hidden="false" customHeight="false" outlineLevel="0" collapsed="false">
      <c r="I625" s="2"/>
      <c r="J625" s="2"/>
    </row>
    <row r="626" customFormat="false" ht="15" hidden="false" customHeight="false" outlineLevel="0" collapsed="false">
      <c r="I626" s="2"/>
      <c r="J626" s="2"/>
    </row>
    <row r="627" customFormat="false" ht="15" hidden="false" customHeight="false" outlineLevel="0" collapsed="false">
      <c r="I627" s="2"/>
      <c r="J627" s="2"/>
    </row>
    <row r="628" customFormat="false" ht="15" hidden="false" customHeight="false" outlineLevel="0" collapsed="false">
      <c r="I628" s="2"/>
      <c r="J628" s="2"/>
    </row>
    <row r="629" customFormat="false" ht="15" hidden="false" customHeight="false" outlineLevel="0" collapsed="false">
      <c r="I629" s="2"/>
      <c r="J629" s="2"/>
    </row>
    <row r="630" customFormat="false" ht="15" hidden="false" customHeight="false" outlineLevel="0" collapsed="false">
      <c r="I630" s="2"/>
      <c r="J630" s="2"/>
    </row>
    <row r="631" customFormat="false" ht="15" hidden="false" customHeight="false" outlineLevel="0" collapsed="false">
      <c r="I631" s="2"/>
      <c r="J631" s="2"/>
    </row>
    <row r="632" customFormat="false" ht="15" hidden="false" customHeight="false" outlineLevel="0" collapsed="false">
      <c r="I632" s="2"/>
      <c r="J632" s="2"/>
    </row>
    <row r="633" customFormat="false" ht="15" hidden="false" customHeight="false" outlineLevel="0" collapsed="false">
      <c r="I633" s="2"/>
      <c r="J633" s="2"/>
    </row>
    <row r="634" customFormat="false" ht="15" hidden="false" customHeight="false" outlineLevel="0" collapsed="false">
      <c r="I634" s="2"/>
      <c r="J634" s="2"/>
    </row>
    <row r="635" customFormat="false" ht="15" hidden="false" customHeight="false" outlineLevel="0" collapsed="false">
      <c r="I635" s="2"/>
      <c r="J635" s="2"/>
    </row>
    <row r="636" customFormat="false" ht="15" hidden="false" customHeight="false" outlineLevel="0" collapsed="false">
      <c r="I636" s="2"/>
      <c r="J636" s="2"/>
    </row>
    <row r="637" customFormat="false" ht="15" hidden="false" customHeight="false" outlineLevel="0" collapsed="false">
      <c r="I637" s="2"/>
      <c r="J637" s="2"/>
    </row>
    <row r="638" customFormat="false" ht="15" hidden="false" customHeight="false" outlineLevel="0" collapsed="false">
      <c r="I638" s="2"/>
      <c r="J638" s="2"/>
    </row>
    <row r="639" customFormat="false" ht="15" hidden="false" customHeight="false" outlineLevel="0" collapsed="false">
      <c r="I639" s="2"/>
      <c r="J639" s="2"/>
    </row>
    <row r="640" customFormat="false" ht="15" hidden="false" customHeight="false" outlineLevel="0" collapsed="false">
      <c r="I640" s="2"/>
      <c r="J640" s="2"/>
    </row>
    <row r="641" customFormat="false" ht="15" hidden="false" customHeight="false" outlineLevel="0" collapsed="false">
      <c r="I641" s="2"/>
      <c r="J641" s="2"/>
    </row>
    <row r="642" customFormat="false" ht="15" hidden="false" customHeight="false" outlineLevel="0" collapsed="false">
      <c r="I642" s="2"/>
      <c r="J642" s="2"/>
    </row>
    <row r="643" customFormat="false" ht="15" hidden="false" customHeight="false" outlineLevel="0" collapsed="false">
      <c r="I643" s="2"/>
      <c r="J643" s="2"/>
    </row>
    <row r="644" customFormat="false" ht="15" hidden="false" customHeight="false" outlineLevel="0" collapsed="false">
      <c r="I644" s="2"/>
      <c r="J644" s="2"/>
    </row>
    <row r="645" customFormat="false" ht="15" hidden="false" customHeight="false" outlineLevel="0" collapsed="false">
      <c r="I645" s="2"/>
      <c r="J645" s="2"/>
    </row>
    <row r="646" customFormat="false" ht="15" hidden="false" customHeight="false" outlineLevel="0" collapsed="false">
      <c r="I646" s="2"/>
      <c r="J646" s="2"/>
    </row>
    <row r="647" customFormat="false" ht="15" hidden="false" customHeight="false" outlineLevel="0" collapsed="false">
      <c r="I647" s="2"/>
      <c r="J647" s="2"/>
    </row>
    <row r="648" customFormat="false" ht="15" hidden="false" customHeight="false" outlineLevel="0" collapsed="false">
      <c r="I648" s="2"/>
      <c r="J648" s="2"/>
    </row>
    <row r="649" customFormat="false" ht="15" hidden="false" customHeight="false" outlineLevel="0" collapsed="false">
      <c r="I649" s="2"/>
      <c r="J649" s="2"/>
    </row>
    <row r="650" customFormat="false" ht="15" hidden="false" customHeight="false" outlineLevel="0" collapsed="false">
      <c r="I650" s="2"/>
      <c r="J650" s="2"/>
    </row>
    <row r="651" customFormat="false" ht="15" hidden="false" customHeight="false" outlineLevel="0" collapsed="false">
      <c r="I651" s="2"/>
      <c r="J651" s="2"/>
    </row>
    <row r="652" customFormat="false" ht="15" hidden="false" customHeight="false" outlineLevel="0" collapsed="false">
      <c r="I652" s="2"/>
      <c r="J652" s="2"/>
    </row>
    <row r="653" customFormat="false" ht="15" hidden="false" customHeight="false" outlineLevel="0" collapsed="false">
      <c r="I653" s="2"/>
      <c r="J653" s="2"/>
    </row>
    <row r="654" customFormat="false" ht="15" hidden="false" customHeight="false" outlineLevel="0" collapsed="false">
      <c r="I654" s="2"/>
      <c r="J654" s="2"/>
    </row>
    <row r="655" customFormat="false" ht="15" hidden="false" customHeight="false" outlineLevel="0" collapsed="false">
      <c r="I655" s="2"/>
      <c r="J655" s="2"/>
    </row>
    <row r="656" customFormat="false" ht="15" hidden="false" customHeight="false" outlineLevel="0" collapsed="false">
      <c r="I656" s="2"/>
      <c r="J656" s="2"/>
    </row>
    <row r="657" customFormat="false" ht="15" hidden="false" customHeight="false" outlineLevel="0" collapsed="false">
      <c r="I657" s="2"/>
      <c r="J657" s="2"/>
    </row>
    <row r="658" customFormat="false" ht="15" hidden="false" customHeight="false" outlineLevel="0" collapsed="false">
      <c r="I658" s="2"/>
      <c r="J658" s="2"/>
    </row>
    <row r="659" customFormat="false" ht="15" hidden="false" customHeight="false" outlineLevel="0" collapsed="false">
      <c r="I659" s="2"/>
      <c r="J659" s="2"/>
    </row>
    <row r="660" customFormat="false" ht="15" hidden="false" customHeight="false" outlineLevel="0" collapsed="false">
      <c r="I660" s="2"/>
      <c r="J660" s="2"/>
    </row>
    <row r="661" customFormat="false" ht="15" hidden="false" customHeight="false" outlineLevel="0" collapsed="false">
      <c r="I661" s="2"/>
      <c r="J661" s="2"/>
    </row>
    <row r="662" customFormat="false" ht="15" hidden="false" customHeight="false" outlineLevel="0" collapsed="false">
      <c r="I662" s="2"/>
      <c r="J662" s="2"/>
    </row>
    <row r="663" customFormat="false" ht="15" hidden="false" customHeight="false" outlineLevel="0" collapsed="false">
      <c r="I663" s="2"/>
      <c r="J663" s="2"/>
    </row>
    <row r="664" customFormat="false" ht="15" hidden="false" customHeight="false" outlineLevel="0" collapsed="false">
      <c r="I664" s="2"/>
      <c r="J664" s="2"/>
    </row>
    <row r="665" customFormat="false" ht="15" hidden="false" customHeight="false" outlineLevel="0" collapsed="false">
      <c r="I665" s="2"/>
      <c r="J665" s="2"/>
    </row>
    <row r="666" customFormat="false" ht="15" hidden="false" customHeight="false" outlineLevel="0" collapsed="false">
      <c r="I666" s="2"/>
      <c r="J666" s="2"/>
    </row>
    <row r="667" customFormat="false" ht="15" hidden="false" customHeight="false" outlineLevel="0" collapsed="false">
      <c r="I667" s="2"/>
      <c r="J667" s="2"/>
    </row>
    <row r="668" customFormat="false" ht="15" hidden="false" customHeight="false" outlineLevel="0" collapsed="false">
      <c r="I668" s="2"/>
      <c r="J668" s="2"/>
    </row>
    <row r="669" customFormat="false" ht="15" hidden="false" customHeight="false" outlineLevel="0" collapsed="false">
      <c r="I669" s="2"/>
      <c r="J669" s="2"/>
    </row>
    <row r="670" customFormat="false" ht="15" hidden="false" customHeight="false" outlineLevel="0" collapsed="false">
      <c r="I670" s="2"/>
      <c r="J670" s="2"/>
    </row>
    <row r="671" customFormat="false" ht="15" hidden="false" customHeight="false" outlineLevel="0" collapsed="false">
      <c r="I671" s="2"/>
      <c r="J671" s="2"/>
    </row>
    <row r="672" customFormat="false" ht="15" hidden="false" customHeight="false" outlineLevel="0" collapsed="false">
      <c r="I672" s="2"/>
      <c r="J672" s="2"/>
    </row>
    <row r="673" customFormat="false" ht="15" hidden="false" customHeight="false" outlineLevel="0" collapsed="false">
      <c r="I673" s="2"/>
      <c r="J673" s="2"/>
    </row>
    <row r="674" customFormat="false" ht="15" hidden="false" customHeight="false" outlineLevel="0" collapsed="false">
      <c r="I674" s="2"/>
      <c r="J674" s="2"/>
    </row>
    <row r="675" customFormat="false" ht="15" hidden="false" customHeight="false" outlineLevel="0" collapsed="false">
      <c r="I675" s="2"/>
      <c r="J675" s="2"/>
    </row>
    <row r="676" customFormat="false" ht="15" hidden="false" customHeight="false" outlineLevel="0" collapsed="false">
      <c r="I676" s="2"/>
      <c r="J676" s="2"/>
    </row>
    <row r="677" customFormat="false" ht="15" hidden="false" customHeight="false" outlineLevel="0" collapsed="false">
      <c r="I677" s="2"/>
      <c r="J677" s="2"/>
    </row>
    <row r="678" customFormat="false" ht="15" hidden="false" customHeight="false" outlineLevel="0" collapsed="false">
      <c r="I678" s="2"/>
      <c r="J678" s="2"/>
    </row>
    <row r="679" customFormat="false" ht="15" hidden="false" customHeight="false" outlineLevel="0" collapsed="false">
      <c r="I679" s="2"/>
      <c r="J679" s="2"/>
    </row>
    <row r="680" customFormat="false" ht="15" hidden="false" customHeight="false" outlineLevel="0" collapsed="false">
      <c r="I680" s="2"/>
      <c r="J680" s="2"/>
    </row>
    <row r="681" customFormat="false" ht="15" hidden="false" customHeight="false" outlineLevel="0" collapsed="false">
      <c r="I681" s="2"/>
      <c r="J681" s="2"/>
    </row>
    <row r="682" customFormat="false" ht="15" hidden="false" customHeight="false" outlineLevel="0" collapsed="false">
      <c r="I682" s="2"/>
      <c r="J682" s="2"/>
    </row>
    <row r="683" customFormat="false" ht="15" hidden="false" customHeight="false" outlineLevel="0" collapsed="false">
      <c r="I683" s="2"/>
      <c r="J683" s="2"/>
    </row>
    <row r="684" customFormat="false" ht="15" hidden="false" customHeight="false" outlineLevel="0" collapsed="false">
      <c r="I684" s="2"/>
      <c r="J684" s="2"/>
    </row>
    <row r="685" customFormat="false" ht="15" hidden="false" customHeight="false" outlineLevel="0" collapsed="false">
      <c r="I685" s="2"/>
      <c r="J685" s="2"/>
    </row>
    <row r="686" customFormat="false" ht="15" hidden="false" customHeight="false" outlineLevel="0" collapsed="false">
      <c r="I686" s="2"/>
      <c r="J686" s="2"/>
    </row>
    <row r="687" customFormat="false" ht="15" hidden="false" customHeight="false" outlineLevel="0" collapsed="false">
      <c r="I687" s="2"/>
      <c r="J687" s="2"/>
    </row>
    <row r="688" customFormat="false" ht="15" hidden="false" customHeight="false" outlineLevel="0" collapsed="false">
      <c r="I688" s="2"/>
      <c r="J688" s="2"/>
    </row>
    <row r="689" customFormat="false" ht="15" hidden="false" customHeight="false" outlineLevel="0" collapsed="false">
      <c r="I689" s="2"/>
      <c r="J689" s="2"/>
    </row>
    <row r="690" customFormat="false" ht="15" hidden="false" customHeight="false" outlineLevel="0" collapsed="false">
      <c r="I690" s="2"/>
      <c r="J690" s="2"/>
    </row>
    <row r="691" customFormat="false" ht="15" hidden="false" customHeight="false" outlineLevel="0" collapsed="false">
      <c r="I691" s="2"/>
      <c r="J691" s="2"/>
    </row>
    <row r="692" customFormat="false" ht="15" hidden="false" customHeight="false" outlineLevel="0" collapsed="false">
      <c r="I692" s="2"/>
      <c r="J692" s="2"/>
    </row>
    <row r="693" customFormat="false" ht="15" hidden="false" customHeight="false" outlineLevel="0" collapsed="false">
      <c r="I693" s="2"/>
      <c r="J693" s="2"/>
    </row>
    <row r="694" customFormat="false" ht="15" hidden="false" customHeight="false" outlineLevel="0" collapsed="false">
      <c r="I694" s="2"/>
      <c r="J694" s="2"/>
    </row>
    <row r="695" customFormat="false" ht="15" hidden="false" customHeight="false" outlineLevel="0" collapsed="false">
      <c r="I695" s="2"/>
      <c r="J695" s="2"/>
    </row>
    <row r="696" customFormat="false" ht="15" hidden="false" customHeight="false" outlineLevel="0" collapsed="false">
      <c r="I696" s="2"/>
      <c r="J696" s="2"/>
    </row>
    <row r="697" customFormat="false" ht="15" hidden="false" customHeight="false" outlineLevel="0" collapsed="false">
      <c r="I697" s="2"/>
      <c r="J697" s="2"/>
    </row>
    <row r="698" customFormat="false" ht="15" hidden="false" customHeight="false" outlineLevel="0" collapsed="false">
      <c r="I698" s="2"/>
      <c r="J698" s="2"/>
    </row>
    <row r="699" customFormat="false" ht="15" hidden="false" customHeight="false" outlineLevel="0" collapsed="false">
      <c r="I699" s="2"/>
      <c r="J699" s="2"/>
    </row>
    <row r="700" customFormat="false" ht="15" hidden="false" customHeight="false" outlineLevel="0" collapsed="false">
      <c r="I700" s="2"/>
      <c r="J700" s="2"/>
    </row>
    <row r="701" customFormat="false" ht="15" hidden="false" customHeight="false" outlineLevel="0" collapsed="false">
      <c r="I701" s="2"/>
      <c r="J701" s="2"/>
    </row>
    <row r="702" customFormat="false" ht="15" hidden="false" customHeight="false" outlineLevel="0" collapsed="false">
      <c r="I702" s="2"/>
      <c r="J702" s="2"/>
    </row>
    <row r="703" customFormat="false" ht="15" hidden="false" customHeight="false" outlineLevel="0" collapsed="false">
      <c r="I703" s="2"/>
      <c r="J703" s="2"/>
    </row>
    <row r="704" customFormat="false" ht="15" hidden="false" customHeight="false" outlineLevel="0" collapsed="false">
      <c r="I704" s="2"/>
      <c r="J704" s="2"/>
    </row>
    <row r="705" customFormat="false" ht="15" hidden="false" customHeight="false" outlineLevel="0" collapsed="false">
      <c r="I705" s="2"/>
      <c r="J705" s="2"/>
    </row>
    <row r="706" customFormat="false" ht="15" hidden="false" customHeight="false" outlineLevel="0" collapsed="false">
      <c r="I706" s="2"/>
      <c r="J706" s="2"/>
    </row>
    <row r="707" customFormat="false" ht="15" hidden="false" customHeight="false" outlineLevel="0" collapsed="false">
      <c r="I707" s="2"/>
      <c r="J707" s="2"/>
    </row>
    <row r="708" customFormat="false" ht="15" hidden="false" customHeight="false" outlineLevel="0" collapsed="false">
      <c r="I708" s="2"/>
      <c r="J708" s="2"/>
    </row>
    <row r="709" customFormat="false" ht="15" hidden="false" customHeight="false" outlineLevel="0" collapsed="false">
      <c r="I709" s="2"/>
      <c r="J709" s="2"/>
    </row>
    <row r="710" customFormat="false" ht="15" hidden="false" customHeight="false" outlineLevel="0" collapsed="false">
      <c r="I710" s="2"/>
      <c r="J710" s="2"/>
    </row>
    <row r="711" customFormat="false" ht="15" hidden="false" customHeight="false" outlineLevel="0" collapsed="false">
      <c r="I711" s="2"/>
      <c r="J711" s="2"/>
    </row>
    <row r="712" customFormat="false" ht="15" hidden="false" customHeight="false" outlineLevel="0" collapsed="false">
      <c r="I712" s="2"/>
      <c r="J712" s="2"/>
    </row>
    <row r="713" customFormat="false" ht="15" hidden="false" customHeight="false" outlineLevel="0" collapsed="false">
      <c r="I713" s="2"/>
      <c r="J713" s="2"/>
    </row>
    <row r="714" customFormat="false" ht="15" hidden="false" customHeight="false" outlineLevel="0" collapsed="false">
      <c r="I714" s="2"/>
      <c r="J714" s="2"/>
    </row>
    <row r="715" customFormat="false" ht="15" hidden="false" customHeight="false" outlineLevel="0" collapsed="false">
      <c r="I715" s="2"/>
      <c r="J715" s="2"/>
    </row>
    <row r="716" customFormat="false" ht="15" hidden="false" customHeight="false" outlineLevel="0" collapsed="false">
      <c r="I716" s="2"/>
      <c r="J716" s="2"/>
    </row>
    <row r="717" customFormat="false" ht="15" hidden="false" customHeight="false" outlineLevel="0" collapsed="false">
      <c r="I717" s="2"/>
      <c r="J717" s="2"/>
    </row>
    <row r="718" customFormat="false" ht="15" hidden="false" customHeight="false" outlineLevel="0" collapsed="false">
      <c r="I718" s="2"/>
      <c r="J718" s="2"/>
    </row>
    <row r="719" customFormat="false" ht="15" hidden="false" customHeight="false" outlineLevel="0" collapsed="false">
      <c r="I719" s="2"/>
      <c r="J719" s="2"/>
    </row>
    <row r="720" customFormat="false" ht="15" hidden="false" customHeight="false" outlineLevel="0" collapsed="false">
      <c r="I720" s="2"/>
      <c r="J720" s="2"/>
    </row>
    <row r="721" customFormat="false" ht="15" hidden="false" customHeight="false" outlineLevel="0" collapsed="false">
      <c r="I721" s="2"/>
      <c r="J721" s="2"/>
    </row>
    <row r="722" customFormat="false" ht="15" hidden="false" customHeight="false" outlineLevel="0" collapsed="false">
      <c r="I722" s="2"/>
      <c r="J722" s="2"/>
    </row>
    <row r="723" customFormat="false" ht="15" hidden="false" customHeight="false" outlineLevel="0" collapsed="false">
      <c r="I723" s="2"/>
      <c r="J723" s="2"/>
    </row>
    <row r="724" customFormat="false" ht="15" hidden="false" customHeight="false" outlineLevel="0" collapsed="false">
      <c r="I724" s="2"/>
      <c r="J724" s="2"/>
    </row>
    <row r="725" customFormat="false" ht="15" hidden="false" customHeight="false" outlineLevel="0" collapsed="false">
      <c r="I725" s="2"/>
      <c r="J725" s="2"/>
    </row>
    <row r="726" customFormat="false" ht="15" hidden="false" customHeight="false" outlineLevel="0" collapsed="false">
      <c r="I726" s="2"/>
      <c r="J726" s="2"/>
    </row>
    <row r="727" customFormat="false" ht="15" hidden="false" customHeight="false" outlineLevel="0" collapsed="false">
      <c r="I727" s="2"/>
      <c r="J727" s="2"/>
    </row>
    <row r="728" customFormat="false" ht="15" hidden="false" customHeight="false" outlineLevel="0" collapsed="false">
      <c r="I728" s="2"/>
      <c r="J728" s="2"/>
    </row>
    <row r="729" customFormat="false" ht="15" hidden="false" customHeight="false" outlineLevel="0" collapsed="false">
      <c r="I729" s="2"/>
      <c r="J729" s="2"/>
    </row>
    <row r="730" customFormat="false" ht="15" hidden="false" customHeight="false" outlineLevel="0" collapsed="false">
      <c r="I730" s="2"/>
      <c r="J730" s="2"/>
    </row>
    <row r="731" customFormat="false" ht="15" hidden="false" customHeight="false" outlineLevel="0" collapsed="false">
      <c r="I731" s="2"/>
      <c r="J731" s="2"/>
    </row>
    <row r="732" customFormat="false" ht="15" hidden="false" customHeight="false" outlineLevel="0" collapsed="false">
      <c r="I732" s="2"/>
      <c r="J732" s="2"/>
    </row>
    <row r="733" customFormat="false" ht="15" hidden="false" customHeight="false" outlineLevel="0" collapsed="false">
      <c r="I733" s="2"/>
      <c r="J733" s="2"/>
    </row>
    <row r="734" customFormat="false" ht="15" hidden="false" customHeight="false" outlineLevel="0" collapsed="false">
      <c r="I734" s="2"/>
      <c r="J734" s="2"/>
    </row>
    <row r="735" customFormat="false" ht="15" hidden="false" customHeight="false" outlineLevel="0" collapsed="false">
      <c r="I735" s="2"/>
      <c r="J735" s="2"/>
    </row>
    <row r="736" customFormat="false" ht="15" hidden="false" customHeight="false" outlineLevel="0" collapsed="false">
      <c r="I736" s="2"/>
      <c r="J736" s="2"/>
    </row>
    <row r="737" customFormat="false" ht="15" hidden="false" customHeight="false" outlineLevel="0" collapsed="false">
      <c r="I737" s="2"/>
      <c r="J737" s="2"/>
    </row>
    <row r="738" customFormat="false" ht="15" hidden="false" customHeight="false" outlineLevel="0" collapsed="false">
      <c r="I738" s="2"/>
      <c r="J738" s="2"/>
    </row>
    <row r="739" customFormat="false" ht="15" hidden="false" customHeight="false" outlineLevel="0" collapsed="false">
      <c r="I739" s="2"/>
      <c r="J739" s="2"/>
    </row>
    <row r="740" customFormat="false" ht="15" hidden="false" customHeight="false" outlineLevel="0" collapsed="false">
      <c r="I740" s="2"/>
      <c r="J740" s="2"/>
    </row>
    <row r="741" customFormat="false" ht="15" hidden="false" customHeight="false" outlineLevel="0" collapsed="false">
      <c r="I741" s="2"/>
      <c r="J741" s="2"/>
    </row>
    <row r="742" customFormat="false" ht="15" hidden="false" customHeight="false" outlineLevel="0" collapsed="false">
      <c r="I742" s="2"/>
      <c r="J742" s="2"/>
    </row>
    <row r="743" customFormat="false" ht="15" hidden="false" customHeight="false" outlineLevel="0" collapsed="false">
      <c r="I743" s="2"/>
      <c r="J743" s="2"/>
    </row>
    <row r="744" customFormat="false" ht="15" hidden="false" customHeight="false" outlineLevel="0" collapsed="false">
      <c r="I744" s="2"/>
      <c r="J744" s="2"/>
    </row>
    <row r="745" customFormat="false" ht="15" hidden="false" customHeight="false" outlineLevel="0" collapsed="false">
      <c r="I745" s="2"/>
      <c r="J745" s="2"/>
    </row>
    <row r="746" customFormat="false" ht="15" hidden="false" customHeight="false" outlineLevel="0" collapsed="false">
      <c r="I746" s="2"/>
      <c r="J746" s="2"/>
    </row>
    <row r="747" customFormat="false" ht="15" hidden="false" customHeight="false" outlineLevel="0" collapsed="false">
      <c r="I747" s="2"/>
      <c r="J747" s="2"/>
    </row>
    <row r="748" customFormat="false" ht="15" hidden="false" customHeight="false" outlineLevel="0" collapsed="false">
      <c r="I748" s="2"/>
      <c r="J748" s="2"/>
    </row>
    <row r="749" customFormat="false" ht="15" hidden="false" customHeight="false" outlineLevel="0" collapsed="false">
      <c r="I749" s="2"/>
      <c r="J749" s="2"/>
    </row>
    <row r="750" customFormat="false" ht="15" hidden="false" customHeight="false" outlineLevel="0" collapsed="false">
      <c r="I750" s="2"/>
      <c r="J750" s="2"/>
    </row>
    <row r="751" customFormat="false" ht="15" hidden="false" customHeight="false" outlineLevel="0" collapsed="false">
      <c r="I751" s="2"/>
      <c r="J751" s="2"/>
    </row>
    <row r="752" customFormat="false" ht="15" hidden="false" customHeight="false" outlineLevel="0" collapsed="false">
      <c r="I752" s="2"/>
      <c r="J752" s="2"/>
    </row>
    <row r="753" customFormat="false" ht="15" hidden="false" customHeight="false" outlineLevel="0" collapsed="false">
      <c r="I753" s="2"/>
      <c r="J753" s="2"/>
    </row>
    <row r="754" customFormat="false" ht="15" hidden="false" customHeight="false" outlineLevel="0" collapsed="false">
      <c r="I754" s="2"/>
      <c r="J754" s="2"/>
    </row>
    <row r="755" customFormat="false" ht="15" hidden="false" customHeight="false" outlineLevel="0" collapsed="false">
      <c r="I755" s="2"/>
      <c r="J755" s="2"/>
    </row>
    <row r="756" customFormat="false" ht="15" hidden="false" customHeight="false" outlineLevel="0" collapsed="false">
      <c r="I756" s="2"/>
      <c r="J756" s="2"/>
    </row>
    <row r="757" customFormat="false" ht="15" hidden="false" customHeight="false" outlineLevel="0" collapsed="false">
      <c r="I757" s="2"/>
      <c r="J757" s="2"/>
    </row>
    <row r="758" customFormat="false" ht="15" hidden="false" customHeight="false" outlineLevel="0" collapsed="false">
      <c r="I758" s="2"/>
      <c r="J758" s="2"/>
    </row>
    <row r="759" customFormat="false" ht="15" hidden="false" customHeight="false" outlineLevel="0" collapsed="false">
      <c r="I759" s="2"/>
      <c r="J759" s="2"/>
    </row>
    <row r="760" customFormat="false" ht="15" hidden="false" customHeight="false" outlineLevel="0" collapsed="false">
      <c r="I760" s="2"/>
      <c r="J760" s="2"/>
    </row>
    <row r="761" customFormat="false" ht="15" hidden="false" customHeight="false" outlineLevel="0" collapsed="false">
      <c r="I761" s="2"/>
      <c r="J761" s="2"/>
    </row>
    <row r="762" customFormat="false" ht="15" hidden="false" customHeight="false" outlineLevel="0" collapsed="false">
      <c r="I762" s="2"/>
      <c r="J762" s="2"/>
    </row>
    <row r="763" customFormat="false" ht="15" hidden="false" customHeight="false" outlineLevel="0" collapsed="false">
      <c r="I763" s="2"/>
      <c r="J763" s="2"/>
    </row>
    <row r="764" customFormat="false" ht="15" hidden="false" customHeight="false" outlineLevel="0" collapsed="false">
      <c r="I764" s="2"/>
      <c r="J764" s="2"/>
    </row>
    <row r="765" customFormat="false" ht="15" hidden="false" customHeight="false" outlineLevel="0" collapsed="false">
      <c r="I765" s="2"/>
      <c r="J765" s="2"/>
    </row>
    <row r="766" customFormat="false" ht="15" hidden="false" customHeight="false" outlineLevel="0" collapsed="false">
      <c r="I766" s="2"/>
      <c r="J766" s="2"/>
    </row>
    <row r="767" customFormat="false" ht="15" hidden="false" customHeight="false" outlineLevel="0" collapsed="false">
      <c r="I767" s="2"/>
      <c r="J767" s="2"/>
    </row>
    <row r="768" customFormat="false" ht="15" hidden="false" customHeight="false" outlineLevel="0" collapsed="false">
      <c r="I768" s="2"/>
      <c r="J768" s="2"/>
    </row>
    <row r="769" customFormat="false" ht="15" hidden="false" customHeight="false" outlineLevel="0" collapsed="false">
      <c r="I769" s="2"/>
      <c r="J769" s="2"/>
    </row>
    <row r="770" customFormat="false" ht="15" hidden="false" customHeight="false" outlineLevel="0" collapsed="false">
      <c r="I770" s="2"/>
      <c r="J770" s="2"/>
    </row>
    <row r="771" customFormat="false" ht="15" hidden="false" customHeight="false" outlineLevel="0" collapsed="false">
      <c r="I771" s="2"/>
      <c r="J771" s="2"/>
    </row>
    <row r="772" customFormat="false" ht="15" hidden="false" customHeight="false" outlineLevel="0" collapsed="false">
      <c r="I772" s="2"/>
      <c r="J772" s="2"/>
    </row>
    <row r="773" customFormat="false" ht="15" hidden="false" customHeight="false" outlineLevel="0" collapsed="false">
      <c r="I773" s="2"/>
      <c r="J773" s="2"/>
    </row>
    <row r="774" customFormat="false" ht="15" hidden="false" customHeight="false" outlineLevel="0" collapsed="false">
      <c r="I774" s="2"/>
      <c r="J774" s="2"/>
    </row>
    <row r="775" customFormat="false" ht="15" hidden="false" customHeight="false" outlineLevel="0" collapsed="false">
      <c r="I775" s="2"/>
      <c r="J775" s="2"/>
    </row>
    <row r="776" customFormat="false" ht="15" hidden="false" customHeight="false" outlineLevel="0" collapsed="false">
      <c r="I776" s="2"/>
      <c r="J776" s="2"/>
    </row>
    <row r="777" customFormat="false" ht="15" hidden="false" customHeight="false" outlineLevel="0" collapsed="false">
      <c r="I777" s="2"/>
      <c r="J777" s="2"/>
    </row>
    <row r="778" customFormat="false" ht="15" hidden="false" customHeight="false" outlineLevel="0" collapsed="false">
      <c r="I778" s="2"/>
      <c r="J778" s="2"/>
    </row>
    <row r="779" customFormat="false" ht="15" hidden="false" customHeight="false" outlineLevel="0" collapsed="false">
      <c r="I779" s="2"/>
      <c r="J779" s="2"/>
    </row>
    <row r="780" customFormat="false" ht="15" hidden="false" customHeight="false" outlineLevel="0" collapsed="false">
      <c r="I780" s="2"/>
      <c r="J780" s="2"/>
    </row>
    <row r="781" customFormat="false" ht="15" hidden="false" customHeight="false" outlineLevel="0" collapsed="false">
      <c r="I781" s="2"/>
      <c r="J781" s="2"/>
    </row>
    <row r="782" customFormat="false" ht="15" hidden="false" customHeight="false" outlineLevel="0" collapsed="false">
      <c r="I782" s="2"/>
      <c r="J782" s="2"/>
    </row>
    <row r="783" customFormat="false" ht="15" hidden="false" customHeight="false" outlineLevel="0" collapsed="false">
      <c r="I783" s="2"/>
      <c r="J783" s="2"/>
    </row>
    <row r="784" customFormat="false" ht="15" hidden="false" customHeight="false" outlineLevel="0" collapsed="false">
      <c r="I784" s="2"/>
      <c r="J784" s="2"/>
    </row>
    <row r="785" customFormat="false" ht="15" hidden="false" customHeight="false" outlineLevel="0" collapsed="false">
      <c r="I785" s="2"/>
      <c r="J785" s="2"/>
    </row>
    <row r="786" customFormat="false" ht="15" hidden="false" customHeight="false" outlineLevel="0" collapsed="false">
      <c r="I786" s="2"/>
      <c r="J786" s="2"/>
    </row>
    <row r="787" customFormat="false" ht="15" hidden="false" customHeight="false" outlineLevel="0" collapsed="false">
      <c r="I787" s="2"/>
      <c r="J787" s="2"/>
    </row>
    <row r="788" customFormat="false" ht="15" hidden="false" customHeight="false" outlineLevel="0" collapsed="false">
      <c r="I788" s="2"/>
      <c r="J788" s="2"/>
    </row>
    <row r="789" customFormat="false" ht="15" hidden="false" customHeight="false" outlineLevel="0" collapsed="false">
      <c r="I789" s="2"/>
      <c r="J789" s="2"/>
    </row>
    <row r="790" customFormat="false" ht="15" hidden="false" customHeight="false" outlineLevel="0" collapsed="false">
      <c r="I790" s="2"/>
      <c r="J790" s="2"/>
    </row>
    <row r="791" customFormat="false" ht="15" hidden="false" customHeight="false" outlineLevel="0" collapsed="false">
      <c r="I791" s="2"/>
      <c r="J791" s="2"/>
    </row>
    <row r="792" customFormat="false" ht="15" hidden="false" customHeight="false" outlineLevel="0" collapsed="false">
      <c r="I792" s="2"/>
      <c r="J792" s="2"/>
    </row>
    <row r="793" customFormat="false" ht="15" hidden="false" customHeight="false" outlineLevel="0" collapsed="false">
      <c r="I793" s="2"/>
      <c r="J793" s="2"/>
    </row>
    <row r="794" customFormat="false" ht="15" hidden="false" customHeight="false" outlineLevel="0" collapsed="false">
      <c r="I794" s="2"/>
      <c r="J794" s="2"/>
    </row>
    <row r="795" customFormat="false" ht="15" hidden="false" customHeight="false" outlineLevel="0" collapsed="false">
      <c r="I795" s="2"/>
      <c r="J795" s="2"/>
    </row>
    <row r="796" customFormat="false" ht="15" hidden="false" customHeight="false" outlineLevel="0" collapsed="false">
      <c r="I796" s="2"/>
      <c r="J796" s="2"/>
    </row>
    <row r="797" customFormat="false" ht="15" hidden="false" customHeight="false" outlineLevel="0" collapsed="false">
      <c r="I797" s="2"/>
      <c r="J797" s="2"/>
    </row>
    <row r="798" customFormat="false" ht="15" hidden="false" customHeight="false" outlineLevel="0" collapsed="false">
      <c r="I798" s="2"/>
      <c r="J798" s="2"/>
    </row>
    <row r="799" customFormat="false" ht="15" hidden="false" customHeight="false" outlineLevel="0" collapsed="false">
      <c r="I799" s="2"/>
      <c r="J799" s="2"/>
    </row>
    <row r="800" customFormat="false" ht="15" hidden="false" customHeight="false" outlineLevel="0" collapsed="false">
      <c r="I800" s="2"/>
      <c r="J800" s="2"/>
    </row>
    <row r="801" customFormat="false" ht="15" hidden="false" customHeight="false" outlineLevel="0" collapsed="false">
      <c r="I801" s="2"/>
      <c r="J801" s="2"/>
    </row>
    <row r="802" customFormat="false" ht="15" hidden="false" customHeight="false" outlineLevel="0" collapsed="false">
      <c r="I802" s="2"/>
      <c r="J802" s="2"/>
    </row>
    <row r="803" customFormat="false" ht="15" hidden="false" customHeight="false" outlineLevel="0" collapsed="false">
      <c r="I803" s="2"/>
      <c r="J803" s="2"/>
    </row>
    <row r="804" customFormat="false" ht="15" hidden="false" customHeight="false" outlineLevel="0" collapsed="false">
      <c r="I804" s="2"/>
      <c r="J804" s="2"/>
    </row>
    <row r="805" customFormat="false" ht="15" hidden="false" customHeight="false" outlineLevel="0" collapsed="false">
      <c r="I805" s="2"/>
      <c r="J805" s="2"/>
    </row>
    <row r="806" customFormat="false" ht="15" hidden="false" customHeight="false" outlineLevel="0" collapsed="false">
      <c r="I806" s="2"/>
      <c r="J806" s="2"/>
    </row>
    <row r="807" customFormat="false" ht="15" hidden="false" customHeight="false" outlineLevel="0" collapsed="false">
      <c r="I807" s="2"/>
      <c r="J807" s="2"/>
    </row>
    <row r="808" customFormat="false" ht="15" hidden="false" customHeight="false" outlineLevel="0" collapsed="false">
      <c r="I808" s="2"/>
      <c r="J808" s="2"/>
    </row>
    <row r="809" customFormat="false" ht="15" hidden="false" customHeight="false" outlineLevel="0" collapsed="false">
      <c r="I809" s="2"/>
      <c r="J809" s="2"/>
    </row>
    <row r="810" customFormat="false" ht="15" hidden="false" customHeight="false" outlineLevel="0" collapsed="false">
      <c r="I810" s="2"/>
      <c r="J810" s="2"/>
    </row>
    <row r="811" customFormat="false" ht="15" hidden="false" customHeight="false" outlineLevel="0" collapsed="false">
      <c r="I811" s="2"/>
      <c r="J811" s="2"/>
    </row>
    <row r="812" customFormat="false" ht="15" hidden="false" customHeight="false" outlineLevel="0" collapsed="false">
      <c r="I812" s="2"/>
      <c r="J812" s="2"/>
    </row>
    <row r="813" customFormat="false" ht="15" hidden="false" customHeight="false" outlineLevel="0" collapsed="false">
      <c r="I813" s="2"/>
      <c r="J813" s="2"/>
    </row>
    <row r="814" customFormat="false" ht="15" hidden="false" customHeight="false" outlineLevel="0" collapsed="false">
      <c r="I814" s="2"/>
      <c r="J814" s="2"/>
    </row>
    <row r="815" customFormat="false" ht="15" hidden="false" customHeight="false" outlineLevel="0" collapsed="false">
      <c r="I815" s="2"/>
      <c r="J815" s="2"/>
    </row>
    <row r="816" customFormat="false" ht="15" hidden="false" customHeight="false" outlineLevel="0" collapsed="false">
      <c r="I816" s="2"/>
      <c r="J816" s="2"/>
    </row>
    <row r="817" customFormat="false" ht="15" hidden="false" customHeight="false" outlineLevel="0" collapsed="false">
      <c r="I817" s="2"/>
      <c r="J817" s="2"/>
    </row>
    <row r="818" customFormat="false" ht="15" hidden="false" customHeight="false" outlineLevel="0" collapsed="false">
      <c r="I818" s="2"/>
      <c r="J818" s="2"/>
    </row>
    <row r="819" customFormat="false" ht="15" hidden="false" customHeight="false" outlineLevel="0" collapsed="false">
      <c r="I819" s="2"/>
      <c r="J819" s="2"/>
    </row>
    <row r="820" customFormat="false" ht="15" hidden="false" customHeight="false" outlineLevel="0" collapsed="false">
      <c r="I820" s="2"/>
      <c r="J820" s="2"/>
    </row>
    <row r="821" customFormat="false" ht="15" hidden="false" customHeight="false" outlineLevel="0" collapsed="false">
      <c r="I821" s="2"/>
      <c r="J821" s="2"/>
    </row>
    <row r="822" customFormat="false" ht="15" hidden="false" customHeight="false" outlineLevel="0" collapsed="false">
      <c r="I822" s="2"/>
      <c r="J822" s="2"/>
    </row>
    <row r="823" customFormat="false" ht="15" hidden="false" customHeight="false" outlineLevel="0" collapsed="false">
      <c r="I823" s="2"/>
      <c r="J823" s="2"/>
    </row>
    <row r="824" customFormat="false" ht="15" hidden="false" customHeight="false" outlineLevel="0" collapsed="false">
      <c r="I824" s="2"/>
      <c r="J824" s="2"/>
    </row>
    <row r="825" customFormat="false" ht="15" hidden="false" customHeight="false" outlineLevel="0" collapsed="false">
      <c r="I825" s="2"/>
      <c r="J825" s="2"/>
    </row>
    <row r="826" customFormat="false" ht="15" hidden="false" customHeight="false" outlineLevel="0" collapsed="false">
      <c r="I826" s="2"/>
      <c r="J826" s="2"/>
    </row>
    <row r="827" customFormat="false" ht="15" hidden="false" customHeight="false" outlineLevel="0" collapsed="false">
      <c r="I827" s="2"/>
      <c r="J827" s="2"/>
    </row>
    <row r="828" customFormat="false" ht="15" hidden="false" customHeight="false" outlineLevel="0" collapsed="false">
      <c r="I828" s="2"/>
      <c r="J828" s="2"/>
    </row>
    <row r="829" customFormat="false" ht="15" hidden="false" customHeight="false" outlineLevel="0" collapsed="false">
      <c r="I829" s="2"/>
      <c r="J829" s="2"/>
    </row>
    <row r="830" customFormat="false" ht="15" hidden="false" customHeight="false" outlineLevel="0" collapsed="false">
      <c r="I830" s="2"/>
      <c r="J830" s="2"/>
    </row>
    <row r="831" customFormat="false" ht="15" hidden="false" customHeight="false" outlineLevel="0" collapsed="false">
      <c r="I831" s="2"/>
      <c r="J831" s="2"/>
    </row>
    <row r="832" customFormat="false" ht="15" hidden="false" customHeight="false" outlineLevel="0" collapsed="false">
      <c r="I832" s="2"/>
      <c r="J832" s="2"/>
    </row>
    <row r="833" customFormat="false" ht="15" hidden="false" customHeight="false" outlineLevel="0" collapsed="false">
      <c r="I833" s="2"/>
      <c r="J833" s="2"/>
    </row>
    <row r="834" customFormat="false" ht="15" hidden="false" customHeight="false" outlineLevel="0" collapsed="false">
      <c r="I834" s="2"/>
      <c r="J834" s="2"/>
    </row>
    <row r="835" customFormat="false" ht="15" hidden="false" customHeight="false" outlineLevel="0" collapsed="false">
      <c r="I835" s="2"/>
      <c r="J835" s="2"/>
    </row>
    <row r="836" customFormat="false" ht="15" hidden="false" customHeight="false" outlineLevel="0" collapsed="false">
      <c r="I836" s="2"/>
      <c r="J836" s="2"/>
    </row>
    <row r="837" customFormat="false" ht="15" hidden="false" customHeight="false" outlineLevel="0" collapsed="false">
      <c r="I837" s="2"/>
      <c r="J837" s="2"/>
    </row>
    <row r="838" customFormat="false" ht="15" hidden="false" customHeight="false" outlineLevel="0" collapsed="false">
      <c r="I838" s="2"/>
      <c r="J838" s="2"/>
    </row>
    <row r="839" customFormat="false" ht="15" hidden="false" customHeight="false" outlineLevel="0" collapsed="false">
      <c r="I839" s="2"/>
      <c r="J839" s="2"/>
    </row>
    <row r="840" customFormat="false" ht="15" hidden="false" customHeight="false" outlineLevel="0" collapsed="false">
      <c r="I840" s="2"/>
      <c r="J840" s="2"/>
    </row>
    <row r="841" customFormat="false" ht="15" hidden="false" customHeight="false" outlineLevel="0" collapsed="false">
      <c r="I841" s="2"/>
      <c r="J841" s="2"/>
    </row>
    <row r="842" customFormat="false" ht="15" hidden="false" customHeight="false" outlineLevel="0" collapsed="false">
      <c r="I842" s="2"/>
      <c r="J842" s="2"/>
    </row>
    <row r="843" customFormat="false" ht="15" hidden="false" customHeight="false" outlineLevel="0" collapsed="false">
      <c r="I843" s="2"/>
      <c r="J843" s="2"/>
    </row>
    <row r="844" customFormat="false" ht="15" hidden="false" customHeight="false" outlineLevel="0" collapsed="false">
      <c r="I844" s="2"/>
      <c r="J844" s="2"/>
    </row>
    <row r="845" customFormat="false" ht="15" hidden="false" customHeight="false" outlineLevel="0" collapsed="false">
      <c r="I845" s="2"/>
      <c r="J845" s="2"/>
    </row>
    <row r="846" customFormat="false" ht="15" hidden="false" customHeight="false" outlineLevel="0" collapsed="false">
      <c r="I846" s="2"/>
      <c r="J846" s="2"/>
    </row>
    <row r="847" customFormat="false" ht="15" hidden="false" customHeight="false" outlineLevel="0" collapsed="false">
      <c r="I847" s="2"/>
      <c r="J847" s="2"/>
    </row>
    <row r="848" customFormat="false" ht="15" hidden="false" customHeight="false" outlineLevel="0" collapsed="false">
      <c r="I848" s="2"/>
      <c r="J848" s="2"/>
    </row>
    <row r="849" customFormat="false" ht="15" hidden="false" customHeight="false" outlineLevel="0" collapsed="false">
      <c r="I849" s="2"/>
      <c r="J849" s="2"/>
    </row>
    <row r="850" customFormat="false" ht="15" hidden="false" customHeight="false" outlineLevel="0" collapsed="false">
      <c r="I850" s="2"/>
      <c r="J850" s="2"/>
    </row>
    <row r="851" customFormat="false" ht="15" hidden="false" customHeight="false" outlineLevel="0" collapsed="false">
      <c r="I851" s="2"/>
      <c r="J851" s="2"/>
    </row>
    <row r="852" customFormat="false" ht="15" hidden="false" customHeight="false" outlineLevel="0" collapsed="false">
      <c r="I852" s="2"/>
      <c r="J852" s="2"/>
    </row>
    <row r="853" customFormat="false" ht="15" hidden="false" customHeight="false" outlineLevel="0" collapsed="false">
      <c r="I853" s="2"/>
      <c r="J853" s="2"/>
    </row>
    <row r="854" customFormat="false" ht="15" hidden="false" customHeight="false" outlineLevel="0" collapsed="false">
      <c r="I854" s="2"/>
      <c r="J854" s="2"/>
    </row>
    <row r="855" customFormat="false" ht="15" hidden="false" customHeight="false" outlineLevel="0" collapsed="false">
      <c r="I855" s="2"/>
      <c r="J855" s="2"/>
    </row>
    <row r="856" customFormat="false" ht="15" hidden="false" customHeight="false" outlineLevel="0" collapsed="false">
      <c r="I856" s="2"/>
      <c r="J856" s="2"/>
    </row>
    <row r="857" customFormat="false" ht="15" hidden="false" customHeight="false" outlineLevel="0" collapsed="false">
      <c r="I857" s="2"/>
      <c r="J857" s="2"/>
    </row>
    <row r="858" customFormat="false" ht="15" hidden="false" customHeight="false" outlineLevel="0" collapsed="false">
      <c r="I858" s="2"/>
      <c r="J858" s="2"/>
    </row>
    <row r="859" customFormat="false" ht="15" hidden="false" customHeight="false" outlineLevel="0" collapsed="false">
      <c r="I859" s="2"/>
      <c r="J859" s="2"/>
    </row>
    <row r="860" customFormat="false" ht="15" hidden="false" customHeight="false" outlineLevel="0" collapsed="false">
      <c r="I860" s="2"/>
      <c r="J860" s="2"/>
    </row>
    <row r="861" customFormat="false" ht="15" hidden="false" customHeight="false" outlineLevel="0" collapsed="false">
      <c r="I861" s="2"/>
      <c r="J861" s="2"/>
    </row>
    <row r="862" customFormat="false" ht="15" hidden="false" customHeight="false" outlineLevel="0" collapsed="false">
      <c r="I862" s="2"/>
      <c r="J862" s="2"/>
    </row>
    <row r="863" customFormat="false" ht="15" hidden="false" customHeight="false" outlineLevel="0" collapsed="false">
      <c r="I863" s="2"/>
      <c r="J863" s="2"/>
    </row>
    <row r="864" customFormat="false" ht="15" hidden="false" customHeight="false" outlineLevel="0" collapsed="false">
      <c r="I864" s="2"/>
      <c r="J864" s="2"/>
    </row>
    <row r="865" customFormat="false" ht="15" hidden="false" customHeight="false" outlineLevel="0" collapsed="false">
      <c r="I865" s="2"/>
      <c r="J865" s="2"/>
    </row>
    <row r="866" customFormat="false" ht="15" hidden="false" customHeight="false" outlineLevel="0" collapsed="false">
      <c r="I866" s="2"/>
      <c r="J866" s="2"/>
    </row>
    <row r="867" customFormat="false" ht="15" hidden="false" customHeight="false" outlineLevel="0" collapsed="false">
      <c r="I867" s="2"/>
      <c r="J867" s="2"/>
    </row>
    <row r="868" customFormat="false" ht="15" hidden="false" customHeight="false" outlineLevel="0" collapsed="false">
      <c r="I868" s="2"/>
      <c r="J868" s="2"/>
    </row>
    <row r="869" customFormat="false" ht="15" hidden="false" customHeight="false" outlineLevel="0" collapsed="false">
      <c r="I869" s="2"/>
      <c r="J869" s="2"/>
    </row>
    <row r="870" customFormat="false" ht="15" hidden="false" customHeight="false" outlineLevel="0" collapsed="false">
      <c r="I870" s="2"/>
      <c r="J870" s="2"/>
    </row>
    <row r="871" customFormat="false" ht="15" hidden="false" customHeight="false" outlineLevel="0" collapsed="false">
      <c r="I871" s="2"/>
      <c r="J871" s="2"/>
    </row>
    <row r="872" customFormat="false" ht="15" hidden="false" customHeight="false" outlineLevel="0" collapsed="false">
      <c r="I872" s="2"/>
      <c r="J872" s="2"/>
    </row>
    <row r="873" customFormat="false" ht="15" hidden="false" customHeight="false" outlineLevel="0" collapsed="false">
      <c r="I873" s="2"/>
      <c r="J873" s="2"/>
    </row>
    <row r="874" customFormat="false" ht="15" hidden="false" customHeight="false" outlineLevel="0" collapsed="false">
      <c r="I874" s="2"/>
      <c r="J874" s="2"/>
    </row>
    <row r="875" customFormat="false" ht="15" hidden="false" customHeight="false" outlineLevel="0" collapsed="false">
      <c r="I875" s="2"/>
      <c r="J875" s="2"/>
    </row>
    <row r="876" customFormat="false" ht="15" hidden="false" customHeight="false" outlineLevel="0" collapsed="false">
      <c r="I876" s="2"/>
      <c r="J876" s="2"/>
    </row>
    <row r="877" customFormat="false" ht="15" hidden="false" customHeight="false" outlineLevel="0" collapsed="false">
      <c r="I877" s="2"/>
      <c r="J877" s="2"/>
    </row>
    <row r="878" customFormat="false" ht="15" hidden="false" customHeight="false" outlineLevel="0" collapsed="false">
      <c r="I878" s="2"/>
      <c r="J878" s="2"/>
    </row>
    <row r="879" customFormat="false" ht="15" hidden="false" customHeight="false" outlineLevel="0" collapsed="false">
      <c r="I879" s="2"/>
      <c r="J879" s="2"/>
    </row>
    <row r="880" customFormat="false" ht="15" hidden="false" customHeight="false" outlineLevel="0" collapsed="false">
      <c r="I880" s="2"/>
      <c r="J880" s="2"/>
    </row>
    <row r="881" customFormat="false" ht="15" hidden="false" customHeight="false" outlineLevel="0" collapsed="false">
      <c r="I881" s="2"/>
      <c r="J881" s="2"/>
    </row>
    <row r="882" customFormat="false" ht="15" hidden="false" customHeight="false" outlineLevel="0" collapsed="false">
      <c r="I882" s="2"/>
      <c r="J882" s="2"/>
    </row>
    <row r="883" customFormat="false" ht="15" hidden="false" customHeight="false" outlineLevel="0" collapsed="false">
      <c r="I883" s="2"/>
      <c r="J883" s="2"/>
    </row>
    <row r="884" customFormat="false" ht="15" hidden="false" customHeight="false" outlineLevel="0" collapsed="false">
      <c r="I884" s="2"/>
      <c r="J884" s="2"/>
    </row>
    <row r="885" customFormat="false" ht="15" hidden="false" customHeight="false" outlineLevel="0" collapsed="false">
      <c r="I885" s="2"/>
      <c r="J885" s="2"/>
    </row>
    <row r="886" customFormat="false" ht="15" hidden="false" customHeight="false" outlineLevel="0" collapsed="false">
      <c r="I886" s="2"/>
      <c r="J886" s="2"/>
    </row>
    <row r="887" customFormat="false" ht="15" hidden="false" customHeight="false" outlineLevel="0" collapsed="false">
      <c r="I887" s="2"/>
      <c r="J887" s="2"/>
    </row>
    <row r="888" customFormat="false" ht="15" hidden="false" customHeight="false" outlineLevel="0" collapsed="false">
      <c r="I888" s="2"/>
      <c r="J888" s="2"/>
    </row>
    <row r="889" customFormat="false" ht="15" hidden="false" customHeight="false" outlineLevel="0" collapsed="false">
      <c r="I889" s="2"/>
      <c r="J889" s="2"/>
    </row>
    <row r="890" customFormat="false" ht="15" hidden="false" customHeight="false" outlineLevel="0" collapsed="false">
      <c r="I890" s="2"/>
      <c r="J890" s="2"/>
    </row>
    <row r="891" customFormat="false" ht="15" hidden="false" customHeight="false" outlineLevel="0" collapsed="false">
      <c r="I891" s="2"/>
      <c r="J891" s="2"/>
    </row>
    <row r="892" customFormat="false" ht="15" hidden="false" customHeight="false" outlineLevel="0" collapsed="false">
      <c r="I892" s="2"/>
      <c r="J892" s="2"/>
    </row>
    <row r="893" customFormat="false" ht="15" hidden="false" customHeight="false" outlineLevel="0" collapsed="false">
      <c r="I893" s="2"/>
      <c r="J893" s="2"/>
    </row>
    <row r="894" customFormat="false" ht="15" hidden="false" customHeight="false" outlineLevel="0" collapsed="false">
      <c r="I894" s="2"/>
      <c r="J894" s="2"/>
    </row>
    <row r="895" customFormat="false" ht="15" hidden="false" customHeight="false" outlineLevel="0" collapsed="false">
      <c r="I895" s="2"/>
      <c r="J895" s="2"/>
    </row>
    <row r="896" customFormat="false" ht="15" hidden="false" customHeight="false" outlineLevel="0" collapsed="false">
      <c r="I896" s="2"/>
      <c r="J896" s="2"/>
    </row>
    <row r="897" customFormat="false" ht="15" hidden="false" customHeight="false" outlineLevel="0" collapsed="false">
      <c r="I897" s="2"/>
      <c r="J897" s="2"/>
    </row>
    <row r="898" customFormat="false" ht="15" hidden="false" customHeight="false" outlineLevel="0" collapsed="false">
      <c r="I898" s="2"/>
      <c r="J898" s="2"/>
    </row>
    <row r="899" customFormat="false" ht="15" hidden="false" customHeight="false" outlineLevel="0" collapsed="false">
      <c r="I899" s="2"/>
      <c r="J899" s="2"/>
    </row>
    <row r="900" customFormat="false" ht="15" hidden="false" customHeight="false" outlineLevel="0" collapsed="false">
      <c r="I900" s="2"/>
      <c r="J900" s="2"/>
    </row>
    <row r="901" customFormat="false" ht="15" hidden="false" customHeight="false" outlineLevel="0" collapsed="false">
      <c r="I901" s="2"/>
      <c r="J901" s="2"/>
    </row>
    <row r="902" customFormat="false" ht="15" hidden="false" customHeight="false" outlineLevel="0" collapsed="false">
      <c r="I902" s="2"/>
      <c r="J902" s="2"/>
    </row>
    <row r="903" customFormat="false" ht="15" hidden="false" customHeight="false" outlineLevel="0" collapsed="false">
      <c r="I903" s="2"/>
      <c r="J903" s="2"/>
    </row>
    <row r="904" customFormat="false" ht="15" hidden="false" customHeight="false" outlineLevel="0" collapsed="false">
      <c r="I904" s="2"/>
      <c r="J904" s="2"/>
    </row>
    <row r="905" customFormat="false" ht="15" hidden="false" customHeight="false" outlineLevel="0" collapsed="false">
      <c r="I905" s="2"/>
      <c r="J905" s="2"/>
    </row>
    <row r="906" customFormat="false" ht="15" hidden="false" customHeight="false" outlineLevel="0" collapsed="false">
      <c r="I906" s="2"/>
      <c r="J906" s="2"/>
    </row>
    <row r="907" customFormat="false" ht="15" hidden="false" customHeight="false" outlineLevel="0" collapsed="false">
      <c r="I907" s="2"/>
      <c r="J907" s="2"/>
    </row>
    <row r="908" customFormat="false" ht="15" hidden="false" customHeight="false" outlineLevel="0" collapsed="false">
      <c r="I908" s="2"/>
      <c r="J908" s="2"/>
    </row>
    <row r="909" customFormat="false" ht="15" hidden="false" customHeight="false" outlineLevel="0" collapsed="false">
      <c r="I909" s="2"/>
      <c r="J909" s="2"/>
    </row>
    <row r="910" customFormat="false" ht="15" hidden="false" customHeight="false" outlineLevel="0" collapsed="false">
      <c r="I910" s="2"/>
      <c r="J910" s="2"/>
    </row>
    <row r="911" customFormat="false" ht="15" hidden="false" customHeight="false" outlineLevel="0" collapsed="false">
      <c r="I911" s="2"/>
      <c r="J911" s="2"/>
    </row>
    <row r="912" customFormat="false" ht="15" hidden="false" customHeight="false" outlineLevel="0" collapsed="false">
      <c r="I912" s="2"/>
      <c r="J912" s="2"/>
    </row>
    <row r="913" customFormat="false" ht="15" hidden="false" customHeight="false" outlineLevel="0" collapsed="false">
      <c r="I913" s="2"/>
      <c r="J913" s="2"/>
    </row>
    <row r="914" customFormat="false" ht="15" hidden="false" customHeight="false" outlineLevel="0" collapsed="false">
      <c r="I914" s="2"/>
      <c r="J914" s="2"/>
    </row>
    <row r="915" customFormat="false" ht="15" hidden="false" customHeight="false" outlineLevel="0" collapsed="false">
      <c r="I915" s="2"/>
      <c r="J915" s="2"/>
    </row>
    <row r="916" customFormat="false" ht="15" hidden="false" customHeight="false" outlineLevel="0" collapsed="false">
      <c r="I916" s="2"/>
      <c r="J916" s="2"/>
    </row>
    <row r="917" customFormat="false" ht="15" hidden="false" customHeight="false" outlineLevel="0" collapsed="false">
      <c r="I917" s="2"/>
      <c r="J917" s="2"/>
    </row>
    <row r="918" customFormat="false" ht="15" hidden="false" customHeight="false" outlineLevel="0" collapsed="false">
      <c r="I918" s="2"/>
      <c r="J918" s="2"/>
    </row>
    <row r="919" customFormat="false" ht="15" hidden="false" customHeight="false" outlineLevel="0" collapsed="false">
      <c r="I919" s="2"/>
      <c r="J919" s="2"/>
    </row>
    <row r="920" customFormat="false" ht="15" hidden="false" customHeight="false" outlineLevel="0" collapsed="false">
      <c r="I920" s="2"/>
      <c r="J920" s="2"/>
    </row>
    <row r="921" customFormat="false" ht="15" hidden="false" customHeight="false" outlineLevel="0" collapsed="false">
      <c r="I921" s="2"/>
      <c r="J921" s="2"/>
    </row>
    <row r="922" customFormat="false" ht="15" hidden="false" customHeight="false" outlineLevel="0" collapsed="false">
      <c r="I922" s="2"/>
      <c r="J922" s="2"/>
    </row>
    <row r="923" customFormat="false" ht="15" hidden="false" customHeight="false" outlineLevel="0" collapsed="false">
      <c r="I923" s="2"/>
      <c r="J923" s="2"/>
    </row>
    <row r="924" customFormat="false" ht="15" hidden="false" customHeight="false" outlineLevel="0" collapsed="false">
      <c r="I924" s="2"/>
      <c r="J924" s="2"/>
    </row>
    <row r="925" customFormat="false" ht="15" hidden="false" customHeight="false" outlineLevel="0" collapsed="false">
      <c r="I925" s="2"/>
      <c r="J925" s="2"/>
    </row>
    <row r="926" customFormat="false" ht="15" hidden="false" customHeight="false" outlineLevel="0" collapsed="false">
      <c r="I926" s="2"/>
      <c r="J926" s="2"/>
    </row>
    <row r="927" customFormat="false" ht="15" hidden="false" customHeight="false" outlineLevel="0" collapsed="false">
      <c r="I927" s="2"/>
      <c r="J927" s="2"/>
    </row>
    <row r="928" customFormat="false" ht="15" hidden="false" customHeight="false" outlineLevel="0" collapsed="false">
      <c r="I928" s="2"/>
      <c r="J928" s="2"/>
    </row>
    <row r="929" customFormat="false" ht="15" hidden="false" customHeight="false" outlineLevel="0" collapsed="false">
      <c r="I929" s="2"/>
      <c r="J929" s="2"/>
    </row>
    <row r="930" customFormat="false" ht="15" hidden="false" customHeight="false" outlineLevel="0" collapsed="false">
      <c r="I930" s="2"/>
      <c r="J930" s="2"/>
    </row>
    <row r="931" customFormat="false" ht="15" hidden="false" customHeight="false" outlineLevel="0" collapsed="false">
      <c r="I931" s="2"/>
      <c r="J931" s="2"/>
    </row>
    <row r="932" customFormat="false" ht="15" hidden="false" customHeight="false" outlineLevel="0" collapsed="false">
      <c r="I932" s="2"/>
      <c r="J932" s="2"/>
    </row>
    <row r="933" customFormat="false" ht="15" hidden="false" customHeight="false" outlineLevel="0" collapsed="false">
      <c r="I933" s="2"/>
      <c r="J933" s="2"/>
    </row>
    <row r="934" customFormat="false" ht="15" hidden="false" customHeight="false" outlineLevel="0" collapsed="false">
      <c r="I934" s="2"/>
      <c r="J934" s="2"/>
    </row>
    <row r="935" customFormat="false" ht="15" hidden="false" customHeight="false" outlineLevel="0" collapsed="false">
      <c r="I935" s="2"/>
      <c r="J935" s="2"/>
    </row>
    <row r="936" customFormat="false" ht="15" hidden="false" customHeight="false" outlineLevel="0" collapsed="false">
      <c r="I936" s="2"/>
      <c r="J936" s="2"/>
    </row>
    <row r="937" customFormat="false" ht="15" hidden="false" customHeight="false" outlineLevel="0" collapsed="false">
      <c r="I937" s="2"/>
      <c r="J937" s="2"/>
    </row>
    <row r="938" customFormat="false" ht="15" hidden="false" customHeight="false" outlineLevel="0" collapsed="false">
      <c r="I938" s="2"/>
      <c r="J938" s="2"/>
    </row>
    <row r="939" customFormat="false" ht="15" hidden="false" customHeight="false" outlineLevel="0" collapsed="false">
      <c r="I939" s="2"/>
      <c r="J939" s="2"/>
    </row>
    <row r="940" customFormat="false" ht="15" hidden="false" customHeight="false" outlineLevel="0" collapsed="false">
      <c r="I940" s="2"/>
      <c r="J940" s="2"/>
    </row>
    <row r="941" customFormat="false" ht="15" hidden="false" customHeight="false" outlineLevel="0" collapsed="false">
      <c r="I941" s="2"/>
      <c r="J941" s="2"/>
    </row>
    <row r="942" customFormat="false" ht="15" hidden="false" customHeight="false" outlineLevel="0" collapsed="false">
      <c r="I942" s="2"/>
      <c r="J942" s="2"/>
    </row>
    <row r="943" customFormat="false" ht="15" hidden="false" customHeight="false" outlineLevel="0" collapsed="false">
      <c r="I943" s="2"/>
      <c r="J943" s="2"/>
    </row>
    <row r="944" customFormat="false" ht="15" hidden="false" customHeight="false" outlineLevel="0" collapsed="false">
      <c r="I944" s="2"/>
      <c r="J944" s="2"/>
    </row>
    <row r="945" customFormat="false" ht="15" hidden="false" customHeight="false" outlineLevel="0" collapsed="false">
      <c r="I945" s="2"/>
      <c r="J945" s="2"/>
    </row>
    <row r="946" customFormat="false" ht="15" hidden="false" customHeight="false" outlineLevel="0" collapsed="false">
      <c r="I946" s="2"/>
      <c r="J946" s="2"/>
    </row>
    <row r="947" customFormat="false" ht="15" hidden="false" customHeight="false" outlineLevel="0" collapsed="false">
      <c r="I947" s="2"/>
      <c r="J947" s="2"/>
    </row>
    <row r="948" customFormat="false" ht="15" hidden="false" customHeight="false" outlineLevel="0" collapsed="false">
      <c r="I948" s="2"/>
      <c r="J948" s="2"/>
    </row>
    <row r="949" customFormat="false" ht="15" hidden="false" customHeight="false" outlineLevel="0" collapsed="false">
      <c r="I949" s="2"/>
      <c r="J949" s="2"/>
    </row>
    <row r="950" customFormat="false" ht="15" hidden="false" customHeight="false" outlineLevel="0" collapsed="false">
      <c r="I950" s="2"/>
      <c r="J950" s="2"/>
    </row>
    <row r="951" customFormat="false" ht="15" hidden="false" customHeight="false" outlineLevel="0" collapsed="false">
      <c r="I951" s="2"/>
      <c r="J951" s="2"/>
    </row>
    <row r="952" customFormat="false" ht="15" hidden="false" customHeight="false" outlineLevel="0" collapsed="false">
      <c r="I952" s="2"/>
      <c r="J952" s="2"/>
    </row>
    <row r="953" customFormat="false" ht="15" hidden="false" customHeight="false" outlineLevel="0" collapsed="false">
      <c r="I953" s="2"/>
      <c r="J953" s="2"/>
    </row>
    <row r="954" customFormat="false" ht="15" hidden="false" customHeight="false" outlineLevel="0" collapsed="false">
      <c r="I954" s="2"/>
      <c r="J954" s="2"/>
    </row>
    <row r="955" customFormat="false" ht="15" hidden="false" customHeight="false" outlineLevel="0" collapsed="false">
      <c r="I955" s="2"/>
      <c r="J955" s="2"/>
    </row>
    <row r="956" customFormat="false" ht="15" hidden="false" customHeight="false" outlineLevel="0" collapsed="false">
      <c r="I956" s="2"/>
      <c r="J956" s="2"/>
    </row>
    <row r="957" customFormat="false" ht="15" hidden="false" customHeight="false" outlineLevel="0" collapsed="false">
      <c r="I957" s="2"/>
      <c r="J957" s="2"/>
    </row>
    <row r="958" customFormat="false" ht="15" hidden="false" customHeight="false" outlineLevel="0" collapsed="false">
      <c r="I958" s="2"/>
      <c r="J958" s="2"/>
    </row>
    <row r="959" customFormat="false" ht="15" hidden="false" customHeight="false" outlineLevel="0" collapsed="false">
      <c r="I959" s="2"/>
      <c r="J959" s="2"/>
    </row>
    <row r="960" customFormat="false" ht="15" hidden="false" customHeight="false" outlineLevel="0" collapsed="false">
      <c r="I960" s="2"/>
      <c r="J960" s="2"/>
    </row>
    <row r="961" customFormat="false" ht="15" hidden="false" customHeight="false" outlineLevel="0" collapsed="false">
      <c r="I961" s="2"/>
      <c r="J961" s="2"/>
    </row>
    <row r="962" customFormat="false" ht="15" hidden="false" customHeight="false" outlineLevel="0" collapsed="false">
      <c r="I962" s="2"/>
      <c r="J962" s="2"/>
    </row>
    <row r="963" customFormat="false" ht="15" hidden="false" customHeight="false" outlineLevel="0" collapsed="false">
      <c r="I963" s="2"/>
      <c r="J963" s="2"/>
    </row>
    <row r="964" customFormat="false" ht="15" hidden="false" customHeight="false" outlineLevel="0" collapsed="false">
      <c r="I964" s="2"/>
      <c r="J964" s="2"/>
    </row>
    <row r="965" customFormat="false" ht="15" hidden="false" customHeight="false" outlineLevel="0" collapsed="false">
      <c r="I965" s="2"/>
      <c r="J965" s="2"/>
    </row>
    <row r="966" customFormat="false" ht="15" hidden="false" customHeight="false" outlineLevel="0" collapsed="false">
      <c r="I966" s="2"/>
      <c r="J966" s="2"/>
    </row>
    <row r="967" customFormat="false" ht="15" hidden="false" customHeight="false" outlineLevel="0" collapsed="false">
      <c r="I967" s="2"/>
      <c r="J967" s="2"/>
    </row>
    <row r="968" customFormat="false" ht="15" hidden="false" customHeight="false" outlineLevel="0" collapsed="false">
      <c r="I968" s="2"/>
      <c r="J968" s="2"/>
    </row>
    <row r="969" customFormat="false" ht="15" hidden="false" customHeight="false" outlineLevel="0" collapsed="false">
      <c r="I969" s="2"/>
      <c r="J969" s="2"/>
    </row>
    <row r="970" customFormat="false" ht="15" hidden="false" customHeight="false" outlineLevel="0" collapsed="false">
      <c r="I970" s="2"/>
      <c r="J970" s="2"/>
    </row>
    <row r="971" customFormat="false" ht="15" hidden="false" customHeight="false" outlineLevel="0" collapsed="false">
      <c r="I971" s="2"/>
      <c r="J971" s="2"/>
    </row>
    <row r="972" customFormat="false" ht="15" hidden="false" customHeight="false" outlineLevel="0" collapsed="false">
      <c r="I972" s="2"/>
      <c r="J972" s="2"/>
    </row>
    <row r="973" customFormat="false" ht="15" hidden="false" customHeight="false" outlineLevel="0" collapsed="false">
      <c r="I973" s="2"/>
      <c r="J973" s="2"/>
    </row>
    <row r="974" customFormat="false" ht="15" hidden="false" customHeight="false" outlineLevel="0" collapsed="false">
      <c r="I974" s="2"/>
      <c r="J974" s="2"/>
    </row>
    <row r="975" customFormat="false" ht="15" hidden="false" customHeight="false" outlineLevel="0" collapsed="false">
      <c r="I975" s="2"/>
      <c r="J975" s="2"/>
    </row>
    <row r="976" customFormat="false" ht="15" hidden="false" customHeight="false" outlineLevel="0" collapsed="false">
      <c r="I976" s="2"/>
      <c r="J976" s="2"/>
    </row>
    <row r="977" customFormat="false" ht="15" hidden="false" customHeight="false" outlineLevel="0" collapsed="false">
      <c r="I977" s="2"/>
      <c r="J977" s="2"/>
    </row>
    <row r="978" customFormat="false" ht="15" hidden="false" customHeight="false" outlineLevel="0" collapsed="false">
      <c r="I978" s="2"/>
      <c r="J978" s="2"/>
    </row>
    <row r="979" customFormat="false" ht="15" hidden="false" customHeight="false" outlineLevel="0" collapsed="false">
      <c r="I979" s="2"/>
      <c r="J979" s="2"/>
    </row>
    <row r="980" customFormat="false" ht="15" hidden="false" customHeight="false" outlineLevel="0" collapsed="false">
      <c r="I980" s="2"/>
      <c r="J980" s="2"/>
    </row>
    <row r="981" customFormat="false" ht="15" hidden="false" customHeight="false" outlineLevel="0" collapsed="false">
      <c r="I981" s="2"/>
      <c r="J981" s="2"/>
    </row>
    <row r="982" customFormat="false" ht="15" hidden="false" customHeight="false" outlineLevel="0" collapsed="false">
      <c r="I982" s="2"/>
      <c r="J982" s="2"/>
    </row>
    <row r="983" customFormat="false" ht="15" hidden="false" customHeight="false" outlineLevel="0" collapsed="false">
      <c r="I983" s="2"/>
      <c r="J983" s="2"/>
    </row>
    <row r="984" customFormat="false" ht="15" hidden="false" customHeight="false" outlineLevel="0" collapsed="false">
      <c r="I984" s="2"/>
      <c r="J984" s="2"/>
    </row>
    <row r="985" customFormat="false" ht="15" hidden="false" customHeight="false" outlineLevel="0" collapsed="false">
      <c r="I985" s="2"/>
      <c r="J985" s="2"/>
    </row>
    <row r="986" customFormat="false" ht="15" hidden="false" customHeight="false" outlineLevel="0" collapsed="false">
      <c r="I986" s="2"/>
      <c r="J986" s="2"/>
    </row>
    <row r="987" customFormat="false" ht="15" hidden="false" customHeight="false" outlineLevel="0" collapsed="false">
      <c r="I987" s="2"/>
      <c r="J987" s="2"/>
    </row>
    <row r="988" customFormat="false" ht="15" hidden="false" customHeight="false" outlineLevel="0" collapsed="false">
      <c r="I988" s="2"/>
      <c r="J988" s="2"/>
    </row>
    <row r="989" customFormat="false" ht="15" hidden="false" customHeight="false" outlineLevel="0" collapsed="false">
      <c r="I989" s="2"/>
      <c r="J989" s="2"/>
    </row>
    <row r="990" customFormat="false" ht="15" hidden="false" customHeight="false" outlineLevel="0" collapsed="false">
      <c r="I990" s="2"/>
      <c r="J990" s="2"/>
    </row>
    <row r="991" customFormat="false" ht="15" hidden="false" customHeight="false" outlineLevel="0" collapsed="false">
      <c r="I991" s="2"/>
      <c r="J991" s="2"/>
    </row>
    <row r="992" customFormat="false" ht="15" hidden="false" customHeight="false" outlineLevel="0" collapsed="false">
      <c r="I992" s="2"/>
      <c r="J992" s="2"/>
    </row>
    <row r="993" customFormat="false" ht="15" hidden="false" customHeight="false" outlineLevel="0" collapsed="false">
      <c r="I993" s="2"/>
      <c r="J993" s="2"/>
    </row>
    <row r="994" customFormat="false" ht="15" hidden="false" customHeight="false" outlineLevel="0" collapsed="false">
      <c r="I994" s="2"/>
      <c r="J994" s="2"/>
    </row>
    <row r="995" customFormat="false" ht="15" hidden="false" customHeight="false" outlineLevel="0" collapsed="false">
      <c r="I995" s="2"/>
      <c r="J995" s="2"/>
    </row>
    <row r="996" customFormat="false" ht="15" hidden="false" customHeight="false" outlineLevel="0" collapsed="false">
      <c r="I996" s="2"/>
      <c r="J996" s="2"/>
    </row>
    <row r="997" customFormat="false" ht="15" hidden="false" customHeight="false" outlineLevel="0" collapsed="false">
      <c r="I997" s="2"/>
      <c r="J997" s="2"/>
    </row>
    <row r="998" customFormat="false" ht="15" hidden="false" customHeight="false" outlineLevel="0" collapsed="false">
      <c r="I998" s="2"/>
      <c r="J998" s="2"/>
    </row>
    <row r="999" customFormat="false" ht="15" hidden="false" customHeight="false" outlineLevel="0" collapsed="false">
      <c r="I999" s="2"/>
      <c r="J999" s="2"/>
    </row>
    <row r="1000" customFormat="false" ht="15" hidden="false" customHeight="false" outlineLevel="0" collapsed="false">
      <c r="I1000" s="2"/>
      <c r="J1000" s="2"/>
    </row>
    <row r="1001" customFormat="false" ht="15" hidden="false" customHeight="false" outlineLevel="0" collapsed="false">
      <c r="I1001" s="2"/>
      <c r="J1001" s="2"/>
    </row>
    <row r="1002" customFormat="false" ht="15" hidden="false" customHeight="false" outlineLevel="0" collapsed="false">
      <c r="I1002" s="2"/>
      <c r="J1002" s="2"/>
    </row>
    <row r="1003" customFormat="false" ht="15" hidden="false" customHeight="false" outlineLevel="0" collapsed="false">
      <c r="I1003" s="2"/>
      <c r="J1003" s="2"/>
    </row>
    <row r="1004" customFormat="false" ht="15" hidden="false" customHeight="false" outlineLevel="0" collapsed="false">
      <c r="I1004" s="2"/>
      <c r="J1004" s="2"/>
    </row>
    <row r="1005" customFormat="false" ht="15" hidden="false" customHeight="false" outlineLevel="0" collapsed="false">
      <c r="I1005" s="2"/>
      <c r="J1005" s="2"/>
    </row>
    <row r="1006" customFormat="false" ht="15" hidden="false" customHeight="false" outlineLevel="0" collapsed="false">
      <c r="I1006" s="2"/>
      <c r="J1006" s="2"/>
    </row>
    <row r="1007" customFormat="false" ht="15" hidden="false" customHeight="false" outlineLevel="0" collapsed="false">
      <c r="I1007" s="2"/>
      <c r="J1007" s="2"/>
    </row>
    <row r="1008" customFormat="false" ht="15" hidden="false" customHeight="false" outlineLevel="0" collapsed="false">
      <c r="I1008" s="2"/>
      <c r="J1008" s="2"/>
    </row>
    <row r="1009" customFormat="false" ht="15" hidden="false" customHeight="false" outlineLevel="0" collapsed="false">
      <c r="I1009" s="2"/>
      <c r="J1009" s="2"/>
    </row>
    <row r="1010" customFormat="false" ht="15" hidden="false" customHeight="false" outlineLevel="0" collapsed="false">
      <c r="I1010" s="2"/>
      <c r="J1010" s="2"/>
    </row>
    <row r="1011" customFormat="false" ht="15" hidden="false" customHeight="false" outlineLevel="0" collapsed="false">
      <c r="I1011" s="2"/>
      <c r="J1011" s="2"/>
    </row>
    <row r="1012" customFormat="false" ht="15" hidden="false" customHeight="false" outlineLevel="0" collapsed="false">
      <c r="I1012" s="2"/>
      <c r="J1012" s="2"/>
    </row>
    <row r="1013" customFormat="false" ht="15" hidden="false" customHeight="false" outlineLevel="0" collapsed="false">
      <c r="I1013" s="2"/>
      <c r="J1013" s="2"/>
    </row>
    <row r="1014" customFormat="false" ht="15" hidden="false" customHeight="false" outlineLevel="0" collapsed="false">
      <c r="I1014" s="2"/>
      <c r="J1014" s="2"/>
    </row>
    <row r="1015" customFormat="false" ht="15" hidden="false" customHeight="false" outlineLevel="0" collapsed="false">
      <c r="I1015" s="2"/>
      <c r="J1015" s="2"/>
    </row>
    <row r="1016" customFormat="false" ht="15" hidden="false" customHeight="false" outlineLevel="0" collapsed="false">
      <c r="I1016" s="2"/>
      <c r="J1016" s="2"/>
    </row>
    <row r="1017" customFormat="false" ht="15" hidden="false" customHeight="false" outlineLevel="0" collapsed="false">
      <c r="I1017" s="2"/>
      <c r="J1017" s="2"/>
    </row>
    <row r="1018" customFormat="false" ht="15" hidden="false" customHeight="false" outlineLevel="0" collapsed="false">
      <c r="I1018" s="2"/>
      <c r="J1018" s="2"/>
    </row>
  </sheetData>
  <dataValidations count="2">
    <dataValidation allowBlank="true" errorStyle="stop" operator="between" showDropDown="false" showErrorMessage="false" showInputMessage="false" sqref="I2:I1018" type="list">
      <formula1>"Prospecto,Contactado,Reunión,Propuesta,Cliente,No interesado"</formula1>
      <formula2>0</formula2>
    </dataValidation>
    <dataValidation allowBlank="true" errorStyle="stop" operator="between" showDropDown="false" showErrorMessage="false" showInputMessage="false" sqref="J2:J1018" type="list">
      <formula1>"Alta,Media,Baja,Por calificar"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5" min="3" style="0" width="40"/>
    <col collapsed="false" customWidth="true" hidden="false" outlineLevel="0" max="7" min="6" style="0" width="14"/>
    <col collapsed="false" customWidth="true" hidden="false" outlineLevel="0" max="8" min="8" style="0" width="12"/>
    <col collapsed="false" customWidth="true" hidden="false" outlineLevel="0" max="9" min="9" style="0" width="40"/>
    <col collapsed="false" customWidth="true" hidden="false" outlineLevel="0" max="10" min="10" style="0" width="12"/>
  </cols>
  <sheetData>
    <row r="1" customFormat="false" ht="28.35" hidden="false" customHeight="false" outlineLevel="0" collapsed="false">
      <c r="A1" s="1" t="s">
        <v>1774</v>
      </c>
      <c r="B1" s="1" t="s">
        <v>1775</v>
      </c>
      <c r="C1" s="1" t="s">
        <v>3</v>
      </c>
      <c r="D1" s="1" t="s">
        <v>1776</v>
      </c>
      <c r="E1" s="1" t="s">
        <v>1777</v>
      </c>
      <c r="F1" s="1" t="s">
        <v>1778</v>
      </c>
      <c r="G1" s="1" t="s">
        <v>1779</v>
      </c>
      <c r="H1" s="1" t="s">
        <v>1780</v>
      </c>
      <c r="I1" s="1" t="s">
        <v>10</v>
      </c>
      <c r="J1" s="1" t="s">
        <v>1781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6"/>
    <col collapsed="false" customWidth="true" hidden="false" outlineLevel="0" max="5" min="3" style="0" width="12"/>
  </cols>
  <sheetData>
    <row r="1" customFormat="false" ht="15" hidden="false" customHeight="false" outlineLevel="0" collapsed="false">
      <c r="A1" s="1" t="s">
        <v>1782</v>
      </c>
      <c r="B1" s="1" t="s">
        <v>4</v>
      </c>
      <c r="C1" s="1" t="s">
        <v>1783</v>
      </c>
      <c r="D1" s="1"/>
      <c r="E1" s="1"/>
    </row>
    <row r="2" customFormat="false" ht="15" hidden="false" customHeight="false" outlineLevel="0" collapsed="false">
      <c r="A2" s="0" t="s">
        <v>21</v>
      </c>
      <c r="B2" s="0" t="s">
        <v>20</v>
      </c>
      <c r="C2" s="0" t="n">
        <f aca="false">COUNTIFS(Contactos!$H:$H,$A2,Contactos!$E:$E,$B2)</f>
        <v>422</v>
      </c>
    </row>
    <row r="3" customFormat="false" ht="15" hidden="false" customHeight="false" outlineLevel="0" collapsed="false">
      <c r="A3" s="0" t="s">
        <v>21</v>
      </c>
      <c r="B3" s="0" t="s">
        <v>268</v>
      </c>
      <c r="C3" s="0" t="n">
        <f aca="false">COUNTIFS(Contactos!$H:$H,$A3,Contactos!$E:$E,$B3)</f>
        <v>19</v>
      </c>
    </row>
    <row r="4" customFormat="false" ht="15" hidden="false" customHeight="false" outlineLevel="0" collapsed="false">
      <c r="A4" s="0" t="s">
        <v>21</v>
      </c>
      <c r="B4" s="0" t="s">
        <v>282</v>
      </c>
      <c r="C4" s="0" t="n">
        <f aca="false">COUNTIFS(Contactos!$H:$H,$A4,Contactos!$E:$E,$B4)</f>
        <v>18</v>
      </c>
    </row>
    <row r="5" customFormat="false" ht="15" hidden="false" customHeight="false" outlineLevel="0" collapsed="false">
      <c r="A5" s="0" t="s">
        <v>21</v>
      </c>
      <c r="B5" s="0" t="s">
        <v>203</v>
      </c>
      <c r="C5" s="0" t="n">
        <f aca="false">COUNTIFS(Contactos!$H:$H,$A5,Contactos!$E:$E,$B5)</f>
        <v>14</v>
      </c>
    </row>
    <row r="6" customFormat="false" ht="15" hidden="false" customHeight="false" outlineLevel="0" collapsed="false">
      <c r="A6" s="0" t="s">
        <v>21</v>
      </c>
      <c r="B6" s="0" t="s">
        <v>181</v>
      </c>
      <c r="C6" s="0" t="n">
        <f aca="false">COUNTIFS(Contactos!$H:$H,$A6,Contactos!$E:$E,$B6)</f>
        <v>11</v>
      </c>
    </row>
    <row r="7" customFormat="false" ht="15" hidden="false" customHeight="false" outlineLevel="0" collapsed="false">
      <c r="A7" s="0" t="s">
        <v>21</v>
      </c>
      <c r="B7" s="0" t="s">
        <v>430</v>
      </c>
      <c r="C7" s="0" t="n">
        <f aca="false">COUNTIFS(Contactos!$H:$H,$A7,Contactos!$E:$E,$B7)</f>
        <v>5</v>
      </c>
    </row>
    <row r="8" customFormat="false" ht="15" hidden="false" customHeight="false" outlineLevel="0" collapsed="false">
      <c r="A8" s="0" t="s">
        <v>21</v>
      </c>
      <c r="B8" s="0" t="s">
        <v>286</v>
      </c>
      <c r="C8" s="0" t="n">
        <f aca="false">COUNTIFS(Contactos!$H:$H,$A8,Contactos!$E:$E,$B8)</f>
        <v>4</v>
      </c>
    </row>
    <row r="9" customFormat="false" ht="15" hidden="false" customHeight="false" outlineLevel="0" collapsed="false">
      <c r="A9" s="0" t="s">
        <v>21</v>
      </c>
      <c r="B9" s="0" t="s">
        <v>585</v>
      </c>
      <c r="C9" s="0" t="n">
        <f aca="false">COUNTIFS(Contactos!$H:$H,$A9,Contactos!$E:$E,$B9)</f>
        <v>2</v>
      </c>
    </row>
    <row r="10" customFormat="false" ht="15" hidden="false" customHeight="false" outlineLevel="0" collapsed="false">
      <c r="A10" s="0" t="s">
        <v>21</v>
      </c>
      <c r="B10" s="0" t="s">
        <v>682</v>
      </c>
      <c r="C10" s="0" t="n">
        <f aca="false">COUNTIFS(Contactos!$H:$H,$A10,Contactos!$E:$E,$B10)</f>
        <v>2</v>
      </c>
    </row>
    <row r="11" customFormat="false" ht="15" hidden="false" customHeight="false" outlineLevel="0" collapsed="false">
      <c r="A11" s="0" t="s">
        <v>21</v>
      </c>
      <c r="B11" s="0" t="s">
        <v>777</v>
      </c>
      <c r="C11" s="0" t="n">
        <f aca="false">COUNTIFS(Contactos!$H:$H,$A11,Contactos!$E:$E,$B11)</f>
        <v>2</v>
      </c>
    </row>
    <row r="12" customFormat="false" ht="15" hidden="false" customHeight="false" outlineLevel="0" collapsed="false">
      <c r="A12" s="0" t="s">
        <v>21</v>
      </c>
      <c r="B12" s="0" t="s">
        <v>860</v>
      </c>
      <c r="C12" s="0" t="n">
        <f aca="false">COUNTIFS(Contactos!$H:$H,$A12,Contactos!$E:$E,$B12)</f>
        <v>2</v>
      </c>
    </row>
    <row r="13" customFormat="false" ht="15" hidden="false" customHeight="false" outlineLevel="0" collapsed="false">
      <c r="A13" s="0" t="s">
        <v>21</v>
      </c>
      <c r="B13" s="0" t="s">
        <v>1148</v>
      </c>
      <c r="C13" s="0" t="n">
        <f aca="false">COUNTIFS(Contactos!$H:$H,$A13,Contactos!$E:$E,$B13)</f>
        <v>2</v>
      </c>
    </row>
    <row r="14" customFormat="false" ht="15" hidden="false" customHeight="false" outlineLevel="0" collapsed="false">
      <c r="A14" s="0" t="s">
        <v>21</v>
      </c>
      <c r="B14" s="0" t="s">
        <v>1610</v>
      </c>
      <c r="C14" s="0" t="n">
        <f aca="false">COUNTIFS(Contactos!$H:$H,$A14,Contactos!$E:$E,$B14)</f>
        <v>2</v>
      </c>
    </row>
    <row r="15" customFormat="false" ht="15" hidden="false" customHeight="false" outlineLevel="0" collapsed="false">
      <c r="A15" s="0" t="s">
        <v>21</v>
      </c>
      <c r="B15" s="0" t="s">
        <v>158</v>
      </c>
      <c r="C15" s="0" t="n">
        <f aca="false">COUNTIFS(Contactos!$H:$H,$A15,Contactos!$E:$E,$B15)</f>
        <v>1</v>
      </c>
    </row>
    <row r="16" customFormat="false" ht="15" hidden="false" customHeight="false" outlineLevel="0" collapsed="false">
      <c r="A16" s="0" t="s">
        <v>21</v>
      </c>
      <c r="B16" s="0" t="s">
        <v>210</v>
      </c>
      <c r="C16" s="0" t="n">
        <f aca="false">COUNTIFS(Contactos!$H:$H,$A16,Contactos!$E:$E,$B16)</f>
        <v>1</v>
      </c>
    </row>
    <row r="17" customFormat="false" ht="15" hidden="false" customHeight="false" outlineLevel="0" collapsed="false">
      <c r="A17" s="0" t="s">
        <v>21</v>
      </c>
      <c r="B17" s="0" t="s">
        <v>356</v>
      </c>
      <c r="C17" s="0" t="n">
        <f aca="false">COUNTIFS(Contactos!$H:$H,$A17,Contactos!$E:$E,$B17)</f>
        <v>1</v>
      </c>
    </row>
    <row r="18" customFormat="false" ht="15" hidden="false" customHeight="false" outlineLevel="0" collapsed="false">
      <c r="A18" s="0" t="s">
        <v>21</v>
      </c>
      <c r="B18" s="0" t="s">
        <v>410</v>
      </c>
      <c r="C18" s="0" t="n">
        <f aca="false">COUNTIFS(Contactos!$H:$H,$A18,Contactos!$E:$E,$B18)</f>
        <v>1</v>
      </c>
    </row>
    <row r="19" customFormat="false" ht="15" hidden="false" customHeight="false" outlineLevel="0" collapsed="false">
      <c r="A19" s="0" t="s">
        <v>21</v>
      </c>
      <c r="B19" s="0" t="s">
        <v>737</v>
      </c>
      <c r="C19" s="0" t="n">
        <f aca="false">COUNTIFS(Contactos!$H:$H,$A19,Contactos!$E:$E,$B19)</f>
        <v>1</v>
      </c>
    </row>
    <row r="20" customFormat="false" ht="15" hidden="false" customHeight="false" outlineLevel="0" collapsed="false">
      <c r="A20" s="0" t="s">
        <v>21</v>
      </c>
      <c r="B20" s="0" t="s">
        <v>757</v>
      </c>
      <c r="C20" s="0" t="n">
        <f aca="false">COUNTIFS(Contactos!$H:$H,$A20,Contactos!$E:$E,$B20)</f>
        <v>1</v>
      </c>
    </row>
    <row r="21" customFormat="false" ht="15" hidden="false" customHeight="false" outlineLevel="0" collapsed="false">
      <c r="A21" s="0" t="s">
        <v>21</v>
      </c>
      <c r="B21" s="0" t="s">
        <v>1120</v>
      </c>
      <c r="C21" s="0" t="n">
        <f aca="false">COUNTIFS(Contactos!$H:$H,$A21,Contactos!$E:$E,$B21)</f>
        <v>1</v>
      </c>
    </row>
    <row r="22" customFormat="false" ht="15" hidden="false" customHeight="false" outlineLevel="0" collapsed="false">
      <c r="A22" s="0" t="s">
        <v>21</v>
      </c>
      <c r="B22" s="0" t="s">
        <v>1328</v>
      </c>
      <c r="C22" s="0" t="n">
        <f aca="false">COUNTIFS(Contactos!$H:$H,$A22,Contactos!$E:$E,$B22)</f>
        <v>1</v>
      </c>
    </row>
    <row r="23" customFormat="false" ht="15" hidden="false" customHeight="false" outlineLevel="0" collapsed="false">
      <c r="A23" s="0" t="s">
        <v>21</v>
      </c>
      <c r="B23" s="0" t="s">
        <v>1367</v>
      </c>
      <c r="C23" s="0" t="n">
        <f aca="false">COUNTIFS(Contactos!$H:$H,$A23,Contactos!$E:$E,$B23)</f>
        <v>1</v>
      </c>
    </row>
    <row r="24" customFormat="false" ht="15" hidden="false" customHeight="false" outlineLevel="0" collapsed="false">
      <c r="A24" s="0" t="s">
        <v>21</v>
      </c>
      <c r="B24" s="0" t="s">
        <v>1600</v>
      </c>
      <c r="C24" s="0" t="n">
        <f aca="false">COUNTIFS(Contactos!$H:$H,$A24,Contactos!$E:$E,$B24)</f>
        <v>1</v>
      </c>
    </row>
    <row r="25" customFormat="false" ht="15" hidden="false" customHeight="false" outlineLevel="0" collapsed="false">
      <c r="A25" s="0" t="s">
        <v>21</v>
      </c>
      <c r="B25" s="0" t="s">
        <v>1617</v>
      </c>
      <c r="C25" s="0" t="n">
        <f aca="false">COUNTIFS(Contactos!$H:$H,$A25,Contactos!$E:$E,$B25)</f>
        <v>1</v>
      </c>
    </row>
    <row r="26" customFormat="false" ht="15" hidden="false" customHeight="false" outlineLevel="0" collapsed="false">
      <c r="A26" s="0" t="s">
        <v>21</v>
      </c>
      <c r="B26" s="0" t="s">
        <v>1718</v>
      </c>
      <c r="C26" s="0" t="n">
        <f aca="false">COUNTIFS(Contactos!$H:$H,$A26,Contactos!$E:$E,$B26)</f>
        <v>1</v>
      </c>
    </row>
    <row r="27" customFormat="false" ht="15" hidden="false" customHeight="false" outlineLevel="0" collapsed="false">
      <c r="A27" s="0" t="s">
        <v>1784</v>
      </c>
      <c r="C27" s="0" t="n">
        <f aca="false">SUM(C2:C26)</f>
        <v>517</v>
      </c>
    </row>
    <row r="29" customFormat="false" ht="15" hidden="false" customHeight="false" outlineLevel="0" collapsed="false">
      <c r="A29" s="4" t="s">
        <v>12</v>
      </c>
      <c r="B29" s="4" t="s">
        <v>23</v>
      </c>
      <c r="C29" s="4" t="s">
        <v>387</v>
      </c>
      <c r="D29" s="4" t="s">
        <v>672</v>
      </c>
      <c r="E29" s="4" t="s">
        <v>1784</v>
      </c>
    </row>
    <row r="30" customFormat="false" ht="15" hidden="false" customHeight="false" outlineLevel="0" collapsed="false">
      <c r="A30" s="0" t="s">
        <v>26</v>
      </c>
      <c r="B30" s="0" t="n">
        <f aca="false">COUNTIFS(Contactos!$M:$M,$A30,Contactos!$J:$J,B$29)</f>
        <v>2</v>
      </c>
      <c r="C30" s="0" t="n">
        <f aca="false">COUNTIFS(Contactos!$M:$M,$A30,Contactos!$J:$J,C$29)</f>
        <v>0</v>
      </c>
      <c r="D30" s="0" t="n">
        <f aca="false">COUNTIFS(Contactos!$M:$M,$A30,Contactos!$J:$J,D$29)</f>
        <v>0</v>
      </c>
      <c r="E30" s="0" t="n">
        <f aca="false">SUM(B30:D30)</f>
        <v>2</v>
      </c>
    </row>
    <row r="31" customFormat="false" ht="15" hidden="false" customHeight="false" outlineLevel="0" collapsed="false">
      <c r="A31" s="0" t="s">
        <v>38</v>
      </c>
      <c r="B31" s="0" t="n">
        <f aca="false">COUNTIFS(Contactos!$M:$M,$A31,Contactos!$J:$J,B$29)</f>
        <v>21</v>
      </c>
      <c r="C31" s="0" t="n">
        <f aca="false">COUNTIFS(Contactos!$M:$M,$A31,Contactos!$J:$J,C$29)</f>
        <v>0</v>
      </c>
      <c r="D31" s="0" t="n">
        <f aca="false">COUNTIFS(Contactos!$M:$M,$A31,Contactos!$J:$J,D$29)</f>
        <v>0</v>
      </c>
      <c r="E31" s="0" t="n">
        <f aca="false">SUM(B31:D31)</f>
        <v>21</v>
      </c>
    </row>
    <row r="32" customFormat="false" ht="15" hidden="false" customHeight="false" outlineLevel="0" collapsed="false">
      <c r="A32" s="0" t="s">
        <v>121</v>
      </c>
      <c r="B32" s="0" t="n">
        <f aca="false">COUNTIFS(Contactos!$M:$M,$A32,Contactos!$J:$J,B$29)</f>
        <v>59</v>
      </c>
      <c r="C32" s="0" t="n">
        <f aca="false">COUNTIFS(Contactos!$M:$M,$A32,Contactos!$J:$J,C$29)</f>
        <v>0</v>
      </c>
      <c r="D32" s="0" t="n">
        <f aca="false">COUNTIFS(Contactos!$M:$M,$A32,Contactos!$J:$J,D$29)</f>
        <v>0</v>
      </c>
      <c r="E32" s="0" t="n">
        <f aca="false">SUM(B32:D32)</f>
        <v>59</v>
      </c>
    </row>
    <row r="33" customFormat="false" ht="15" hidden="false" customHeight="false" outlineLevel="0" collapsed="false">
      <c r="A33" s="0" t="s">
        <v>327</v>
      </c>
      <c r="B33" s="0" t="n">
        <f aca="false">COUNTIFS(Contactos!$M:$M,$A33,Contactos!$J:$J,B$29)</f>
        <v>18</v>
      </c>
      <c r="C33" s="0" t="n">
        <f aca="false">COUNTIFS(Contactos!$M:$M,$A33,Contactos!$J:$J,C$29)</f>
        <v>0</v>
      </c>
      <c r="D33" s="0" t="n">
        <f aca="false">COUNTIFS(Contactos!$M:$M,$A33,Contactos!$J:$J,D$29)</f>
        <v>0</v>
      </c>
      <c r="E33" s="0" t="n">
        <f aca="false">SUM(B33:D33)</f>
        <v>18</v>
      </c>
    </row>
    <row r="34" customFormat="false" ht="15" hidden="false" customHeight="false" outlineLevel="0" collapsed="false">
      <c r="A34" s="0" t="s">
        <v>389</v>
      </c>
      <c r="B34" s="0" t="n">
        <f aca="false">COUNTIFS(Contactos!$M:$M,$A34,Contactos!$J:$J,B$29)</f>
        <v>0</v>
      </c>
      <c r="C34" s="0" t="n">
        <f aca="false">COUNTIFS(Contactos!$M:$M,$A34,Contactos!$J:$J,C$29)</f>
        <v>28</v>
      </c>
      <c r="D34" s="0" t="n">
        <f aca="false">COUNTIFS(Contactos!$M:$M,$A34,Contactos!$J:$J,D$29)</f>
        <v>0</v>
      </c>
      <c r="E34" s="0" t="n">
        <f aca="false">SUM(B34:D34)</f>
        <v>28</v>
      </c>
    </row>
    <row r="35" customFormat="false" ht="15" hidden="false" customHeight="false" outlineLevel="0" collapsed="false">
      <c r="A35" s="0" t="s">
        <v>487</v>
      </c>
      <c r="B35" s="0" t="n">
        <f aca="false">COUNTIFS(Contactos!$M:$M,$A35,Contactos!$J:$J,B$29)</f>
        <v>0</v>
      </c>
      <c r="C35" s="0" t="n">
        <f aca="false">COUNTIFS(Contactos!$M:$M,$A35,Contactos!$J:$J,C$29)</f>
        <v>15</v>
      </c>
      <c r="D35" s="0" t="n">
        <f aca="false">COUNTIFS(Contactos!$M:$M,$A35,Contactos!$J:$J,D$29)</f>
        <v>0</v>
      </c>
      <c r="E35" s="0" t="n">
        <f aca="false">SUM(B35:D35)</f>
        <v>15</v>
      </c>
    </row>
    <row r="36" customFormat="false" ht="15" hidden="false" customHeight="false" outlineLevel="0" collapsed="false">
      <c r="A36" s="0" t="s">
        <v>548</v>
      </c>
      <c r="B36" s="0" t="n">
        <f aca="false">COUNTIFS(Contactos!$M:$M,$A36,Contactos!$J:$J,B$29)</f>
        <v>0</v>
      </c>
      <c r="C36" s="0" t="n">
        <f aca="false">COUNTIFS(Contactos!$M:$M,$A36,Contactos!$J:$J,C$29)</f>
        <v>7</v>
      </c>
      <c r="D36" s="0" t="n">
        <f aca="false">COUNTIFS(Contactos!$M:$M,$A36,Contactos!$J:$J,D$29)</f>
        <v>0</v>
      </c>
      <c r="E36" s="0" t="n">
        <f aca="false">SUM(B36:D36)</f>
        <v>7</v>
      </c>
    </row>
    <row r="37" customFormat="false" ht="15" hidden="false" customHeight="false" outlineLevel="0" collapsed="false">
      <c r="A37" s="0" t="s">
        <v>575</v>
      </c>
      <c r="B37" s="0" t="n">
        <f aca="false">COUNTIFS(Contactos!$M:$M,$A37,Contactos!$J:$J,B$29)</f>
        <v>0</v>
      </c>
      <c r="C37" s="0" t="n">
        <f aca="false">COUNTIFS(Contactos!$M:$M,$A37,Contactos!$J:$J,C$29)</f>
        <v>1</v>
      </c>
      <c r="D37" s="0" t="n">
        <f aca="false">COUNTIFS(Contactos!$M:$M,$A37,Contactos!$J:$J,D$29)</f>
        <v>0</v>
      </c>
      <c r="E37" s="0" t="n">
        <f aca="false">SUM(B37:D37)</f>
        <v>1</v>
      </c>
    </row>
    <row r="38" customFormat="false" ht="15" hidden="false" customHeight="false" outlineLevel="0" collapsed="false">
      <c r="A38" s="0" t="s">
        <v>581</v>
      </c>
      <c r="B38" s="0" t="n">
        <f aca="false">COUNTIFS(Contactos!$M:$M,$A38,Contactos!$J:$J,B$29)</f>
        <v>0</v>
      </c>
      <c r="C38" s="0" t="n">
        <f aca="false">COUNTIFS(Contactos!$M:$M,$A38,Contactos!$J:$J,C$29)</f>
        <v>30</v>
      </c>
      <c r="D38" s="0" t="n">
        <f aca="false">COUNTIFS(Contactos!$M:$M,$A38,Contactos!$J:$J,D$29)</f>
        <v>0</v>
      </c>
      <c r="E38" s="0" t="n">
        <f aca="false">SUM(B38:D38)</f>
        <v>30</v>
      </c>
    </row>
    <row r="39" customFormat="false" ht="15" hidden="false" customHeight="false" outlineLevel="0" collapsed="false">
      <c r="A39" s="0" t="s">
        <v>674</v>
      </c>
      <c r="B39" s="0" t="n">
        <f aca="false">COUNTIFS(Contactos!$M:$M,$A39,Contactos!$J:$J,B$29)</f>
        <v>0</v>
      </c>
      <c r="C39" s="0" t="n">
        <f aca="false">COUNTIFS(Contactos!$M:$M,$A39,Contactos!$J:$J,C$29)</f>
        <v>0</v>
      </c>
      <c r="D39" s="0" t="n">
        <f aca="false">COUNTIFS(Contactos!$M:$M,$A39,Contactos!$J:$J,D$29)</f>
        <v>336</v>
      </c>
      <c r="E39" s="0" t="n">
        <f aca="false">SUM(B39:D39)</f>
        <v>336</v>
      </c>
    </row>
    <row r="40" customFormat="false" ht="15" hidden="false" customHeight="false" outlineLevel="0" collapsed="false">
      <c r="A40" s="0" t="s">
        <v>1784</v>
      </c>
      <c r="B40" s="0" t="n">
        <f aca="false">SUM(B30:B39)</f>
        <v>100</v>
      </c>
      <c r="C40" s="0" t="n">
        <f aca="false">SUM(C30:C39)</f>
        <v>81</v>
      </c>
      <c r="D40" s="0" t="n">
        <f aca="false">SUM(D30:D39)</f>
        <v>336</v>
      </c>
      <c r="E40" s="0" t="n">
        <f aca="false">SUM(E30:E39)</f>
        <v>517</v>
      </c>
    </row>
    <row r="42" customFormat="false" ht="15" hidden="false" customHeight="false" outlineLevel="0" collapsed="false">
      <c r="A42" s="4" t="s">
        <v>1785</v>
      </c>
      <c r="B42" s="4" t="s">
        <v>1783</v>
      </c>
    </row>
    <row r="43" customFormat="false" ht="15" hidden="false" customHeight="false" outlineLevel="0" collapsed="false">
      <c r="A43" s="0" t="s">
        <v>22</v>
      </c>
      <c r="B43" s="0" t="n">
        <f aca="false">COUNTIF(Contactos!$I:$I,A43)</f>
        <v>517</v>
      </c>
    </row>
    <row r="44" customFormat="false" ht="15" hidden="false" customHeight="false" outlineLevel="0" collapsed="false">
      <c r="A44" s="0" t="s">
        <v>1786</v>
      </c>
      <c r="B44" s="0" t="n">
        <f aca="false">COUNTIF(Contactos!$I:$I,A44)</f>
        <v>0</v>
      </c>
    </row>
    <row r="45" customFormat="false" ht="15" hidden="false" customHeight="false" outlineLevel="0" collapsed="false">
      <c r="A45" s="0" t="s">
        <v>1787</v>
      </c>
      <c r="B45" s="0" t="n">
        <f aca="false">COUNTIF(Contactos!$I:$I,A45)</f>
        <v>0</v>
      </c>
    </row>
    <row r="46" customFormat="false" ht="15" hidden="false" customHeight="false" outlineLevel="0" collapsed="false">
      <c r="A46" s="0" t="s">
        <v>1788</v>
      </c>
      <c r="B46" s="0" t="n">
        <f aca="false">COUNTIF(Contactos!$I:$I,A46)</f>
        <v>0</v>
      </c>
    </row>
    <row r="47" customFormat="false" ht="15" hidden="false" customHeight="false" outlineLevel="0" collapsed="false">
      <c r="A47" s="0" t="s">
        <v>1789</v>
      </c>
      <c r="B47" s="0" t="n">
        <f aca="false">COUNTIF(Contactos!$I:$I,A47)</f>
        <v>0</v>
      </c>
    </row>
    <row r="48" customFormat="false" ht="15" hidden="false" customHeight="false" outlineLevel="0" collapsed="false">
      <c r="A48" s="0" t="s">
        <v>1790</v>
      </c>
      <c r="B48" s="0" t="n">
        <f aca="false">COUNTIF(Contactos!$I:$I,A48)</f>
        <v>0</v>
      </c>
    </row>
    <row r="50" customFormat="false" ht="15" hidden="false" customHeight="false" outlineLevel="0" collapsed="false">
      <c r="A50" s="4" t="s">
        <v>1791</v>
      </c>
      <c r="B50" s="4" t="s">
        <v>1783</v>
      </c>
    </row>
    <row r="51" customFormat="false" ht="15" hidden="false" customHeight="false" outlineLevel="0" collapsed="false">
      <c r="A51" s="0" t="s">
        <v>1792</v>
      </c>
      <c r="B51" s="0" t="n">
        <v>528</v>
      </c>
    </row>
    <row r="52" customFormat="false" ht="15" hidden="false" customHeight="false" outlineLevel="0" collapsed="false">
      <c r="A52" s="0" t="s">
        <v>1793</v>
      </c>
      <c r="B52" s="0" t="n">
        <f aca="false">COUNTA(Contactos!$D$2:$D$3000)</f>
        <v>517</v>
      </c>
    </row>
    <row r="53" customFormat="false" ht="15" hidden="false" customHeight="false" outlineLevel="0" collapsed="false">
      <c r="A53" s="0" t="s">
        <v>1794</v>
      </c>
      <c r="B53" s="0" t="n">
        <f aca="false">COUNTIF(Contactos!$S$2:$S$3000,"*Exponor*")</f>
        <v>55</v>
      </c>
    </row>
    <row r="54" customFormat="false" ht="15" hidden="false" customHeight="false" outlineLevel="0" collapsed="false">
      <c r="A54" s="0" t="s">
        <v>1795</v>
      </c>
      <c r="B54" s="0" t="n">
        <f aca="false">COUNTIF(Contactos!$S$2:$S$3000,"*ExpoMina*")</f>
        <v>8</v>
      </c>
    </row>
    <row r="55" customFormat="false" ht="15" hidden="false" customHeight="false" outlineLevel="0" collapsed="false">
      <c r="A55" s="0" t="s">
        <v>1796</v>
      </c>
      <c r="B55" s="0" t="n">
        <f aca="false">COUNTIF(Contactos!$S$2:$S$3000,"*Directorio*")</f>
        <v>3</v>
      </c>
    </row>
    <row r="56" customFormat="false" ht="15" hidden="false" customHeight="false" outlineLevel="0" collapsed="false">
      <c r="A56" s="0" t="s">
        <v>1797</v>
      </c>
      <c r="B56" s="0" t="n">
        <f aca="false">COUNTIF(Contactos!$O$2:$O$3000,"&gt;1")</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2"/>
    <col collapsed="false" customWidth="true" hidden="false" outlineLevel="0" max="3" min="3" style="0" width="100"/>
  </cols>
  <sheetData>
    <row r="1" customFormat="false" ht="15" hidden="false" customHeight="false" outlineLevel="0" collapsed="false">
      <c r="A1" s="1" t="s">
        <v>1798</v>
      </c>
      <c r="B1" s="1" t="s">
        <v>4</v>
      </c>
      <c r="C1" s="1" t="s">
        <v>1799</v>
      </c>
    </row>
    <row r="2" customFormat="false" ht="15" hidden="false" customHeight="false" outlineLevel="0" collapsed="false">
      <c r="A2" s="0" t="s">
        <v>1800</v>
      </c>
      <c r="B2" s="0" t="s">
        <v>1801</v>
      </c>
      <c r="C2" s="0" t="s">
        <v>1802</v>
      </c>
    </row>
    <row r="3" customFormat="false" ht="15" hidden="false" customHeight="false" outlineLevel="0" collapsed="false">
      <c r="A3" s="0" t="s">
        <v>1803</v>
      </c>
      <c r="B3" s="0" t="s">
        <v>1801</v>
      </c>
      <c r="C3" s="0" t="s">
        <v>1804</v>
      </c>
    </row>
    <row r="4" customFormat="false" ht="15" hidden="false" customHeight="false" outlineLevel="0" collapsed="false">
      <c r="A4" s="0" t="s">
        <v>1805</v>
      </c>
      <c r="B4" s="0" t="s">
        <v>20</v>
      </c>
      <c r="C4" s="0" t="s">
        <v>1806</v>
      </c>
    </row>
    <row r="5" customFormat="false" ht="15" hidden="false" customHeight="false" outlineLevel="0" collapsed="false">
      <c r="A5" s="0" t="s">
        <v>1807</v>
      </c>
      <c r="B5" s="0" t="s">
        <v>20</v>
      </c>
      <c r="C5" s="0" t="s">
        <v>1808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2026-10-07T03:42:38Z</dcterms:created>
  <dc:creator>openpyxl</dc:creator>
  <dc:description/>
  <dc:language>en-US</dc:language>
  <cp:lastModifiedBy/>
  <dcterms:modified xsi:type="dcterms:W3CDTF">2026-10-07T03:42:38Z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