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ontactos" sheetId="1" state="visible" r:id="rId3"/>
    <sheet name="Oportunidades" sheetId="2" state="visible" r:id="rId4"/>
    <sheet name="Resumen" sheetId="3" state="visible" r:id="rId5"/>
    <sheet name="Evento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<sst xmlns="http://schemas.openxmlformats.org/spreadsheetml/2006/main" count="6098" uniqueCount="2064">
  <si>
    <t xml:space="preserve">ID</t>
  </si>
  <si>
    <t xml:space="preserve">Nombre</t>
  </si>
  <si>
    <t xml:space="preserve">Cargo</t>
  </si>
  <si>
    <t xml:space="preserve">Empresa</t>
  </si>
  <si>
    <t xml:space="preserve">País</t>
  </si>
  <si>
    <t xml:space="preserve">Email</t>
  </si>
  <si>
    <t xml:space="preserve">LinkedIn</t>
  </si>
  <si>
    <t xml:space="preserve">Origen</t>
  </si>
  <si>
    <t xml:space="preserve">Estado</t>
  </si>
  <si>
    <t xml:space="preserve">Prioridad</t>
  </si>
  <si>
    <t xml:space="preserve">Próxima acción</t>
  </si>
  <si>
    <t xml:space="preserve">Notas</t>
  </si>
  <si>
    <t xml:space="preserve">Segmento SafetyMind</t>
  </si>
  <si>
    <t xml:space="preserve">Stand(s)</t>
  </si>
  <si>
    <t xml:space="preserve">Ubicación</t>
  </si>
  <si>
    <t xml:space="preserve">Agrupación</t>
  </si>
  <si>
    <t xml:space="preserve">Razón social</t>
  </si>
  <si>
    <t xml:space="preserve">Descripción</t>
  </si>
  <si>
    <t xml:space="preserve">Web</t>
  </si>
  <si>
    <t xml:space="preserve">Cruce otros CRM</t>
  </si>
  <si>
    <t xml:space="preserve">ALDEBARAN RESOURCES INC.</t>
  </si>
  <si>
    <t xml:space="preserve">Argentina</t>
  </si>
  <si>
    <t xml:space="preserve">fatima.olavarria@aldebaranresources.com</t>
  </si>
  <si>
    <t xml:space="preserve">Expo San Juan Minera 2026</t>
  </si>
  <si>
    <t xml:space="preserve">Prospecto</t>
  </si>
  <si>
    <t xml:space="preserve">Alta</t>
  </si>
  <si>
    <t xml:space="preserve">Identificar Gerente de Seguridad/SSO de la operación o proyecto; proponer piloto (rajo, planta, flota)</t>
  </si>
  <si>
    <t xml:space="preserve">Expo San Juan Minera 2026.</t>
  </si>
  <si>
    <t xml:space="preserve">Cliente final – minera / energía (operación o proyecto)</t>
  </si>
  <si>
    <t xml:space="preserve">B204</t>
  </si>
  <si>
    <t xml:space="preserve">Pabellón 1</t>
  </si>
  <si>
    <t xml:space="preserve">MINERA PEREGRINE ARGENTINA S.A.U.</t>
  </si>
  <si>
    <t xml:space="preserve">Proyecto de cobre en etapa de exploración avanzada, ubicado en Calingasta, San Juan, Argentina. Se trata de uno de los depósitos de cobre más grandes a nivel mundial. Actualmente, el proyecto avanza hacia la etapa de prefactibilidad, consolidando información clave para su desarrollo futuro.</t>
  </si>
  <si>
    <t xml:space="preserve">No</t>
  </si>
  <si>
    <t xml:space="preserve">CALERAS SAN JUAN</t>
  </si>
  <si>
    <t xml:space="preserve">Expo San Juan Minera 2026. Sin email publicado.</t>
  </si>
  <si>
    <t xml:space="preserve">E529 | E550 | E551</t>
  </si>
  <si>
    <t xml:space="preserve">Pabellón 2</t>
  </si>
  <si>
    <t xml:space="preserve">CALERAS SAN JUAN SA</t>
  </si>
  <si>
    <t xml:space="preserve">Caleras San Juan S.A. es una empresa minera fundada en el año 1952. Con más de 70 años de experiencia en la fabricación de cales y productos derivados, somos la primer empresa calera de capitales 100% argentinos en obtener la certificación trinorma.</t>
  </si>
  <si>
    <t xml:space="preserve">CALIDRA</t>
  </si>
  <si>
    <t xml:space="preserve">info@calidra.com.ar</t>
  </si>
  <si>
    <t xml:space="preserve">E547 | E548 | E549</t>
  </si>
  <si>
    <t xml:space="preserve">CEFAS S.A</t>
  </si>
  <si>
    <t xml:space="preserve">Calidra cuenta con más de 115 años de historia y experiencia en la industria de la cal, acompañando el desarrollo productivo de la región y siendo parte activa de las cadenas de valor de múltiples industrias. A lo largo de su trayectoria, ha consolidado un profundo conocimiento técnico, una cultura de trabajo sólida y un compromiso permanente con la calidad, la seguridad y la mejora continua. En este contexto, Calidra Cono Sur reúne las operaciones de Calidra en Argentina y Chile, integrando equipos, capacidades productivas y logísticas para brindar soluciones industriales de alto valor agregado a sectores estratégicos como minería, construcción, siderurgia, estabilización de suelos, agricultura, química, pinturas y recubrimientos. La compañía opera con yacimientos de alta pureza, reservas de largo plazo y tecnología de clase mundial, incluyendo hornos Maerz de alta eficiencia. La propuesta de valor de Calidra Cono Sur se basa en la seguridad de suministro, la pureza desde el origen, una alta capacidad productiva y logística, y un fuerte enfoque en la asistencia técnica, la capacitación y el trabajo conjunto con sus clientes. Sus procesos están certificados bajo normas ISO 9001, ISO 14001 e ISO 45001, garantizando estándares internacionales de calidad, ambiente y seguridad. Con una visión de desarrollo sostenible, Calidra asume el compromiso de reducir a cero las emisiones del grupo hacia 2050, impulsando iniciativas ambientales, sociales y de seguridad que generan un impacto positivo y duradero en las comunidades donde está presente. Porque en Calidra, la cal está siempre ahí.</t>
  </si>
  <si>
    <t xml:space="preserve">https://www.calidra.com.ar/</t>
  </si>
  <si>
    <t xml:space="preserve">CASPOSO ARGENTINA LTD. - SUCURSAL ARGENTINA</t>
  </si>
  <si>
    <t xml:space="preserve">info@australgold.com</t>
  </si>
  <si>
    <t xml:space="preserve">D443</t>
  </si>
  <si>
    <t xml:space="preserve">Mina Casposo producción de oro y plata</t>
  </si>
  <si>
    <t xml:space="preserve">https://australgold.com/</t>
  </si>
  <si>
    <t xml:space="preserve">ECO MINERA</t>
  </si>
  <si>
    <t xml:space="preserve">A166 | A167</t>
  </si>
  <si>
    <t xml:space="preserve">ECO MINERA S.A</t>
  </si>
  <si>
    <t xml:space="preserve">EPSE</t>
  </si>
  <si>
    <t xml:space="preserve">info@epse.com.ar</t>
  </si>
  <si>
    <t xml:space="preserve">Isla: 2E</t>
  </si>
  <si>
    <t xml:space="preserve">Exterior</t>
  </si>
  <si>
    <t xml:space="preserve">ENERGIA PROVINCIAL SOCIEDAD DEL ESTADO</t>
  </si>
  <si>
    <t xml:space="preserve">EPSE no es solamente un generador, sino el brazo ejecutor del Gobierno de San Juan en materia energética. • EPSE cuenta con amplia experiencia en el rubro de parques solares fotovoltaicos conectados a la red, habiendo licitado, construido e inspeccionado distintas obras en el marco de las energía renovables, específicamente solares, en la provincia de San Juan y también fuera de ella. • Es de destacar también que EPSE opera y mantiene las distintas centrales hidroeléctricas, estaciones transformadoras de alta/media tensión y de parques de generación fotovoltaicas que son de su propiedad. • En términos de MDL, EPSE logró certificar la primera central hidroeléctrica de Sudamérica (Los Caracoles) en el año 2010, y vendió los bonos generados en el mercado obligatorio, además de participar en otros proyectos de descarbonización. MISION : • Gestionar, de forma eficaz y eficiente, los recursos energéticos de nuestra región, logrando la satisfacción de nuestros clientes, accionistas, socios y personal, generando valores económicos, sociales y ambientales mediante la integración público privada para la generación de energía, montaje de plantas y provisión de servicios al sector energético. • Desarrollar de forma continua todo nuestro personal • Innovar tecnológicamente • Identificar a largo plazo tanto las necesidades energéticas de la región como así también las oportunidades tecnológicas de generación, planificando el desarrollo y evolución de las fuentes energéticas para cubrir en tiempo y forma las necesidades. • Trabajar de manera segura y ambientalmente sostenible. VISION Ser reconocidos como la empresa referente, a nivel nacional, en generación eléctrica y desarrollo de proyectos pioneros e innovadores, sustentado en la eficiencia de sus acciones y en el profesionalismo de su personal en favor de sus clientes, la comunidad y el ambiente.</t>
  </si>
  <si>
    <t xml:space="preserve">https://www.epse.com.ar/</t>
  </si>
  <si>
    <t xml:space="preserve">GLENCORE EL PACHÓN</t>
  </si>
  <si>
    <t xml:space="preserve">comunicaciones.elpachon@glencore.com.ar</t>
  </si>
  <si>
    <t xml:space="preserve">B205 | B206 | B215</t>
  </si>
  <si>
    <t xml:space="preserve">GLENCORE PACHON S.A.</t>
  </si>
  <si>
    <t xml:space="preserve">Proyecto El Pachón El Pachón es un yacimiento de cobre y molibdeno emplazado en el departamento Calingasta, provincia de San Juan, Argentina. Se encuentra situado a 3.600 metros sobre el nivel del mar, a 5 kilómetros del límite internacional con Chile. 100% del yacimiento pertenece a la compañía Glencore. Actualmente se encuentra en etapa de exploración avanzada. La producción media prevista sería aproximadamente 360.000t anuales de cobre en concentrado para los 10 primeros años. Acerca de Glencore Glencore es una de las mayores empresas de recursos naturales diversificados del mundo y uno de los principales productores y comercializadores de más de 60 materias primas. A través de una red de activos, clientes y proveedores que se extiende por todo el mundo, producimos, procesamos, reciclamos, obtenemos, comercializamos y distribuimos los productos que hacen posible la vida cotidiana. Con más de 140.000 empleados y contratistas, y una sólida presencia en más de 30 países, incluidas regiones consolidadas y emergentes en materia de recursos naturales, nuestras actividades industriales y de comercialización cuentan con el respaldo de una red global de oficinas. Los clientes de Glencore son consumidores industriales, como los de los sectores automotriz, siderúrgico, de generación de energía, de fabricación de baterías y petrolero. También proporcionamos financiación, logística y otros servicios a productores y consumidores de materias primas.</t>
  </si>
  <si>
    <t xml:space="preserve">https://www.elpachon.com.ar/</t>
  </si>
  <si>
    <t xml:space="preserve">GOLDEN MINING</t>
  </si>
  <si>
    <t xml:space="preserve">D435 | D436</t>
  </si>
  <si>
    <t xml:space="preserve">GOLDEN MINING S.A.</t>
  </si>
  <si>
    <t xml:space="preserve">Golden Mining es una compañía minera enfocada en el desarrollo y producción de oro en Sudamérica. Su principal activo es la mina Hualilán, ubicado en San Juan, Argentina. La empresa se distingue por su estrategia de toll milling, que permite acelerar la generación de ingresos reduciendo inversión inicial y riesgos, junto con un enfoque en eficiencia operativa y desarrollo progresivo del proyecto. Golden Mining is a mining company focused on the development and production of gold in South America. Its flagship asset is the Hualilán Mine, located in San Juan, Argentina. The company stands out for its toll milling strategy, enabling early cash flow generation with lower upfront capital and reduced risk, combined with a focus on operational efficiency and phased project development.</t>
  </si>
  <si>
    <t xml:space="preserve">MCEWEN COPPER PROYECTO LOS AZULES</t>
  </si>
  <si>
    <t xml:space="preserve">Isla: 16</t>
  </si>
  <si>
    <t xml:space="preserve">ANDES CORPORACION MINERA S.A.</t>
  </si>
  <si>
    <t xml:space="preserve">MOGOTES METALS INC.</t>
  </si>
  <si>
    <t xml:space="preserve">info@mogotesmetals.com</t>
  </si>
  <si>
    <t xml:space="preserve">B214</t>
  </si>
  <si>
    <t xml:space="preserve">MOGOTES METALS INC</t>
  </si>
  <si>
    <t xml:space="preserve">Mogotes Metals es una empresa minera en fase de exploración y desarrollo dedicada a la adquisición y exploración de propiedades minerales en todo el mundo. Actualmente, el objetivo de la compañía es identificar un recurso mineral en el Proyecto Filo Sur. El objetivo general de la compañía es identificar, evaluar, adquirir y explorar propiedades minerales adicionales con el fin de descubrir más recursos minerales.</t>
  </si>
  <si>
    <t xml:space="preserve">https://www.mogotesmetals.com/</t>
  </si>
  <si>
    <t xml:space="preserve">NEW PEAK</t>
  </si>
  <si>
    <t xml:space="preserve">agrahame@newpeak.com.au</t>
  </si>
  <si>
    <t xml:space="preserve">D434</t>
  </si>
  <si>
    <t xml:space="preserve">NEwPeak inició un nuevo programa de perforación en su proyecto aurífero Las Opeñas, 100 % de su propiedad, situado en el Departamento de Iglesia, provincia de San Juan, Argentina. La Compañía tambien esta a la espera de los resultados de los análisis de su primer programa de perforación en su proyecto Tansey, en busca de las prolongaciones de una histórica mina de oro subterránea en el distrito de Tansey, en Queensland, Australia.</t>
  </si>
  <si>
    <t xml:space="preserve">https://www.neupeak.com.au/</t>
  </si>
  <si>
    <t xml:space="preserve">PAN AMERICAN ENERGY - AXION PUEBLA</t>
  </si>
  <si>
    <t xml:space="preserve">F642 | F643</t>
  </si>
  <si>
    <t xml:space="preserve">PUEBLA EQUIPO</t>
  </si>
  <si>
    <t xml:space="preserve">AXION Energy Minería -Pan American Energy- trabaja de manera articulada con AXION Puebla en la provincia de San Juan para abastecer y acompañar el desarrollo del sector minero. En conjunto, brindan soluciones integrales de energía, asegurando el suministro de combustibles y lubricantes en zonas operativas clave, muchas veces de difícil acceso. Además, aportan logística especializada, asistencia técnica y soporte constante para garantizar la continuidad y eficiencia de las operaciones mineras. Este trabajo conjunto permite potenciar la actividad productiva en San Juan, acompañando a las empresas del sector con estándares de calidad, seguridad y compromiso, alineados con las necesidades específicas de la industria minera.</t>
  </si>
  <si>
    <t xml:space="preserve">SABLE RESOURCES LTD</t>
  </si>
  <si>
    <t xml:space="preserve">Canadá</t>
  </si>
  <si>
    <t xml:space="preserve">B213</t>
  </si>
  <si>
    <t xml:space="preserve">Sable Resources Ltd. is a Canada-based junior exploration company focused on the discovery and development of copper, gold, and related mineral projects across the Americas. In Argentina, the company has a strong presence in San Juan Province, where it has been actively exploring for more than 7 years. Its portfolio includes key projects such as Don Julio, El Fierro, Zorro, and Cerro Negro, among others, located within highly prospective Andean mineral belts. Sable applies a modern exploration approach based on solid geological models, integrated geophysical and geochemical data, and an active project generation strategy. The company aims to advance its portfolio through strategic partnerships while maintaining high technical, environmental, and community engagement standards.</t>
  </si>
  <si>
    <t xml:space="preserve">VELADERO</t>
  </si>
  <si>
    <t xml:space="preserve">D441 | D442</t>
  </si>
  <si>
    <t xml:space="preserve">MINERA ARGENTINA GOLD</t>
  </si>
  <si>
    <t xml:space="preserve">Veladero es una mina de oro y plata situada en la provincia de San Juan - Argentina, a una altitud de entre 4.000 y 4.850 metros sobre el nivel del mar, somos una empresa conjunta de Barrick y Shandong Gold. Nuestra misión es ser una mina de oro de clase mundial, con un ambiente de trabajo libre de peligros y trabajadores plenos y comprometidos, que cree valor a largo plazo para nuestros socios y comunidades.</t>
  </si>
  <si>
    <t xml:space="preserve">https://www.veladero.com/</t>
  </si>
  <si>
    <t xml:space="preserve">VICUÑA</t>
  </si>
  <si>
    <t xml:space="preserve">B201 | B202 | B203 | B210 | B211</t>
  </si>
  <si>
    <t xml:space="preserve">VICUÑA CORP</t>
  </si>
  <si>
    <t xml:space="preserve">YPF</t>
  </si>
  <si>
    <t xml:space="preserve">B244 | B245 | B246 | B252 | B253 | B254</t>
  </si>
  <si>
    <t xml:space="preserve">YPF S.A.</t>
  </si>
  <si>
    <t xml:space="preserve">Somos el mayor productor de Oil &amp; Gas de la Argentina, con sólidos resultados y capacidad para llevar adelante los proyectos que convertirán al país en un exportador de energía a nivel mundial. Nuestro objetivo es convertirnos en una empresa no convencional de clase mundial y que Argentina pueda exportar USD 30.000 millones en petróleo y gas para el 2031. Hoy, estamos al frente de los proyectos industriales más ambiciosos del país. Lideramos el Vaca Muerta Oil Sur (VMOS), que potenciará la producción de crudo, y el Argentina LNG, un proyecto de escala global que permitirá exportar gas al mundo. Buscamos constantemente innovación y nuevas tecnologías. Con nuestros Real Time Intelligence Centers, tomamos decisiones más eficientes basadas en datos en tiempo real, aumentando la rentabilidad. Trabajamos por los combustibles del futuro y de calidad internacional.</t>
  </si>
  <si>
    <t xml:space="preserve">https://ypf.com/</t>
  </si>
  <si>
    <t xml:space="preserve">ACONCAGUA SERVICIOS MINEROS SRL</t>
  </si>
  <si>
    <t xml:space="preserve">asanchez@aconcagua-trans.com.ar</t>
  </si>
  <si>
    <t xml:space="preserve">Identificar Jefe de Prevención/SSO; proponer piloto en frente de trabajo (perforación, transporte, campamento)</t>
  </si>
  <si>
    <t xml:space="preserve">Cliente final – contratista minero (operación, perforación, transporte, campamento)</t>
  </si>
  <si>
    <t xml:space="preserve">Isla: 32A | Isla: 32B | Isla: 38A | Isla: 38B</t>
  </si>
  <si>
    <t xml:space="preserve">Especialistas en Transporte Minero desde 2002, Impulsando el desarrollo de Recursos Humanos y Proveedores Locales.</t>
  </si>
  <si>
    <t xml:space="preserve">https://www.aconcagua-trans.com.ar/</t>
  </si>
  <si>
    <t xml:space="preserve">ADL</t>
  </si>
  <si>
    <t xml:space="preserve">alejandroacosta@exploservice.com.ar</t>
  </si>
  <si>
    <t xml:space="preserve">A111 | A112 | A113 | A114 | A115 | A116 | A121 | A122 | A123 | A124 | A125 | A126 | Isla: 2A | Isla: 2B | Isla: 8A | Isla: 8B | Isla: 14A | Isla: 14B</t>
  </si>
  <si>
    <t xml:space="preserve">CASEMI</t>
  </si>
  <si>
    <t xml:space="preserve">ADL S.R.L.</t>
  </si>
  <si>
    <t xml:space="preserve">ADL SRL es una empresa especializada en servicios de perforación y voladura orientados a la industria minera y a proyectos de ingeniería civil, abarcando tanto etapas de exploración como de producción. Asimismo, desarrolla excavaciones para obras de construcción, adaptándose a las necesidades específicas de cada proyecto. Con más de 25 años de trayectoria en el sector, ADL SRL se destaca por su amplia experiencia y por contar con un equipo de profesionales altamente capacitados, comprometidos con la excelencia operativa y la mejora continua de sus procesos. La empresa trabaja bajo estrictos estándares de calidad, seguridad y cuidado del medio ambiente, garantizando soluciones eficientes, confiables y sostenibles que contribuyen al cumplimiento de los objetivos de sus clientes.</t>
  </si>
  <si>
    <t xml:space="preserve">ANDEMIRA S.A.</t>
  </si>
  <si>
    <t xml:space="preserve">obertero@andemira.com.ar</t>
  </si>
  <si>
    <t xml:space="preserve">C328 | C347</t>
  </si>
  <si>
    <t xml:space="preserve">ANDEMIRA es una empresa de servicios a la minería que nace con 20 años de historia. Nuestros pilares son: OPERACIONES DE CONFIANZA, COMPROMISO AMBIENTAL y TALENTO AL SERVISIO. Nos especializamos en operaciones mineras subterráneas y superficie, construcción de diques de colas (y sus alteos de cota), pad de lixiviación, apertura y mantenimiento de caminos, construcción de plataformas de perforación y obras civiles en yacimientos mineros.</t>
  </si>
  <si>
    <t xml:space="preserve">https://andemira.com.ar/</t>
  </si>
  <si>
    <t xml:space="preserve">ANDESITA SAS</t>
  </si>
  <si>
    <t xml:space="preserve">eugeniaacosta@exploservice.com.ar</t>
  </si>
  <si>
    <t xml:space="preserve">ANDESITA S. A. S.</t>
  </si>
  <si>
    <t xml:space="preserve">Andesita SAS es una empresa dedicada a la ejecución de obras civiles, con experiencia en proyectos vinculados al sector minero y energético. Cuenta con trayectoria en el desarrollo de infraestructura para parques solares, realizando trabajos de movimiento de suelo, preparación de terreno y colocación de estructuras. La empresa se destaca por su compromiso con la calidad, la seguridad operativa y el cumplimiento de plazos, adaptándose a las necesidades de cada proyecto. Andesita SAS contribuye al desarrollo de soluciones eficientes y al crecimiento de la infraestructura energética sostenible.</t>
  </si>
  <si>
    <t xml:space="preserve">https://www.rocktec.com.ar/</t>
  </si>
  <si>
    <t xml:space="preserve">ARAMARK</t>
  </si>
  <si>
    <t xml:space="preserve">comercial@aramark.com.ar</t>
  </si>
  <si>
    <t xml:space="preserve">D433</t>
  </si>
  <si>
    <t xml:space="preserve">CENTRAL DE RESTAURANTES SRL</t>
  </si>
  <si>
    <t xml:space="preserve">Aramark es una Empresa de Servicios de Alimentación en Campamentos Mineros e Industrias, Servicios de Hotelería y Gestión Integral de Instalaciones.</t>
  </si>
  <si>
    <t xml:space="preserve">https://www.aramark.ar/</t>
  </si>
  <si>
    <t xml:space="preserve">ARCE GEOFÍSICOS ARGENTINA</t>
  </si>
  <si>
    <t xml:space="preserve">garce@geofisicos.com.pe</t>
  </si>
  <si>
    <t xml:space="preserve">Expo San Juan Minera 2026. También en: Directorio SSO (ID 533).</t>
  </si>
  <si>
    <t xml:space="preserve">B243</t>
  </si>
  <si>
    <t xml:space="preserve">ARCE GEOFÍSICOS ARGENTINA: ESTUDIOS Y CONSULTORÍA GEOFÍSICA Desde 1960, Arce Geofísicos ha liderado el sector de la geofísica en América Latina, ofreciendo soluciones innovadoras y de alta calidad. Contamos con una sólida experiencia en toda América Latina, trabajando en estrecha colaboración con empresas líderes del sector minero, petrolero, agrícola, de energías renovables y de construcción. Nuestra red de operaciones se extiende a países como Perú, México, Bolivia, Colombia, Chile, Argentina, Ecuador, Guyana, Nicaragua, Guatemala, Panamá, Honduras, El Salvador, y República Dominicana, donde hemos contribuido con tecnología de punta y un equipo altamente capacitado. Productos/servicios de la empresa: I. Estudios de Prospección Minera: Magnetometría (precesión de protones, overhauser omnidireccional, vapor de potasio y vapor de cesio), Radiometría, Microgravimetría, Resistividad Eléctrica y Polarización Inducida (1D, 2D, 2D a 3D), así como Resistividad Eléctrica y Polarización Inducida de Señal Completa y Configuración Distribuida (AG-DAS), Métodos Electromagnéticos de Dominio de Tiempo (TDEM) con diversos sensores (fluxgate, bobina de baja frecuencia), Magnetometría en UAV, Análisis de Muestras, Magnetotelúrico (MT) y Audio-magnetotelúrico (AMT). II. Aplicaciones para Geotecnia: Microgravimetría, Tomografía Sísmica de Onda P, Análisis Multicanal de Onda de Superficie con fuente activa (MASW) o con fuente pasiva (MAM), Resistividad Eléctrica (1D, 2D, 3D), y Métodos Electromagnéticos de Dominio de Tiempo (TDEM) con diversos sensores (fluxgate, bobina de baja frecuencia). III. Estudios de Prospección por Agua Subterránea: Para estas aplicaciones utilizamos los métodos de Resistividad Eléctrica (1D, 2D, 3D), y Métodos Electromagnéticos de Dominio de Tiempo (TDEM) con distintos tamaños de loops para alcanzar distintas profundidades.</t>
  </si>
  <si>
    <t xml:space="preserve">https://www.geofisicos.com/</t>
  </si>
  <si>
    <t xml:space="preserve">Directorio SSO (ID 533)</t>
  </si>
  <si>
    <t xml:space="preserve">ATA</t>
  </si>
  <si>
    <t xml:space="preserve">mariela.pringles@atalimentaria.com</t>
  </si>
  <si>
    <t xml:space="preserve">Isla: 57 | Isla: 77</t>
  </si>
  <si>
    <t xml:space="preserve">ALTA TECNOLOGÍA ALIMENTARIA</t>
  </si>
  <si>
    <t xml:space="preserve">Somos una empresa argentina radicada en San Juan, especializada en alimentación institucional, hotelería y servicios en sitios remotos. Nuestro equipo combina experiencia, innovación y compromiso humano para garantizar bienestar y eficiencia en cada operación de manera sostenible.</t>
  </si>
  <si>
    <t xml:space="preserve">https://atalimentaria.com/web/</t>
  </si>
  <si>
    <t xml:space="preserve">B &amp; W</t>
  </si>
  <si>
    <t xml:space="preserve">A117 | A118</t>
  </si>
  <si>
    <t xml:space="preserve">B &amp; W HIDROGEOLOGIA Y MEDIOAMBIENTE S.R.L.</t>
  </si>
  <si>
    <t xml:space="preserve">BW es una empresa especializada en soluciones hidrogeológicas y ambientales para la industria minera, con foco en el desarrollo sostenible y la gestión eficiente de los recursos hídricos. Brindamos servicios integrales que abarcan desde la caracterización hidrogeológica, monitoreo y muestreo de aguas superficiales y subterráneas, hasta modelación numérica, diseño de sistemas de desaguado de mina y soporte técnico para operaciones en entornos complejos, incluyendo alta montaña. Nuestro enfoque combina conocimiento técnico sólido, experiencia en terreno y tecnologías avanzadas, lo que nos permite acompañar a nuestros clientes en todas las etapas del proyecto, desde la exploración hasta la operación y cierre. En BW trabajamos para asegurar decisiones basadas en datos confiables, minimizando riesgos y promoviendo un desarrollo responsable de los recursos.</t>
  </si>
  <si>
    <t xml:space="preserve">BECHER LOGISTICA</t>
  </si>
  <si>
    <t xml:space="preserve">analaura@becherlogistica.com.ar</t>
  </si>
  <si>
    <t xml:space="preserve">A159 | A160</t>
  </si>
  <si>
    <t xml:space="preserve">VIA SRL</t>
  </si>
  <si>
    <t xml:space="preserve">Becher Logística es una empresa sanjuanina especializada en soluciones logísticas integrales y mineras , con sólida trayectoria en transporte de cargas generales, distribución, cargas peligrosas, proyectos especiales y operaciones para la industria y el sector minero. Brindamos servicios adaptados a cada cliente, priorizando la seguridad vial, la eficiencia operativa, el cumplimiento normativo y altos estándares de servicio en cada etapa. Trabajamos bajo principios de mejora continua y normas de gestión de calidad, con experiencia en entornos de alta exigencia acompañando proyectos en minería, comercio e industria. Nuestro compromiso es impulsar el crecimiento de nuestros clientes y comunidades a través de un servicio confiable y humano, brindando seguridad y soluciones que respondan a necesidades reales.</t>
  </si>
  <si>
    <t xml:space="preserve">https://www.becherlogistica.com.ar/</t>
  </si>
  <si>
    <t xml:space="preserve">C&amp;M SA - CONSTRUCCION Y MINERIA SA</t>
  </si>
  <si>
    <t xml:space="preserve">contacto@cymweb.com.ar</t>
  </si>
  <si>
    <t xml:space="preserve">B218 | B219</t>
  </si>
  <si>
    <t xml:space="preserve">CONSTRUCCION Y MINERIA S.A.</t>
  </si>
  <si>
    <t xml:space="preserve">Desde 1998, Construcción &amp; Minería SA se dedica a ofrecer servicios integrales de alta calidad para los sectores minero, petrolero y civil. Nuestro enfoque combina experiencia, tecnología de vanguardia y un compromiso constante con la satisfacción de nuestros clientes. Trabajamos como socios estratégicos para superar los desafíos técnicos y operativos de cada proyecto. Brindamos atención personalizada, asesoramiento y excelente calidad de insumos y servicios. Calidad garantizada: Implementamos los más altos estándares internacionales de calidad en cada uno de nuestros procesos Equipo experimentado: Contamos con un experimentado personal dedicados a garantizar los mejores resultados. Altos estándares en tecnología: Productos de primera línea de todas las aristas del mundo, Canadá, USA, Europa, Australia y Oriente. Orientación al cliente: Trabajamos como verdaderos socios estratégicos, avanzando juntos con perseverancia, humildad y disciplina.</t>
  </si>
  <si>
    <t xml:space="preserve">http://cymweb.com.ar/</t>
  </si>
  <si>
    <t xml:space="preserve">CASTEM</t>
  </si>
  <si>
    <t xml:space="preserve">Perú</t>
  </si>
  <si>
    <t xml:space="preserve">elozada@castem.com.pe</t>
  </si>
  <si>
    <t xml:space="preserve">Expo San Juan Minera 2026. También en: Directorio SSO (ID 20); ExpoMina (ID 68).</t>
  </si>
  <si>
    <t xml:space="preserve">A161</t>
  </si>
  <si>
    <t xml:space="preserve">Somos una empresa 100 % peruana con 25 años de experiencia en minería y construcción. Brindamos soluciones integrales e innovadoras para la estabilización, fortificación y sostenimiento de roca y suelo, desarrollando productos de alta calidad adaptados a cada cliente. Contamos con un amplio portafolio y un equipo de ingenieros que visita operaciones mineras para ofrecer soporte técnico directo, en coordinación con el área comercial. Ofrecemos cartuchos de resina y cemento, cargadores de ANFO, pernos de anclaje y de fricción “Split Set”, y bombas de inyección, entre otros. Brindamos acompañamiento permanente, soporte comercial y asistencia técnica especializada, garantizando soluciones eficientes y confiables en cada proyecto.</t>
  </si>
  <si>
    <t xml:space="preserve">https://castem.com.pe/</t>
  </si>
  <si>
    <t xml:space="preserve">Directorio SSO (ID 20); ExpoMina (ID 68)</t>
  </si>
  <si>
    <t xml:space="preserve">CATERWEST</t>
  </si>
  <si>
    <t xml:space="preserve">info@caterwest.com</t>
  </si>
  <si>
    <t xml:space="preserve">Isla: 13</t>
  </si>
  <si>
    <t xml:space="preserve">CATERWEST S.A</t>
  </si>
  <si>
    <t xml:space="preserve">Somos líderes en la provisión de soluciones integrales para la vida en sitios remotos, con una sólida especialización en los sectores minero, energético e industrial. A través de nuestra gestión en alimentación, hotelería, logística y mantenimiento, nos posicionamos como el aliado estratégico que garantiza la continuidad operativa de nuestros clientes. Con ADN sanjuanino y estándares internacionales, operamos bajo un firme compromiso de gestión ambiental y desarrollo genuino de las comunidades locales, transformando servicios en valor compartido.</t>
  </si>
  <si>
    <t xml:space="preserve">https://caterwest.com/</t>
  </si>
  <si>
    <t xml:space="preserve">CINTER</t>
  </si>
  <si>
    <t xml:space="preserve">santiago.ochoa@cinter.com.ar</t>
  </si>
  <si>
    <t xml:space="preserve">B207 | B208 | B216 | B217</t>
  </si>
  <si>
    <t xml:space="preserve">CINTER S.R.L.</t>
  </si>
  <si>
    <t xml:space="preserve">CINTER es una empresa argentina de Ingeniería y Construcciones, con más de 50 años de experiencia en el mercado de Obras Industriales, lo que la han posicionado como líder en la fabricación de Estructuras Metálicas y ejecución de obras “Llave en Mano” para diversos sectores de la industria y con una destacada participación en el sector minero. Se ha consolidado como el mayor fabricante de estructuras metálicas del país, habiendo participado en la construcción de la mayoría de los grandes proyectos mineros del país. Es de destacar, que contamos con la planta de procesamiento de acero más grande y moderna del país con una capacidad de producción superior a 1.500Tn/mes, bajo los más altos estándares de calidad que demanda el sector y como consecuencia del ambicioso programa de inversión que viene ejecutando la empresa en los últimos 10 años. Ejemplo de esto último, lo constituye una línea robotizada de ensamblado de estructura, de origen austríaco, única en Sudamérica y que representa la tecnología más evolucionada que existe en el mercado de las estructuras de acero que incrementa, no solo la capacidad productiva de la empresa, sino también los niveles la calidad.</t>
  </si>
  <si>
    <t xml:space="preserve">https://www.cinter.com.ar/</t>
  </si>
  <si>
    <t xml:space="preserve">COCYAR S.A.</t>
  </si>
  <si>
    <t xml:space="preserve">juancarloscaffaratti@cocyar.com</t>
  </si>
  <si>
    <t xml:space="preserve">F636 | F637 | F638 | F645 | F648 | F655 | F656 | F657 | F658 | F659 | F660 | F661 | F662 | F663 | F664 | F665 | F666 | F667</t>
  </si>
  <si>
    <t xml:space="preserve">CFI - CONSEJO FEDERAL DE INVERSIONES</t>
  </si>
  <si>
    <t xml:space="preserve">COCYAR SA Somos una empresa constructora con más de 30 años de trayectoria en el gerenciamiento y ejecución de obras civiles, de arquitectura y electromecánicas, especializándose en proyectos bajo la modalidad "llave en mano", contando con certificaciones de calidad. Actualmente estamos realizando propuestas personalizadas y adaptadas a las necesidades específicas de nuestros clientes. Debido a su perfil y nuestra experiencia en distintas áreas de desarrollos, como infraestructura, obras civiles, arquitectura e industrial de todo tipo. Fabricamos nuestras propias estructuras metálicas, ejecutamos Obras eléctricas en BT, MT y AT, movimientos de suelos, bases y naves industriales, plantas de tratamientos, acueductos, infraestructura urbana, por lo que nos gustaría presentarles formalmente nuestros servicios y explorar posibles proyectos a futuro. Contamos con la capacidad de formar parte de un proyecto desde la ingeniería, la construcción y la puesta en marcha. En algunos casos, operamos y mantenemos nuestras obras. No dude en llamarnos, ofrecemos soluciones reales a sus necesidades. Cordiales saludos. Juan</t>
  </si>
  <si>
    <t xml:space="preserve">https://www.cocyar.com/</t>
  </si>
  <si>
    <t xml:space="preserve">CONOSUR DRILLING S.A.</t>
  </si>
  <si>
    <t xml:space="preserve">C344</t>
  </si>
  <si>
    <t xml:space="preserve">CONOSUR DRILLING SA</t>
  </si>
  <si>
    <t xml:space="preserve">ConoSur Drilling S.A. es una empresa argentina especializada en servicios de perforación para la industria minera, con más de 25 años de experiencia acumulada en el sector. La compañía brinda soluciones integrales en perforación diamantina, rotary, aire reverso y estudios de suelo, incorporando tecnología de vanguardia y equipos adaptados a los desafíos operativos de cada proyecto. Con presencia en distintas regiones del país y un equipo conformado por profesionales altamente calificados, ConoSur Drilling se posiciona como un socio estratégico para campañas de exploración minera, desarrollo de recursos y perforaciones de producción. Su modelo de gestión está basado en la mejora continua, la eficiencia operativa y un fuerte compromiso con la seguridad, la salud, el medio ambiente y las comunidades donde opera, promoviendo un desarrollo sostenible de la industria minera argentina</t>
  </si>
  <si>
    <t xml:space="preserve">CRUZ DEL SUR</t>
  </si>
  <si>
    <t xml:space="preserve">marketing@cruzdelsur.com</t>
  </si>
  <si>
    <t xml:space="preserve">B255</t>
  </si>
  <si>
    <t xml:space="preserve">VICTOR MASSON CRUZ DEL SUR S A</t>
  </si>
  <si>
    <t xml:space="preserve">Cruz del Sur es una compañía argentina de transporte y logística integral con 70 años de trayectoria, una red federal de sucursales y cobertura en todo el país. Acompaña a empresas de distintos sectores con soluciones adaptadas a las necesidades de cada operación y cuenta con una amplia experiencia en industrias de alta exigencia, como la minería. Para este sector, desarrolla servicios de abastecimiento, transporte de cargas generales y peligrosas y operaciones especiales, combinando conocimiento regional, trazabilidad, capacidad operativa 24/7 y altos estándares de seguridad, con certificaciones específicas como el Código Internacional para el Manejo del Cianuro (ICMI).</t>
  </si>
  <si>
    <t xml:space="preserve">https://www.cruzdelsur.com/</t>
  </si>
  <si>
    <t xml:space="preserve">CUYO MINERO</t>
  </si>
  <si>
    <t xml:space="preserve">C326</t>
  </si>
  <si>
    <t xml:space="preserve">DELTA MINING</t>
  </si>
  <si>
    <t xml:space="preserve">info@deltamining.com.ar</t>
  </si>
  <si>
    <t xml:space="preserve">A131</t>
  </si>
  <si>
    <t xml:space="preserve">DELTA MINING S.A.</t>
  </si>
  <si>
    <t xml:space="preserve">QUE HACEMOS: Brindar servicios de alquiler de equipos viales para movimientos de suelo con operador, ofreciendo soluciones flexibles y adaptables, que satisfagan las necesidades de nuestros clientes. Contribuyendo a la apertura de caminos en zonas foráneas, a través de un desarrollo sustentable y bajo un estricto cuidado del medio ambiente, preservando la salud, la seguridad y el bienestar de nuestros empleados. NUESTROS SERVICIOS: SERVICIOS VIALES Ofrecemos servicios de apertura de caminos en alta cordillera, movimiento de suelo, nivelación y de limpieza de terrenos. Para ello, contamos con equipos exclusivos de altísima calidad y personal capacitado para brindar la mejor atención a nuestros clientes. Asimismo, realizamos trabajos de planchadas para perforación, excavaciones y trincheras. ALQUILER DE EQUIPOS VIALES Ofrecemos en alquiler equipos viales de alta calidad con y sin chofer. SERVICIO DE HIDROGRÚA Ofrecemos un servicio integral de carga, movimientos, transporte y descarga de materiales; facilitando la logística y reduciendo costos y tiempos para su empresa. ALQUILER DE CAMIÓN HIDROGRÚA Ofrecemos en alquiler camiones Hidrogrúa con y sin chofer. ALQUILER DE CAMIÓN CISTERNA Ofrecemos en alquiler camión cisterna con y sin chofer, con permisos para el transporte de mercancía peligrosa vigentes. ALQUILER DE CAMIONETAS Alquiler de camionetas 4x4 equipadas para cordillera, con y sin chofer. EXPERIENCIA: Nuestro equipo de profesionales participó en proyectos relevantes (como Filo del sol, Josemaria, Filo sur, el Fierro), adquiriendo experiencia desde la Prospección hasta la etapa de Explotación. Contamos con altos estándares de protección y compromiso hacia el cuidado del medio ambiente, trabajando en armonía con las comunidades. Desarrollamos un trabajo acorde a las mejores prácticas profesionales, guardando un alto valor a la confidencialidad con nuestros clientes. Creemos en la cooperación y el trabajo conjunto para desarrollar sinergias. QUE NOS DIFERENCIA: Promovemos los valores de confiabilidad, puntualidad, honestidad y el respeto hacia el cliente, siendo estos los que rigen nuestro accionar diario y los que nos motivan a evolucionar para brindar un servicio que supere las expectativas de nuestros clientes Nuestra trayectoria avala la calidad y responsabilidad de nuestro personal, así como también la solución a las necesidades particulares de cada empresa, adaptando el servicio de acuerdo a las necesidades del trabajo requerido</t>
  </si>
  <si>
    <t xml:space="preserve">https://deltamining.com.ar/</t>
  </si>
  <si>
    <t xml:space="preserve">DRILLAR SAN JUAN</t>
  </si>
  <si>
    <t xml:space="preserve">info@drillar.ar</t>
  </si>
  <si>
    <t xml:space="preserve">A102 | A103</t>
  </si>
  <si>
    <t xml:space="preserve">DRILLAR SAN JUAN S.A.S</t>
  </si>
  <si>
    <t xml:space="preserve">DrillAr es una compañía argentina de perforación liderada por un equipo de profesionales con vasta experiencia en el rubro de la perforación minera y petróleo. Este personal se ha desempeñado en cargos ejecutivos y operativos en varias empresas multinacionales de perforación contribuyendo al éxito de cada una de ellas donde se desempeñó. La experiencia del equipo permite a la empresa, conocer una gran cantidad de proyectos de exploración y mineros a nivel nacional, además de conocer todas las técnicas de perforación y de servicios asociados.</t>
  </si>
  <si>
    <t xml:space="preserve">https://drillar.ar/</t>
  </si>
  <si>
    <t xml:space="preserve">ECOVIAL</t>
  </si>
  <si>
    <t xml:space="preserve">ecovialsrl@gmail.com</t>
  </si>
  <si>
    <t xml:space="preserve">Isla: 36</t>
  </si>
  <si>
    <t xml:space="preserve">ECO VIAL SRL es una empresa especializada en movimientos de suelo y servicios con maquinaria vial, orientada a brindar soluciones eficientes para proyectos de obra civil, minería y desarrollo de infraestructura. Contamos con experiencia en trabajos de terraplenes, nivelación de terrenos, excavaciones, apertura de caminos, limpieza de predios y desagües, adaptándonos a las necesidades específicas de cada cliente y proyecto. Disponemos de un moderno parque de maquinaria vial en alquiler, operada por personal capacitado, garantizando productividad, seguridad y cumplimiento de plazos.</t>
  </si>
  <si>
    <t xml:space="preserve">ENAEX</t>
  </si>
  <si>
    <t xml:space="preserve">roberta.politano@enaex.com</t>
  </si>
  <si>
    <t xml:space="preserve">Expo San Juan Minera 2026. También en: Exponor (ID 38).</t>
  </si>
  <si>
    <t xml:space="preserve">A132 | A133 | A144 | A145 | Isla: 7</t>
  </si>
  <si>
    <t xml:space="preserve">ENAEX ARGENTINA SRL</t>
  </si>
  <si>
    <t xml:space="preserve">Empresa líder en prestación de servicios integrales de fragmentación de rocas para la minería a cielo abierto (OP) y subterránea (UG), construcción y exploración sísmica. Se especializa en fabricación, comercialización y distribución de explosivos, emulsiones y sistema de iniciación remotos a distancia con tecnología de última generación</t>
  </si>
  <si>
    <t xml:space="preserve">Exponor (ID 38)</t>
  </si>
  <si>
    <t xml:space="preserve">ESPECO</t>
  </si>
  <si>
    <t xml:space="preserve">david@especo.com.ar</t>
  </si>
  <si>
    <t xml:space="preserve">ESPECO S.R.L.</t>
  </si>
  <si>
    <t xml:space="preserve">En ESPECO SRL brindamos soluciones integrales en alquiler de vehículos 4x4, orientadas a empresas que operan en entornos exigentes y de difícil acceso. Nos especializamos en acompañar industrias como la minería, energía, petróleo y obras de infraestructura, garantizando movilidad segura, eficiente y confiable en todo tipo de terrenos. Nuestra flota está compuesta por unidades modernas, equipadas y mantenidas bajo estrictos estándares de calidad y seguridad, adaptadas a las condiciones más desafiantes. Cada vehículo es sometido a controles preventivos periódicos, asegurando un rendimiento óptimo y minimizando riesgos operativos. En ESPECO entendemos que la seguridad es un valor clave. Por ello, incorporamos protocolos rigurosos en cada servicio, alineados con las normativas vigentes y las exigencias de nuestros clientes. Nuestro compromiso es brindar no solo vehículos, sino soluciones que acompañen la continuidad operativa de cada proyecto. Nos destacamos por la flexibilidad, la respuesta rápida y la atención personalizada, adaptándonos a las necesidades específicas de cada cliente. Acompañamos cada operación con un enfoque profesional, confiable y orientado a resultados.</t>
  </si>
  <si>
    <t xml:space="preserve">https://www.especo.com.ar/</t>
  </si>
  <si>
    <t xml:space="preserve">FG LOGISTICA</t>
  </si>
  <si>
    <t xml:space="preserve">Expo San Juan Minera 2026. Sin email publicado. También en: Exponor (ID 42).</t>
  </si>
  <si>
    <t xml:space="preserve">F610</t>
  </si>
  <si>
    <t xml:space="preserve">Logística FG es una unidad de negocios del Grupo FG, que ofrece soluciones logísticas integrales, incluyendo manejo de contenedores, manipulación de carga, almacenamiento de importación y exportación, y servicios de transporte de carga</t>
  </si>
  <si>
    <t xml:space="preserve">Exponor (ID 42)</t>
  </si>
  <si>
    <t xml:space="preserve">GEOAR S.R.L</t>
  </si>
  <si>
    <t xml:space="preserve">A162</t>
  </si>
  <si>
    <t xml:space="preserve">Una empresa argentina ​conformada por Geociencistas que desde hace​ más de 25 años ​se perfeccionan y ​realiza​n​ Servicios Geofísicos tanto a nivel nacional como internacional.​​​ Nos dedicamos al estudio del subsuelo, contando para esto con profesionales altamente capacitados y equipamiento de última generación. Nuestra experiencia sumada a la incorporación de nuevas tecnologías nos permite abarcar todos los métodos geofísicos aplicables para exploración, evaluación y caracterización del subsuelo para la industria minera, petrolera, geotecnia, geodinámica, hidrogeológica, arqueología, obras civiles, auscultación del subsuelo y medio ambiente. Nuestro desafío es satisfacer al cliente dando solución a cualquier problemática. GEOAR se caracteriza por la confiabilidad, calidad y compromiso desde el inicio hasta el final de cada uno de nuestros trabajos. An Argentinian company made of Geoscientists that have been performing Geophysics services on a national and international level and have been perfecting their craft for over 25 years. We devote ourselves to the study of the subsurface, with our highly trained professionals and latest generation equipment. Our experience, added to the incorporation of the latest technologies available lets us encompass every geophysical method available for exploration, evaluation and characterization of the subsurface for industries or research, such as the mining industry, fuel industry, geotechnics, geodynamics, archaeology, civil works, subsoil auscultation and environmental works. Our goal is to grant satisfaction to any client by giving them the solution to any of their problems. GEOAR is characterized by the trust, quality and compromise of the work we do from beginning to end.</t>
  </si>
  <si>
    <t xml:space="preserve">GEOTUB</t>
  </si>
  <si>
    <t xml:space="preserve">info@geotub.com.ar</t>
  </si>
  <si>
    <t xml:space="preserve">E501</t>
  </si>
  <si>
    <t xml:space="preserve">GEOTUB S.A.</t>
  </si>
  <si>
    <t xml:space="preserve">Más de 20 años llevando agua donde necesites. Soluciones integrales de entubación de pozos; no solo ofrecemos soluciones de entubación, nos comprometemos de principio a fin, brindando asesoría y asistencia para el máximo rendimiento de cada pozo. Filtros para pozos de agua con la mayor capacidad filtrante y tecnología autolimpiante. Disponibles en Acero Galvanizado para protección anticorrosiva y resistencia mecánica, o en Acero Inoxidable 304L/316L para máxima resistencia a la corrosión en condiciones extremas. Su diseño de ranura continua optimiza el caudal y asegura la máxima durabilidad y eficiencia de la instalación.</t>
  </si>
  <si>
    <t xml:space="preserve">https://geotub.com.ar/</t>
  </si>
  <si>
    <t xml:space="preserve">GRUAS BILLIA</t>
  </si>
  <si>
    <t xml:space="preserve">fbillia@industriasbillia.com.ar</t>
  </si>
  <si>
    <t xml:space="preserve">INDUSTRIAS BILLIA</t>
  </si>
  <si>
    <t xml:space="preserve">**En el año 1980 Jorge Federico Billia forma la empresa Industrias Billia la cual se especializó en tareas principalmente metalúrgicas y de tornería. Con el tiempo se agregaron los rubros de reparaciones hidráulica y mecánicas. Todos estos frentes de trabajos en su mayoría relacionados con la industria de San Juan. Con el pasar de los años la empresa inició un nuevo rubro e incursionó en la compra de autoelevadores para alquiler como así también el servicio de descargas varias con operadores incluidos. Años más tarde continuó con la adquisición de grúas para realizar servicios de izajes a empresas de San Juan y la región de Cuyo.** +44 Años en el Rubro **En el año 2004 se crea la empresa Natalio SA, la cual pertenece al grupo Billia. El presidente de esta firma es Jorge Federico Billia. En esta empresa se realizan exclusivamente tareas relacionadas con la actividad minera en nuestras tres divisiones, servicio de izajes con grúas, servicio de izajes con hidrogrúas y transporte de cargas pesadas. Con los inicios del proyecto Veladero en el año 2004, la empresa Natalio SA comienza la construcción y expansión de todo el campamento de la mina, siendo solicitado nuestro servicio hasta la actualidad. Del año 2010 a 2013 trabajamos con más de 30 equipos activos en la mina Pascua – Lama en San Juan. Contamos con personal especializado para realizar nuestro propio mantenimiento, tornería liviana y pesada, sala de hidráulica, sector de electrónica y electricidad, mecánicos especializados en automotor y maquinaria pesada, división metalúrgica y pintura. En todos los proyectos colocamos nuestros talleres móviles con insumos suficientes para realizar un constante servicio preventivo y evitar cualquier tipo de pérdida de tiempo. En la actualidad tenemos un grupo humano de 110 personas entre las diferentes áreas de ambas empresas y una flota de más de 100 vehículos entre grúas, hidrogrúas, camiones, semirremolques, carretones y camionetas. Contamos con un departamento de Higiene y Seguridad propio en San Juan y con equipos activos de supervisión e higiene y seguridad en cada proyecto. Este nuevo rubro incluye capacitaciones permanentes al personar (operadores y riggers) ya que es mano de obra calificada por ser por en su mayoría tareas de alto riesgo. En el año 2024, luego de una serie de auditorías y mejoras en la empresa, logramos certificar normas ISO 9001, 14001 y 45001, que refieren a calidad, medio ambiente y seguridad y salud respectivamente.**</t>
  </si>
  <si>
    <t xml:space="preserve">GRUAS MARTIN</t>
  </si>
  <si>
    <t xml:space="preserve">E536 | E537 | E538 | E542 | E543 | E544 | E545 | E546 | E552 | E553 | E554 | E555 | E556</t>
  </si>
  <si>
    <t xml:space="preserve">CLÚSTER DE PETRÓLEO GAS Y MINERÍA DE CORDOBA</t>
  </si>
  <si>
    <t xml:space="preserve">GRUAS MARTIN SA</t>
  </si>
  <si>
    <t xml:space="preserve">GRÚAS SAN BLAS</t>
  </si>
  <si>
    <t xml:space="preserve">F620 | F621</t>
  </si>
  <si>
    <t xml:space="preserve">GRÚAS SAN BLAS SA</t>
  </si>
  <si>
    <t xml:space="preserve">Grúas San Blas es una empresa especializada en la venta, alquiler y servicio postventa de maquinaria destinada a diversos sectores industriales, entre ellos construcción, vialidad, minería, petróleo y gas, industria y puertos. Representa marcas líderes a nivel mundial como SANY, Bobcat y Manitou , ofreciendo equipos de alta calidad, tecnología de vanguardia y respaldo técnico especializado. Con más de 45 años de trayectoria en el mercado, cuenta con una amplia red de sucursales en 16 provincias argentinas, lo que le permite brindar cobertura nacional, atención personalizada y soporte inmediato a sus clientes.</t>
  </si>
  <si>
    <t xml:space="preserve">GRUPO SIT SERVICIOS INTEGRALES TOPOGRÁFICOS</t>
  </si>
  <si>
    <t xml:space="preserve">contacto@gruposit.com.ar</t>
  </si>
  <si>
    <t xml:space="preserve">E515</t>
  </si>
  <si>
    <t xml:space="preserve">GRUPO SIT SRL</t>
  </si>
  <si>
    <t xml:space="preserve">Grupo SIT SRL | Servicios Integrales Topográficos Somos una empresa especializada en brindar soluciones topográficas para proyectos de ingeniería, con más de 19 años de experiencia en obras de gran escala en minería, energía, siderurgia, infraestructura, industria automotriz y consultoría. Operamos en todo el territorio argentino, con presencia en Rosario, Salta y San Juan, aportando precisión, control y trazabilidad en cada etapa del proyecto. Nuestra propuesta se basa en el profesionalismo, la innovación tecnológica y el trabajo en equipo, respaldados por una estructura sólida, tecnología de última generación y un equipo de más de 80 profesionales. Contamos con certificación Trinorma ISO 9001, 14001 y 45001, que garantiza calidad, gestión ambiental y seguridad en nuestras operaciones, y fuimos reconocidos como Great Place to Work, reflejando nuestro compromiso con un buen entorno laboral.</t>
  </si>
  <si>
    <t xml:space="preserve">https://gruposit.com.ar/</t>
  </si>
  <si>
    <t xml:space="preserve">GSI</t>
  </si>
  <si>
    <t xml:space="preserve">servicios@gsi-srl.com.ar</t>
  </si>
  <si>
    <t xml:space="preserve">GSI S. R. L.</t>
  </si>
  <si>
    <t xml:space="preserve">GSI SRL es el socio estratégico 360° que simplifica la gestión de la Gran Minería ofreciendo un único punto de contacto para centralizar soluciones de CAPEX y OPEX. Contamos con taller de mantenimiento para flotas livianas y pesadas, y equipamos vehículos para minería sumando la telemetría y tecnología de USS. Proveemos rental de unidades 4x4 en alianza con Valdivia Automotores, garantizando operatividad continua con nuestra asistencia 24/7 en campo. Ejecutamos obras de ingeniería y construcción civil y eléctrica de gran envergadura integrando el know-how y la capacidad del Grupo NH. Lideramos la ingeniería de mantenimiento y gestión de activos para elevar la confiabilidad industrial de la mina junto a los expertos de JPS Argentina. Nos diferencia nuestro dominio logístico en alta montaña y la capacidad de radicar tecnología global transformándola en ejecución y desarrollo 100% sanjuanino.</t>
  </si>
  <si>
    <t xml:space="preserve">https://www.gsi-srl.com.ar/</t>
  </si>
  <si>
    <t xml:space="preserve">HG PERFORACIONES</t>
  </si>
  <si>
    <t xml:space="preserve">HG PERFORACIONES SRL</t>
  </si>
  <si>
    <t xml:space="preserve">INGEAP</t>
  </si>
  <si>
    <t xml:space="preserve">ventas@ingeap.com</t>
  </si>
  <si>
    <t xml:space="preserve">A165</t>
  </si>
  <si>
    <t xml:space="preserve">INGEAP S.A.S. | INGENIERÍA DE PRECISIÓN Y TOPOGRAFÍA PARA MINERÍA, OIL &amp; GAS Y GRANDES OBRAS Somos una empresa de ingeniería especializada en transformar datos de terreno en decisiones operativas precisas. Nuestros ingenieros y topógrafos de campo optimizan la ejecución de grande proyectos mediante tecnología de vanguardia —como Fotogrametría con Drones, GPS y Estaciones Totales— garantizando certeza geométrica para eliminar riesgos y sobrecostos en entornos complejos. Nuestras Soluciones Especializadas: Control de Movimiento de Suelos: Cálculo preciso de volúmenes mediante modelos digitales de terreno (DTM) y trazado de locaciones (pads) para asegurar que la infraestructura se asiente en terrenos nivelados y seguros. Ingeniería y Gestión de Activos: Desarrollo de ingeniería de detalle, metodologías BIM y soluciones GIS para la gestión de activos, redes e interferencias, incluyendo relevamientos de alta precisión que sirven como base confiable para diversos estudios de ingeniería. Monitoreo y Topografía de Obra: Control geométrico de obras civiles y montajes estructurales bajo estándares rigurosos, garantizando que la ejecución en campo coincida exactamente con el diseño de ingeniería. Oficina Técnica y Documentación As-Built: Certificación de obra y relevamientos detallados para el seguimiento técnico y cierre de proyectos, actuando como un brazo de ingeniería de respuesta inmediata en sitio. Acompañamos a nuestros clientes priorizando la eficiencia operativa y la agilidad de despliegue, asegurando que sus proyectos avancen sin cuellos de botella. Respaldamos nuestra gestión con certificaciones ISO 9001 e ISO 45001, garantizando altos estándares de calidad y seguridad ocupacional en sitio. INGEAP S.A.S. | PRECISION ENGINEERING AND SURVEYING FOR MINING, OIL &amp; GAS, AND LARGE-SCALE INFRASTRUCTURE We are an engineering company specialized in transforming terrain data into precise operational decisions. Our field engineers and surveyors optimize the execution of megaprojects using cutting-edge technology—such as Drone Photogrammetry, High-End GPS, and Total Stations—guaranteeing geometric certainty to eliminate risks and cost overruns in complex environments. Our Specialized Solutions: Earthworks Control: Precise volume calculation through Digital Terrain Models (DTM) and pad layout tracing to ensure infrastructure is built on level and safe ground. Engineering and Asset Management: Detail engineering development, BIM methodologies, and GIS solutions for utility and interference management, including high-precision surveys that serve as a reliable baseline for various engineering studies. Construction Monitoring and Surveying: Geometric control of civil works and structural assemblies under rigorous standards, guaranteeing that field execution perfectly matches the engineering design. Technical Office and As-Built Documentation: Work certification and detailed surveys for technical monitoring and project closure, acting as an immediate-response engineering arm on-site. We support our clients by prioritizing operational efficiency and deployment agility, ensuring their projects move forward without bottlenecks. We back our operations with ISO 9001 and ISO 45001 certifications, and have been audited and validated with excellence scores by the country's leading operators, ensuring the highest standards of quality and occupational safety on site.</t>
  </si>
  <si>
    <t xml:space="preserve">https://ingeap.com/</t>
  </si>
  <si>
    <t xml:space="preserve">INTERENERGY</t>
  </si>
  <si>
    <t xml:space="preserve">juanmontes.elo@gmail.com</t>
  </si>
  <si>
    <t xml:space="preserve">Isla: 26C-INF</t>
  </si>
  <si>
    <t xml:space="preserve">IntiEnergy es una empresa sanjuanina de servicios para mineria junior y exploración. Operamos con un equipo ágil, dimensionado al proyecto, con foco en reducir el impacto en cada campaña: energia solar móvil que disminuye el uso de diésel y gestión circular de residuos con trazabilidad documentada. Cubrimos desde la apertura de caminos y plataformas DDH/RC hasta el cierre del ciclo, en escala 15 a 30 personas. Liderada por Mercedes Soria, con el respaldo de la trayectoria del grupo Nielsen.</t>
  </si>
  <si>
    <t xml:space="preserve">JRI ARGENTINA</t>
  </si>
  <si>
    <t xml:space="preserve">info@grupocicon.com</t>
  </si>
  <si>
    <t xml:space="preserve">Expo San Juan Minera 2026. También en: ExpoMina (ID 495).</t>
  </si>
  <si>
    <t xml:space="preserve">D407</t>
  </si>
  <si>
    <t xml:space="preserve">JRI Ingeniería Argentina es una empresa de ingeniería multidisciplinaria con base en San Juan, especializada en proyectos del sector minero. Contamos con un equipo humano altamente calificado, expertos en Minería, Plantas, Pipelines y Relaves. Ofrecemos servicios que abarcan toda la cadena de valor: desde estudios de perfil y prefactibilidad hasta ingeniería de detalle, asistencia a la construcción y puesta en marcha. Con 15 años de trayectoria en el mercado local e internacional, la empresa cuenta con un equipo de ingeniería multidisciplinario capaz de dar respuesta integral a proyectos de minería subterránea y a cielo abierto, incorporando tecnologías de diseño digitalizado BIM/PIM y metodologías avanzadas de gestión de trabajo AWP. Sus proyectos se han desarrollado en Argentina, Bolivia, Brasil, Perú, Ecuador, República Dominicana y otros países, consolidando una presencia internacional sostenida. JRI Argentina forma parte del Grupo JRI, referente de la ingeniería minera en Latinoamérica, y se posiciona como la propuesta local para proyectos que demanden rigor técnico, capital humano calificado y soluciones de ingeniería adaptadas a las particularidades de la minería argentina.</t>
  </si>
  <si>
    <t xml:space="preserve">ExpoMina (ID 495)</t>
  </si>
  <si>
    <t xml:space="preserve">JSC SOLUCIONES INTEGRALES</t>
  </si>
  <si>
    <t xml:space="preserve">contacto@jscmining.com</t>
  </si>
  <si>
    <t xml:space="preserve">D411 | D426</t>
  </si>
  <si>
    <t xml:space="preserve">JSC MINNING S.A.S.</t>
  </si>
  <si>
    <t xml:space="preserve">JSC Soluciones Integrales ofrece servicios de alimentación, facility management y gestión de campamentos para proyectos mineros. Su misión es ofrecer una solución completa que permita a los operadores mineros concentrarse en su actividad y dejar en manos expertas los servicios de soporte. Brinda en forma integral los siguientes servicios: alimentación, limpieza, hotelería, lavandería, mantenimiento, administración de campamentos, gestión de proyectos, instalación de módulos. La gestión de calidad es uno de los pilares fundamentales de JSC Soluciones Integrales, con un equipo de calidad y seguridad de más de 50 profesionales y certificaciones ISO 9001, ISO 14001, ISO 45001 y HACCP. JSC cuenta con amplia experiencia en el trabajo conjunto con las comunidades locales, integrándolas en los proyectos mediante la incorporación de sus trabajadores, el desarrollo de proveedores, la realización de compras locales y talleres de capacitación.</t>
  </si>
  <si>
    <t xml:space="preserve">https://jscmining.com/</t>
  </si>
  <si>
    <t xml:space="preserve">L &amp; G LOGISTICA Y GASTRONOMIA</t>
  </si>
  <si>
    <t xml:space="preserve">Isla: 17</t>
  </si>
  <si>
    <t xml:space="preserve">L&amp;G LOGISTICA Y GASTRONOMIA</t>
  </si>
  <si>
    <t xml:space="preserve">MAJOR DRILLING</t>
  </si>
  <si>
    <t xml:space="preserve">argentina@majordrilling.com</t>
  </si>
  <si>
    <t xml:space="preserve">D449 | D450</t>
  </si>
  <si>
    <t xml:space="preserve">MAJOR PERFORACIONES S.A.</t>
  </si>
  <si>
    <t xml:space="preserve">Major Drilling Group International Inc. es una de las mayores empresas de servicios de perforación del mundo, principalmente al servicio de la industria minera. Mantenemos operaciones de campo y oficinas en Canadá, Estados Unidos, México, Sudamérica, África y Australasia. Nuestros equipos globales especializados ofrecen un conjunto completo de servicios de perforación para proyectos tanto de superficie como subterráneos.</t>
  </si>
  <si>
    <t xml:space="preserve">https://www.majordrilling.com/</t>
  </si>
  <si>
    <t xml:space="preserve">MAPAL SIGMA - MINING CONSTRUCTIONS</t>
  </si>
  <si>
    <t xml:space="preserve">tecnica@mapalsigma.com</t>
  </si>
  <si>
    <t xml:space="preserve">Isla: 1</t>
  </si>
  <si>
    <t xml:space="preserve">CONSORCIO MAPAL SIGMA</t>
  </si>
  <si>
    <t xml:space="preserve">MAPAL SIGMA, somos el resultado de la visión de dos empresas sanjuaninas de más de 60 años de experiencia en obras públicas y privadas. A través de nuestro consorcio impulsamos y potenciamos el desarrollo de servicios y obras en la minería, de exploración, civiles, viales, de arte e infraestructura, tanto en San Juan como en otras provincias del país. Contribuyendo al desarrollo y progreso sustentable del proyecto, la comunidad y la sociedad donde nos desenvolvemos.</t>
  </si>
  <si>
    <t xml:space="preserve">https://www.mapal.com.ar/mapalsigma</t>
  </si>
  <si>
    <t xml:space="preserve">MILICIC S.A.</t>
  </si>
  <si>
    <t xml:space="preserve">milicic@milicic.com.ar</t>
  </si>
  <si>
    <t xml:space="preserve">E541 | E557</t>
  </si>
  <si>
    <t xml:space="preserve">MILICIC S.A</t>
  </si>
  <si>
    <t xml:space="preserve">Somos una empresa argentina de construcciones y servicios con más 52 años de experiencia en grandes obras que han acompañado el desarrollo de los principales sectores productivos. Con más de 2000 colaboradores y más de 800 proyectos ejecutados, brindamos soluciones para los desafíos más complejos en minería, Oil &amp; Gas, energía e infraestructura. Construimos confianza con nuestros clientes, socios y equipos en cada proyecto que desarrollamos. Buscamos soluciones con capacidad técnica y flexibilidad. Nos guía la orientación al cliente, el foco en resultados y la responsabilidad con el entorno. Con sede en Rosario, oficinas comerciales en la ciudad de Buenos Aires, una sede en el corazón de Vaca Muerta, en Añelo, la sede de Milicic Minería en San Juan, una sede en Lima, Perú y presencia en Uruguay y Paraguay, nos integramos al sector de empresas de servicios de alto valor agregado en Argentina y la región.</t>
  </si>
  <si>
    <t xml:space="preserve">https://www.milicic.com.ar/</t>
  </si>
  <si>
    <t xml:space="preserve">MINEXO</t>
  </si>
  <si>
    <t xml:space="preserve">info@minexo.com.ar</t>
  </si>
  <si>
    <t xml:space="preserve">A138 | A139</t>
  </si>
  <si>
    <t xml:space="preserve">MINEXO SERVICIOS MINEROS SRL</t>
  </si>
  <si>
    <t xml:space="preserve">Minexo Servicios Mineros SRL esta comprometida desde hace 10 años a brindar soluciones de valor para la minería moderna. Nuestras areas de negocio incluyen: Herramental de corte de alta calidad para equipos mineros, Insumos y componentes para equipos de trituración, Repuestos y partes para perforadoras hidráulicas y equipos móviles de minería. La VISIÓN de MINEXO es crear relaciones duraderas con nuestros clientes para que nos consideren una pieza clave en la cadena de valor de sus empresas. La MISIÓN de MINEXO es brindar a los clientes la tranquilidad y confianza de que sus equipos estarán operativos, con el suministro adecuado de repuestos y componentes en el plazo necesario, con la calidad requerida y al precio justo. VALORES: COMPROMISO, GARANTÍA, CONFIABILIDAD.</t>
  </si>
  <si>
    <t xml:space="preserve">https://minexo.com.ar/</t>
  </si>
  <si>
    <t xml:space="preserve">NAV CAMPAMENTOS</t>
  </si>
  <si>
    <t xml:space="preserve">info@navmodulos.com</t>
  </si>
  <si>
    <t xml:space="preserve">Isla: 80</t>
  </si>
  <si>
    <t xml:space="preserve">CAMPAMENTOS S.R.L.</t>
  </si>
  <si>
    <t xml:space="preserve">Campamentos S.R.L. es una empresa mendocina con más de 30 años de trayectoria dedicada al desarrollo de soluciones habitacionales y modulares para distintos sectores. A partir de nuestra experiencia en diseño, ingeniería y fabricación, desarrollamos NAV, nuestra línea de paneles y módulos habitacionales pensada para crear espacios funcionales, eficientes y adaptables a las necesidades de cada proyecto. Nuestras soluciones están diseñadas para responder a contextos exigentes, incluyendo entornos remotos o zonas inhóspitas, donde la rapidez de implementación, la durabilidad y la eficiencia son clave. Acompañamos a nuestros clientes en todas las etapas del proceso, desde el desarrollo de la idea hasta la implementación y el servicio postventa, brindando soluciones confiables, flexibles y de alta calidad. Productos y Servicios: Soluciones habitacionales modulares: diseño, fabricación e implementación de paneles y módulos NAV para la creación de espacios funcionales, eficientes y adaptables a cada proyecto.</t>
  </si>
  <si>
    <t xml:space="preserve">https://www.navmodulos.com/</t>
  </si>
  <si>
    <t xml:space="preserve">NIELSEN EXPEDICIONES</t>
  </si>
  <si>
    <t xml:space="preserve">pablo.nielsen@nielsenexpediciones.com.ar</t>
  </si>
  <si>
    <t xml:space="preserve">NIELSEN LOGISTICA Y EXPEDICIONE SA | Group Industry Suppliers</t>
  </si>
  <si>
    <t xml:space="preserve">Nielsen es un equipo de personas. Tres generaciones de operación en la misma cordillera construyeron un equipo que conoce el territorio, entiende los tiempos de la minería y responde desde zona — no desde una oficina en capital. Cuenta con, operadores, choferes y técnicos con experiencia probada en alta montaña. Personal aclimatado y capacitado para trabajar desde los 3.200 hasta los 5.500 msnm. Bases en Pocito e Iglesia, La Brea. Campamento propio, somos locales. Taller propio — Metalúrgica y Mecánica Personal especializado para fabricación, reparación y mantenimiento. Capacidad de respuesta sin esperar proveedor externo. Garantizamos la operación mediante una logística especializada integral para sitios remotos desde la exploración hasta la explotación. Pablo Nielsen CEO · Tercera Generación "La Minería tiene un rol protagónico para el cambio de la matriz energética mundial."</t>
  </si>
  <si>
    <t xml:space="preserve">https://nielsenexpediciones.com.ar/</t>
  </si>
  <si>
    <t xml:space="preserve">OAPCE MULTITRANS Y CARGO TRANSFER CUYANA</t>
  </si>
  <si>
    <t xml:space="preserve">nicolas.fossati@oapce.com.ar</t>
  </si>
  <si>
    <t xml:space="preserve">A130 | A147</t>
  </si>
  <si>
    <t xml:space="preserve">OAPCE TRANSPORTES INTERNACIONALES S A</t>
  </si>
  <si>
    <t xml:space="preserve">Grupo OAPCE - Multitrans Sobre la empresa Con 40 años de trayectoria ininterrumpida en el mercado, Grupo OAPCE-Multitrans se posiciona como el socio estratégico líder en soluciones logísticas integrales y comercio exterior para industrias de alta complejidad. Nuestra especialización en Minería, Energía y Oil &amp; Gas nos permite gestionar proyectos críticos con la precisión y seguridad que el sector demanda. Operamos bajo estándares internacionales de calidad (Certificación ISO 9001:2015) y contamos con una infraestructura propia que incluye terminales portuarias (PVC Terminals) y unidades de transferencia de carga diseñadas para optimizar la cadena de suministros en toda la región. Nuestros Servicios Logística de Proyectos (Project Cargo): Ingeniería logística para el movimiento de cargas sobredimensionadas y pesadas hacia yacimientos y plantas industriales. Comercio Exterior: Gestión aduanera integral, asesoramiento normativo y coordinación multimodal (Marítimo, Aéreo y Terrestre). Infraestructura Energética y Minera: Soluciones de almacenaje y logística de última milla en zonas de difícil acceso y alta montaña. Compliance: Procesos auditables y políticas de ética alineadas con los estándares de las principales compañías multinacionales.</t>
  </si>
  <si>
    <t xml:space="preserve">https://oapce.com.ar/</t>
  </si>
  <si>
    <t xml:space="preserve">ORICA</t>
  </si>
  <si>
    <t xml:space="preserve">camila.bazan@orica.com</t>
  </si>
  <si>
    <t xml:space="preserve">Expo San Juan Minera 2026. También en: Exponor (ID 58).</t>
  </si>
  <si>
    <t xml:space="preserve">B235 | B236</t>
  </si>
  <si>
    <t xml:space="preserve">ORICA ARGENTINA SAIC</t>
  </si>
  <si>
    <t xml:space="preserve">Orica (ASX: ORI) es uno de los principales proveedores globales de soluciones para la minería y la infraestructura. Desde la producción y el suministro de explosivos, sistemas de detonación, productos químicos para la minería y monitoreo geotécnico, hasta nuestras soluciones digitales de vanguardia y una amplia gama de servicios, movilizamos de manera sostenible los recursos de la Tierra. Con 150 años de trayectoria, nuestro equipo global de más de 14.000 colaboradores apoya actualmente a clientes en operaciones de minería de superficie y subterránea, canteras, construcción y petróleo y gas. La sostenibilidad es una parte esencial de nuestras operaciones. Hemos establecido el objetivo de alcanzar emisiones netas cero para 2050 y estamos comprometidos a contribuir a los objetivos del Acuerdo de París. Obtenga más información en: www.orica.com</t>
  </si>
  <si>
    <t xml:space="preserve">https://orica.com/</t>
  </si>
  <si>
    <t xml:space="preserve">Exponor (ID 58)</t>
  </si>
  <si>
    <t xml:space="preserve">PARAMASSI ANDINA SRL</t>
  </si>
  <si>
    <t xml:space="preserve">gdg@paramassi.com.ar</t>
  </si>
  <si>
    <t xml:space="preserve">B222</t>
  </si>
  <si>
    <t xml:space="preserve">Empresa Sanjuanina. Diseño, provisión e instalación de sistemas de protección en taludes de infraestructura de montaña, anti desprendimientos de rocas, anti avalanchas y control de erosión. Fragmentación de rocas, estudios geotécnicos y jardines verticales.</t>
  </si>
  <si>
    <t xml:space="preserve">https://www.paramassi.com.ar/</t>
  </si>
  <si>
    <t xml:space="preserve">PUERTOTRANS</t>
  </si>
  <si>
    <t xml:space="preserve">SERVICIOS MINEROS DE AMERICA</t>
  </si>
  <si>
    <t xml:space="preserve">SERVICIOS MINEROS DE AMERICA S.A.S.</t>
  </si>
  <si>
    <t xml:space="preserve">SOTUR</t>
  </si>
  <si>
    <t xml:space="preserve">mkarensosa@live.com.ar</t>
  </si>
  <si>
    <t xml:space="preserve">Isla: 8C | Isla: 14C</t>
  </si>
  <si>
    <t xml:space="preserve">Empresa con más de 20 años de experiencia en transporte de pasajeros, especializada en servicios para minería e industrias de alta exigencia. Brinda soluciones de traslado de personal a empresas públicas y privadas, destacándose por su seguridad, calidad y cumplimiento. Nacida en Jáchal, San Juan, como empresa familiar, ha crecido consolidándose en base a la excelencia operativa y el compromiso con sus clientes.</t>
  </si>
  <si>
    <t xml:space="preserve">https://sotur.com/</t>
  </si>
  <si>
    <t xml:space="preserve">SYOTEC</t>
  </si>
  <si>
    <t xml:space="preserve">gabrilezarate@syotec.com.ar</t>
  </si>
  <si>
    <t xml:space="preserve">Isla: 18</t>
  </si>
  <si>
    <t xml:space="preserve">En SYOTEC S.A.S. desarrollamos y ejecutamos soluciones para minería e industria, combinando trabajo en campo con automatización y optimización de procesos. Nos enfocamos en mejorar la productividad, asegurar la continuidad operativa y adaptar cada servicio a las condiciones reales de operación, con un fuerte respaldo técnico y compromiso con la seguridad.</t>
  </si>
  <si>
    <t xml:space="preserve">https://syotec.com.ar/</t>
  </si>
  <si>
    <t xml:space="preserve">TAGING</t>
  </si>
  <si>
    <t xml:space="preserve">C301</t>
  </si>
  <si>
    <t xml:space="preserve">Desde hace más de una década participa activamente en el desarrollo de proyectos mineros estratégicos en Argentina, con experiencia comprobada en litio, cobre, oro y plata, aportando ingeniería aplicada en contextos de alta complejidad técnica, geográfica y operativa. A través de su unidad TAGING CUYO, con base en la provincia de San Juan, la compañía acompaña el desarrollo de proyectos en la región, integrando conocimiento local, experiencia en ingeniería y estándares internacionales, y fomentando el empleo y el desarrollo regional. Brinda servicios integrales que incluyen: ● Ingeniería Conceptual, Básica y de Detalle. ● Ingeniería de Procesos y Optimización, con herramientas propias de simulación. ● Estudios técnicos y económicos (PEA, PFS, FS). ● Estudios de seguridad (HAZID, HAZOP, CHAZOP). ● Ingeniería de Valor y análisis de constructibilidad. ● Gerenciamiento de proyectos, planificación, supervisión, compras y contratos. ● Precomisionado, comisionado y puesta en marcha, con sistemas propios de gestión. Uno de los principales diferenciales es el enfoque en decisiones tempranas, entendiendo que gran parte de los riesgos, costos y plazos de un proyecto se definen antes de la etapa de construcción. Desde esta perspectiva, la ingeniería se convierte en una herramienta clave para reducir la incertidumbre y mejorar la viabilidad de los proyectos. TAGING cuenta con certificación internacional Trinorma: ISO 9001 (Gestión de Calidad), ISO 14001 (Gestión Ambiental) y ISO 45001 (Seguridad y Salud en el Trabajo). Lo que la posiciona como una empresa local con estándares globales. En línea con su enfoque tecnológico, TAGING dispone de soluciones propias como TAG-SYS, orientado a la gestión integral de proyectos, precomisionado y comisionado, y TAG-SIM, una plataforma de simulación de procesos que facilita la anticipación de escenarios, la optimización de diseños y la toma de decisiones basadas en datos. Con foco en eficiencia, sostenibilidad y excelencia técnica, TAGING CUYO se consolida como un socio estratégico para los desafíos actuales y futuros de la minería en San Juan y la región.</t>
  </si>
  <si>
    <t xml:space="preserve">TECMACO</t>
  </si>
  <si>
    <t xml:space="preserve">info@tecmaco.com.ar</t>
  </si>
  <si>
    <t xml:space="preserve">Isla: 34 | Isla: 40</t>
  </si>
  <si>
    <t xml:space="preserve">TECMACO INTEGRAL S.A.</t>
  </si>
  <si>
    <t xml:space="preserve">En Tecmaco, contamos con la flota más numerosa, amplia y tecnológica de Argentina, equipada para satisfacer cualquier necesidad de izaje. Nuestro departamento de ingeniería ofrece soluciones personalizadas para garantizar la seguridad y eficiencia en cada proyecto. Además, nuestros operadores están altamente capacitados, asegurando maniobras precisas y seguras en todo momento.</t>
  </si>
  <si>
    <t xml:space="preserve">https://www.tecmaco.com.ar/</t>
  </si>
  <si>
    <t xml:space="preserve">TERRA LOGISTICA</t>
  </si>
  <si>
    <t xml:space="preserve">TERRA LOGISTICA S.A.</t>
  </si>
  <si>
    <t xml:space="preserve">TRANSPORTE VESPRINI</t>
  </si>
  <si>
    <t xml:space="preserve">Isla: 69</t>
  </si>
  <si>
    <t xml:space="preserve">TRANSPORTE VESPRINI S.A.</t>
  </si>
  <si>
    <t xml:space="preserve">Transporte Vesprini, consolidada hace más de 50 años. Cuenta con 21 sucursales atendiendo a lo ancho y a lo largo de todo el país, brindando un servicio rápido, eficiente, confiable y seguro. Expertos en logística integral, nos encontramos habilitados para poder transportar todo tipo de carga, especialistas en soluciones logísticas.</t>
  </si>
  <si>
    <t xml:space="preserve">TRANSPORTES PAP</t>
  </si>
  <si>
    <t xml:space="preserve">liladelcid@transpap.com.ar</t>
  </si>
  <si>
    <t xml:space="preserve">Isla: 9 | Isla: 15</t>
  </si>
  <si>
    <t xml:space="preserve">Creada en el año 1994, PAP, surge como una propuesta para el transporte de pasajeros, ofreciendo una modalidad que ninguna otra empresa ofrecía hasta el momento, transporte a medida de nuestros clientes. El éxito en éste segmento es el disparador para que comience un fuerte proceso de crecimiento, ampliando así la gama de servicios prestados y de especialización en la actividad de transporte y logística para la Industria y el Turismo. La capacidad operativa de nuestra compañía, conformada por personal altamente calificado, las más modernas unidades y tecnología de vanguardia, ha permitido a PAP tener participación en grandes obras, en los principales proyectos mineros del país, en viajes especiales y de turismo tanto en Argentina como en países limítrofes, procurando un servicio que supere las expectativas de nuestros clientes. Con la satisfacción del cliente, cuidado por el medio ambiente y la seguridad como pilares fundamentales para nuestro crecimiento, PAP ha logrado consolidarse como líder en el servicio de transporte y logística.</t>
  </si>
  <si>
    <t xml:space="preserve">https://transpap.com.ar/</t>
  </si>
  <si>
    <t xml:space="preserve">WINDLAND</t>
  </si>
  <si>
    <t xml:space="preserve">jpmaricich@windland.com.ar</t>
  </si>
  <si>
    <t xml:space="preserve">Isla: 56</t>
  </si>
  <si>
    <t xml:space="preserve">WINDLAND S.A</t>
  </si>
  <si>
    <t xml:space="preserve">Windland S.A. es una empresa argentina con más de 30 años de trayectoria, especializada en servicios de alquiler de flota y mantenimiento integral, orientados principalmente a los sectores de petróleo, gas, minería y construcción. Fundada en 1994, la compañía ha evolucionado desde un esquema de rental de vehículos livianos hacia un modelo de servicios integrales, incorporando soluciones a medida para clientes corporativos, incluyendo alquiler con operario y gestión completa de flotas. A lo largo de su crecimiento, Windland ha desarrollado una sólida presencia territorial con bases operativas en Comodoro Rivadavia, Neuquén, San Juan, Catamarca y Salta, todas equipadas con talleres propios y capacidad de servicio en campo. La empresa cuenta actualmente con una flota de más de 650 unidades, compuesta mayormente por vehículos livianos, complementados con camiones y equipos viales, lo que le permite atender proyectos de diversa escala y complejidad. Su experiencia incluye la participación en proyectos de alta exigencia en el sector minero y energético, destacándose contratos de largo plazo con compañías líderes de la industria. El diferencial de Windland radica en su enfoque de servicio “tailor made”, adaptando sus soluciones a las necesidades específicas de cada cliente, combinado con una fuerte capacidad operativa, conocimiento del mercado y una estructura ágil. Actualmente, la compañía continúa su expansión mediante el fortalecimiento de su red de talleres, el desarrollo de alianzas estratégicas y la incorporación constante de unidades, atendiendo así la demanda de servicios de rental en el mercado.</t>
  </si>
  <si>
    <t xml:space="preserve">https://www.windland.com.ar/</t>
  </si>
  <si>
    <t xml:space="preserve">ZLATO/DUMANDZIC</t>
  </si>
  <si>
    <t xml:space="preserve">A136 | A141</t>
  </si>
  <si>
    <t xml:space="preserve">Nos especializamos en dar servicios a las empresas mineras con movimiento masivos de suelos, construcción de Valles de Lixiviación, Diques de Relave y Pozas para la producción de Litio, obras civiles, rental de equipos viales de grande, mediana y pequeña envergadura, construcción y mantenimiento de caminos. Vasta experiencia en trabajos de alta montaña, logística y manejo de maquinaria pesada.</t>
  </si>
  <si>
    <t xml:space="preserve">ALS SOLUCIONES TECNOLOGICAS</t>
  </si>
  <si>
    <t xml:space="preserve">alejandro@alsingenieria.com</t>
  </si>
  <si>
    <t xml:space="preserve">Mapear oferta: evaluar integración (telemetría, comunicaciones, IA) o competencia</t>
  </si>
  <si>
    <t xml:space="preserve">Partner tecnológico / competidor</t>
  </si>
  <si>
    <t xml:space="preserve">C306 | C307 | C315 | C316 | C317</t>
  </si>
  <si>
    <t xml:space="preserve">AHK - CÁMARA DE INDUSTRIA Y COMERCIO ARGENTINO-ALEMANA</t>
  </si>
  <si>
    <t xml:space="preserve">ALS Soluciones Tecnológicas SRL impulsa la transformación hacia la Industria 4.0 mediante soluciones de automatización y control de procesos, integrando data analytics, edge computing e inteligencia artificial para habilitar la toma de decisiones en tiempo real. Con más de 20 años de experiencia en diversas industrias y como Solution Partner de Siemens en Automation and Drives, diseñamos e implementamos tecnologías de vanguardia que optimizan la producción, reducen costos y elevan la eficiencia y confiabilidad operativa de nuestros clientes.</t>
  </si>
  <si>
    <t xml:space="preserve">https://www.alsingenieria.com/</t>
  </si>
  <si>
    <t xml:space="preserve">DATAWISE</t>
  </si>
  <si>
    <t xml:space="preserve">info@datawise.com.ar</t>
  </si>
  <si>
    <t xml:space="preserve">D414</t>
  </si>
  <si>
    <t xml:space="preserve">Datawise S.A. es una compañía argentina especializada en soluciones tecnológicas integrales, orientadas a la transformación digital de organizaciones públicas y privadas. Con una sólida trayectoria en el mercado, ofrece servicios de infraestructura IT, nube, ciberseguridad, networking y soluciones de valor agregado. A través de alianzas estratégicas con fabricantes líderes como HPE, HP Inc., Aruba, Cisco y otros, Datawise diseña, implementa y gestiona arquitecturas tecnológicas de alto rendimiento, adaptadas a las necesidades de cada cliente. Su enfoque combina expertise técnico, visión consultiva y acompañamiento continuo, permitiendo optimizar costos, mejorar la eficiencia operativa y potenciar la innovación en entornos críticos de negocio.</t>
  </si>
  <si>
    <t xml:space="preserve">https://www.datawise.com.ar/</t>
  </si>
  <si>
    <t xml:space="preserve">DEKA LYSEIS</t>
  </si>
  <si>
    <t xml:space="preserve">DEKA LYSEIS S. A.</t>
  </si>
  <si>
    <t xml:space="preserve">Deka Lýseis, Resellers de soluciones y softwares Lideramos el proceso de Transformación Digital para mejorar la Gestión de Proyectos poniendo el foco en la Metodología BIM. Implementamos soluciones basadas en productos AUTODESK Estamos comprometidos a brindar un servicio excepcional, apoyo técnico especializado y una experiencia de alta calidad, para construir relaciones duraderas y fomentar el crecimiento mutuo. Somos Resellers GOLD de Autodesk Brindamos soluciones para las industrias de manufacturas, infraestructuras, construcción, medios y entretenimiento y datos transmitidos vía inalámbrica, de Autodesk. Líder en software de diseño 3D, ingeniería y entretenimiento. Somos ATC ATC (Authorized Training Center) Centro de Capacitación Autorizado (ATC, por sus siglas en inglés) por Autodesk. DekaLýseis esta autorizada por Autodesk para proporcionar formación oficial y de alta calidad en sus productos de software. Nuestra misión: Ofrecer soluciones innovadoras, personalizadas y transformadoras, para satisfacer las exigencias de nuestros socios, ayudándoles a mejorar su eficiencia, productividad y competitividad en el mercado. Nos comprometemos a brindar un servicio excepcional, apoyo técnico especializado y una experiencia de alta calidad, para construir relaciones duraderas y fomentar el crecimiento mutuo. Aseguramos poder transformar los desafíos de nuestros clientes en oportunidades mediante soluciones de vanguardia, entregando valor y resultados medibles que superen sus expectativas. Construimos el Puente hacia la Excelencia en AECO Somos una compañía global líder con más de 3 años de experiencia, destacándonos en la innovación de activos digitales mediante la aplicación de metodología BIM. Nuestro equipo: Lideramos la Industria AECO con Amplia Trayectoria DekaLýseis cuenta con un equipo de expertos altamente capacitados en diferentes disciplinas. Nuestros equipo incluye asesores, especialistas en VDC/BIM, y expertos en gemelos digitales y VR, todos con certificaciones diversas en sus respectivos campos y capacitaciones en gestión de proyectos. Nuestros valores: Impulsamos el Éxito con Cimientos Sólidos</t>
  </si>
  <si>
    <t xml:space="preserve">DISEGNO</t>
  </si>
  <si>
    <t xml:space="preserve">MARKETING@DISEGNOSOFT.COM.AR</t>
  </si>
  <si>
    <t xml:space="preserve">E517</t>
  </si>
  <si>
    <t xml:space="preserve">DISEGNO SOFT S.R.L.</t>
  </si>
  <si>
    <t xml:space="preserve">Somos una empresa dedicada a proveer una solución completa e innovadora de alta tecnología a nuestros clientes, abarcando todos los procesos empresariales, desde el diseño (CAD CAE), fabricación (CAM), gestión de información asociada a proyectos (PDM) y gestión integrada de procesos productivos (ERP). Así cumpliendo con el ciclo 360° desde la idea a la realidad (PLM).</t>
  </si>
  <si>
    <t xml:space="preserve">https://disegnosoft.com.ar/</t>
  </si>
  <si>
    <t xml:space="preserve">GAMT</t>
  </si>
  <si>
    <t xml:space="preserve">comercial@gamtgroup.com</t>
  </si>
  <si>
    <t xml:space="preserve">D408</t>
  </si>
  <si>
    <t xml:space="preserve">GAMT TEST &amp; MEASUREMENT SRL</t>
  </si>
  <si>
    <t xml:space="preserve">GAMT es una empresa referente en ingeniería de precisión, especializada en soluciones de test, medición, monitoreo y automatización industrial. Integramos servicios de ingeniería avanzada y tecnologías de monitoreo continuo para optimizar la confiabilidad y eficiencia de activos industriales. Hemos desarrollado proyectos con empresas líderes del sector minero, energético e industrial, acompañando a nuestros clientes desde el diagnóstico técnico hasta la implementación de soluciones especializadas.</t>
  </si>
  <si>
    <t xml:space="preserve">https://gamtgroup.com/</t>
  </si>
  <si>
    <t xml:space="preserve">GEOSISTEMAS</t>
  </si>
  <si>
    <t xml:space="preserve">A146</t>
  </si>
  <si>
    <t xml:space="preserve">GEOSISTEMAS S.R.L</t>
  </si>
  <si>
    <t xml:space="preserve">Somos una empresa Argentina proveedora de soluciones de geoposicionamiento, tecnología geoespacial y sistemas GNSS para ingeniería, construcción y agricultura de precisión, certificada bajo las normas ISO-9001 y TUV. Trabajamos apasionadamente en innovar, para mejorar la productividad, la eficiencia y la seguridad de nuestros clientes.</t>
  </si>
  <si>
    <t xml:space="preserve">GEOTAB</t>
  </si>
  <si>
    <t xml:space="preserve">Expo San Juan Minera 2026. Sin email publicado. También en: Exponor (ID 114).</t>
  </si>
  <si>
    <t xml:space="preserve">Isla: 50</t>
  </si>
  <si>
    <t xml:space="preserve">https://www.geotab.com/</t>
  </si>
  <si>
    <t xml:space="preserve">Exponor (ID 114)</t>
  </si>
  <si>
    <t xml:space="preserve">GHM SATELITAL SRL</t>
  </si>
  <si>
    <t xml:space="preserve">gerencia@ghmsatelital.ar</t>
  </si>
  <si>
    <t xml:space="preserve">Isla: 14E</t>
  </si>
  <si>
    <t xml:space="preserve">Ofrecemos conectividad, monitoreo, energía, meteorología y soluciones tecnológicas para minería, energía e industria. Priorizamos no solo la eficiencia operativa, sino también el bienestar de las comunidades y los trabajadores.</t>
  </si>
  <si>
    <t xml:space="preserve">https://ghmsatelital.com/</t>
  </si>
  <si>
    <t xml:space="preserve">GREENWORKING</t>
  </si>
  <si>
    <t xml:space="preserve">info@greenworking.com.ar</t>
  </si>
  <si>
    <t xml:space="preserve">F644 | F649</t>
  </si>
  <si>
    <t xml:space="preserve">Infraestructura de redes de Cobre y Fibra Óptica. Diseño y armado de Data Centers y Salas técnicas. Sistemas de Seguridad Electrónica (CCTV, CCAA) Electricidad y Energía de respaldo. Diseño y armado de Suelos Elevados (piso técnico). Climatización.</t>
  </si>
  <si>
    <t xml:space="preserve">https://greenworking.com.ar/</t>
  </si>
  <si>
    <t xml:space="preserve">I-POINT S. A. S.</t>
  </si>
  <si>
    <t xml:space="preserve">victor.cornejo@puntoi.ar</t>
  </si>
  <si>
    <t xml:space="preserve">En Punto I, contamos con más de 10 años de experiencia brindando soluciones tecnológicas innovadoras que conectan personas y empresas, superando cualquier barrera geográfica. Somos integradores de soluciones de comunicaciones, especializados en: Infraestructura de Red Sistema inteligente de seguridad (Videovigilancia- Control de Accesos) Internet Satelital Seguimiento de Flota LTE y Satelital. (control de somnolencia, métricas de manejo, etc).</t>
  </si>
  <si>
    <t xml:space="preserve">https://puntoi.ar/</t>
  </si>
  <si>
    <t xml:space="preserve">INTERSAT SA</t>
  </si>
  <si>
    <t xml:space="preserve">Isla: 27-INF</t>
  </si>
  <si>
    <t xml:space="preserve">Intersat SA es una empresa argentina de comunicaciones y tecnología, especializada en conectividad de alta disponibilidad e integración de soluciones tecnológicas críticas. Con base en la provincia de San Juan, desarrollamos infraestructura digital diseñada para entornos productivos, industriales y gubernamentales, incluso en ubicaciones remotas o de alta complejidad. Nos enfocamos en soluciones reales, escalables y confiables, combinando infraestructura propia, tecnología líder mundial y un profundo conocimiento del territorio.</t>
  </si>
  <si>
    <t xml:space="preserve">ISTRA</t>
  </si>
  <si>
    <t xml:space="preserve">contacto@istraservicios.com</t>
  </si>
  <si>
    <t xml:space="preserve">JUAN FRANCISCO RUEDIN</t>
  </si>
  <si>
    <t xml:space="preserve">Somo una empresa sanjuanina especializadas en: -TELECOMUNICACIONES -OBRAS ELECTRICAS E INGENIERIA DEL TRANSITO -AUTOMATIZACION Y CONTROL Nuestros servicios son escabeles a las necesidades del cliente.</t>
  </si>
  <si>
    <t xml:space="preserve">https://istra.com.ar/</t>
  </si>
  <si>
    <t xml:space="preserve">MAKERS SAS</t>
  </si>
  <si>
    <t xml:space="preserve">matias.junco@mmakers.ar</t>
  </si>
  <si>
    <t xml:space="preserve">Expo San Juan Minera 2026. Software e IA a medida para minería (posible competidor/aliado).</t>
  </si>
  <si>
    <t xml:space="preserve">SOFTWARE MAKERS S. A. S.</t>
  </si>
  <si>
    <t xml:space="preserve">Desarrollamos software a medida e inteligencia artificial para empresas mineras e industriales que están perdiendo tiempo y dinero por procesos manuales, falta de control y sistemas que no se adaptan a su operación. Implementamos soluciones modulares que en 60 a 90 días ponen en producción un primer sistema funcional que resuelve un problema crítico, sin frenar la operación. Nos especializamos en: - Digitalización de operaciones (Órdenes de trabajo, mantenimiento, logística) - Integraciones con ERP existentes (Tango, SAP, etc.) - Inteligencia Artificial aplicada a datos operativos - Sistemas de higiene y seguridad con análisis predictivo +10 años de experiencia, +50.000 horas de desarrollo y más de 30 clientes activos en industria, minería y transporte. Nuestro foco no es vender software. Es eliminar pérdidas operativas reales.</t>
  </si>
  <si>
    <t xml:space="preserve">https://mmakers.ar/</t>
  </si>
  <si>
    <t xml:space="preserve">MARIO ZINI &amp; CIA S.R.L</t>
  </si>
  <si>
    <t xml:space="preserve">info@mariozini.com</t>
  </si>
  <si>
    <t xml:space="preserve">A156 | A157 | A158</t>
  </si>
  <si>
    <t xml:space="preserve">Comunicaciones Críticas para Minería Mario Zini es una empresa especializada en el diseño, implementación y mantenimiento de sistemas de comunicaciones críticas, con fuerte foco en el sector minero. Acompañamos a nuestros clientes en entornos desafiantes, brindando soluciones confiables que garantizan conectividad, seguridad y continuidad operativa. ⛰️ Experiencia en Entornos Extremos Con amplia trayectoria en alta montaña y zonas remotas, desarrollamos proyectos integrales que incluyen: • Ingeniería y diseño de redes • Provisión de equipamiento • Instalación de sistemas • Soporte técnico en campo 📡 Soluciones Integrales Ofrecemos soluciones completamente integradas adaptadas a la operación minera, asegurando: • Comunicaciones de alta disponibilidad, eficiencia y operatividad. • Cobertura confiable en zonas remotas • Infraestructura robusta y escalable 🏆 Alianza Estratégica Como Socio de Negocios Platinum de Motorola Solutions, brindamos: • Acceso a tecnología de vanguardia • Estándares internacionales y mejores prácticas • Acompañamiento estratégico a largo plazo 🚀 Nuestro Compromiso Conectamos lo que la minería no puede detener. Comunicaciones confiables para operaciones más seguras y eficientes en los entornos más exigentes.</t>
  </si>
  <si>
    <t xml:space="preserve">https://mariozini.com/</t>
  </si>
  <si>
    <t xml:space="preserve">MC MONITOREO &amp; CONTROL DE PERFORACION</t>
  </si>
  <si>
    <t xml:space="preserve">info@mcim.com.ar</t>
  </si>
  <si>
    <t xml:space="preserve">A127</t>
  </si>
  <si>
    <t xml:space="preserve">MC INSTALACIONES MANTENIMIENTO</t>
  </si>
  <si>
    <t xml:space="preserve">Instalación de sistemas de instrumentación electrónica, con transmisión y visualización de datos en tiempo real; para equipos y maquinas que requieran monitoreo, control y supervisión sobre su funcionamiento y operación.</t>
  </si>
  <si>
    <t xml:space="preserve">MINETECH</t>
  </si>
  <si>
    <t xml:space="preserve">info@minetech.com.ar</t>
  </si>
  <si>
    <t xml:space="preserve">Expo San Juan Minera 2026. Socio de Motorola Solutions y MSA en minería (comunicaciones y seguridad).</t>
  </si>
  <si>
    <t xml:space="preserve">E505 | E506</t>
  </si>
  <si>
    <t xml:space="preserve">MINETECH S.R.L.</t>
  </si>
  <si>
    <t xml:space="preserve">MineTech es una empresa líder con amplia trayectoria en el sector minero, especializada en la integración de soluciones tecnológicas y de seguridad. Nos destacamos por proveer sistemas de comunicación críticos, infraestructura de radioenlaces, refugios para minería subterránea, medición de variables ambientales, entre otros. Trabajamos junto a socios estratégicos como Motorola Solutions y MSA para garantizar la máxima calidad en cada proyecto. Con presencia en los principales proyectos mineros del país, transformamos la experiencia técnica en resultados confiables para nuestros clientes.</t>
  </si>
  <si>
    <t xml:space="preserve">https://www.minetech.com.ar/</t>
  </si>
  <si>
    <t xml:space="preserve">ORIGAMI SOFTWARE</t>
  </si>
  <si>
    <t xml:space="preserve">info@origami-soft.com</t>
  </si>
  <si>
    <t xml:space="preserve">F615</t>
  </si>
  <si>
    <t xml:space="preserve">En Origami Software somos una empresa tecnológica con base en Mendoza. Nos especializamos en brindar soluciones a procesos empresariales basadas en tecnología, destacando implementaciones de ERP Odoo (Partner Gold, único del oeste argentino). Con más de 15 años de experiencia y 500+ proyectos ejecutados, entendemos los desafíos de la transformación digital en industrias complejas. Nuestros servicios incluyen: Implementaciones Odoo ERP Desarrollo de software a medida (webs y webapps) Integración de sistemas Automatización e IA aplicada (agentes inteligentes, integración de APIs) Consultoría de procesos Lo que nos diferencia es nuestro enfoque orientado al negocio. No somos solo desarrolladores: contamos con especialistas en industria, consultores de procesos y profesionales que entienden el contexto empresarial de nuestros clientes. Analizamos profundamente tus necesidades, procesos y objetivos para crear soluciones tecnológicas que realmente generan impacto en tu organización. Nos guían valores como la ética, el respeto, la empatía y el compromiso con tu negocio. Somos certificados como Great Place to Work, demostrando nuestro compromiso con la excelencia organizacional.</t>
  </si>
  <si>
    <t xml:space="preserve">https://www.origami-soft.com/</t>
  </si>
  <si>
    <t xml:space="preserve">SITRACK</t>
  </si>
  <si>
    <t xml:space="preserve">claudio.galindez@sitrack.com</t>
  </si>
  <si>
    <t xml:space="preserve">Expo San Juan Minera 2026. También en: Exponor (ID 151).</t>
  </si>
  <si>
    <t xml:space="preserve">Isla: 6DER</t>
  </si>
  <si>
    <t xml:space="preserve">Fundada en 1999, somos una empresa de alta tecnología dedicada a la provisión de servicios de información a medida. Colaboramos estrechamente con nuestros clientes en el desarrollo de herramientas adaptadas a su operatoria y necesidades, aportando soluciones integrales de servicio a los sectores Logístico, Naviero, Petrolero, Residuo, Maquinaria, Dadores de Carga y Diagnóstico, entre otros. Nuestra empresa posee oficinas y operación 24/7 en Argentina, Brasil, Chile, Uruguay y México, siendo la única empresa que abarca totalmente el corredor Bioceánico, y que además desarrollamos una de las más amplias redes de instalación y servicios de Sudamérica. En la actualidad, más de 250 profesionales altamente capacitados desarrollan y operan los diferentes sistemas que prestan servicio a más de 100.000 móviles distribuidos en las principales empresas de América Latina.</t>
  </si>
  <si>
    <t xml:space="preserve">https://www.sitrack.com/</t>
  </si>
  <si>
    <t xml:space="preserve">Exponor (ID 151)</t>
  </si>
  <si>
    <t xml:space="preserve">SLIMSTOCK (ALAMO)</t>
  </si>
  <si>
    <t xml:space="preserve">Países Bajos</t>
  </si>
  <si>
    <t xml:space="preserve">info@alamoconsultores.com</t>
  </si>
  <si>
    <t xml:space="preserve">Expo San Juan Minera 2026. También en: Exponor (ID 1182).</t>
  </si>
  <si>
    <t xml:space="preserve">D409 | D410 | D427</t>
  </si>
  <si>
    <t xml:space="preserve">NETHERLANDS / PAISES BAJOS</t>
  </si>
  <si>
    <t xml:space="preserve">SLIMSTOCK B.V.</t>
  </si>
  <si>
    <t xml:space="preserve">Para competir necesitas una cadena de suministro eficiente Alcanzar la excelencia operativa debería ser sencillo. Por eso desarrollamos nuestra plataforma Slim4, galardonada en múltiples ocasiones, para que la planificación integral de la cadena de suministro sea fácil para todos. Impulsada por inteligencia artificial, Slim4 ofrece una solución integrada que unifica planificación, ejecución y datos en una única plataforma inteligente. De confianza para mayoristas, minoristas y fabricantes, el motor de Slim4 respalda a tus equipos y procesos para ayudarte a tomar decisiones mejores, más rápidas y más inteligentes en toda tu cadena de suministro.</t>
  </si>
  <si>
    <t xml:space="preserve">https://alamoconsultores.com/slimstock/</t>
  </si>
  <si>
    <t xml:space="preserve">Exponor (ID 1182)</t>
  </si>
  <si>
    <t xml:space="preserve">TCTECH SRL</t>
  </si>
  <si>
    <t xml:space="preserve">comercial@nexarnetworks.com.ar</t>
  </si>
  <si>
    <t xml:space="preserve">En Nexar Networks desarrollamos soluciones de conectividad crítica para la industria minera mediante redes celulares privadas 4G y 5G (Private LTE / Private 5G), diseñadas para operar en entornos remotos, exigentes y de alta disponibilidad. La minería moderna necesita comunicaciones seguras, estables y de baja latencia para soportar operaciones estratégicas donde las redes públicas no llegan y donde el Wi-Fi industrial presenta limitaciones de cobertura, movilidad y escalabilidad. Nuestras soluciones permiten: - cobertura amplia y confiable en mina, planta y operaciones remotas - conectividad segura para personal, maquinaria y sensores - baja latencia para aplicaciones críticas - control total de la red y soberanía de los datos - integración con plataformas industriales y sistemas existentes Habilitamos casos de uso como: - teleoperación de maquinaria pesada - monitoreo SCADA en tiempo real - vehículos autónomos y AGVs - videovigilancia y seguridad operacional - IoT industrial y sensorización masiva - comunicaciones de misión crítica (MCPTT / Push-to-Talk) Brindamos una solución integral end-to-end: - ingeniería y diseño de cobertura RF - despliegue de infraestructura RAN y Core EPC / 5GC - integración con satélite, fibra y backhaul de campo - operación, soporte y mantenimiento continuo Transformamos la conectividad en una ventaja competitiva, mejorando productividad, seguridad y eficiencia operativa para la minería del futuro.</t>
  </si>
  <si>
    <t xml:space="preserve">https://www.nexarnetworks.com.ar/</t>
  </si>
  <si>
    <t xml:space="preserve">TCV DESARROLLO DE SOLUCIONES</t>
  </si>
  <si>
    <t xml:space="preserve">info@tcvsoluciones.com</t>
  </si>
  <si>
    <t xml:space="preserve">Expo San Juan Minera 2026. Competidor directo: videovigilancia con IA contra fatiga, somnolencia y distracción en flotas.</t>
  </si>
  <si>
    <t xml:space="preserve">TCV DESARROLLO DE SOLUCIONES S. R. L.</t>
  </si>
  <si>
    <t xml:space="preserve">En TCV trabajamos en soluciones tecnologicas enfocadas en fortalecer las operaciones vehiculares. Desarrollamos e implementamos sistemas de videovigilancia con inteligencia artificial, orientadas a optimizar procesos y mejorar la toma de decisiónes frente a una problematica tan grande como los accidentes debido a fatiga, somnolencia y distracciones. Con una fuerte orientación a resultados y adaptación a entornos exigentes, TCV se posiciona como un socio estratégico para empresas que priorizan la seguridad operativa, la reducción de riesgos y la optimización de sus operaciones.</t>
  </si>
  <si>
    <t xml:space="preserve">https://www.tcvsoluciones.com.ar/</t>
  </si>
  <si>
    <t xml:space="preserve">TECHNOLOGY BUREAU - NOKIA</t>
  </si>
  <si>
    <t xml:space="preserve">Isla: 21SUP</t>
  </si>
  <si>
    <t xml:space="preserve">Technology Bureau es una empresa Latinoamericana dedicada a brindar soluciones integrales de Telecomunicación IT. Con más de 30 años de experiencia, se posiciona como un socio tecnológico que acompaña a empresas, operadores y gobiernos en sus procesos de transformación digital. Su propuesta se basa en ofrecer soluciones “end to end”, combinando tecnología, ingeniería y servicios: desde el diseño e implementación hasta el soporte de proyectos tecnológicos complejos.</t>
  </si>
  <si>
    <t xml:space="preserve">TESACOM</t>
  </si>
  <si>
    <t xml:space="preserve">info@tesacom.net</t>
  </si>
  <si>
    <t xml:space="preserve">Expo San Juan Minera 2026. También en: Directorio SSO (ID 181).</t>
  </si>
  <si>
    <t xml:space="preserve">D400 | D401 | D402 | D403 | D417 | D418 | D419 | D420 | D438 | D439 | D459 | D460 | D461 | E500 | E509 | E525 | E526 | E527 | E528</t>
  </si>
  <si>
    <t xml:space="preserve">GAPP</t>
  </si>
  <si>
    <t xml:space="preserve">TESAM ARGENTINA S.A.</t>
  </si>
  <si>
    <t xml:space="preserve">Telecomunicaciones Satelitales e IoT para Operaciones Industriales Somos una empresa con +25 años de trayectoria en telecomunicaciones satelitales para operaciones industriales en Latinoamérica. Nos mueve el desafío de impulsar el desarrollo productivo en nuestra región. Comercializamos e integramos productos y servicios de proveedores como Iridium, Viasat-Inmarsat, Pulsar Internacional, Starlink, KVH, Orbcomm, Globalstar, Skywave. Desarrollamos plataformas y hardware para el monitoreo de activos creando una propuesta de valor integral para los principales sectores productivos. Contamos con oficinas comerciales en Argentina, Chile, Perú y Paraguay.</t>
  </si>
  <si>
    <t xml:space="preserve">https://www.tesacom.net/</t>
  </si>
  <si>
    <t xml:space="preserve">Directorio SSO (ID 181)</t>
  </si>
  <si>
    <t xml:space="preserve">TRIM STUDIOS SRL - SYTEX</t>
  </si>
  <si>
    <t xml:space="preserve">info@sytex.io</t>
  </si>
  <si>
    <t xml:space="preserve">TRIM STUDIOS SRL</t>
  </si>
  <si>
    <t xml:space="preserve">En Sytex digitalizamos y damos control en tiempo real a la operación en campo. Centralizamos tareas, avances y evidencia (fotos, datos, checklists) en una sola plataforma, validada con IA para asegurar calidad y trazabilidad desde el origen. Eliminamos planillas y reportes tardíos, dando visibilidad y control a operaciones con múltiples frentes y contratistas. Más de 15.000 técnicos en LATAM ya usan Sytex para ejecutar mejor y decidir con información confiable.</t>
  </si>
  <si>
    <t xml:space="preserve">https://es.sytex.io/</t>
  </si>
  <si>
    <t xml:space="preserve">AMERICAN ADVISOR</t>
  </si>
  <si>
    <t xml:space="preserve">Explorar alianza comercial / canal de implementación y formación en seguridad</t>
  </si>
  <si>
    <t xml:space="preserve">Canal / aliado – consultoría, capacitación y certificación</t>
  </si>
  <si>
    <t xml:space="preserve">AMERICAN ADVISOR -ESTANDAR CO S.R.L.-</t>
  </si>
  <si>
    <t xml:space="preserve">AMERICAN ADVISOR es una empresa con un enfoque integral, creada bajo el concepto de Centro Modelo, orientada a acompañar a organizaciones, instituciones e industrias en el desarrollo eficiente y seguro de su recurso humano, promoviendo el bienestar de los colaboradores, la prevención de riesgos y el cuidado del medioambiente. Nuestro equipo interdisciplinario brinda soluciones estratégicas y a medida, con presencia clave en actividades mineras, industriales y productivas de la región. Nos especializamos en servicios como: Medicina Laboral (Asesoramiento y Exámenes Médicos), Medicina en Sitios Remotos (Asistencia, Emergencia y Urgencia), Capacitaciones y Certificaciones de Operarios y Conductores Profesionales, Inspección y Certificación de Equipos de Izaje, Viales y Subterráneos, Servicios y Asesoramiento en Higiene y Seguridad Laboral; integrando infraestructura propia, equipamiento de vanguardia y personal capacitado para garantizar calidad, eficiencia y resultados confiables. En American Advisor trabajamos bajo estándares nacionales e internacionales, con una gestión profesional basada en mejora continua. Por eso, somos orgullosamente una organización CERTIFICADA TRINORMA, cumpliendo con los requisitos de ISO 9001:2015 (Gestión de la Calidad), ISO 14001:2015 (Gestión Ambiental) e ISO 45001:2018 (Seguridad y Salud en el Trabajo). Estas certificaciones reflejan nuestro compromiso con procesos sólidos, sustentabilidad, prevención y excelencia operativa en cada prestación. Además, contamos con la ACREDITACION DEL OAA como Organismo de Inspección, respaldando técnica y legalmente inspecciones y certificaciones de equipos bajo normas reconocidas. Este diferencial convierte a AMERICAN ADVISOR en la ÚNICA empresa de la provincia de San Juan certificada y acreditada bajo estos estándares, consolidándonos como un aliado estratégico para compañías que buscan cumplimiento normativo, confiabilidad y prestigio en sus operaciones!</t>
  </si>
  <si>
    <t xml:space="preserve">ARCADIS</t>
  </si>
  <si>
    <t xml:space="preserve">info.cl@arcadis.com</t>
  </si>
  <si>
    <t xml:space="preserve">Expo San Juan Minera 2026. También en: Directorio SSO (ID 187); Exponor (ID 179).</t>
  </si>
  <si>
    <t xml:space="preserve">ARCADIS CHILE S.P.A.</t>
  </si>
  <si>
    <t xml:space="preserve">Con operaciones en mas de 30 países y con más de 136 años de experiencia global y más de 45 años en Chile, Arcadis es la empresa líder mundial en la entrega de soluciones sostenibles, aplicadas al diseño, ingeniería y consultoría para activos naturales y construidos. Somos alrededor de 34.000 profesionales, diseñadores, ingenieros, planificadores de proyectos y especialistas minera, agua, infraestructura y energía, unidos por nuestra pasión de mejorar la calidad de vida. Como parte de nuestro compromiso con acelerar un futuro positivo para el planeta, trabajamos junto a nuestros clientes para tomar decisiones de proyectos sostenibles, combinando innovación digital y humana, y desarrollando capacidades orientadas al futuro mejor.</t>
  </si>
  <si>
    <t xml:space="preserve">https://www.arcadis.com/</t>
  </si>
  <si>
    <t xml:space="preserve">Directorio SSO (ID 187); Exponor (ID 179)</t>
  </si>
  <si>
    <t xml:space="preserve">CONSULTORA OLGUÍN</t>
  </si>
  <si>
    <t xml:space="preserve">luisomarolguin@gmail.com</t>
  </si>
  <si>
    <t xml:space="preserve">F631</t>
  </si>
  <si>
    <t xml:space="preserve">Somos una consultora multidisciplinaria con sede en San Juan, nacida con el propósito de ofrecer un respaldo integral a las empresas y emprendedores de la región, en Consultora Olguin Del Castillo combinamos experiencia técnica en sectores clave como la minería y la construcción con una visión experta en el área contable y financiera. Entendemos que el éxito de un proyecto de inversión no depende de un solo factor, sino de una gestión coordinada. Por eso, nuestro equipo de profesionales trabaja de manera transversal para brindar soluciones que van desde el asesoramiento legal y contable hasta la dirección de proyectos complejos. Nos apasiona ver crecer a las empresas locales y ser el motor que facilita su expansión en un mercado exigente.</t>
  </si>
  <si>
    <t xml:space="preserve">https://odcconsultora.com/</t>
  </si>
  <si>
    <t xml:space="preserve">ENVIRO S G</t>
  </si>
  <si>
    <t xml:space="preserve">juan.degli@envirosg.net</t>
  </si>
  <si>
    <t xml:space="preserve">B250 | B251</t>
  </si>
  <si>
    <t xml:space="preserve">ENVIRO SERVICES GROUP SRL</t>
  </si>
  <si>
    <t xml:space="preserve">Enviro Services Group SRL Rubro: Servicios medioambientales Ubicación: San Juan Capital - San Juan Fundación: [1997] Sitio web: [ www.envirosg.net\] Descripción: Enviro Services Group SRL es una empresa dedicada a ofrecer soluciones integrales en el sector medioambiental. Con un enfoque en la sostenibilidad y la innovación, la compañía brinda servicios de monitoreo y analisis de calidad de aguas, seulos, calidad de aire y emisiones gaseosas o fuentes fijas. "Su misión es contribuir al bienestar general a través de la implementación de prácticas responsables y eficientes, que permitan a sus clientes conocer y comprender el estado ambiental del entorno en el que desarrollan sus actividades." Proveer servicios de alta calidad en el área medioambiental, a través de un enfoque sostenible y responsable, con el objetivo de preservar los recursos naturales y mejorar la calidad del entorno. Ser líder en la región en la prestación de soluciones medioambientales, promoviendo una conciencia ecológica y el cumplimiento de las normativas ambientales vigentes.</t>
  </si>
  <si>
    <t xml:space="preserve">https://www.envirosg.net/</t>
  </si>
  <si>
    <t xml:space="preserve">HIDROAR S.A.</t>
  </si>
  <si>
    <t xml:space="preserve">administracion@hidroar.com</t>
  </si>
  <si>
    <t xml:space="preserve">B220</t>
  </si>
  <si>
    <t xml:space="preserve">AGUARTEC</t>
  </si>
  <si>
    <t xml:space="preserve">Somos una firma consultora constituida en el año 1981, integrada por especialistas en diversos aspectos de los recursos naturales en general y de la geología en particular. Nuestro campo de actividad y experiencia incluye la hidrología, prospección, evaluación y desarrollo de aguas subterráneas, planificación del uso de recursos hídricos, geología aplicada a la ingeniería, evaluación de impacto ambiental y temas relacionados con estas disciplinas.</t>
  </si>
  <si>
    <t xml:space="preserve">https://hidroar.com/</t>
  </si>
  <si>
    <t xml:space="preserve">INGENIERIA INTEGRAL</t>
  </si>
  <si>
    <t xml:space="preserve">perez@ingenieriaintegral.com.ar</t>
  </si>
  <si>
    <t xml:space="preserve">INGENIERIA INTEGRAL SRL</t>
  </si>
  <si>
    <t xml:space="preserve">INGENIERÍA INTEGRAL SRL es una empresa argentina constituida por profesionales de probada experiencia en el campo de la ingeniería aplicada, siendo dicha experiencia desarrollada al servicio de distintas empresas nacionales y extranjeras, líderes en su especialidad. SERVICIOS OFRECIDOS: ¨ ASESORAMIENTO TECNICO ¨ ANALISIS, PROGRAMACION Y COORDINACION DE PROYECTOS ¨ DESARROLLO DE ING. BASICA, DE DETALLE, CALCULOS, ESPECIFICACIONES TECNICAS y PROYECTOS EN LAS SIGUIENTES DISCIPLINAS: Ingeniería civil y estructural Ingeniería mecánica Ingeniería eléctrica Cañerías y Calderería Instrumentación Arquitectura DESARROLLOS DE AUTOMACION SOFTWARE DE CONTROL DE AUTOMACION PROGRAMABLES (PLC) Y SUS REDES DE COMUNICACION SOFTWARE PARA SISTEMAS DE SUPERVISION SCADA PROGRAMACION Y COORDINACION DE OBRAS SEGUIMIENTO, INSPECCION Y SUPERVISION DE OBRAS SERVICIO – ESCANEO LASER 3D Escaneo 3D de alta precisión para piezas y entornos industriales (objetos, equipos y espacios ) Eficiencia en relevamiento, precisión en resultados Modelos 3D exactos para ingeniería y control de calidad</t>
  </si>
  <si>
    <t xml:space="preserve">https://www.ingenieriaintegral.com.ar/</t>
  </si>
  <si>
    <t xml:space="preserve">MAGISTRALI CONSULTORES</t>
  </si>
  <si>
    <t xml:space="preserve">luis@magistraliconsultores.com</t>
  </si>
  <si>
    <t xml:space="preserve">MAGISTRALI LUIS ALBERTO</t>
  </si>
  <si>
    <t xml:space="preserve">Magistrali Consultores ® es una organización que se especializa en el asesoramiento y desarrollo estratégico para mandos directivos de empresas a través de coaching a proveedores, rediseño de áreas comerciales a los estándares actuales, estimación de la demanda de mercados industriales, seguridad patrimonial, desarrollo de productos y servicios, y buenas prácticas en el ámbito de los recursos humanos con perspectiva de género. La consultora cuenta con más de 25 años de experiencia en mercados industriales y negocios B2B</t>
  </si>
  <si>
    <t xml:space="preserve">https://www.magistraliconsultores.com/</t>
  </si>
  <si>
    <t xml:space="preserve">MANPOWER</t>
  </si>
  <si>
    <t xml:space="preserve">Expo San Juan Minera 2026. Sin email publicado. También en: AquaSur (ID 100).</t>
  </si>
  <si>
    <t xml:space="preserve">Isla: 24</t>
  </si>
  <si>
    <t xml:space="preserve">CAPRIMSA</t>
  </si>
  <si>
    <t xml:space="preserve">COTECSUD COMPAÑIA TECNICA SUDAMERICANA SA DE SERVICIOS EMPRESARIOS</t>
  </si>
  <si>
    <t xml:space="preserve">AquaSur (ID 100)</t>
  </si>
  <si>
    <t xml:space="preserve">MPC CONSULTORA</t>
  </si>
  <si>
    <t xml:space="preserve">info@mpcconsultora.com.ar</t>
  </si>
  <si>
    <t xml:space="preserve">A143</t>
  </si>
  <si>
    <t xml:space="preserve">MPC CONSULTORA S.A.</t>
  </si>
  <si>
    <t xml:space="preserve">Nuestra empresa se enorgullece de contar con profesionales altamente capacitados, con amplia experiencia en diversos campos, incluyendo ingeniería, arquitectura, industria, construcción y minería. Aportamos experiencia comprobada y habilidades especializadas en cada área y servicio que brindamos. Con el tiempo, hemos perfeccionado una metodología de trabajo integral que incorpora software de última generación y rigurosos procesos de control de calidad. Esto garantiza precisión en el diseño, exactitud en los cálculos y confiabilidad en la gestión de proyectos, al mismo tiempo que resguarda la eficiencia financiera de todo el proyecto. Cumplimos con normas y códigos tanto nacionales como internacionales, lo que nos permite participar en una amplia variedad de proyectos y entregar resultados de alto valor de manera consistente.</t>
  </si>
  <si>
    <t xml:space="preserve">https://www.mpcconsultora.com.ar/</t>
  </si>
  <si>
    <t xml:space="preserve">RANDSTAD</t>
  </si>
  <si>
    <t xml:space="preserve">mcgallardo@randstad.com.ar</t>
  </si>
  <si>
    <t xml:space="preserve">Expo San Juan Minera 2026. También en: Exponor (ID 1060).</t>
  </si>
  <si>
    <t xml:space="preserve">RANDSTAD ARGENTINA S A</t>
  </si>
  <si>
    <t xml:space="preserve">Randstad Argentina es líder en soluciones de talento y recursos humanos, con amplia experiencia en el sector minero. Acompañamos a las compañías en todas las etapas del ciclo laboral, desde el reclutamiento y selección de perfiles técnicos y operativos hasta la gestión integral de personal eventual y servicios de outsourcing. Contamos con equipos especializados que comprenden las particularidades de la industria, incluyendo operaciones en sitios remotos, esquemas roster, y altos estándares de seguridad y cumplimiento normativo. Nuestro enfoque combina expertise local con respaldo global, permitiéndonos ofrecer soluciones ágiles, eficientes y adaptadas a cada proyecto. Trabajamos para potenciar la productividad de nuestros clientes y contribuir al desarrollo sostenible del talento en la industria minera. Randstad Argentina is a leader in talent solutions and human resources services, with extensive experience in the mining sector. We support companies across the entire workforce lifecycle, from recruiting and selecting technical and operational profiles to comprehensive management of temporary staff and outsourcing services. Our specialized teams understand the unique demands of the industry, including remote site operations, roster schemes, and strict safety and compliance standards. Our approach combines local expertise with global support, enabling us to deliver agile, efficient, and tailored solutions for each project. We work to enhance our clients’ productivity and contribute to the sustainable development of talent within the mining industry.</t>
  </si>
  <si>
    <t xml:space="preserve">https://www.randstad.com.ar/</t>
  </si>
  <si>
    <t xml:space="preserve">Exponor (ID 1060)</t>
  </si>
  <si>
    <t xml:space="preserve">TÜV RHEINLAND ARGENTINA</t>
  </si>
  <si>
    <t xml:space="preserve">serviciosindustriales@ar.tuv.com</t>
  </si>
  <si>
    <t xml:space="preserve">F632 | F633</t>
  </si>
  <si>
    <t xml:space="preserve">TÜV RHEINLAND ARGENTINA S.A.</t>
  </si>
  <si>
    <t xml:space="preserve">TUV RHEINLAND ARGENTINA SA. Inspección técnica / Ensayos / Certificación / Supervisión / Estudios / Capacitaciones TÜV Rheinland es un organismo de certificación especializado en servicios referidos a la calidad, la seguridad técnica y la protección del hombre y del medioambiente. En su papel como ente internacional e independiente, realiza inspecciones técnicas especializadas de equipos y procesos: por ej. Inspección de calidad de obra y suministros nacionales e internacionales, análisis de riesgo, energías renovable, equipos de izaje entre otros. La empresa opera desde hace más de 150 años y figura entre los principales proveedores de servicios de inspección certificación y ensayo del mundo. En Argentina presente desde 1994 con 5 oficinas en las principales zonas mineras y petroleras del país.</t>
  </si>
  <si>
    <t xml:space="preserve">https://www.tuv.com/</t>
  </si>
  <si>
    <t xml:space="preserve">UNIVERSIDAD DE SAN JUAN</t>
  </si>
  <si>
    <t xml:space="preserve">exten@fi.unsj.edu.ar</t>
  </si>
  <si>
    <t xml:space="preserve">F627 | Isla: 38E Inferior</t>
  </si>
  <si>
    <t xml:space="preserve">FACULTAD DE INGENIERÍA - UNIVERSIDAD NACIONAL DE SAN JUAN</t>
  </si>
  <si>
    <t xml:space="preserve">La Facultad de Ingeniería – UNSJ posee un profundo impacto en la comunidad sanjuanina, su historia, su legado y su impronta, la posiciona como la Unidad Académica más prestigiosa de la Universidad Nacional de San Juan. Reconstrucción de San Juan tras el terremoto de 1944: egresados y docentes de la Facultad fueron protagonistas en el diseño y ejecución de obras clave para la recuperación de la provincia. Formación de profesionales estratégicos: ha graduado miles de ingenieros e ingenieras en áreas como civil, minas, química, eléctrica, electrónica, mecánica, industrial, alimentos, bioingeniería, agronomía, agrimensura. Investigación aplicada: sus institutos y laboratorios desarrollan soluciones en minería sustentable, energías renovables, automatización, infraestructura sismorresistente, metalurgia, robótica y gestión ambiental. Vinculación con el territorio: organiza eventos como la Noche de Puertas Abiertas, donde la comunidad puede recorrer laboratorios, conocer proyectos y dialogar con investigadores. Compromiso con la educación pública: como institución gratuita y laica, promueve el acceso al conocimiento técnico como herramienta de transformación social.</t>
  </si>
  <si>
    <t xml:space="preserve">https://www.fi.unsj.edu.ar/</t>
  </si>
  <si>
    <t xml:space="preserve">BAUZA</t>
  </si>
  <si>
    <t xml:space="preserve">gerencia@bauzagroup.com</t>
  </si>
  <si>
    <t xml:space="preserve">Media</t>
  </si>
  <si>
    <t xml:space="preserve">Explorar alianza con representante local / integración en equipos y talleres</t>
  </si>
  <si>
    <t xml:space="preserve">Partner OEM – maquinaria y equipos mineros</t>
  </si>
  <si>
    <t xml:space="preserve">F604 | Isla: 61 | Isla: 62 | Isla: 81 | Isla: 82</t>
  </si>
  <si>
    <t xml:space="preserve">VENTA DE MAQUINARIA PESADA PARA MINERIA, MAQUINAS VIALES Y DE CONSTRUCCION.</t>
  </si>
  <si>
    <t xml:space="preserve">https://www.bauzagroup.com/</t>
  </si>
  <si>
    <t xml:space="preserve">BOSCH REXROTH S.A.I.C.</t>
  </si>
  <si>
    <t xml:space="preserve">mariela.lencina@boschrexroth.com.ar</t>
  </si>
  <si>
    <t xml:space="preserve">C320 | C321 | C322 | C323 | C324 | C325 | C329 | C330 | C331 | C332 | C333 | C334 | C339 | C340 | C341 | C342 | C343 | C349 | C350 | C351 | C352 | C353 | C354</t>
  </si>
  <si>
    <t xml:space="preserve">DELEGACIÓN ALEMANA - MESSE DUESSELDORF</t>
  </si>
  <si>
    <t xml:space="preserve">Somos la empresa líder en automatización, comprometida a brindar soluciones con el soporte nacional e internacional que se requiere. Soluciones para máquinas móviles: hidráulica móvil, electrónica móvil, accionamientos eléctricos móviles y automatización móvil. Soluciones industriales como soluciones de accionamiento Hägglunds, hidráulica industrial, tecnología de ensamblaje, controles y accionamientos eléctricos, tecnología de movimiento lineal, tecnología de atornillado, soldadura por resistencia y sistemas de movimiento para transporte.</t>
  </si>
  <si>
    <t xml:space="preserve">https://www.boschrexroth.com/es/ar/</t>
  </si>
  <si>
    <t xml:space="preserve">BRADKEN</t>
  </si>
  <si>
    <t xml:space="preserve">ventas@bradken.com</t>
  </si>
  <si>
    <t xml:space="preserve">D444 | D445</t>
  </si>
  <si>
    <t xml:space="preserve">Nos especializamos en soluciones de desgaste para equipos de minería que mejoran la eficiencia, la productividad y la seguridad de nuestros clientes. Para el procesamiento de minerales, Bradken aprovecha su amplia experiencia en ingeniería y fabricación para ofrecer a sus clientes (principalmente en la industria de la roca dura) una gama completa de productos diseñados a medida para molinos de molienda, molinos verticales y equipos de transporte. Nuestras soluciones para plantas móviles incluyen productos de alta calidad, diseñados a medida para clientes de los sectores de minería y recursos, ferrocarril y transporte, y fundición industrial en general. Las soluciones incluyen GET, sistemas de orugas, sistemas de monitoreo de desgaste y soporte técnico.</t>
  </si>
  <si>
    <t xml:space="preserve">https://www.bradken.com/</t>
  </si>
  <si>
    <t xml:space="preserve">COVEMA</t>
  </si>
  <si>
    <t xml:space="preserve">ventas@covemasacif.com.ar</t>
  </si>
  <si>
    <t xml:space="preserve">F612</t>
  </si>
  <si>
    <t xml:space="preserve">COVEMA SACIF es una empresa dedicada a la provisión de maquinaria para construcción y minería. Hace más de 50 años que se encuentra en el rubro, cuenta con basta experiencia en maquinaria, tecnología, planes de mantenimiento, servicios y reparaciones de todas las máquinas que provee. Representa marcas líderes en el mercado como el Grupo Wirtgen (WIRTGEN, HAMM, VÖGELE, CIBER, KLEEMANN, BENNINGHOVEN) para construcción vial y minería, suma a este último equipos de la marca Rubble Master, Wolf Perforadores Hidráulicos y LIEBHERR, cuenta con la provisión de grúas de la marca GROVE y para movimiento de suelos ofrece la línea Construction de NEW HOLLAND y muchas más marcas incluso algunas de industria nacional o provisión local. Para todas las marcas que ofrece COVEMA garantiza la provisión de repuestos y un excelente servicio post venta.</t>
  </si>
  <si>
    <t xml:space="preserve">https://covemasacif.com.ar/</t>
  </si>
  <si>
    <t xml:space="preserve">DIESEL LANGE</t>
  </si>
  <si>
    <t xml:space="preserve">martinmariano@diesellange.com.ar</t>
  </si>
  <si>
    <t xml:space="preserve">Isla: 20C</t>
  </si>
  <si>
    <t xml:space="preserve">DIESEL LANGE S.R.L.</t>
  </si>
  <si>
    <t xml:space="preserve">Somos Diesel Lange, concesionario oficial de John Deere con más de 35 años de trayectoria en Argentina. Contamos con 16 sucursales distribuidas en 8 provincias, y un equipo de más de 300 personas comprometidas con brindar soluciones integrales en los sectores de Construcción, Agro y Neumáticos Michelin. En el segmento de Construcción, ofrecemos maquinaria nueva y usada (excavadoras, retroexcavadoras, motoniveladoras y más), alquiler con opción a compra, repuestos, consumibles y un sólido servicio de posventa. Nuestra presencia en San Juan nos posiciona como un aliado estratégico para la industria minera y los proyectos de infraestructura de la región.</t>
  </si>
  <si>
    <t xml:space="preserve">https://www.diesellange.com.ar/</t>
  </si>
  <si>
    <t xml:space="preserve">DISTRIZAN</t>
  </si>
  <si>
    <t xml:space="preserve">E531</t>
  </si>
  <si>
    <t xml:space="preserve">Somos representantes de ingersol rand en argentina e importadora de productos industriales para minería</t>
  </si>
  <si>
    <t xml:space="preserve">DOBLE TRACCION</t>
  </si>
  <si>
    <t xml:space="preserve">ventas@forwell.com.ar</t>
  </si>
  <si>
    <t xml:space="preserve">DOBLE TRACCION S.R.L.</t>
  </si>
  <si>
    <t xml:space="preserve">Forwell es la empresa líder en Argentina especializada en equipamiento vehicular 4x4, repuestos y accesorios para pick-ups y vehículos pesados. Con base operativa de gran escala en San Juan y un sólido e-commerce de alcance nacional, brindamos soluciones estéticas, funcionales y de seguridad. ¿Qué hacemos y cuáles son nuestros servicios? E-commerce Nacional: Comercialización y envío a todo el país de accesorios de primer nivel y suministros mineros. Desde las provincias más al norte hasta el extremo sur, despachamos jaulas oval, jaulas interiores y elementos de seguridad vehicular, brindando soluciones directas a empresas mineras y petroleras con productos homologados y certificados para cualquier proyecto de alto nivel. Soluciones Integrales: Equipamos desde vehículos para el uso diario y la aventura, hasta flotas corporativas 0km y camiones para la minería a través de nuestra división especializada. Instalación Especializada: Contamos con centro de instalación propio con capacidad para vehículos livianos y pesados. ¿Qué nos diferencia? Nuestro amplio stock permanente garantiza rapidez en la entrega, eliminando tiempos muertos. Somos representantes oficiales de marcas líderes como Bracco, lo que nos permite ofrecer equipamiento homologado, certificado y con garantía de fábrica, asegurando el más alto estándar del mercado.</t>
  </si>
  <si>
    <t xml:space="preserve">https://forwell.com.ar/</t>
  </si>
  <si>
    <t xml:space="preserve">ENDUROCO</t>
  </si>
  <si>
    <t xml:space="preserve">Isla: 43 | Isla: 44 | Isla: 63 | Isla: 64</t>
  </si>
  <si>
    <t xml:space="preserve">ENDUROCO LATAM S.A</t>
  </si>
  <si>
    <t xml:space="preserve">Enduroco Latam S.A. es una empresa argentina que representa a la empresa Australiana EnduroCo. Se especializa en brindar soluciones integrales para el transporte y la logística en terrenos de alta exigencia, con un fuerte enfoque en las industrias minera y petrolera. Sus actividades principales incluyen: Conversión de Vehículos: Transformación de camionetas y utilitarios estándar (como la Toyota Hiace) en vehículos especializados para alta montaña o zonas de difícil acceso. Equipamiento Off-Road: Instalación de kits de suspensión, orugas para nieve o barro, y sistemas de bloqueo de diferencial. Telemetría y Seguridad: Implementación de sistemas de monitoreo de flota, que incluyen cámaras MDVR, sensores de fatiga para conductores (DMS) y conectividad satelital para zonas sin cobertura celular. Maquinaria Industrial: Provisión de equipos y repuestos para maquinaria pesada utilizada en proyectos de infraestructura y energía. Básicamente, se encargan de que las flotas puedan operar de manera segura y eficiente en los entornos más geográficamente complicados del país.</t>
  </si>
  <si>
    <t xml:space="preserve">EPIROC</t>
  </si>
  <si>
    <t xml:space="preserve">contacto.argentina@epiroc.com</t>
  </si>
  <si>
    <t xml:space="preserve">Expo San Juan Minera 2026. También en: Directorio SSO (ID 51).</t>
  </si>
  <si>
    <t xml:space="preserve">C302 | C303 | C304 | C305 | C310 | C311 | C312 | C313 | C314</t>
  </si>
  <si>
    <t xml:space="preserve">EPIROC CONO SUR</t>
  </si>
  <si>
    <t xml:space="preserve">Epiroc is a global productivity partner for mining and infrastructure customers, and accelerates the transformation toward a sustainable society. With ground-breaking technology, Epiroc develops and provides innovative and safe equipment, such as drill rigs, rock excavation and construction equipment and tools for surface and underground applications. The company also offers world-class service and other aftermarket support as well as solutions for automation, digitalization and electrification. Epiroc is based in Stockholm, Sweden, had revenues of around SEK 62 billion in 2025, and has around 19 000 passionate employees supporting and collaborating with customers in around 150 countries. Epiroc Southern Cone serves the markets of Chile, Argentina, Uruguay, and Paraguay, with its headquarters, service workshop, and Regional Distribution Center in Santiago, Chile. It has branches in Calama and Copiapó, Chile, and in San Juan, Argentina. Additionally, it operates a state-of-the-art Service Center in Antofagasta, Chile. In the Southern Cone region, Epiroc provides support with over 600 expert employees specializing in mining equipment, solutions, and services.</t>
  </si>
  <si>
    <t xml:space="preserve">https://www.epiroc.com/</t>
  </si>
  <si>
    <t xml:space="preserve">Directorio SSO (ID 51)</t>
  </si>
  <si>
    <t xml:space="preserve">ESCANDINAVIA DEL PLATA</t>
  </si>
  <si>
    <t xml:space="preserve">comercial.epsa@volvo.com</t>
  </si>
  <si>
    <t xml:space="preserve">Isla: 26D</t>
  </si>
  <si>
    <t xml:space="preserve">ESCANDINAVIA DEL PLATA SA | Group Industry Suppliers</t>
  </si>
  <si>
    <t xml:space="preserve">Escandinavia del Plata S.A. es una empresa líder en Argentina y representante oficial de Volvo Construction Equipment, que además distribuye marcas top como Sandvik y Log Max. Brindamos soluciones integrales en equipos, repuestos y soporte posventa para sectores clave como minería, construcción, energía, petróleo y gas, forestal y agro. Con cobertura nacional y una sólida red de subdistribuidores, garantizamos altos estándares de servicio y un desempeño confiable en entornos exigentes. Enfocados en la innovación, la confiabilidad y el éxito de nuestros clientes, trabajamos como socios estratégicos, contribuyendo a operaciones más eficientes y sostenibles—alineados con nuestro propósito: construir el mundo en el que queremos vivir.</t>
  </si>
  <si>
    <t xml:space="preserve">https://escandinaviadelplata.com.ar/</t>
  </si>
  <si>
    <t xml:space="preserve">FICAMEN</t>
  </si>
  <si>
    <t xml:space="preserve">Isla: 32C | Isla: 38C</t>
  </si>
  <si>
    <t xml:space="preserve">FICAMEN S A</t>
  </si>
  <si>
    <t xml:space="preserve">Ficamen S.A. es el concesionario oficial IVECO en la región de Cuyo, especializado en la comercialización de camiones y utilitarios 0 km, repuestos y servicios de posventa. Contamos con un taller integral y un equipo altamente capacitado que acompaña a cada cliente antes, durante y después de la compra, brindando soluciones de mantenimiento y reparación mecánica y eléctrica pensadas para el transporte y el crecimiento de cada negocio. Disponemos de tres puntos estratégicos en la región: sucursales propias en Mendoza y San Juan, y un punto de venta integral en la provincia de San Luis, lo que nos permite brindar cobertura y atención en toda la región de Cuyo.</t>
  </si>
  <si>
    <t xml:space="preserve">https://ficamensa.com.ar/</t>
  </si>
  <si>
    <t xml:space="preserve">FINNING</t>
  </si>
  <si>
    <t xml:space="preserve">Expo San Juan Minera 2026. Sin email publicado. También en: AquaSur (ID 114).</t>
  </si>
  <si>
    <t xml:space="preserve">E532 | E533 | Isla: 12</t>
  </si>
  <si>
    <t xml:space="preserve">Finning es el mayor distribuidor mundial de Caterpillar y lleva más de 90 años prestando un servicio inigualable. Vendemos, alquilamos y proporcionamos piezas y servicio para equipos y motores a clientes de diversas industrias, incluyendo minería, construcción, petróleo, silvicultura y una amplia gama de aplicaciones de sistemas de energía. Desde 1933, cuando Earl B. Finning fundó Finning en Canadá, nuestro nombre ha sido sinónimo de integridad, fiabilidad e ingenio. Con los años, la compañía ha crecido como resultado de un compromiso genuino para ganar la lealtad del cliente. Con nuestra amplia infraestructura de soporte de productos y capacidades de servicio inigualables, ofrecemos soluciones que permiten a los clientes lograr los costos más bajos de propiedad y operación de equipos, maximizando al mismo tiempo el tiempo de actividad. Finning emplea a más de 15.000 personas en todo el mundo y opera en tres áreas geográficas, con sede en Surrey, Canadá.</t>
  </si>
  <si>
    <t xml:space="preserve">https://www.finning.com/regions.html</t>
  </si>
  <si>
    <t xml:space="preserve">AquaSur (ID 114)</t>
  </si>
  <si>
    <t xml:space="preserve">FLSMIDTH.</t>
  </si>
  <si>
    <t xml:space="preserve">carolina.colina@flsmidth.com</t>
  </si>
  <si>
    <t xml:space="preserve">Expo San Juan Minera 2026. También en: Directorio SSO (ID 62).</t>
  </si>
  <si>
    <t xml:space="preserve">Isla: 26C-SUP</t>
  </si>
  <si>
    <t xml:space="preserve">FLSMIDTH</t>
  </si>
  <si>
    <t xml:space="preserve">FLS es un proveedor líder de procesamiento de minerales con un flowsheet completo para la industria minera global. Ofrecemos tecnologías y servicios probados para todo el ciclo de vida de las operaciones, y nos hemos fijado el objetivo de ofrecer soluciones para una minería con cero emisiones al 2030 con nuestro programa MissionZero.</t>
  </si>
  <si>
    <t xml:space="preserve">https://fls.com/es</t>
  </si>
  <si>
    <t xml:space="preserve">Directorio SSO (ID 62)</t>
  </si>
  <si>
    <t xml:space="preserve">FOREMOST INDUSTRIES LP</t>
  </si>
  <si>
    <t xml:space="preserve">Expo San Juan Minera 2026. Sin email publicado. También en: ExpoMina (ID 460).</t>
  </si>
  <si>
    <t xml:space="preserve">D463 | D464 | D465 | E503 | E504</t>
  </si>
  <si>
    <t xml:space="preserve">DELEGACIÓN CANADÁ</t>
  </si>
  <si>
    <t xml:space="preserve">ExpoMina (ID 460)</t>
  </si>
  <si>
    <t xml:space="preserve">GLOBALBRING ASESORIA</t>
  </si>
  <si>
    <t xml:space="preserve">China</t>
  </si>
  <si>
    <t xml:space="preserve">sales@sanland.com</t>
  </si>
  <si>
    <t xml:space="preserve">E521</t>
  </si>
  <si>
    <t xml:space="preserve">SHANGUAI JKR CONVENTION AND EXHIBITION CO. LTD.</t>
  </si>
  <si>
    <t xml:space="preserve">Shenyang Sanland mining equipment manufacture Co., Ltd. is a mining and metallurgical equipment manufacturing enterprise integrating design, research, manufacturing, installation and commissioning. The company produces a variety of Series jaw crusher SC, cone crusher SS, SG, SH, SG, SM and other series, SN series impact crusher, SVSI series vertical shaft impact crusher, high energy gyratory crusher, and vibrating screen, feeder, ball mill and other mining metallurgical equipments . For more than 20 years, SANLAND Company has set his headquarters in Shenyang economic and technological area , and built factories in Shenyang and Kaiyuan respectively, covering a total area of 95000 square meters, total assets of 600 million RMB, and the total staff more than 350 people. At the same time, Sanland Company has branches in Canada, with a factory area of 3000 square meters, and a total of 50 employees. Its business scope is radiated throughout North America and South America. With first-class technology, first-class craftsmanship, first-class management and first-class team, hundreds of crushing and grinding production lines produced by Sanland Company are operating in every corner of the world. It has been applied to various fields such as grinding, mining, metallurgy, cement production, chemistry and construction, and has gained good reputation from our customers. So far, Sanland has exported about more than 60 countries and regions. The company has passed the ISO9001 quality management system, CE certification, and has a number of refined products, certificate of achievement, etc.</t>
  </si>
  <si>
    <t xml:space="preserve">https://www.sanland.com/</t>
  </si>
  <si>
    <t xml:space="preserve">H&amp;B</t>
  </si>
  <si>
    <t xml:space="preserve">l.salinas@haverniagara.cl</t>
  </si>
  <si>
    <t xml:space="preserve">C338 | C355</t>
  </si>
  <si>
    <t xml:space="preserve">HAVER AND BOECKER</t>
  </si>
  <si>
    <t xml:space="preserve">En Haver &amp; Boecker Niagara, somos líderes en ofrecer soluciones de clasificación, peletización y procesamiento de minerales. Nuestra misión es brindar las mejores tecnologías en estas áreas a clientes de industrias como minería, agregados, cemento, productos de construcción, fertilizantes, sal y reciclaje.</t>
  </si>
  <si>
    <t xml:space="preserve">https://haverboecker.com/</t>
  </si>
  <si>
    <t xml:space="preserve">HERRENKNECHT CHILE LTDA.</t>
  </si>
  <si>
    <t xml:space="preserve">Chile</t>
  </si>
  <si>
    <t xml:space="preserve">Expo San Juan Minera 2026. Sin email publicado. También en: Exponor (ID 226).</t>
  </si>
  <si>
    <t xml:space="preserve">Exponor (ID 226)</t>
  </si>
  <si>
    <t xml:space="preserve">JSIROCK TOOLS CO.,LTD</t>
  </si>
  <si>
    <t xml:space="preserve">service8@jsintl.com.cn</t>
  </si>
  <si>
    <t xml:space="preserve">Expo San Juan Minera 2026. También en: ExpoMina (ID 629).</t>
  </si>
  <si>
    <t xml:space="preserve">C336 | C337</t>
  </si>
  <si>
    <t xml:space="preserve">JSI Rock Tools Co., Ltd. (código bursátil NEEQ: 871645) es una empresa certificada por nivel nacional clave de SRDI y una empresa de alta tecnología en nivel nacional. Nos especializamos en I+D y producción de herramientas de perforación de roca, ofreciendo soluciones integrales para las industrias de minería y construcción. JSI cuenta con sede en Guiyang, provincia de Guizhou, China, y otra moderna planta de producción en Anhui, con una superficie total de más de 80.000 metros cuadrados. Desde su fundación, JSI ha invertido constantemente en innovación y ha consolidado una sólida base de experiencia técnica. Hasta ahora, la empresa ha logrado avances en más de 40 tecnologías clave, entre ellas: desarrollo de materiales para herramientas de perforación, diseño y optimización estructural, tratamiento de endurecimiento de cuerpos de brocas, tecnología de inserción de carburo por incrustación en caliente y procesos de tratamiento térmico para barras de perforación. JSI posee más de 50 patentes, incluyendo una patente de invención que recibió el Premio a la Excelencia en Patentes de China. JSI ha aprobado cuatro importantes certificaciones de sistemas de gestión: ISO 9001 de Gestión de Calidad, ISO 14001 de Gestión Ambiental, ISO 45001 de Gestión de Seguridad &amp; Salud Laboral e ISO 50001 de Gestión Energética. JSI ha llevado a cabo diversas iniciativas nacionales de ciencia y tecnología, como el Fondo de Innovación Tecnológica para Pequeñas y Medianas Empresas y proyectos de demostración de industrialización en el marco del Programa Antorcha de China. Ha sido reconocida como Centro Tecnológico Empresarial de la Provincia de Guizhou y Empresa Modelo Provincial de Innovación Tecnológica. Sus productos también han sido reconocidos como Marcas Famosas de Exportación de provincia Guizhou.</t>
  </si>
  <si>
    <t xml:space="preserve">https://es.jsintl.com.cn/</t>
  </si>
  <si>
    <t xml:space="preserve">ExpoMina (ID 629)</t>
  </si>
  <si>
    <t xml:space="preserve">KAESER COMPRESORES DE ARGENTINA SA</t>
  </si>
  <si>
    <t xml:space="preserve">natalia.rodriguez@kaeser.com</t>
  </si>
  <si>
    <t xml:space="preserve">Expo San Juan Minera 2026. También en: Directorio SSO (ID 609); ExpoMina (ID 217); AquaSur (ID 342).</t>
  </si>
  <si>
    <t xml:space="preserve">Isla: 26B</t>
  </si>
  <si>
    <t xml:space="preserve">KAESER KOMPRESSOREN es uno de los fabricantes de sistemas de aire comprimido más importantes del mundo. Bajo el lema «Más aire comprimido por menos energía», KAESER ofrece soluciones inteligentes que hacen que su producción de aire comprimido sea más confiable y eficiente. KAESER ayuda a sus clientes con sus servicos orientados a las necesidades individuales y con sus servicios digitales adaptados a los centros de producción del futuro, diseñados para entornos de la Industrie 4.0. Esta empresa familiar con más de 100 años de experiencia apuesta por las soluciones de aire comprimido hechas a medida y «made in Germany», que se distinguen por su eficiencia, confiabilidad y sostenibilidad.</t>
  </si>
  <si>
    <t xml:space="preserve">https://www.kaeser.com.ar/</t>
  </si>
  <si>
    <t xml:space="preserve">Directorio SSO (ID 609); ExpoMina (ID 217); AquaSur (ID 342)</t>
  </si>
  <si>
    <t xml:space="preserve">KOMATSU ISEMAR</t>
  </si>
  <si>
    <t xml:space="preserve">jnoli@imasa.com.ar</t>
  </si>
  <si>
    <t xml:space="preserve">Isla: 66</t>
  </si>
  <si>
    <t xml:space="preserve">ISEMAR</t>
  </si>
  <si>
    <t xml:space="preserve">IMASA representante oficial de Komatsu en Argentina , ofrece equipamiento para la minería y construcción, brindamos soluciones que abarcan desde la comercialización de equipos nuevos hasta la gestión integral del ciclo de vida de la flota: contratos de mantenimiento, abastecimiento de repuestos, soporte técnico en sitio y herramientas digitales de gestión operativa. Con presencia nacional y respaldo de Komatsu Holding South America, somos un socio estratégico en las principales operaciones mineras del país.</t>
  </si>
  <si>
    <t xml:space="preserve">https://www.igarretamaquinas.com.ar/</t>
  </si>
  <si>
    <t xml:space="preserve">LAROCCA MINERÍA</t>
  </si>
  <si>
    <t xml:space="preserve">info@laroccamineria.com.ar</t>
  </si>
  <si>
    <t xml:space="preserve">Isla: 20E-INF</t>
  </si>
  <si>
    <t xml:space="preserve">LAROCCA MINERÍA S.A</t>
  </si>
  <si>
    <t xml:space="preserve">Con más de 30 años de trayectoria, en Larocca Minería distribuimos y comercializamos neumáticos Bridgestone OTR y fuera de carretera, abarcando toda la gama de movimiento de suelo, desarrollos industriales y usos especiales.</t>
  </si>
  <si>
    <t xml:space="preserve">https://laroccamineria.com.ar/</t>
  </si>
  <si>
    <t xml:space="preserve">LOPEZ ARGENTINA</t>
  </si>
  <si>
    <t xml:space="preserve">alejandro.serra@lopezargentina.com</t>
  </si>
  <si>
    <t xml:space="preserve">TELLZEN CORP S.A.</t>
  </si>
  <si>
    <t xml:space="preserve">Somos Distribuidores Oficiales de máquinas VOLVO Construction Equipment en la zona Cuyo, con especial foco en minería, construcción y Oil &amp; Gas. Entre los equipos que comercializamos están los camiones articulados, excavadoras, cargadoras frontales y mucho más. El grupo López Argentina cuenta además con servicios de izajes y montajes con grúas, transportes especiales sobre carretón, alquiler de manipuladores telescópicos y servicio técnico multimarca para todo tipo de máquinas viales y mineras. Contamos con sucursales propias en San Juan y Mendoza, y nuestra empresa tiene más de 70 años de experiencia y trayectoria en la región Cuyo.</t>
  </si>
  <si>
    <t xml:space="preserve">https://www.lopezargentina.com/</t>
  </si>
  <si>
    <t xml:space="preserve">ME ELECMETAL</t>
  </si>
  <si>
    <t xml:space="preserve">D416</t>
  </si>
  <si>
    <t xml:space="preserve">ME Elecmetal es una empresa multinacional con más de 100 años de trayectoria, especializada en soluciones integrales para la minería. Su negocio principal combina el desarrollo de productos de alto desgaste—como bolas de molienda y revestimientos de chancado y molienda—con servicios de ingeniería, monitoreo y optimización, orientados a mejorar la eficiencia operativa de sus clientes. Con presencia en diversos mercados a nivel global, la compañía integra capacidades metalúrgicas, tecnológicas y de innovación, posicionándose como un socio estratégico más que un simple proveedor.</t>
  </si>
  <si>
    <t xml:space="preserve">MELEX ARGENTINA</t>
  </si>
  <si>
    <t xml:space="preserve">ventas@melexargentina.com.ar</t>
  </si>
  <si>
    <t xml:space="preserve">Isla: 78</t>
  </si>
  <si>
    <t xml:space="preserve">MELEX ARGENTINA S.R.L</t>
  </si>
  <si>
    <t xml:space="preserve">Melex Argentina S.R.L es una empresa pionera en la producción, alquiler, venta y servicio técnico (con taller propio) de vehículos eléctricos en nuestro país. Somos líderes en el mercado con más de 30 años de trayectoria.</t>
  </si>
  <si>
    <t xml:space="preserve">METSO ARGENTINA SA</t>
  </si>
  <si>
    <t xml:space="preserve">juan.aguilar@metso.com</t>
  </si>
  <si>
    <t xml:space="preserve">Expo San Juan Minera 2026. También en: ExpoMina (ID 93); Exponor (ID 233).</t>
  </si>
  <si>
    <t xml:space="preserve">Isla: 48</t>
  </si>
  <si>
    <t xml:space="preserve">Metso es pionero en tecnologías sostenibles, soluciones integrales y servicios para la industria de agregados, procesamiento de minerales y refinación de metales a nivel mundial. Mejoramos la eficiencia energética e hídrica de nuestros clientes, aumentando su productividad y reduciendo los riesgos ambientales con nuestra experiencia en productos y procesos, somos el socio para un cambio positivo. Con sede en Espoo, Finlandia, Metso emplea a unas 18.000 personas en aproximadamente 50 países y sus ventas en el año 2025 fueron de aproximadamente 5,3 mil millones de euros. La compañía cotiza en el Nasdaq Helsinki.</t>
  </si>
  <si>
    <t xml:space="preserve">https://www.metso.com/es/</t>
  </si>
  <si>
    <t xml:space="preserve">ExpoMina (ID 93); Exponor (ID 233)</t>
  </si>
  <si>
    <t xml:space="preserve">PALFINGER COMPANY</t>
  </si>
  <si>
    <t xml:space="preserve">t.acevedo@palfinger.com</t>
  </si>
  <si>
    <t xml:space="preserve">Isla: 28</t>
  </si>
  <si>
    <t xml:space="preserve">ANDRES N BERTOTTO S A I C</t>
  </si>
  <si>
    <t xml:space="preserve">PALFINGER es un líder global en soluciones innovadoras de elevación, reconocido por su amplia gama de equipos y servicios orientados a maximizar la eficiencia y seguridad en operaciones de elevación de cargas. Con presencia en más de 130 países, la compañía desarrolla y fabrica grúas articuladas, grúas marinas, plataformas elevadoras, sistemas hooklift y soluciones digitales avanzadas. Impulsada por la innovación y la sostenibilidad, PALFINGER combina ingeniería de alta calidad con tecnología de vanguardia para ofrecer productos confiables, versátiles y adaptados a las necesidades de distintos sectores como la construcción, transporte, energía y servicios públicos. Con un fuerte enfoque en el cliente, la empresa brinda soporte integral a través de su red global de ventas y servicio, garantizando rendimiento, disponibilidad y valor a largo plazo en cada operación.</t>
  </si>
  <si>
    <t xml:space="preserve">https://www.palfinger.com/</t>
  </si>
  <si>
    <t xml:space="preserve">QINGDAO FAMBITION</t>
  </si>
  <si>
    <t xml:space="preserve">sean@fambition.com</t>
  </si>
  <si>
    <t xml:space="preserve">C345 | C346 | C348</t>
  </si>
  <si>
    <t xml:space="preserve">QINGDAO FAMBITION HEAVY MACHINERY CO.,LTC | Delegation</t>
  </si>
  <si>
    <t xml:space="preserve">Qingdao Fambition Heavy Machinery Co., Ltd. es un fabricante líder especializado en la investigación y desarrollo, producción y servicio de equipos de minería subterránea sin rieles. Fundada en 1993 y con sede en Qingdao, China, Fambition se compromete a ofrecer soluciones seguras, eficientes e inteligentes para las operaciones mineras subterráneas en todo el mundo, reduciendo el costo por tonelada mientras apoya prácticas mineras sostenibles. Fambition ofrece una amplia gama de productos para minas subterráneas no carboníferas, incluyendo: • Cargadores subterráneos ( Carga, Transporte y Descarga) (LHD) • Camiones mineros • Vehículos utilitarios • Perforadoras jumbo • Sistemas de minería inteligente Nuestros equipos están diseñados para las exigentes condiciones de las operaciones subterráneas en roca dura y son reconocidos por su fiabilidad, innovación y seguridad. Con centros de ventas y servicio en toda China, y presencia internacional en América del Norte, América del Sur, Sudeste Asiático, África y Europa, Fambition ha ganado una sólida reputación tanto en los mercados nacionales como internacionales.</t>
  </si>
  <si>
    <t xml:space="preserve">https://www.fambition.com/</t>
  </si>
  <si>
    <t xml:space="preserve">RESEMIN</t>
  </si>
  <si>
    <t xml:space="preserve">jesus.landa@resemin.com</t>
  </si>
  <si>
    <t xml:space="preserve">Expo San Juan Minera 2026. También en: Directorio SSO (ID 124).</t>
  </si>
  <si>
    <t xml:space="preserve">D451 | D452 | D453 | D454 | D455 | D456 | D457 | D458</t>
  </si>
  <si>
    <t xml:space="preserve">DELEGACION PERU</t>
  </si>
  <si>
    <t xml:space="preserve">RESEMIN S.A.</t>
  </si>
  <si>
    <t xml:space="preserve">Fabricante de equipos de perforación para minería subterránea desde jumbos de perforación frontal, equipos de producción de taladros largos, equipos de sostenimiento y equipos utilitarios.</t>
  </si>
  <si>
    <t xml:space="preserve">https://www.resemin.com/</t>
  </si>
  <si>
    <t xml:space="preserve">Directorio SSO (ID 124)</t>
  </si>
  <si>
    <t xml:space="preserve">RUBIA AUTOMOTORES SRL</t>
  </si>
  <si>
    <t xml:space="preserve">automotoresvaldivia@gmail.com</t>
  </si>
  <si>
    <t xml:space="preserve">Valdivia Automotores presente en Expo Minera 2026 En Valdivia Automotores seguimos acompañando el crecimiento de uno de los sectores clave de nuestra región: la minería. Participamos en Expo Minera 2026 reafirmando nuestro compromiso con el desarrollo productivo, brindando soluciones de movilidad confiables, eficientes y adaptadas a las exigencias del trabajo en terreno. Contamos con una amplia gama de vehículos utilitarios, pickups y opciones 4x4, pensadas para responder a los desafíos diarios de la industria minera, priorizando rendimiento, seguridad y durabilidad. Nuestro objetivo es ser un aliado estratégico para empresas y profesionales del sector, ofreciendo no solo unidades, sino también asesoramiento integral y opciones de financiación acordes a cada necesidad. Seguimos impulsando el progreso, acompañando a quienes mueven la industria.</t>
  </si>
  <si>
    <t xml:space="preserve">https://automotoresvaldivia.com/</t>
  </si>
  <si>
    <t xml:space="preserve">SANDVIK</t>
  </si>
  <si>
    <t xml:space="preserve">Expo San Juan Minera 2026. Sin email publicado. También en: Directorio SSO (ID 132).</t>
  </si>
  <si>
    <t xml:space="preserve">B223 | B224 | B230 | B231</t>
  </si>
  <si>
    <t xml:space="preserve">SANDVIK ARGENTINA S.A.</t>
  </si>
  <si>
    <t xml:space="preserve">Sandvik es un grupo global de ingeniería de alta tecnología que ofrece equipos, herramientas, servicios y soluciones digitales para las industrias de manufactura, minería e infraestructura, con foco en mejorar la productividad, la rentabilidad y la sostenibilidad de sus clientes. Con presencia en más de 150 países, el grupo integra áreas de negocio como Sandvik Mining, proveedor líder de soluciones para perforación, carguío, transporte y desarrollo de túneles, y Rock Processing, especializado en el procesamiento de roca y minerales mediante tecnologías como trituración y clasificación. Su propuesta combina innovación, digitalización y eficiencia energética para optimizar procesos, aumentar la seguridad y reducir costos operacionales, contribuyendo a una industria más sostenible.</t>
  </si>
  <si>
    <t xml:space="preserve">Directorio SSO (ID 132)</t>
  </si>
  <si>
    <t xml:space="preserve">SCANIA</t>
  </si>
  <si>
    <t xml:space="preserve">Isla: 20A | Isla: 26A</t>
  </si>
  <si>
    <t xml:space="preserve">SCANIA ARGENTINA SAU</t>
  </si>
  <si>
    <t xml:space="preserve">En Scania Argentina impulsamos el desarrollo del transporte sustentable en el país, ofreciendo soluciones integrales para el movimiento de cargas y pasajeros. Diseñamos, comercializamos y damos soporte a una amplia gama de camiones y buses, adaptados a las necesidades de cada operación. Acompañamos a nuestros clientes en cada etapa, con servicios de mantenimiento, repuestos, financiamiento y asistencia técnica, garantizando máxima disponibilidad y eficiencia. Contamos con una planta industrial en Tucumán, desde donde producimos componentes que se exportan a distintos mercados, reafirmando nuestro compromiso con la industria nacional y la calidad global. Además, desarrollamos soluciones en motores para aplicaciones industriales, marítimas y de generación de energía, ampliando nuestro aporte a diversos sectores productivos. En Scania, trabajamos con una visión clara: liderar el cambio hacia un sistema de transporte más sustentable, incorporando tecnologías innovadoras que reducen el impacto ambiental y optimizan el rendimiento operativo.</t>
  </si>
  <si>
    <t xml:space="preserve">SIEMENS</t>
  </si>
  <si>
    <t xml:space="preserve">matias.tejeira@siemens.com.ar</t>
  </si>
  <si>
    <t xml:space="preserve">Siemens Argentina está presente desde hace más de 165 años en el país. Es una compañía líder en tecnología, focalizada en la industria, las infraestructuras y el transporte. El propósito de la empresa es crear tecnología para transformar el día a día, para todos. Al combinar el mundo real y el digital, Siemens permite a sus clientes acelerar sus transformaciones digitales y de sostenibilidad, logrando fábricas más eficientes, ciudades más habitables y un transporte más sostenible. Líder en IA industrial, Siemens aprovecha su profundo conocimiento del sector para aplicar la IA, incluida la generativa, a aplicaciones del mundo real, haciendo que la IA sea accesible y tenga un impacto positivo para clientes de diversos sectores. Encontrará más información en la página web www.siemens.com.ar</t>
  </si>
  <si>
    <t xml:space="preserve">https://www.siemens.com/es-es/</t>
  </si>
  <si>
    <t xml:space="preserve">STEINERT LATINOAMERICANA LTDA.</t>
  </si>
  <si>
    <t xml:space="preserve">SULLAIR ARGENTINA</t>
  </si>
  <si>
    <t xml:space="preserve">clientes@sullair.com.ar</t>
  </si>
  <si>
    <t xml:space="preserve">F639 | F640 | F641 | F652 | F653 | F654</t>
  </si>
  <si>
    <t xml:space="preserve">SULLAIR ARGENTINA S.A.</t>
  </si>
  <si>
    <t xml:space="preserve">Ofrecemos soluciones a través de maquinaria para la Minería, la Construcción, la Industria, el Oil &amp; Gas y los Servicios en general en Argentina; y brindamos servicios de generación de energía en distintos mercados de Sudamérica. Nuestro portafolio incluye compresores de aire, grupos electrógenos, plataformas para trabajo en altura, manipuladores telescópicos y compactos, torres de iluminación y equipos para movimiento de tierra.</t>
  </si>
  <si>
    <t xml:space="preserve">https://www.sullairargentina.com/</t>
  </si>
  <si>
    <t xml:space="preserve">TOMRA SORTING GMBH</t>
  </si>
  <si>
    <t xml:space="preserve">Alemania</t>
  </si>
  <si>
    <t xml:space="preserve">VOLKSWAGEN ARGENTINA S.A.</t>
  </si>
  <si>
    <t xml:space="preserve">Isla: 4</t>
  </si>
  <si>
    <t xml:space="preserve">Volkswagen Group Argentina lleva 45 años apostando por la industria nacional argentina con presencia en cada provincia del país mediante una amplia red de concesionarios oficiales y dos Centros Industriales en Pacheco y Córdoba. Allí más de 4.200 empleados producen la pick up Amarok, motocicletas Ducati de alta gama, Camiones y buses VW y cajas de velocidades 100% de exportación a distintos destinos alrededor del mundo, contribuyendo al desarrollo de la industria nacional. Volkswagen Group Argentina invirtió en los últimos 10 años más de USD 1.200 millones en el país y adicionalmente anunció en 2025, USD 580 millones para la producción de una nueva generación de Amarok desde 2027. El Grupo Volkswagen continúa afianzando su presencia en Argentina como lo hizo durante los últimos 45 años, gracias a sus cinco divisiones comerciales en el país: Volkswagen Vehículos de Pasajeros, Volkswagen Vehículos Comerciales, Volkswagen Camiones y Buses, Audi y Ducati. Volkswagen Camiones y Buses Argentina ofrece soluciones de transporte confiables, eficientes y adaptadas a las necesidades del mercado local. Con producción nacional en el Centro Industrial Córdoba y una amplia red de concesionarios oficiales en todo el país, acompañamos a nuestros clientes en cada etapa de su operación, brindando productos de calidad y un servicio de postventa integral. Nuestro compromiso es impulsar el desarrollo del transporte a través de la innovación, la sustentabilidad y la cercanía con quienes mueven la economía argentina.</t>
  </si>
  <si>
    <t xml:space="preserve">https://www.volkswagen.com.ar/es.html</t>
  </si>
  <si>
    <t xml:space="preserve">VOLVO</t>
  </si>
  <si>
    <t xml:space="preserve">Expo San Juan Minera 2026. Sin email publicado. También en: Directorio SSO (ID 674); ExpoMina (ID 85).</t>
  </si>
  <si>
    <t xml:space="preserve">VOLVO TRUCKS Y BUSES ARGENTINA S.A.</t>
  </si>
  <si>
    <t xml:space="preserve">Directorio SSO (ID 674); ExpoMina (ID 85)</t>
  </si>
  <si>
    <t xml:space="preserve">WEIR</t>
  </si>
  <si>
    <t xml:space="preserve">julia.villarroel@mail.weir</t>
  </si>
  <si>
    <t xml:space="preserve">D462</t>
  </si>
  <si>
    <t xml:space="preserve">En Weir somos líderes en el suministro de soluciones integrales para la industria minera. Nuestra propuesta abarca el diseño, fabricación y mantenimiento de equipos especializados para la minería, así como la implementación de plantas completas y servicios especializados en terreno. Con una sólida capacidad de ingeniería y un enfoque en la innovación, desarrollamos tecnologías que optimizan la eficiencia de los procesos, reducen el consumo energético e hídrico y contribuyen a la sostenibilidad de la minería. Operamos desde nuestra planta en San Juan y contamos con centros un centro de servicio estratégicamente ubicado, respaldado por un equipo altamente capacitado.</t>
  </si>
  <si>
    <t xml:space="preserve">https://www.global.weir/</t>
  </si>
  <si>
    <t xml:space="preserve">WESTPRO MACHINERY INC.</t>
  </si>
  <si>
    <t xml:space="preserve">sales@westpromachinery.com</t>
  </si>
  <si>
    <t xml:space="preserve">Expo San Juan Minera 2026. También en: Exponor (ID 1324).</t>
  </si>
  <si>
    <t xml:space="preserve">Westpro Machinery Inc. es un innovador fabricante canadiense de equipos y sistemas para el procesamiento de minerales, con más de 40 años de experiencia en los sectores de la minería, el tratamiento de aguas residuales y los agregados. Nuestros equipos son reconocidos en todo el mundo por su construcción robusta, su fiabilidad y su alto rendimiento. Desde proyectos mineros a gran escala hasta operaciones en plantas piloto, Westpro diseña y fabrica soluciones para proyectos de cualquier envergadura. Nuestro equipo de ingeniería multidisciplinario desarrolla equipos y sistemas de proceso modulares diseñados para satisfacer los requisitos específicos de cada aplicación. Westpro ofrece un soporte integral para los procesos, que incluye la supervisión de la instalación, la puesta en marcha y los servicios de optimización de los equipos. Con instalaciones en más de 20 países y sólidas alianzas globales, ofrecemos soluciones probadas a operaciones mineras de todo el mundo.</t>
  </si>
  <si>
    <t xml:space="preserve">https://www.westpromachinery.com/</t>
  </si>
  <si>
    <t xml:space="preserve">Exponor (ID 1324)</t>
  </si>
  <si>
    <t xml:space="preserve">A. MARSHALL MOFFAT</t>
  </si>
  <si>
    <t xml:space="preserve">marshall@marshallmoffat.com</t>
  </si>
  <si>
    <t xml:space="preserve">Evaluar como canal de distribución hacia mineras y contratistas</t>
  </si>
  <si>
    <t xml:space="preserve">Expo San Juan Minera 2026. También en: Exponor (ID 356).</t>
  </si>
  <si>
    <t xml:space="preserve">Canal / distribuidor EPP</t>
  </si>
  <si>
    <t xml:space="preserve">Isla: 51</t>
  </si>
  <si>
    <t xml:space="preserve">A. MARSHALL MOFFAT S.A.</t>
  </si>
  <si>
    <t xml:space="preserve">Marshall Moffat es la empresa líder en Latinoamérica en el desarrollo, fabricación y distribución de prendas ignífugas y elementos de protección personal. Más de 70 años e innumerables casos de éxito en el mercado avalan nuestra experiencia y garantizan la excelencia que nos distingue. Estamos convencidos de que la seguridad es un beneficio mutuo para empresa y trabajador, y es nuestra responsabilidad ofrecer soluciones integrales de protección industrial a las empresas y organizaciones que así lo requieran, sin jamás comprometer la seguridad y respaldando nuestro compromiso con todas las certificaciones de calidad internacional requeridas. Contamos con la tecnología más avanzada y el talento de los mejores profesionales para solventar la demanda de prendas ignífugas, garantizando a nuestros consumidores comodidad, eficacia y protección, y permitiendo de esta manera a las empresas proteger a su personal sin relegar productividad. Con tres bases en el país y sucursales en Chile y Estados Unidos, Marshall Moffat es significado de Seguridad Industrial y Protección Personal.</t>
  </si>
  <si>
    <t xml:space="preserve">https://www.marshallmoffat.com/</t>
  </si>
  <si>
    <t xml:space="preserve">Exponor (ID 356)</t>
  </si>
  <si>
    <t xml:space="preserve">ARRAIGO</t>
  </si>
  <si>
    <t xml:space="preserve">marce.ariza.ma@gmail.com</t>
  </si>
  <si>
    <t xml:space="preserve">Isla: 29-SUP</t>
  </si>
  <si>
    <t xml:space="preserve">ARRAIGO SRL</t>
  </si>
  <si>
    <t xml:space="preserve">Somos Fabricantes de la indumentaria Gaucho en San Juan. Con más de 30 años de experiencia en la ropa de trabajo y calzados de seguridad.</t>
  </si>
  <si>
    <t xml:space="preserve">https://indumentariagaucho/</t>
  </si>
  <si>
    <t xml:space="preserve">BORIS HERMANOS</t>
  </si>
  <si>
    <t xml:space="preserve">pedidos@borishnos.com.ar</t>
  </si>
  <si>
    <t xml:space="preserve">E513 | E514</t>
  </si>
  <si>
    <t xml:space="preserve">BORIS HERMANOS SA</t>
  </si>
  <si>
    <t xml:space="preserve">BORIS HNOS S.A. somos una empresa líder en calzado de seguridad desde 1962 operando a través de sistemas dinámicos de producción, donde revendedores, empresas y reparticiones se proveen permanentemente de nuestra amplia gama de productos.</t>
  </si>
  <si>
    <t xml:space="preserve">https://https//https://borishnos.com.ar</t>
  </si>
  <si>
    <t xml:space="preserve">MAINCAL SA</t>
  </si>
  <si>
    <t xml:space="preserve">contacto@maincal.com.ar</t>
  </si>
  <si>
    <t xml:space="preserve">Con un estilo aventurero y un desempeño inigualable, la línea Funcional Michelin con tecnología GoreTex te acompaña en cada desafío, para que superes tus propios límites.</t>
  </si>
  <si>
    <t xml:space="preserve">https://funcionalweb.com/</t>
  </si>
  <si>
    <t xml:space="preserve">RINGO WORK</t>
  </si>
  <si>
    <t xml:space="preserve">Calzado de Seguridad</t>
  </si>
  <si>
    <t xml:space="preserve">SOLIMIN</t>
  </si>
  <si>
    <t xml:space="preserve">Isla: 27-SUP</t>
  </si>
  <si>
    <t xml:space="preserve">PROTECCION PERSONA Y FERRETERIA INDUSTRIAL</t>
  </si>
  <si>
    <t xml:space="preserve">YARD</t>
  </si>
  <si>
    <t xml:space="preserve">F605 | F606</t>
  </si>
  <si>
    <t xml:space="preserve">YARD SPORT S.R.L.</t>
  </si>
  <si>
    <t xml:space="preserve">Yard es una empresa argentina con más de 20 años de trayectoria en el desarrollo y fabricación de indumentaria técnica de alta performance. Especializada en prendas para condiciones extremas, la marca se enfoca en sectores como minería, petróleo, seguridad y actividades outdoor. Sus productos combinan innovación textil, diseño funcional y altos estándares de calidad, utilizando materiales certificados y tecnologías que garantizan protección contra frío, viento, agua y riesgos laborales, incluyendo soluciones ignífugas. Con presencia en todo el país y una sólida experiencia en el abastecimiento a grandes compañías, Yard se distingue por su confiabilidad, cumplimiento en los plazos de entrega y un sistema de producción con trazabilidad. Además, la marca integra soluciones adaptadas a cada cliente, ofreciendo desarrollo a medida y un servicio posventa orientado a la mejora continua.</t>
  </si>
  <si>
    <t xml:space="preserve">ECA FIRE/ALR SYSTEMS SISTEMAS CONTRA INCENDIOS</t>
  </si>
  <si>
    <t xml:space="preserve">info@ecafireprotect.com.ar</t>
  </si>
  <si>
    <t xml:space="preserve">Evaluar co-venta o integración de soluciones</t>
  </si>
  <si>
    <t xml:space="preserve">Aliado complementario – seguridad y emergencias</t>
  </si>
  <si>
    <t xml:space="preserve">F629</t>
  </si>
  <si>
    <t xml:space="preserve">ARACENA GUERRA CRISTIAN JAVIER</t>
  </si>
  <si>
    <t xml:space="preserve">SOMOS UNA EMPRESA DE LA PROVINCIA DE SAN JUAN ESPECIALIZADA EN SISTEMAS DE DETECCION Y EXTINCION DE INCENDIOS</t>
  </si>
  <si>
    <t xml:space="preserve">https://www.ecafireprotect.com.ar/</t>
  </si>
  <si>
    <t xml:space="preserve">GLOBAL MINING - MAQUINARIAS RAWSON</t>
  </si>
  <si>
    <t xml:space="preserve">Expo San Juan Minera 2026. Brigadas de rescate para minería; ISO 45001. Sin email publicado.</t>
  </si>
  <si>
    <t xml:space="preserve">Isla: 32D</t>
  </si>
  <si>
    <t xml:space="preserve">BULONERA RAWSON S.A.S</t>
  </si>
  <si>
    <t xml:space="preserve">Trabajo y Compromiso Constante Global Mining brinda soluciones integrales en seguridad, Especialistas en Brigadas de Rescate para Minería, Industria y Transporte de Sustancias y Materiales Peligrosos. Somos especialistas en logística de emergencias, rescate y gestión ambiental en toda la cordillera de los Andes. Empresa Certificada ISO 45001.</t>
  </si>
  <si>
    <t xml:space="preserve">GRUPO OMEGA - S3 S.R.L.</t>
  </si>
  <si>
    <t xml:space="preserve">contratos@grupo-omega.com.ar</t>
  </si>
  <si>
    <t xml:space="preserve">E512</t>
  </si>
  <si>
    <t xml:space="preserve">S3 S.R.L.</t>
  </si>
  <si>
    <t xml:space="preserve">En nuestro carácter de distribuidor de ANSUL Inc. para la Argentina, proveemos ingeniería, instalaciones, repuestos, mantenimiento y capacitación sobre toda la línea ANSUL específica para este mercado. La empresa ANSUL es líder mundial en diseño y provisión de equipos y sistema para luchas contra incendio para la Industria Minera. Asimismo, realizamos provisión de equipos y sistemas de lubricación automática para este mercado Disponiendo de la capacidad técnica, logística operativa y asistencia de fábrica ofrecemos el servicio de mantenimiento integrado a los sistemas de protección contra incendio y lubricación automática de los equipos fuera de ruta y otras instalaciones de los yacimientos. Este servicio lo ofrecemos integrando ambos rubros, o en forma independiente Dado que contamos con la capacidad de realizar las provisiones que hemos detallado anteriormente también ofrecemos estos rubros para los yacimientos mineros.</t>
  </si>
  <si>
    <t xml:space="preserve">https://grupo-omega.com.ar/</t>
  </si>
  <si>
    <t xml:space="preserve">HUARPE SEGURIDAD INTEGRAL</t>
  </si>
  <si>
    <t xml:space="preserve">HUARPE S.R.L</t>
  </si>
  <si>
    <t xml:space="preserve">INSTALROS</t>
  </si>
  <si>
    <t xml:space="preserve">gerencia@instalros.com</t>
  </si>
  <si>
    <t xml:space="preserve">INSTALROS SRL</t>
  </si>
  <si>
    <t xml:space="preserve">Instalros es una empresa especializada en soluciones integrales de seguridad electrónica. Se dedica a la instalación, configuración y mantenimiento de sistemas de CCTV, alarmas y detección de incendios. Brinda servicios de diagnóstico técnico, ingeniería y desarrollo de proyectos personalizados para cada cliente. Trabaja con tecnología de última generación, garantizando calidad, confiabilidad y eficiencia operativa. Su enfoque está puesto en la protección de personas, bienes e infraestructuras, acompañando a sus clientes en cada etapa del servicio, mejorando procesos en cada área, aplicando IA, conocimiento y solidez en cada respuesta</t>
  </si>
  <si>
    <t xml:space="preserve">https://www.instalros.com/</t>
  </si>
  <si>
    <t xml:space="preserve">PRODIMIN</t>
  </si>
  <si>
    <t xml:space="preserve">raphael.quispe@prodimin.pe</t>
  </si>
  <si>
    <t xml:space="preserve">Expo San Juan Minera 2026. También en: Exponor (ID 1030).</t>
  </si>
  <si>
    <t xml:space="preserve">PRODIMIN S.A.C.</t>
  </si>
  <si>
    <t xml:space="preserve">Somos PRODIMIN, expertos en soluciones de seguridad para el sostenimiento, estabilización, control y prevención de caída de rocas, con más de 20 años de experiencia en el sector minero, brindando soluciones integrales para la minería subterránea y de cielo abierto.</t>
  </si>
  <si>
    <t xml:space="preserve">https://prodimin.pe/</t>
  </si>
  <si>
    <t xml:space="preserve">Exponor (ID 1030)</t>
  </si>
  <si>
    <t xml:space="preserve">RIVADAVIA SEGUROS</t>
  </si>
  <si>
    <t xml:space="preserve">info@segurosrivadavia.com</t>
  </si>
  <si>
    <t xml:space="preserve">Isla: 70</t>
  </si>
  <si>
    <t xml:space="preserve">Con más de 80 años de trayectoria en el mercado argentino, nos consolidamos como una de las aseguradoras líderes del país. Nuestra filosofía se basa en brindar una protección integral a través de una amplia gama de productos y un servicio de excelencia. Somos una empresa con historia que mira hacia el futuro, ofreciendo soluciones de aseguramiento adaptadas a las necesidades reales de hoy.</t>
  </si>
  <si>
    <t xml:space="preserve">https://www.segurosrivadavia.com/</t>
  </si>
  <si>
    <t xml:space="preserve">TECIN MINERÍA SRL</t>
  </si>
  <si>
    <t xml:space="preserve">info@tecin-mineria.com.ar</t>
  </si>
  <si>
    <t xml:space="preserve">D466</t>
  </si>
  <si>
    <t xml:space="preserve">Protegemos lo que más importa: la vida de los operadores, la inversión en maquinaria pesada y la productividad de cada operación. Brindamos tranquilidad a nuestros clientes mediante soluciones innovadoras en supresión de incendios y lubricación automática, diseñadas para entornos exigentes. Cada sistema que instalamos cuida a las personas, prolonga la vida útil de los equipos y maximiza el rendimiento operativo.</t>
  </si>
  <si>
    <t xml:space="preserve">https://www.tecin-mineria.com.ar/</t>
  </si>
  <si>
    <t xml:space="preserve">CLINICA ALEMANA</t>
  </si>
  <si>
    <t xml:space="preserve">leandrolopez@clinicaalemana.com.ar</t>
  </si>
  <si>
    <t xml:space="preserve">Evaluar alianza en salud ocupacional / fatiga</t>
  </si>
  <si>
    <t xml:space="preserve">Aliado complementario – salud</t>
  </si>
  <si>
    <t xml:space="preserve">C319 | C335</t>
  </si>
  <si>
    <t xml:space="preserve">MEDICINA INTEGRAL SAN JUAN SRL</t>
  </si>
  <si>
    <t xml:space="preserve">Somos una Clínica que a través de sus funciones brinda salud a Pacientes y Empresas que confían en nuestros servicios. Respaldados por una larga trayectoria de más de 35 años en el ámbito de la medicina laboral, ponemos a disposición nuevas y modernas instalaciones y equipamiento. Esta combinación lograda de factores, nos genera la confianza suficiente para asegurar una excelente calidad en la atención médica brindada, y poner a disposición un servicio de Medicina Integral eficiente.</t>
  </si>
  <si>
    <t xml:space="preserve">https://www.clinicaalemana.com.ar/</t>
  </si>
  <si>
    <t xml:space="preserve">EMERGENCIAS</t>
  </si>
  <si>
    <t xml:space="preserve">INTERNATIONAL HEALTH SERVICES ARGENTINA S.A.</t>
  </si>
  <si>
    <t xml:space="preserve">SUMAR SALUD</t>
  </si>
  <si>
    <t xml:space="preserve">sumarsaludsanjuan@gmail.com</t>
  </si>
  <si>
    <t xml:space="preserve">Expo San Juan Minera 2026. Salud ocupacional en sitios remotos (exámenes, campamentos, ambulancias).</t>
  </si>
  <si>
    <t xml:space="preserve">Isla: 31 | Isla: 37</t>
  </si>
  <si>
    <t xml:space="preserve">UNIÓN INDUSTRIAL SAN JUAN</t>
  </si>
  <si>
    <t xml:space="preserve">Brindamos todos los servicios de salud y asistencia médica en sitios remotos que la industria minera y petrolera necesita. 1) Evaluación de salud ocupacional y riesgos específicos. 2) Exámenes médicos periódicos y preocupacionales. 3) Atención médica en sitios remotos y campamentos. 4) Ambulancias de alta complejidad (UTI). 5) Recepción y derivación en Clínicas Propias. 6) Diagnóstico por imágenes: Tomografía Computada y Resonancia Magnética. 7) Quirófanos operativos 24/7, los 365 días. 8) Farmacias propias con abastecimiento continuo. 9) Seguimiento de enfermedades inculpables. 10) Gestión integral y seguimiento de casos ART. SERVICIOS MINEROS Y SITIOS REMOTOS Gerenciamiento médico en condiciones extremas y alta montaña. Instalación y gestión de puestos sanitarios, tráilers de salud en yacimientos y operativos de rescate con respuesta inmediata. MEDICINA OCUPACIONAL Y LOGÍSTICA Gestión integral de medicina laboral y validación psicofísica de conductores con aval de la ANSV. Flota propia de ambulancias 4x4 de alta complejidad para logística industrial. CÉNTRO QUIRÚRGICO Y CUIDADOS INTENSIVOS Infraestructura líder en la región: Unidad de Terapia Intensiva (UTI) con 20 camas, 3 Shock Rooms y Servicio de Diagnóstico por Imágenes (Resonancia y Tomografía) las 24 hs.</t>
  </si>
  <si>
    <t xml:space="preserve">https://sumarsalud.com.ar/</t>
  </si>
  <si>
    <t xml:space="preserve">efrank@ahkargentina.com.ar</t>
  </si>
  <si>
    <t xml:space="preserve">Networking institucional; identificar contacto y eventos</t>
  </si>
  <si>
    <t xml:space="preserve">Institución / cámara / medio / gobierno</t>
  </si>
  <si>
    <t xml:space="preserve">CAMARA DE INDUSTRIA Y COMERCIO ARGENTINO ALEMANA ASOCIACION CI | Delegation</t>
  </si>
  <si>
    <t xml:space="preserve">Hace más de 100 años somos agentes activos en la construcción de relaciones estratégicas que unen empresas argentinas y alemanas. Contamos con una plataforma de contactos de más de 300 asociados, articulando una red integrada de oportunidades comerciales y profesionales que posibilita el intercambio de experiencias, conocimientos, así como el desarrollo de negocios conjuntos.</t>
  </si>
  <si>
    <t xml:space="preserve">https://www.ahkargentina.com.ar/es</t>
  </si>
  <si>
    <t xml:space="preserve">ALLARIA S.A</t>
  </si>
  <si>
    <t xml:space="preserve">C318</t>
  </si>
  <si>
    <t xml:space="preserve">ALLARIA S.A.</t>
  </si>
  <si>
    <t xml:space="preserve">Ecosistema de Oportunidades de Inversión. Somos una compañía del mercado de capitales argentino que ofrece servicios financieros, asesoramiento y administración de activos para individuos, empresas e instituciones. Nuestro prestigio esta basado en los más de 55 años de trayectoria en los que hemos acompañado a nuestros clientes brindando nuestro servicio, bajo las más variadas circunstancias, así como nuestra eficiente ejecución tanto en los mercados locales como internacionales.</t>
  </si>
  <si>
    <t xml:space="preserve">https://allaria.com.ar/</t>
  </si>
  <si>
    <t xml:space="preserve">ARMINERA</t>
  </si>
  <si>
    <t xml:space="preserve">arminera@argentina.messefrankfurt.com</t>
  </si>
  <si>
    <t xml:space="preserve">A134</t>
  </si>
  <si>
    <t xml:space="preserve">INDEXPORT MESSE FRANKFURT S A</t>
  </si>
  <si>
    <t xml:space="preserve">Exposicion Internacional de mineria Argentina , del 18 al 20 de mayo de 2026 en la Rural predio ferial , Ciudad de Buenos Aires.</t>
  </si>
  <si>
    <t xml:space="preserve">https://arminera.ar.messefrankfurt.com/buenosaires/es.html</t>
  </si>
  <si>
    <t xml:space="preserve">ASOCIACIÓN OBRERA MINERA ARGENTINA</t>
  </si>
  <si>
    <t xml:space="preserve">Expo San Juan Minera 2026. Sindicato minero (AOMA): actor clave en seguridad de trabajadores. Sin email publicado.</t>
  </si>
  <si>
    <t xml:space="preserve">Isla: 25-SUP</t>
  </si>
  <si>
    <t xml:space="preserve">AOMA</t>
  </si>
  <si>
    <t xml:space="preserve">BANCO SAN JUAN S.A.</t>
  </si>
  <si>
    <t xml:space="preserve">bancaminera@bancosanjuan.com</t>
  </si>
  <si>
    <t xml:space="preserve">Isla: 14D</t>
  </si>
  <si>
    <t xml:space="preserve">Banco San Juan es uno de los bancos integrantes de Grupo Petersen, un holding nacional en constante transformación, comprometido con el crecimiento regional, que cuenta con productos y servicios financieros tanto para empresas como personas, adaptados a la matriz socio productiva de un país que conoce mejor que nadie. En Minería, Banco San Juan , como intergante de Unidad Minera, se propusieron ser un socio estratégico con conciencia sustentable, construyendo una red de apoyo para agilizar el sector, potenciando el trabajo en equipo para generar nuevos negocios, brindando servicios integrales a todo el ecosistema minero, las empresas mineras y su cadena de valor, como proveedores locales de bienes y servicios, sus empleados y sus familias.</t>
  </si>
  <si>
    <t xml:space="preserve">https://www.bancosanjuan.com/empresas/mineria</t>
  </si>
  <si>
    <t xml:space="preserve">BANCO SANTANDER</t>
  </si>
  <si>
    <t xml:space="preserve">Expo San Juan Minera 2026. Sin email publicado. También en: AquaSur (ID 219).</t>
  </si>
  <si>
    <t xml:space="preserve">A120</t>
  </si>
  <si>
    <t xml:space="preserve">AquaSur (ID 219)</t>
  </si>
  <si>
    <t xml:space="preserve">BANCO SUPERVIELLE</t>
  </si>
  <si>
    <t xml:space="preserve">ana.lopez@supervielle.com.ar</t>
  </si>
  <si>
    <t xml:space="preserve">Isla: 68</t>
  </si>
  <si>
    <t xml:space="preserve">Supervielle es un banco de capital privado de origen familiar, con una trayectoria de más de 130 años en el sistema financiero argentino y una posición competitiva líder. Es el 7º banco de capital privado más grande de Argentina en términos de préstamos y el 9º sumando los bancos públicos. Supervielle se enfoca en entender las necesidades de sus clientes y su gente, brindando la mejor experiencia y empoderando a sus equipos. Busca desarrollar relaciones cercanas ofreciendo la mejor tecnología de servicios financieros y no financieros. Se compromete con sus clientes, equipos, comunidades e inversores a crecer de forma sostenible, protegiendo el medio ambiente y actuando de manera socialmente responsable, asumiendo un fuerte protagonismo en el desarrollo del país. Banco Supervielle es pionero y referente del avance tecnológico en la banca nacional, con un enfoque constante en transformar y facilitar las experiencias de sus clientes. Para ello, pone a disposición una estrategia de gestión omnicanal en todo el territorio argentino, con una red de 130 sucursales, puntos de atención virtual, redes sociales y más de 3.000 personas preparadas para brindar soluciones relevantes, rápidas y efectivas a las necesidades de cada uno de sus más de 1.400.000 clientes. Es la principal subsidiaria de Grupo Supervielle y presta servicios financieros tanto a individuos como a empresas y pymes del país.</t>
  </si>
  <si>
    <t xml:space="preserve">https://www.supervielle.com.ar/</t>
  </si>
  <si>
    <t xml:space="preserve">BATALLER CONTENIDOS</t>
  </si>
  <si>
    <t xml:space="preserve">marianobataller@gmail.com</t>
  </si>
  <si>
    <t xml:space="preserve">A100 | A101</t>
  </si>
  <si>
    <t xml:space="preserve">SOLAURA SRL</t>
  </si>
  <si>
    <t xml:space="preserve">CADENA3</t>
  </si>
  <si>
    <t xml:space="preserve">Isla: CADENA 3</t>
  </si>
  <si>
    <t xml:space="preserve">RADIODIFUSORA DEL CENTRO SA</t>
  </si>
  <si>
    <t xml:space="preserve">Cadena 3 Argentina. Multimedio de comunicación nacional</t>
  </si>
  <si>
    <t xml:space="preserve">CAMARA ARGENTINA DE LA CONSTRUCCIÓN</t>
  </si>
  <si>
    <t xml:space="preserve">sbellizia@camarco.org.ar</t>
  </si>
  <si>
    <t xml:space="preserve">A164</t>
  </si>
  <si>
    <t xml:space="preserve">Somos la Cámara Argentina de la Construcción, Delegación San Juan. Con más de 75 años de presencia, somos la institución local que reúne a empresas profundamente comprometidas con esta tierra. Nuestras más de 50 empresas asociadas son sanjuaninas, conocen el territorio, generan empleo local y transforman realidades en cada proyecto</t>
  </si>
  <si>
    <t xml:space="preserve">https://camarcosanjuan.org/</t>
  </si>
  <si>
    <t xml:space="preserve">CAMARA COMERCIANTES UNIDOS SAN JUAN</t>
  </si>
  <si>
    <t xml:space="preserve">Isla: 42</t>
  </si>
  <si>
    <t xml:space="preserve">CAMARA DE PRESTADORES TURISTICOS DE LA PROVINCIA DE SAN JUAN</t>
  </si>
  <si>
    <t xml:space="preserve">CÁMARA MINERA DE SAN JUAN</t>
  </si>
  <si>
    <t xml:space="preserve">Expo San Juan Minera 2026. Gremio de las mineras de San Juan: puerta de entrada a operaciones. Sin email publicado.</t>
  </si>
  <si>
    <t xml:space="preserve">A108 | A109 | A110</t>
  </si>
  <si>
    <t xml:space="preserve">Somos la Asociación Civil “Cámara Minera de San Juan”. Una Asociación sin fines de lucro destinada a fomentar y promover el desarrollo de la industria minera en San Juan. Como gremial empresaria, buscamos atender y defender los derechos del empresariado minero en la provincia y, en sinergia con otros organismos afines, construir un modelo de industria minera sustentable en todo el país. Nacimos el 3 de septiembre de 1963 con el empuje de hombres y mujeres geólogos, ingenieros y empresarios que querían continuar los ideales de Sarmiento, de los Pueblos Originarios de muchos siglos atrás y de los nuevos sueños de personas que sabían del potencial humano y minero de San Juan. -Queremos insertar la actividad productiva minera como una fuerte contribución al producto bruto provincial y nacional. -Buscamos promover el crecimiento ordenado de la industria minera de San Juan, con participación de contratistas, insumos y servicios locales y regionales. -Nos apasiona promover la educación en industria minera, para el acceso de la sociedad sanjuanina a un conocimiento y participación en la minería que mejore todo tipo de desarrollos. -Pretendemos coordinar con gobiernos nacionales y provinciales el respeto y estabilidad de la legislación y las acciones estratégicas sobre la actividad, para promover el mejor aprovechamiento de recursos. -Perseguimos cuidar la transparencia en la utilización de los recursos financieros que la actividad minera genera y su aprovechamiento en actividades sustentables. -Nos esforzamos por el desarrollo sustentable de la industria minera y hacer conocer las políticas de responsabilidad ambiental integral que el sector práctica. -Nos empeñamos para que las comunidades alejadas de la vida urbana donde producimos, sean partícipes de nuestro trabajo, tengan un crecimiento autónomo y reciban de la minería una gran oportunidad de vida digna y sustentable. -NOS ENFOCAMOS EN LA CREACIÓN DE VALOR COMPARTIDO DE LA ACTIVIDAD MINERA</t>
  </si>
  <si>
    <t xml:space="preserve">CAMARA PROVEEDORES MINEROS DE USPALLATA</t>
  </si>
  <si>
    <t xml:space="preserve">CANAL 13 Y DIARIO 13 SAN JUAN</t>
  </si>
  <si>
    <t xml:space="preserve">comercial@canal13sanjuan.com</t>
  </si>
  <si>
    <t xml:space="preserve">A128 | A129</t>
  </si>
  <si>
    <t xml:space="preserve">CANAL 13</t>
  </si>
  <si>
    <t xml:space="preserve">Canal de Televisión Canal 13 San Juan y Diario digital</t>
  </si>
  <si>
    <t xml:space="preserve">https://www.canal13sanjuan.com/</t>
  </si>
  <si>
    <t xml:space="preserve">CANAL 8</t>
  </si>
  <si>
    <t xml:space="preserve">Isla: 59</t>
  </si>
  <si>
    <t xml:space="preserve">info@camprimsa.com.ar</t>
  </si>
  <si>
    <t xml:space="preserve">CAMARA DE PROVEEDORES INTERDEPARTAMENTAL MINEROS DE SAN JUAN | Camera</t>
  </si>
  <si>
    <t xml:space="preserve">Conectamos proveedores, oportunidades y desarrollo. Representamos al sector, acompañamos su crecimiento y fortalecemos la cadena de valor local. Impulsamos sinergias entre empresas locales y externas que promueven el desarrollo sostenible en toda la provincia.</t>
  </si>
  <si>
    <t xml:space="preserve">correo@casemi.com.ar</t>
  </si>
  <si>
    <t xml:space="preserve">Expo San Juan Minera 2026. Cámara de servicios mineros de San Juan (26 socios expositores).</t>
  </si>
  <si>
    <t xml:space="preserve">CAMARA DE SERVICIOS MINEROS DE SAN JUAN | Camera</t>
  </si>
  <si>
    <t xml:space="preserve">CAMARA DE SERIVIOS MINEROS DE SAN JUAN</t>
  </si>
  <si>
    <t xml:space="preserve">https://casemi.com.ar/</t>
  </si>
  <si>
    <t xml:space="preserve">CASETIC</t>
  </si>
  <si>
    <t xml:space="preserve">C358</t>
  </si>
  <si>
    <t xml:space="preserve">CASETIC es la camara de empresas Tecnológicas de San Juan que nuclea a todas las empresas de Economía del Conocimiento.</t>
  </si>
  <si>
    <t xml:space="preserve">mesagpym@gmail.com</t>
  </si>
  <si>
    <t xml:space="preserve">CONSEJO FEDERAL DE INVERSIONES | Group Industry Suppliers</t>
  </si>
  <si>
    <t xml:space="preserve">La Mesa de Gas, Petróleo y Minería de Santa Fe es un espacio de articulación público-privado creado para vincular a las industrias y pymes locales con los grandes proyectos energéticos y mineros. Impulsa el desarrollo de proveedores santafesinos, fortalece la producción local y fomenta la inversión.</t>
  </si>
  <si>
    <t xml:space="preserve">https://www.santafe.gov.ar/index.php/web/content/view/full/93790/</t>
  </si>
  <si>
    <t xml:space="preserve">CLUSTER BERAZATEGUI</t>
  </si>
  <si>
    <t xml:space="preserve">info@clusterberazategui.com</t>
  </si>
  <si>
    <t xml:space="preserve">F622 | F623 | F624</t>
  </si>
  <si>
    <t xml:space="preserve">Cluster Berazategui - INDUSTRIA ENERGÉTICA Y MINERA - EMPRESAS QUE POTENCIAN LA INDUSTRIA ENERGÉTICA Y MINERA Impulsamos el desarrollo industrial brindando bienes y soluciones integrales para las principales cadenas de valor del sector energético y minero. Integramos empresas con trayectoria, experiencia y capacidad técnica para ofrecer soluciones de alto valor, articulando con el sector público y promoviendo el crecimiento productivo desde Berazategui hacia todo el país. A través de la eficiencia, la seguridad, la calidad y la innovación tecnológica, contribuimos al fortalecimiento y la transformación de los sectores que impulsan el futuro energético y minero de la Argentina</t>
  </si>
  <si>
    <t xml:space="preserve">https://www.clusterberazategui.com/</t>
  </si>
  <si>
    <t xml:space="preserve">coordinacion@clusterpgmcba.com.ar</t>
  </si>
  <si>
    <t xml:space="preserve">Cluster</t>
  </si>
  <si>
    <t xml:space="preserve">El Cluster de Petróleo Gas y Minería es la plataforma institucional que articula a la industria cordobesa proveedora de petróleo, gas y minería con el sector público y el sistema científico-tecnológico, con el objetivo de mejorar la competitividad colectiva, impulsar innovación y facilitar el acceso a nuevos mercados. Su diferencial radica en la fortaleza del entramado industrial de córdoba: empresas con tradición metalmecánica y cultura manufacturera, que han evolucionado hacia la generación de soluciones integrales para el sector energético y minero. Esta combinación de capacidad productiva, estándares de calidad, ingeniería aplicada e integración tecnológica les permite ofrecer no solo productos, sino respuestas técnicas de alto valor agregado adaptadas a entornos operativos complejos.</t>
  </si>
  <si>
    <t xml:space="preserve">https://clusterpgmcba.com.ar/</t>
  </si>
  <si>
    <t xml:space="preserve">German Pavilion Booth No. 1C320 Federal Ministry for Economic Affairs and Climate Action (BMWE) in Cooperation with AUMA_Association of the German Trade Fair Industry 1) Presented by: Federal Ministry for Economic Affairs and Energy (BMWE) internet: www.bmwk.de 2) in Cooperation with: AUMA_Association of the German Trade Fair Industry internet: www.auma.de 3) supported by: VDMA Mining &amp; Minerals internet: www.vdma.eu/en/mining-minerals 4) organized by: Messe Düsseldorf GmbH internet: www.messe-duesseldorf.de Germany participates with a “German Pavilion” offering a professional brokerage service to help to establish contacts with German companies and comprehensive information on Germany as an important business location.</t>
  </si>
  <si>
    <t xml:space="preserve">https://www.german-pavilion.com/de/san-juan-minera-2026</t>
  </si>
  <si>
    <t xml:space="preserve">baratelli@mstacanada.ca</t>
  </si>
  <si>
    <t xml:space="preserve">MSTA CANADA was founded in 1981 to connect mining supply and service companies for export. MSTA CANADA provides members with access to opportunities, supporting their export strategies and marketing under the globally recognized “Made in Canada” brand. Participating in over 185 international events and trade missions, we bring together mining firms and suppliers, fostering business opportunities.</t>
  </si>
  <si>
    <t xml:space="preserve">https://mstacanada.ca/</t>
  </si>
  <si>
    <t xml:space="preserve">droca@promperu.gob.pe</t>
  </si>
  <si>
    <t xml:space="preserve">Comisión de Promoción del Perú para la Exportación y el Turismo. Contribuimos con el crecimiento sostenido y descentralizado del país mediante la promoción de las exportaciones, el turismo, las inversiones empresariales y la imagen del Perú.</t>
  </si>
  <si>
    <t xml:space="preserve">https://www.peruenargentina.com.ar/index.php</t>
  </si>
  <si>
    <t xml:space="preserve">FEDERACION ECONOMICA SAN JUAN</t>
  </si>
  <si>
    <t xml:space="preserve">FINLANDIA</t>
  </si>
  <si>
    <t xml:space="preserve">Finlandia</t>
  </si>
  <si>
    <t xml:space="preserve">elina.ruohonen@viexpo.fi</t>
  </si>
  <si>
    <t xml:space="preserve">E524</t>
  </si>
  <si>
    <t xml:space="preserve">Viexpo is an independent Finnish export and internationalization organization that supports Finnish companies in international business development, export promotion and trade fair participation. Viexpo operates as part of the Team Finland network, working in cooperation with Finnish public and international partners. For the San Juan Mining Fair, Viexpo is responsible for the coordination and organization of the Finnish pavilion, implemented in cooperation with the Embassy of Finland in Buenos Aires.</t>
  </si>
  <si>
    <t xml:space="preserve">https://www.viexpo.fi/</t>
  </si>
  <si>
    <t xml:space="preserve">info@gapp-oil.com.ar</t>
  </si>
  <si>
    <t xml:space="preserve">ASOCIACIÓN CIVIL GRUPO ARGENTINO DE PROVEEDORES PETROLEROS – GAPP. | Cluster</t>
  </si>
  <si>
    <t xml:space="preserve">GAPP | Sinergia para crecer Somos la 1ra. red de networking en la industria de Petróleo y Gas, Minería y Energía en Argentina. Como entidad empresaria, desde 2003 impulsamos un esquema colaborativo de trabajo orientado a la promoción y vinculación comercial y el desarrollo tecnológico de las empresas nacionales proveedoras de la industria del Oil&amp;Gas, Minería Metalífera y de Litio, y Generación Eléctrica. Hoy conforman el Grupo más de 250 empresas nacionales proveedoras de bienes, equipamiento y servicios especializados de todo el país. En conjunto representamos una oferta consolidada de más de 1900 líneas de productos, equipamiento y servicios especializados para dar soporte a los proyectos y operaciones de las Empresas Operadoras, Empresas de Servicios Petroleros y Empresas de Ingeniería y Construcción en el desarrollo de los proyectos EPC y OyM. Nuestras empresas participan activamente en la industria petrolera en el Upstream, Midstream y Downstream, en la minería metalífera y de litio, y en la generación eléctrica. Desde hace más de 20 años promovemos vínculos estratégicos de la tecnología nacional con el sector energético, minero e industrial en Argentina y en 30 mercados en el mundo.</t>
  </si>
  <si>
    <t xml:space="preserve">https://gapp-oil.com.ar/</t>
  </si>
  <si>
    <t xml:space="preserve">GOBIERNO DE SAN JUAN</t>
  </si>
  <si>
    <t xml:space="preserve">Isla: 2D | Isla: 8D</t>
  </si>
  <si>
    <t xml:space="preserve">MINISTERIO MINERIA SAN JUAN</t>
  </si>
  <si>
    <t xml:space="preserve">GSMEDIA</t>
  </si>
  <si>
    <t xml:space="preserve">guigasrl.sj@gmail.com</t>
  </si>
  <si>
    <t xml:space="preserve">Isla: 75</t>
  </si>
  <si>
    <t xml:space="preserve">GS MEDIA</t>
  </si>
  <si>
    <t xml:space="preserve">Con solo un año de vida (marzo de 2025), somos un medio de comunicación multiplataforma enfocado en la generación de contenidos audiovisuales, gráficos y digitales, combinando periodis- mo, streaming y estrategias de publicidad. Contamos con un fuerte equipo de profesionales, liderados por Gastón Sugo, periodista senior con más de 25 años de trayectoria en los medios de comunicación. Nuestro estudio, totalmente equipado a nivel técnico se encuentra ubicado en la zona céntrica de la provincia. El canal se distingue por su estilo directo, disruptivo y con alto impacto social, generando contenido que informa, interpela y moviliza a la audiencia.</t>
  </si>
  <si>
    <t xml:space="preserve">https://www.youtube.com/@GSmediasj</t>
  </si>
  <si>
    <t xml:space="preserve">MINISTERIO DE MINERIA - GOBIERNO DE CATAMARCA</t>
  </si>
  <si>
    <t xml:space="preserve">E523</t>
  </si>
  <si>
    <t xml:space="preserve">MINISTERIO DE MINERIA</t>
  </si>
  <si>
    <t xml:space="preserve">bastiaan@nbso-argentina.com</t>
  </si>
  <si>
    <t xml:space="preserve">Netherlands Lounge - Visite el stand de los Países Bajos con empresas innovadoras activos en la industria minera. Arcadis: Ofrece soluciones integrales de consultoría e ingeniería que integran la sustentabilidad y la innovación digital en todo el ciclo de vida de la mina, desde la extracción hasta el cierre del yacimiento. Colubris: Desarrolla tecnologías avanzadas para el tratamiento de aguas residuales y la recuperación de recursos, ayudando a las mineras a minimizar su impacto ambiental mediante una gestión hídrica eficiente. Fugro: Proporciona datos geofísicos y geotécnicos esenciales mediante investigaciones de sitio avanzadas para garantizar el desarrollo seguro y eficiente de proyectos de minerales críticos. Randstad: Se especializa en la gestión de recursos humanos y la selección de talento técnico calificado para cubrir las demandas operativas específicas de los sectores de energía y minería. Slimstock: Ofrece un software de optimización de inventarios impulsado por IA que asegura que las empresas mineras cuenten con los repuestos críticos en el momento exacto, reduciendo paradas de planta costosas. Represented by Alamo Consultores. Transocean Coatings: Fabrica recubrimientos y pinturas industriales de alto rendimiento y sistemas anticorrosivos diseñados para proteger la infraestructura y maquinaria minera en los entornos climáticos más extremos. Representado por Ultracoatings pinturas.</t>
  </si>
  <si>
    <t xml:space="preserve">PANORAMA MINERO SA</t>
  </si>
  <si>
    <t xml:space="preserve">administracion1@panorama-minero.com</t>
  </si>
  <si>
    <t xml:space="preserve">A104 | A105 | A106 | A107</t>
  </si>
  <si>
    <t xml:space="preserve">PANORAMA MINERO</t>
  </si>
  <si>
    <t xml:space="preserve">El medio de comunicación y organizador de eventos líder de la minería argentina.</t>
  </si>
  <si>
    <t xml:space="preserve">https://www.panorama-minero.com/</t>
  </si>
  <si>
    <t xml:space="preserve">PETROQUÍMICA</t>
  </si>
  <si>
    <t xml:space="preserve">gabrielac@petroquimica.com.ar</t>
  </si>
  <si>
    <t xml:space="preserve">F614</t>
  </si>
  <si>
    <t xml:space="preserve">El Inversor Energético &amp; Minero cuenta con más de 20 años de presencia sostenida en el sector minero y energético, acompañando la evolución de la industria y consolidándose como un medio de referencia para empresarios, inversores, directivos y tomadores de decisión. Nuestra plataforma se compone de: • Periódico mensual, con llegada directa a referentes del sector. (Grafico en papel y digital) • Sitio web actualizado diariamente, con cobertura permanente de las principales noticias y movimientos estratégicos de la industria. • Presencia activa en exposiciones, convenciones y eventos clave, lo que amplifica el alcance y fortalece el vínculo con los protagonistas del mercado. • Newsletter diario, enviado a la casilla de correo de nuestros suscriptores, manteniéndolos informados en tiempo real sobre lo que sucede en minería y energía.</t>
  </si>
  <si>
    <t xml:space="preserve">https://www.elinversorenergetico.com/</t>
  </si>
  <si>
    <t xml:space="preserve">PROMARGENTINA</t>
  </si>
  <si>
    <t xml:space="preserve">consultas@promargentina.ar</t>
  </si>
  <si>
    <t xml:space="preserve">Expo San Juan Minera 2026. También en: Exponor (ID 339); FIDAE (ID 193).</t>
  </si>
  <si>
    <t xml:space="preserve">F626</t>
  </si>
  <si>
    <t xml:space="preserve">Somos PromArgentina, la Agencia Argentina para la Promoción de Inversiones y el Comercio Internacional. Acompañamos a las empresas argentinas en su salida al mundo y promocionamos las oportunidades de inversión en el país.</t>
  </si>
  <si>
    <t xml:space="preserve">https://argentina.ar/</t>
  </si>
  <si>
    <t xml:space="preserve">Exponor (ID 339); FIDAE (ID 193)</t>
  </si>
  <si>
    <t xml:space="preserve">RADIO COM</t>
  </si>
  <si>
    <t xml:space="preserve">ggioda@radio-com.net</t>
  </si>
  <si>
    <t xml:space="preserve">A148 | A149</t>
  </si>
  <si>
    <t xml:space="preserve">RADIO COM S.A</t>
  </si>
  <si>
    <t xml:space="preserve">https://www.radio-com.net/</t>
  </si>
  <si>
    <t xml:space="preserve">REVISTA ENERGIA EN MOVIMIENTO</t>
  </si>
  <si>
    <t xml:space="preserve">F611</t>
  </si>
  <si>
    <t xml:space="preserve">TELESOL-ZONDA</t>
  </si>
  <si>
    <t xml:space="preserve">grupomultimediossj@gmail.com</t>
  </si>
  <si>
    <t xml:space="preserve">F608</t>
  </si>
  <si>
    <t xml:space="preserve">Somos Grupo Telesol, el multimedio más influyente de San Juan. Integramos un ecosistema de comunicación sólido, dinámico y en constante evolución, con marcas líderes en cada plataforma: * Telesol (Canal 5), nuestra señal de televisión abierta con producción local y tecnología de vanguardia. * Telesol Diario, nuestro portal digital con actualización permanente y enfoque multiplataforma. * Diario Zonda, uno de los medios informativos más relevantes de la provincia. * Radio del Sur y Mil20, nuestras propuestas radiales con fuerte llegada y conexión con distintas audiencias. Contamos con una comunidad que supera el millón y medio de personas, a través de televisión, radio, web y redes sociales, lo que nos permite generar contenidos en tiempo real y amplificar mensajes con alto impacto. Nos especializamos en la producción de contenido informativo y audiovisual de calidad, con cobertura integral de los principales sectores productivos, entre ellos la minería, acompañando su desarrollo y posicionamiento en la agenda pública. En Grupo Telesol, no solo comunicamos: conectamos a la industria con la sociedad.</t>
  </si>
  <si>
    <t xml:space="preserve">https://diarioelzondasj.com.ar/</t>
  </si>
  <si>
    <t xml:space="preserve">INFO@ING-SOLIND.COM.AR</t>
  </si>
  <si>
    <t xml:space="preserve">Fabricaciones Metal-Mecánicas y Montajes, Trabajos en Acero Inoxidable, Piping y Soldaduras. Obras Civiles, Pinturas con Epoxi y Poliuretano, Redes de Protección Contra Incendios</t>
  </si>
  <si>
    <t xml:space="preserve">https://www.ing-solind.com.ar/</t>
  </si>
  <si>
    <t xml:space="preserve">A&amp;C SOLUCIONES SA</t>
  </si>
  <si>
    <t xml:space="preserve">asimonella@aycsoluciones.com.ar</t>
  </si>
  <si>
    <t xml:space="preserve">Baja</t>
  </si>
  <si>
    <t xml:space="preserve">Nutrir con contenido; sin acción comercial inmediata</t>
  </si>
  <si>
    <t xml:space="preserve">Proveedor industrial / servicios</t>
  </si>
  <si>
    <t xml:space="preserve">AYC SOLUCIONES SA</t>
  </si>
  <si>
    <t xml:space="preserve">AYC Soluciones Oleohidráulicas es una empresa líder en el campo de la hidráulica y neumática, con una trayectoria sólida de más de 19 años en el mercado. Estamos especializados en brindar soluciones integrales y de alta calidad en sistemas hidráulicos y neumáticos para diversas industrias. Nuestro equipo de trabajo está conformado por más de 50 personas altamente capacitadas y comprometidas. Contamos con ingenieros, técnicos y profesionales especializados en hidráulica y neumática, quienes están dispuestos a brindarles el mejor asesoramiento y soporte técnico.</t>
  </si>
  <si>
    <t xml:space="preserve">https://www.aycsoluciones.com.ar/</t>
  </si>
  <si>
    <t xml:space="preserve">A.G. DER DILLINGER HÜTTENWERKE</t>
  </si>
  <si>
    <t xml:space="preserve">ACCESORIOS INDUSTRIALES S.R.L.</t>
  </si>
  <si>
    <t xml:space="preserve">ventas3@accesoriosindustrialessrl.com</t>
  </si>
  <si>
    <t xml:space="preserve">D432</t>
  </si>
  <si>
    <t xml:space="preserve">Somos una empresa con más de diez años de trayectoria en el rubro, dedicada a la comercialización de materiales para la conducción y control de fluidos. En nuestra gama de productos podrán encontrar todo lo necesario para el montaje de redes de agua, aire, incendio, vapor, armoniaco, hidrocarburos y otros fluidos. Contamos con un amplio stock de las primeras marcas del rubro y una flota de vehículos acorde para la pronta entrega de materiales. Es nuestra misión brindarle un servicio integral a cada cliente con una atención personalizada y adaptando nuestros servicios a sus necesidades.</t>
  </si>
  <si>
    <t xml:space="preserve">https://www.accesoriosindustrialessrl.com/</t>
  </si>
  <si>
    <t xml:space="preserve">ACEM</t>
  </si>
  <si>
    <t xml:space="preserve">Isla: 55</t>
  </si>
  <si>
    <t xml:space="preserve">ACEM SRL</t>
  </si>
  <si>
    <t xml:space="preserve">ACER SAN JUAN</t>
  </si>
  <si>
    <t xml:space="preserve">D431 | D446</t>
  </si>
  <si>
    <t xml:space="preserve">ACER SAN JUAN S.A</t>
  </si>
  <si>
    <t xml:space="preserve">Somos una empresa metalmecánica dedicada a la reparación y recuperación de componentes de maquinarias mineras, de construcción civil, energía y petróleo. Prestamos servicios de fabricación y desarrollo de piezas metálicas especiales, diagnóstico, integración, ensayo y montaje de equipos pesados, semi pesados y maquinaria en general, tanto en planta como en sitio. Como socio estratégico de nuestros colaboradores y buscando prestar un servicio integral, también ofrecemos a nuestros clientes la venta de máquinas y repuestos en los diferentes sectores en los que trabajamos. Desde 2013 brindamos servicios industriales orientados a la reconstrucción integra y diseño de componentes hidráulicos y piezas de desgaste para baldes. Garantizamos la ejecución integral del proceso de reparación en todas sus etapas: recepción, desarme, cotización, armado, montaje y entrega de componentes reparados. Acer urc manifiesta su compromiso para asegurar el servicio de reparación, fabricación y desarrollo de piezas metálicas especiales; diagnóstico, integración, ensayo y montaje en sitio en equipos pesados, semipesados y máquinas sostenido por el sistema de Gestión Integrado, basado en requisitos de normas de referencia ISO 9001, 14001 y 45001. En 2026, ACER urc se convirtió en la única empresa metalmecánica sanjuanina Trinorma en obtener la Declaración de Impacto Ambiental</t>
  </si>
  <si>
    <t xml:space="preserve">https://acersrl.com/</t>
  </si>
  <si>
    <t xml:space="preserve">AERCOM S.A.</t>
  </si>
  <si>
    <t xml:space="preserve">info@aercom.com.ar</t>
  </si>
  <si>
    <t xml:space="preserve">Energía. Compresión y Tratamiento de Gas. Somos una empresa con más de 25 años de trayectoria brindando soluciones para las industrias de Oil &amp; Gas, Minería, Salud, Agro, Construcción y servicios e industrias en general. Nuestras áreas de negocio Contamos con cuatro unidades principales: Compresión y tratamiento de gas en boca de pozo. Generación de energía eléctrica: comercialización de grupos electrógenos, torres de iluminación y sistemas fotovoltaicos. Aire comprimido: comercialización de equipos para la generación, tratamiento y distribución, incluyendo compresores (pistón, tornillo, scroll), filtros (coalescentes y de carbón activado), secadores (refrigerativos y desecantes regenerativos) y tuberías. Rental, servicios y postventa: alquiler de equipos, asistencia técnica y soporte integral.</t>
  </si>
  <si>
    <t xml:space="preserve">https://aercom.com.ar/</t>
  </si>
  <si>
    <t xml:space="preserve">AERZEN ARGENTINA SRL</t>
  </si>
  <si>
    <t xml:space="preserve">argentina@aerzen.com</t>
  </si>
  <si>
    <t xml:space="preserve">Expo San Juan Minera 2026. También en: AquaSur (ID 188).</t>
  </si>
  <si>
    <t xml:space="preserve">A140</t>
  </si>
  <si>
    <t xml:space="preserve">AERZEN es una empresa con más de 160 años de experiencia dedicada al desarrollo y fabricación de sopladores, compresores y tecnología turbo para aplicaciones industriales. Sus soluciones están orientadas a optimizar procesos, mejorar la eficiencia energética y contribuir a operaciones más sostenibles en diversas industrias.</t>
  </si>
  <si>
    <t xml:space="preserve">https://www.aerzen.com/</t>
  </si>
  <si>
    <t xml:space="preserve">AquaSur (ID 188)</t>
  </si>
  <si>
    <t xml:space="preserve">AESA</t>
  </si>
  <si>
    <t xml:space="preserve">B225 | B229</t>
  </si>
  <si>
    <t xml:space="preserve">A EVANGELISTA S.A.</t>
  </si>
  <si>
    <t xml:space="preserve">Somos una empresa de industria nacional que brinda soluciones innovadoras a toda la cadena de valor de la industria energética. Contamos con más de 75 años de liderazgo en el mercado local y estamos organizados para dar respuesta a las necesidades del sector energético en dos unidades de negocio: Proyectos Industriales y Fabricación; y Servicios. Todas nuestras actividades se llevan adelante siguiendo lineamientos de excelencia operacional y sustentabilidad, basados en un fuerte compromiso con: la seguridad, la diversidad, la salud, el ambiente, las comunidades en las que operamos, la calidad de los servicios, los productos y los proyectos que realizamos.</t>
  </si>
  <si>
    <t xml:space="preserve">https://www.aesa.com.ar/</t>
  </si>
  <si>
    <t xml:space="preserve">aguartec@aguartec.com.ar</t>
  </si>
  <si>
    <t xml:space="preserve">TRAICO SERVICIOS SRL | Group Industry Suppliers</t>
  </si>
  <si>
    <t xml:space="preserve">Somos AGUARTEC®, con 25 años de trayectoria en soluciones hídricas para la industria. Nuestra especialidad es el ciclo completo del agua en operaciones mineras: captación, conducción, medición, control y tratamiento — todo desde un único proveedor y soporte técnico permanente. Operamos en todo el territorio nacional con presencia activa en los principales polos mineros del país. Sede en La Plata, Buenos Aires. Lo que hacemos en minería Proveemos e integramos soluciones completas de infraestructura hídrica para proyectos mineros en etapa de exploración, construcción y operación: • Bombas industriales WILO (ASME-ANSI B73.1 / ISO 2858 / API) • Cañerías AISI inoxidable EMAR, HDPE UNIDELTA, PVC SCH80, CPVC y hierro • Válvulas de control y ventosas BERMAD, válvulas de esclusa y retención • Mangas para pozo profundo RYLBRUN • Caudalímetros, manifolds, sondas y elementos de medición • Fabricación de piezas especiales a medida • Monitoreo remoto de pozos vía IoT (Aguartec Control) — sin dependencia de red eléctrica Nuestra diferencia No solo somos un importador. Somos integradores técnicos con stock estratégico, capacidad de ingeniería en campo y respaldo oficial de marcas líderes. Eso se traduce en menos tiempos de parada y más certeza operativa para su proyecto.</t>
  </si>
  <si>
    <t xml:space="preserve">https://aguartec.com.ar/</t>
  </si>
  <si>
    <t xml:space="preserve">AGUAS &amp; PROCESOS SA</t>
  </si>
  <si>
    <t xml:space="preserve">ingenieria@aguasyprocesos.com.ar</t>
  </si>
  <si>
    <t xml:space="preserve">AGUAS Y PROCESOS SA</t>
  </si>
  <si>
    <t xml:space="preserve">Somos Aguas &amp; Procesos S.A., una empresa argentina con más de 45 años de trayectoria, especializada en soluciones integrales para el tratamiento de agua en aplicaciones industriales y proyectos de gran escala. Diseñamos, fabricamos y ponemos en marcha sistemas como: • Ósmosis inversa (RO) • Ultrafiltración (UF) • Ablandamiento y filtración • Sistemas de desinfección y reutilización • Tratamiento químico para calderas y circuitos de enfriamiento Acompañamos a nuestros clientes en todas las etapas del proyecto, desde la ingeniería hasta la operación, con foco en eficiencia, confiabilidad y cumplimiento de estándares internacionales. Trabajamos con industrias clave como minería, energía y procesos, donde el agua es un recurso crítico para la operación.</t>
  </si>
  <si>
    <t xml:space="preserve">https://www.aguasyprocesos.com.ar/</t>
  </si>
  <si>
    <t xml:space="preserve">ALEX STEWART INTERNATIONAL ARGENTINA</t>
  </si>
  <si>
    <t xml:space="preserve">comercial@alexstewart.com.ar</t>
  </si>
  <si>
    <t xml:space="preserve">D422</t>
  </si>
  <si>
    <t xml:space="preserve">Somos una empresa que brinda servicios independientes de análisis e inspección en diversas áreas, como por ejemplo, geoquímica, ambiental, litio, agricultura; como así también asesoramiento, consultoría y certificación de productos (por ejemplo, doré, concentrados,cereales, entre otros). Nuestros productos finales son Certificados o Informes, realizados de acuerdo a los requerimientos de nuestros clientes dentro de las normas de las Instituciones a las que pertenecemos. Todos nuestros servicios se encuentran a la altura de estándares internacionales de calidad. Proporcionamos soluciones adaptadas a las necesidades analíticas específicas de nuestros clientes, desarrollando investigaciones y aplicando innovadoras técnicas para abordar los requerimientos particulares de cada uno. Nuestro laboratorio se encuentra siempre comprometido a personalizar cada servicio analítico y a mantenerse actualizado con las últimas tecnologías y métodos a través de la Investigación y Desarrollo (I+D) con el objetivo de ofrecer soluciones eficientes y a la medida.</t>
  </si>
  <si>
    <t xml:space="preserve">https://www.alexstewart.com.ar/</t>
  </si>
  <si>
    <t xml:space="preserve">ALUMETAL</t>
  </si>
  <si>
    <t xml:space="preserve">Isla: 67</t>
  </si>
  <si>
    <t xml:space="preserve">Alumetal S.A. es una empresa especializada en soluciones metalúrgicas para la construcción y proyectos de gran escala, con foco en el procesamiento de acero: corte, doblado y armado de estructuras. Se destaca por su capacidad productiva, cumplimiento y adaptación a los requerimientos técnicos, posicionándose como un aliado confiable para la industria. Como parte de su estructura, integra Armaduras de Cuyo, una unidad clave orientada a brindar soluciones eficientes para la construcción, aportando precisión, calidad y rapidez en la provisión de armaduras listas para obra.</t>
  </si>
  <si>
    <t xml:space="preserve">AMERICORP GROUP</t>
  </si>
  <si>
    <t xml:space="preserve">a.silvestre@americorpsac.com</t>
  </si>
  <si>
    <t xml:space="preserve">Expo San Juan Minera 2026. También en: Exponor (ID 394).</t>
  </si>
  <si>
    <t xml:space="preserve">AMERICORP GROUP SAC</t>
  </si>
  <si>
    <t xml:space="preserve">AMERICORP GROUP es especialista en el desarrollo de Ingenieria, servicios y proyectos de control de polvo, Gases, Ventilacion y manejo de residuos en Operaciones Mineras. Toda nuestra plataforma de soluciones esta orientada a la sostenibilidad mediante soluciones tecnologias innovadores para el control, monitoreo y medicion para nuestros clientes.</t>
  </si>
  <si>
    <t xml:space="preserve">https://americorpsac.com/</t>
  </si>
  <si>
    <t xml:space="preserve">Exponor (ID 394)</t>
  </si>
  <si>
    <t xml:space="preserve">ARÁN TECNOLOGÍAS</t>
  </si>
  <si>
    <t xml:space="preserve">info@arantecnologias.com.ar</t>
  </si>
  <si>
    <t xml:space="preserve">F613</t>
  </si>
  <si>
    <t xml:space="preserve">Con una trayectoria de dos décadas liderando la vanguardia tecnológica en el exigente mercado agroindustrial, Aran Tecnologías traslada ahora toda la competitividad y eficiencia del campo argentino a los sectores de la minería, la construcción y las obras viales. Respaldada por un equipo de 20 profesionales e ingenieros especializados y reconocida por su exclusivo servicio técnico a campo FULL TIME 24 x 7 x 365, la firma garantiza soporte inmediato y conocimiento experto en los entornos operativos más desafiantes del país. En el marco de la Expo San Juan Minera 2026, presentamos : Drones para relevamiento topográfico, diagnóstico y diseño de proyectos, con tecnología de la más alta precisión. UAVs 100% autónomos de vigilancia y seguridad, diseñados para despegar, monitorear y aterrizar de forma cíclica sin intervención humana. Sistemas de automatización y robotización de maquinaria pesada (como retroexcavadoras, motoniveladoras y topadoras), que permiten que el equipo ejecute el trabajo de forma autónoma sobre mapas trazados, garantizando fidelidad milimétrica. Estas innovaciones no solo aseguran una rápida amortización y ahorro de insumos, sino que resuelven de manera estratégica el desafío de la escasez de operarios calificados, permitiendo que la tecnología asuma el control de las tareas críticas con máxima seguridad.</t>
  </si>
  <si>
    <t xml:space="preserve">https://arantecnologias.com.ar/</t>
  </si>
  <si>
    <t xml:space="preserve">ARBROS S.A.-AERRE</t>
  </si>
  <si>
    <t xml:space="preserve">info@aerre.com.ar</t>
  </si>
  <si>
    <t xml:space="preserve">Válvulas de Seguridad, Reductoras de Presión, Acondicionamiento de Fuel Oil. Nace en 1999 como empresa de ingeniería y servicios, siendo brazo comercial y tecnológico de Actos Rabboni e Hijos S.C.A.(1944). Fabrica con exclusividad los productos marca AERRE. Válvulas de seguridad, Bombas a Engranajes, Válvulas Reguladoras de Presión, Válvulas de transferencia, Elementos para acondicionamiento de Fuel Oil, Desarrollo de productos bajo especificación del cliente, Habilitado por O.P.D.S. para la calibración y reparación de válvulas de seguridad y alivio. Arbros S.A. cumplió los requisitos para la utilización del sello CE en dos modelos de válvulas de seguridad para gases, certificando el coeficiente de descarga real, según EN ISO 4126-1:2004.</t>
  </si>
  <si>
    <t xml:space="preserve">https://www.aerre.com.ar/</t>
  </si>
  <si>
    <t xml:space="preserve">AUMEC S.A.</t>
  </si>
  <si>
    <t xml:space="preserve">ventas@aumecsa.com.ar</t>
  </si>
  <si>
    <t xml:space="preserve">Somos una empresa con más de 60 años en el sector agrícola cubriendo todo el territorio nacional. Nos dedicamos a la producción de repuestos y partes de cosechadoras, implementos agrícolas y servicios de tornería, centro de mecanizado CNC y corte y plegado láser, apto para todo tipo de metales planos. Contamos con equipamiento de alta tecnología. Con un fuerte compromiso en seguir mejorando la calidad de nuestros productos y servicios, logramos certificar Normas ISO 9001:2015 en los siguientes ámbitos: Diseño, fabricación y comercialización de carros porta cabezales de máquinas cosechadoras, desparramadores, acoplados playo, batanes, embolsadoras de cereal, tolvas, y repuestos alternativos para maquinaria agrícola. Prestación de servicio de corte, plegado, mecanizado y pintura de piezas mecánicas en general. Nos enfocamos en la sustentabilidad de nuestra Organización a través de una gestión que promueve el mejoramiento continuo en el diseño, la producción y comercialización de agropartes e implementos de manera de satisfacer las expectativas de nuestros clientes y el cumplimiento de los requisitos aplicables, minimizando los impactos que pudieran generarse sobre las personas o el ambiente producto de nuestras actividades. Optimizar en forma permanente nuestros procesos permite posicionarnos en el mercado, a través del suministro de productos de la más alta calidad. Confiamos fuertemente en el crecimiento organizacional basado en el desarrollo y compromiso de quienes formamos parte de AUMEC S.A.</t>
  </si>
  <si>
    <t xml:space="preserve">https://www.aumec.com.ar/</t>
  </si>
  <si>
    <t xml:space="preserve">AXTER</t>
  </si>
  <si>
    <t xml:space="preserve">rrojas@coletanche.cl</t>
  </si>
  <si>
    <t xml:space="preserve">Isla: 47</t>
  </si>
  <si>
    <t xml:space="preserve">Al día de hoy, se han instalado millones de metros cuadrados de COLETANCHE®, en todo el mundo. Compuesto de un geotextil no tejido impregnado de betún, que le confiere una fuerte resistencia mecánica, es capaz de ser instalado sobre terreno natural, con la mínima preparación, esto se traduce, en tan solo un escarpe y compactación no requiere aporte de arcillas y/o empréstitos como capa de apoyo para montar el revestimiento. COLETANCHE® es un sistema de impermeabilización monocapa reforzado, dada su composición interna (geotextil de alto gramaje y velo-vidrio) es capaz de resistir esfuerzos y punzonamientos por agregados, logrando adaptarse a todo tipo de terrenos, posee un bajo coeficiente de dilatación térmica, permaneciendo siempre en contacto con el soporte, no sufre ondulaciones al momento de ser instalado (arrugas), ni se ve afectado por los cambios climáticos.</t>
  </si>
  <si>
    <t xml:space="preserve">https://www.coletanche.com/</t>
  </si>
  <si>
    <t xml:space="preserve">BAHCO</t>
  </si>
  <si>
    <t xml:space="preserve">info.arg@snaeurope.com</t>
  </si>
  <si>
    <t xml:space="preserve">Expo San Juan Minera 2026. También en: Exponor (ID 432).</t>
  </si>
  <si>
    <t xml:space="preserve">Isla: 21INF</t>
  </si>
  <si>
    <t xml:space="preserve">Bahco es una marca de herramientas de primera calidad que ofrece soluciones a medida y satisface las necesidades de los profesionales más exigentes que trabajan en los sectores de la industria, poda, diferentes gremios, automoción, corte de metales, etc Bahco ha inventado algunas de las herramientas más esenciales del mundo, como la llave de tubo ajustable, la llave ajustable "inglesa", los mangos multicomponentes y las sierras Sandflex®, acumulando más de 400 patentes registradas y múltiples premios. Con un amplio catálogo de más de 24.000 productos, las herramientas Bahco ofrecen una combinación única de tecnología punta, diseño de herramientas centrado en el usuario y más de un siglo de experiencia. Bahco is a premium tool brand that provides tailored solutions and meets the needs of the highest-performing professionals working in the green, trade, automotive, industrial metal cutting and general industries. Bahco has invented some of the most essential tools in the world, such as the adjustable pipe wrench, the adjustable wrench, multi-component handles and Sandflex® saws, accumulating more than 400 registered patents and multiple awards. With an extensive catalogue of more than 24,000 products, Bahco tools offer a unique combination of state-of-the-art technology, user-centred tool design and over a century of experience.</t>
  </si>
  <si>
    <t xml:space="preserve">https://www.bahco.com.ar/</t>
  </si>
  <si>
    <t xml:space="preserve">Exponor (ID 432)</t>
  </si>
  <si>
    <t xml:space="preserve">BAILAC ARGENTINA</t>
  </si>
  <si>
    <t xml:space="preserve">mathias.zamora@bailac.cl</t>
  </si>
  <si>
    <t xml:space="preserve">Expo San Juan Minera 2026. También en: Exponor (ID 433).</t>
  </si>
  <si>
    <t xml:space="preserve">Isla: 23 SUP</t>
  </si>
  <si>
    <t xml:space="preserve">BAILAC ARGENTINA SRL</t>
  </si>
  <si>
    <t xml:space="preserve">BAILAC Argentina SRL es una empresa con amplia trayectoria en el sector industrial y minero, especializada en el recauchutaje, reparación y mantenimiento integral de neumáticos mineros OTR, así como en servicios técnicos en faena. Con origen en 1925, BAILAC se ha enfocado en reducir los costos operativos de la minería, manteniendo altos estándares de calidad, seguridad y rendimiento. La empresa fue pionera a nivel mundial en el recauchutaje de neumáticos gigantes para cargadores (57”) y camiones de transporte (63”). Con planta propia en la Provincia de San Juan, BAILAC acompaña a las principales operaciones mineras del país, aportando soluciones orientadas a extender la vida útil de los neumáticos, optimizar su gestión y promover prácticas de economía circular y sustentabilidad.</t>
  </si>
  <si>
    <t xml:space="preserve">https://bailac.com.ar/</t>
  </si>
  <si>
    <t xml:space="preserve">Exponor (ID 433)</t>
  </si>
  <si>
    <t xml:space="preserve">BASCULAS MAGRIS</t>
  </si>
  <si>
    <t xml:space="preserve">marketing@basculasmagris.com.ar</t>
  </si>
  <si>
    <t xml:space="preserve">Isla: 20E-SUP</t>
  </si>
  <si>
    <t xml:space="preserve">BASCULAS MAGRIS SA</t>
  </si>
  <si>
    <t xml:space="preserve">Hidrogrúas TKA es una empresa líder en maquinarias y equipamiento para movimiento y elevación de cargas pesadas. Básculas Magris SA es representante oficial y exclusivo en Argentina de esta marca de origen brasilero, brindando un servicio integral a sus clientes que no culmina solo en la venta de los equipos, sino que continua en su instalación en vehículos, modificaciones estructurales de los vehículos (Cambio de paso, Colocación de carrocerías, ejes neumáticos, etc), homologaciones y un completo servicio de posventa (repracaiones, service integrales, repuestos, accesorios, etc).</t>
  </si>
  <si>
    <t xml:space="preserve">https://hidrogruastka.com.ar/</t>
  </si>
  <si>
    <t xml:space="preserve">BERTOTTO BOGLIONE</t>
  </si>
  <si>
    <t xml:space="preserve">carlos.robotti@bertottoar.com</t>
  </si>
  <si>
    <t xml:space="preserve">Expo San Juan Minera 2026. También en: Exponor (ID 445).</t>
  </si>
  <si>
    <t xml:space="preserve">BERTOTTO BOGLIONE SA</t>
  </si>
  <si>
    <t xml:space="preserve">Bertotto Boglione es una compañía argentina con proyección internacional, especializada en el diseño y fabricación de soluciones industriales para el almacenamiento y manejo de fluidos. Con una trayectoria consolidada, la empresa se ha posicionado como un proveedor estratégico para industrias de alta exigencia, particularmente en los sectores de minería y oil &amp; gas, donde la confiabilidad, la seguridad operativa y la durabilidad de los equipos son factores críticos. Su portfolio incluye tanques verticales y horizontales, soluciones modulares y desarrollos a medida, adaptados a entornos complejos y condiciones extremas. La calidad de sus procesos, junto con la integración de tecnología y componentes de primer nivel, le permite a Bertotto Boglione cumplir con estándares internacionales y acompañar proyectos en toda la región.</t>
  </si>
  <si>
    <t xml:space="preserve">https://www.bertotto-boglione.com.ar/</t>
  </si>
  <si>
    <t xml:space="preserve">Exponor (ID 445)</t>
  </si>
  <si>
    <t xml:space="preserve">BLEND PLANT</t>
  </si>
  <si>
    <t xml:space="preserve">Isla: 38D</t>
  </si>
  <si>
    <t xml:space="preserve">BOSCH</t>
  </si>
  <si>
    <t xml:space="preserve">Facundo.Diaz@ar.bosch.com</t>
  </si>
  <si>
    <t xml:space="preserve">Expo San Juan Minera 2026. También en: Exponor (ID 459).</t>
  </si>
  <si>
    <t xml:space="preserve">Isla: 49</t>
  </si>
  <si>
    <t xml:space="preserve">Nuestra misión es crear soluciones para una vida conectada y mejorar la calidad de vida en todo el mundo con productos y servicios que son innovadores y generan entusiasmo. En resumen, Bosch crea tecnología que es "Innovación para tu vida". El Grupo Bosch es uno de los principales proveedores mundiales de tecnología y servicios. Emplea aproximadamente 428.000 asociados en todo el mundo (al 31 de diciembre de 2023). La empresa generó ventas de 91,6 mil millones de euros en 2023. Sus operaciones se agrupan en cuatro áreas empresariales: Mobility Solutions, Industrial Technology, Consumer Goods, y Energy and Building Technology. Bosch persigue la visión de una movilidad sostenible, segura y emocionante. Utiliza su experiencia en tecnología de sensores, software y servicios, así como su propia nube IoT, para ofrecer a sus clientes soluciones conectadas transversales a través de una sola fuente. El objetivo estratégico del Grupo Bosch es facilitar la vida conectada con productos y soluciones que contengan inteligencia artificial (IA) o que se hayan desarrollado o fabricado con su ayuda. Bosch mejora la calidad de vida en todo el mundo con productos y servicios innovadores. Este año Bosch Argentina cumple 100 años de presencia en el país. El primer local de ventas de América Latina fue establecido por el fundador de la compañía en Buenos Aires, en 1924. Hoy en día el Grupo Bosch en Argentina emplea 222 colaboradores, comercializa una amplia gama de sus productos a través de sus unidades de ventas Mobility Aftermarket, Herramientas Eléctricas, Building Technologies y Termotecnología, y posee una unidad fabril, Bosch Rexroth S.A.I.C., ubicada en la localidad de Carapachay. En 2023, las ventas en el país ascendieron a 52,7 mil millones de pesos. La empresa acompaña la evolución del mercado y el crecimiento del país a través de nuevas tecnologías para consolidarse como proveedor líder de una amplia variedad de servicios, productos y soluciones innovadoras.</t>
  </si>
  <si>
    <t xml:space="preserve">https://www.bosch.com.ar/</t>
  </si>
  <si>
    <t xml:space="preserve">Exponor (ID 459)</t>
  </si>
  <si>
    <t xml:space="preserve">BREMEN TOOLS ARGENTINA</t>
  </si>
  <si>
    <t xml:space="preserve">Isla: 20B</t>
  </si>
  <si>
    <t xml:space="preserve">BREMEN TOOLS ARGENTINA SA</t>
  </si>
  <si>
    <t xml:space="preserve">We are specialists in tools. Our way of working is driven by excellence and backed by quality. At Bremen, we start from the design of every tool we create to inspire those who make work their art. Trust leads us to build strong relationships with our clients and users, based on commitment, closeness, and reliability. These values that shape our identity inspire us in our day-to-day work.</t>
  </si>
  <si>
    <t xml:space="preserve">BS DISTRIBUCIONES</t>
  </si>
  <si>
    <t xml:space="preserve">blassanchezdistribuciones@yahoo.com.ar</t>
  </si>
  <si>
    <t xml:space="preserve">BS DISTRIBUCIONES es una empresa dedicada al rubro de autopartes, con mas de 25 años en el mercado local. Nuestras zonas de influencia comercial esta comprendidas por las provincias de San Juan, San Luis, La Rioja, Catamarca y Mendoza, siendo una de las distribuidoras mas importantes en dicha zona. Contamos con un amplio rubro para camiones, maquinas viales y automotor.</t>
  </si>
  <si>
    <t xml:space="preserve">https://www.bsdistribuciones.com.ar/</t>
  </si>
  <si>
    <t xml:space="preserve">BUSTINZA</t>
  </si>
  <si>
    <t xml:space="preserve">info@bustinzagomasa.com.ar</t>
  </si>
  <si>
    <t xml:space="preserve">D428</t>
  </si>
  <si>
    <t xml:space="preserve">Over 50 years of passion for excellence More than 50 years ago, Carlos Bolis founded Bustinza Goma with a clear vision: to deliver high-quality solutions for agriculture, industry, and transportation. Today, over half a century later, we remain committed to that vision, working from the productive heart of agricultural machinery in a strategic location for growth. A family company with a forward-thinking mindset We are a family business where every decision is made with future generations in mind. Today, the third generation is leading Bustinza Goma toward new challenges, preserving the values of effort, commitment, and dedication that shaped our beginnings. Development that drives the future Since our early days, Bustinza Goma has combined the versatility of rubber with the strength of metalworking to create unique solutions. We transform what is no longer used, simplify what once seemed impossible, and develop products that meet the real needs of agriculture, industry, municipalities, mining, tourism, and the automotive sector. Quality in every detail We understand that creating great solutions requires excellence at every stage. That’s why we operate with a state-of-the-art laboratory that ensures the quality and durability of all our products, consistently exceeding our clients’ expectations. We build quality. We build relationships. Every piece we manufacture at Bustinza Goma reflects a deep commitment to quality and innovation. We believe that the quality of what we do defines the quality of the relationships we build with those who trust us. Bustinza Goma: good ideas, great solutions.</t>
  </si>
  <si>
    <t xml:space="preserve">https://www.bustinzagomasa.com.ar/</t>
  </si>
  <si>
    <t xml:space="preserve">CARPAS GINESTAR</t>
  </si>
  <si>
    <t xml:space="preserve">marcearce205@gmail.com</t>
  </si>
  <si>
    <t xml:space="preserve">Isla: 26E-SUP</t>
  </si>
  <si>
    <t xml:space="preserve">CARPAS GINESTAR S.R.L.</t>
  </si>
  <si>
    <t xml:space="preserve">Carpas Ginestar es una empresa nacional con presencia internacional, con más de 100 años de trayectoria en el desarrollo de soluciones textiles de alta resistencia para minería, industria y condiciones extremas. Diseñamos y fabricamos carpas térmicas, campamentos mineros, ductos de ventilación para minería subterránea, mantas térmicas, coberturas y soluciones a medida para acompañar las distintas etapas de la actividad minera. Nuestros productos están preparados para responder a las inclemencias climáticas, la exigencia operativa y los desafíos de los entornos de trabajo más demandantes, combinando experiencia, innovación y calidad. Trabajamos con responsabilidad y compromiso en cada proyecto, brindando no solo productos confiables, sino también acompañamiento técnico, soporte y un servicio de postventa orientado a dar respuesta eficiente a las necesidades de nuestros clientes.</t>
  </si>
  <si>
    <t xml:space="preserve">https://carpasginestar.com.ar/</t>
  </si>
  <si>
    <t xml:space="preserve">CASA THAMES</t>
  </si>
  <si>
    <t xml:space="preserve">info@casathames.com</t>
  </si>
  <si>
    <t xml:space="preserve">D412</t>
  </si>
  <si>
    <t xml:space="preserve">CLP S.R.L</t>
  </si>
  <si>
    <t xml:space="preserve">Líder en la comercialización de insumos y equipamiento de limpieza profesional. Fabricamos productos químicos y papel tissue en plantas propias, bajo estrictas normas de calidad y seguridad. Ofrecemos el portfolio de productos más grande y variado del mercado, siempre a la vanguardia en tecnología e innovación. Empresa argentina con más de 40 años de experiencia, miembro de la Worldwide Cleaning Association desde 1994.</t>
  </si>
  <si>
    <t xml:space="preserve">https://www.casathames.com/</t>
  </si>
  <si>
    <t xml:space="preserve">CASUCCI</t>
  </si>
  <si>
    <t xml:space="preserve">marketing@casucci-sa.com</t>
  </si>
  <si>
    <t xml:space="preserve">A119</t>
  </si>
  <si>
    <t xml:space="preserve">Casucci Automatización S.A. es una empresa argentina con más de 80 años de trayectoria, líder en la fabricación y provisión de válvulas, conexiones y tubos para instrumentación industrial y conducción de fluidos. Nuestra Experiencia Somos un socio estratégico para los sectores más exigentes de la industria. Contamos con un fuerte arraigo en el sector minero, habiendo provisto componentes de instrumentación para Minera Alumbrera durante su construcción, acompañando el desarrollo de Veladero junto a Techint, y operando en la actualidad como proveedores de confianza para proyectos de litio como Minera del Altiplano (Rio Tinto) y Minera Exar. Asimismo, somos proveedores clave para las principales operadoras de Oil &amp; Gas en Vaca Muerta (YPF, Pampa Energía, Pan American Energy, Vista Energy, Pluspetrol) y su red de distribuidores, además de abastecer a las industrias nuclear, naval, papelera, cementera y del vidrio.</t>
  </si>
  <si>
    <t xml:space="preserve">https://casucci-sa.com/</t>
  </si>
  <si>
    <t xml:space="preserve">CBB</t>
  </si>
  <si>
    <t xml:space="preserve">abi.sanchez@cbb.cl</t>
  </si>
  <si>
    <t xml:space="preserve">Expo San Juan Minera 2026. También en: Exponor (ID 486).</t>
  </si>
  <si>
    <t xml:space="preserve">B212</t>
  </si>
  <si>
    <t xml:space="preserve">Con más de 60 años de trayectoria, el Grupo Cbb es una gran compañía, con presencia en Chile, Argentina y Perú. La empresa produce cal, cemento y hormigón para cuya elaboración cuenta con sus propios yacimientos. Somos el principal productor de cal del cono sur, a través de Cbb Cales. Con una capacidad instalada de más de 1.200.000 toneladas al año, y con distintos centros productivos para abastecer a clientes de Argentina y Chile.</t>
  </si>
  <si>
    <t xml:space="preserve">https://www.cbb.cl/</t>
  </si>
  <si>
    <t xml:space="preserve">Exponor (ID 486)</t>
  </si>
  <si>
    <t xml:space="preserve">CEARCA</t>
  </si>
  <si>
    <t xml:space="preserve">E508 | E516</t>
  </si>
  <si>
    <t xml:space="preserve">CEARCA S.A.</t>
  </si>
  <si>
    <t xml:space="preserve">Cearca SA es una fábrica de conductores eléctricos de cobre y aluminio. Atendemos sectores como Minería, Petroleo y Gas, Generación, transmisión y distribución de energía eléctrica. Fabricamos cables para líneas aéreas para AT, MT y BT, protegidos de MT, cables preensamblados, cables concéntricos, cables de PAT y conductores subterráneos de BT.</t>
  </si>
  <si>
    <t xml:space="preserve">CELOTTO CONSTRUCCIONES</t>
  </si>
  <si>
    <t xml:space="preserve">info@celotto.com.ar</t>
  </si>
  <si>
    <t xml:space="preserve">CELOTTO CONSTRUCCIONES SRL</t>
  </si>
  <si>
    <t xml:space="preserve">Celotto Construcciones es una empresa de construcción civil e industrial con base en Rosario y más de doce años operando en los sectores más exigentes de Argentina: oil &amp; gas, agroindustria, minería e infraestructura portuaria. Trabajamos con grandes empresas y entendemos lo que eso implica: estándares altos, tiempos ajustados y cero margen para el error. Certificados bajo norma ISO 9001, combinamos solidez técnica con una gestión que habla el idioma de nuestros clientes.</t>
  </si>
  <si>
    <t xml:space="preserve">https://www.celotto.com.ar/</t>
  </si>
  <si>
    <t xml:space="preserve">COARDEL S A COM IND FIN INMOB Y AGROP</t>
  </si>
  <si>
    <t xml:space="preserve">administracion@coardel.com.ar</t>
  </si>
  <si>
    <t xml:space="preserve">En COARDEL fabricamos piezas de caucho, termoplásticos y poliuretano, brindando soluciones de ingeniería desde nuestra planta en Berazategui para los sectores de minería, oil &amp; gas, automotriz y línea blanca, entre otras industrias. Nos especializamos en la ingeniería y producción de revestimientos para molinos SAG y de bolas, diseñados para maximizar la eficiencia operativa y la vida útil de los equipos en la industria minera. Asimismo, desarrollamos piezas técnicas y revestimientos que cumplen con los más altos estándares de calidad y precisión. Como parte de nuestro compromiso con la sostenibilidad y la economía circular, próximamente incorporaremos una planta de reciclado de neumáticos OTR (Off-The-Road) y una planta de recauchutaje de neumáticos OTR, ampliando nuestras capacidades para ofrecer soluciones integrales y responsables con el medio ambiente. Con más de 55 años de experiencia, combinamos tecnología, conocimiento y capacidad productiva para ofrecer soluciones duraderas, eficientes y adaptadas a las necesidades de cada cliente, fortaleciendo nuestra presencia en la industria minera y en los sectores estratégicos del país.</t>
  </si>
  <si>
    <t xml:space="preserve">https://coardel.com/</t>
  </si>
  <si>
    <t xml:space="preserve">COIDEA</t>
  </si>
  <si>
    <t xml:space="preserve">mlavoria@coideasa.com</t>
  </si>
  <si>
    <t xml:space="preserve">COIDEA S.A.</t>
  </si>
  <si>
    <t xml:space="preserve">Materiales para Líneas de Transmisión y Distribución. COIDEA S.A. es una compañía argentina que provee desde 1985 un amplio abanico de soluciones para el sector energético, especialmente para líneas de media y alta tensión e iluminación, con foco técnico en un excelente desempeño en campo y confiabilidad. Nuestra cartera de soluciones (tanto producción propia como de empresas del exterior) involucra todos los materiales necesarios para líneas aéreas (seccionadores, estructuras de acero para iluminación, plataformas, pórticos y para sostén de líneas de media tensión, estructuras reticuladas y monopostes de acero para alta y ultra alta tensión, estructuras soporte y trackers para paneles solares, conductores eléctricos para media y alta tensión, aisladores, descargadores, morsetería, herrajes, crucetas y postes de PRFV, ingeniería básica y detalle, capacitación y supervisión de tendidos, maquinas y accesorios para tendidos aéreos y subterráneos). Somos también pioneros y líderes en el País en redes compactas de media tensión.</t>
  </si>
  <si>
    <t xml:space="preserve">https://www.coideasa.com.ar/</t>
  </si>
  <si>
    <t xml:space="preserve">COLUBRIS CLEANTECH B.V.</t>
  </si>
  <si>
    <t xml:space="preserve">j.krijger@colubriscleantech.com</t>
  </si>
  <si>
    <t xml:space="preserve">COLUBRIS</t>
  </si>
  <si>
    <t xml:space="preserve">Colubris se especializa en soluciones para el tratamiento de aguas residuales. Diseñamos e instalamos sistemas a medida. Con nuestra tecnología, reducimos los costos operativos del tratamiento de aguas residuales y mejoramos la rentabilidad. Nuestras soluciones cumplen plenamente con la normativa ambiental vigente en materia de tratamiento de aguas residuales. Colubris specializes in wastewater treatment solutions. We design and install custom designed systems. With our technology, we reduce wastewater treatment operating costs and improve profitability. Our solutions fully comply with current environmental regulations regarding wastewater treatment.</t>
  </si>
  <si>
    <t xml:space="preserve">https://www.colubriscleantech.com/</t>
  </si>
  <si>
    <t xml:space="preserve">COMA S.A.</t>
  </si>
  <si>
    <t xml:space="preserve">a.allende@comasa.com.ar</t>
  </si>
  <si>
    <t xml:space="preserve">Construcción y servicio de equipos pesados. COMA S.A. es una empresa argentina con más de 40 años de trayectoria en el desarrollo y ejecución de proyectos industriales y mineros, especializada en obras civiles, fabricación y montaje de estructuras metálicas, servicios de izaje y montaje de campamentos en entornos de alta exigencia operativa. Cuenta con ingeniería propia (in house), un equipo de más de 100 profesionales técnicos y más de 500 colaboradores directos, además de una amplia flota de equipos pesados y grúas de gran porte, lo que le permite brindar soluciones integrales que incluyen rental de grúas, transporte de cargas de proyecto y logística hacia sitios de planta en mina. La compañía posee sólida experiencia en proyectos mineros e industriales, destacándose por su capacidad de movilización, autonomía operativa y cumplimiento de estándares de seguridad y calidad en obras de alta complejidad.</t>
  </si>
  <si>
    <t xml:space="preserve">https://www.comasa.com.ar/</t>
  </si>
  <si>
    <t xml:space="preserve">CONTRINI HNOS</t>
  </si>
  <si>
    <t xml:space="preserve">comercial@contrinihnos.com.ar</t>
  </si>
  <si>
    <t xml:space="preserve">CONTRINI HNOS S R L</t>
  </si>
  <si>
    <t xml:space="preserve">Ofrecemos servicios a nivel nacional a industrias de minería, petróleo, gas, naval, nuclear y construcción, bajo estrictos estándares de calidad, seguridad y ambiente. Nos especializamos en cinco unidades de negocio: Gestión de Residuos: Acondicionamiento, transporte, tratamiento y disposición final de residuos industriales. Combustibles y Asfaltos: Comercialización y transporte nacional de combustibles pesados y derivados de refinería. Remediaciones Ambientales: Limpieza de tanques, remediación de pasivos, descontaminación de asbestos y mantenimiento industrial. Transporte: Cargas de residuos, peligrosas y generales, sólidas o líquidas. Economía Circular: Reutilización y recuperación de residuos bajo principios de sostenibilidad y economía circular.</t>
  </si>
  <si>
    <t xml:space="preserve">https://contrinihnos.com.ar/</t>
  </si>
  <si>
    <t xml:space="preserve">CONVEYOR BELT TECHNOLOGY</t>
  </si>
  <si>
    <t xml:space="preserve">info@cbtech.ar</t>
  </si>
  <si>
    <t xml:space="preserve">Isla: 73 | Isla: 74</t>
  </si>
  <si>
    <t xml:space="preserve">Conveyor Belt Technology es una empresa líder con más de 40 años de experiencia contribuyendo permanentemente al mercado minero nacional e internacional. Nuestros esfuerzos se centran en la innovación, instalación, mantenimiento y supervisión de servicios en cintas transportadoras para sistemas de manejo de minerales. Además de la comercialización de cintas transportadoras y sus accesorios, especialmente para la industria minera y agroindustrial.</t>
  </si>
  <si>
    <t xml:space="preserve">https://www.cbtech.ar/</t>
  </si>
  <si>
    <t xml:space="preserve">CORMETAL</t>
  </si>
  <si>
    <t xml:space="preserve">cormetal@cormetalsa.com.ar</t>
  </si>
  <si>
    <t xml:space="preserve">Isla: 6</t>
  </si>
  <si>
    <t xml:space="preserve">Soluciones en ingeniería metalúrgica Desarrollamos soluciones metalúrgicas integrales resolviendo exigencias de máxima complejidad, aportando valor desde el proceso de ingeniería. ​ Fusionamos la calidad de nuestros profesionales con innovación tecnológica de primer nivel para que cada proyecto se haga realidad. ​ Trabajamos para las principales industrias y desarrollamos proyectos a nivel nacional. Día a día continuamos esforzándonos para expandirnos y seguir fortaleciendo nuestra experiencia, sumando más de 50 años de trayectoria.</t>
  </si>
  <si>
    <t xml:space="preserve">https://cormetalsa.com.ar/</t>
  </si>
  <si>
    <t xml:space="preserve">CUYOPARTS</t>
  </si>
  <si>
    <t xml:space="preserve">ventas@cuyoparts.com.ar</t>
  </si>
  <si>
    <t xml:space="preserve">F625</t>
  </si>
  <si>
    <t xml:space="preserve">CUYOPARTS SRL</t>
  </si>
  <si>
    <t xml:space="preserve">CUYOPARTS cuenta con más de 28 años de trayectoria en el sector automotriz e industrial, con base en San Juan y un depósito propio de 2.000 m² especializada lubricantes y soluciones de filtración para servicio pesado y liviano. Brinda soluciones integrales y confiables que permiten a sus clientes enfocarse en su operación con respaldo técnico y productos de alta calidad. Es importador directo de filtros y representante de marcas líderes como Parker y Baldwin. Además, es distribuidor oficial de lubricantes Petronas en la región de Cuyo. Se destaca por su especialización en filtración, asesoramiento técnico y amplio stock con respuesta inmediata. Ofrece soluciones completas que incluyen equipos, componentes y sistemas de filtrado. Su logística eficiente garantiza entregas rápidas, con cobertura regional y nacional.</t>
  </si>
  <si>
    <t xml:space="preserve">https://www.cuyoparts.com.ar/</t>
  </si>
  <si>
    <t xml:space="preserve">CV INTERNATIONAL</t>
  </si>
  <si>
    <t xml:space="preserve">Expo San Juan Minera 2026. Sin email publicado. También en: Directorio SSO (ID 18); Exponor (ID 22).</t>
  </si>
  <si>
    <t xml:space="preserve">C &amp; V INTERNATIONAL S.R.L.</t>
  </si>
  <si>
    <t xml:space="preserve">Directorio SSO (ID 18); Exponor (ID 22)</t>
  </si>
  <si>
    <t xml:space="preserve">CYM</t>
  </si>
  <si>
    <t xml:space="preserve">senorj@cym.com.ar</t>
  </si>
  <si>
    <t xml:space="preserve">Expo San Juan Minera 2026. También en: Exponor (ID 550).</t>
  </si>
  <si>
    <t xml:space="preserve">CYM Materiales S.A. es una empresa especializada en procesos de granallado, preparación de superficies y soluciones para el tratamiento superficial industrial, con una trayectoria de más de 65 años en la industria y una participación activa en proyectos a nivel internacional. Diseñamos, fabricamos y suministramos equipos de granallado, arenado y shot peening, así como materiales abrasivos y soporte técnico especializado, orientados a optimizar procesos productivos en industrias metalúrgicas, siderúrgicas, petroleras, mineras, energéticas y de fabricación de estructuras metálicas. Somos uno de los principales fabricantes de soluciones de granallado en Latinoamérica, con presencia internacional en los cinco continentes, acompañando a nuestros clientes en proyectos desarrollados en América, Canadá y diversos mercados globales. Nuestro diferencial se basa en un profundo conocimiento técnico aplicado a los procesos de granallado, que nos permite asesorar a cada cliente en la selección del abrasivo adecuado, la optimización del proceso y el control de la calidad superficial, adaptándonos a los requerimientos técnicos y normativos de cada proyecto . Comprometidos con la calidad, la seguridad y el cuidado del medio ambiente, trabajamos bajo estándares internacionales certificados, contando con ISO 9001, ISO 14001 e ISO 45001, otorgadas por TÜV Rheinland, y promoviendo una cultura de mejora continua y confiabilidad operativa en todas nuestras soluciones.</t>
  </si>
  <si>
    <t xml:space="preserve">https://www.cym.com.ar/</t>
  </si>
  <si>
    <t xml:space="preserve">Exponor (ID 550)</t>
  </si>
  <si>
    <t xml:space="preserve">DALTEC OIL TOOLS S.R.L.</t>
  </si>
  <si>
    <t xml:space="preserve">info@daltectools.com</t>
  </si>
  <si>
    <t xml:space="preserve">Componentes y repuestos para equipos mineros En DALTEC MINING TOOLS fabricamos componentes, repuestos y piezas especiales para maquinaria minera, orientados a responder con precisión a las exigencias de operación y mantenimiento. Desarrollamos soluciones para minería de superficie y subterránea, incluyendo pernos, pasadores, bujes, articulaciones, patines de desgaste, mordazas, estructuras y otros componentes críticos. A través de ingeniería inversa, selección de materiales, mecanizado de precisión y fabricación a medida, ayudamos a nuestros clientes a contar con repuestos confiables, compatibles y preparados para condiciones de trabajo severas. Nuestras soluciones: Pernos y bujes para articulaciones Patines y componentes de desgaste Mordazas y sistemas de sujeción Estructuras y perfiles estructurales Piezas especiales a medida Servicio de ingeniería inversa Desarrollamos piezas según muestra, plano o necesidad específica.</t>
  </si>
  <si>
    <t xml:space="preserve">https://www.daltectools.com/</t>
  </si>
  <si>
    <t xml:space="preserve">DASTEC S.R.L</t>
  </si>
  <si>
    <t xml:space="preserve">info@dastecsrl.com.ar</t>
  </si>
  <si>
    <t xml:space="preserve">F630</t>
  </si>
  <si>
    <t xml:space="preserve">Dastec S.R.L. lleva más de 30 años dedicándose a la provisión de instrumentos de medición y control de procesos, destinada a cubrir las diversas necesidades de variadas indústrias: Instrumentación diseñada para procesos mineros. Ingeniería de Proyectos. Soluciones de medición customizadas. Capacitación en mina, virtual o en Nuestras Oficinas. Laboratorio de Reparación y Calibración. Servicios de Puesta en Marcha y Asistencia Técnica virtuales o en mina. Contamos con la distribución de las marcas más reconocidas del mercado mundial, ofreciendo una amplia gama de productos que permiten satisfacer las necesidades y exigencias de nuestros clientes, ofreciendo productos de alta calidad que cumplen con las más exigentes normas internacionales, permitiendo ofrecer toda la línea de productos con el fin de brindar una solución a cada necesidad de las empresas.</t>
  </si>
  <si>
    <t xml:space="preserve">https://www.dastecsrl.com.ar/</t>
  </si>
  <si>
    <t xml:space="preserve">DESARROLLOS TRAMA</t>
  </si>
  <si>
    <t xml:space="preserve">mblandini@desarrollostrama.com.ar</t>
  </si>
  <si>
    <t xml:space="preserve">Isla: 58</t>
  </si>
  <si>
    <t xml:space="preserve">DESARROLLOS TRAMA S.A</t>
  </si>
  <si>
    <t xml:space="preserve">GENERACION DE ENERGIA SOLUCIONES ENERGÉTICAS AL SERVICIO DE LA MINERÍA Y EL PETRÓLEO</t>
  </si>
  <si>
    <t xml:space="preserve">https://desarrollostrama.com.ar/</t>
  </si>
  <si>
    <t xml:space="preserve">DHL GLOBAL FORWARDING</t>
  </si>
  <si>
    <t xml:space="preserve">DRAIN</t>
  </si>
  <si>
    <t xml:space="preserve">drainservicios@gmail.com</t>
  </si>
  <si>
    <t xml:space="preserve">A153</t>
  </si>
  <si>
    <t xml:space="preserve">DRAIN S.A.S</t>
  </si>
  <si>
    <t xml:space="preserve">DRAIN S.A.S. es una empresa especializada en ofrecer soluciones sanitarias y modulares integrales para proyectos industriales, mineros y de construcción en todo el país. Nuestro compromiso es garantizar confort, higiene y eficiencia en los lugares donde la logística representa un desafío. Brindamos servicios de alquiler y mantenimiento de baños químicos, desagote y limpieza de sistemas sanitarios, módulos habitacionales y oficinas móviles, así como gestión integral de residuos y logística en zonas mineras. Contamos con sedes operativas en En DRAIN creemos que la calidad del entorno de trabajo impacta directamente en el rendimiento del equipo humano Iglesia y Calingasta, lo que nos permite estar cerca de los principales proyectos mineros de la región y ofrecer una respuesta rápida, eficiente y personalizada. Además, generamos empleo local, sumando a nuestro equipo a trabajadores de las comunidades donde operamos. Con un equipo técnico altamente capacitado y una flota propia de transporte, ofrecemos un servicio ágil, seguro y adaptado a cada necesidad, cumpliendo con las exigencias ambientales y de seguridad vigentes.</t>
  </si>
  <si>
    <t xml:space="preserve">https://www.drainsas.com/</t>
  </si>
  <si>
    <t xml:space="preserve">DÜCHTING PUMPEN</t>
  </si>
  <si>
    <t xml:space="preserve">Expo San Juan Minera 2026. Sin email publicado. También en: Exponor (ID 575).</t>
  </si>
  <si>
    <t xml:space="preserve">Exponor (ID 575)</t>
  </si>
  <si>
    <t xml:space="preserve">EBINOX</t>
  </si>
  <si>
    <t xml:space="preserve">D423 | D424</t>
  </si>
  <si>
    <t xml:space="preserve">Ingeniería Fabricacion y montaje electromecánico e inspecciones no intrusivas en plantas y tanques</t>
  </si>
  <si>
    <t xml:space="preserve">ECONOVO AGROVIAL</t>
  </si>
  <si>
    <t xml:space="preserve">contacto@econovo.com.ar</t>
  </si>
  <si>
    <t xml:space="preserve">F619 | Isla: 30</t>
  </si>
  <si>
    <t xml:space="preserve">Econovo Agrovial es una empresa argentina dedicada a la comercialización de maquinaria y soluciones para los sectores agrícola, vial, minero y de la construcción. Actúa como distribuidor oficial de reconocidas marcas internacionales y se destaca por ofrecer equipos, servicio técnico y postventa de alta calidad.</t>
  </si>
  <si>
    <t xml:space="preserve">https://www.econovoagrovial.com.ar/</t>
  </si>
  <si>
    <t xml:space="preserve">EDF MATERIALES</t>
  </si>
  <si>
    <t xml:space="preserve">info@edfmateriales.com.ar</t>
  </si>
  <si>
    <t xml:space="preserve">EMPRENDIMIENTOS DEL FUTURO SRL</t>
  </si>
  <si>
    <t xml:space="preserve">EDF Materiales es una empresa especializada en la provisión integral de materiales y soluciones para los sectores de construcción y minería. Combinamos capacidad logística, conocimiento técnico, productos innovadores y experiencia en proyectos de gran escala, brindando respuestas eficientes en tiempo y forma. Atendemos a empresas constructoras, mineras, revendedores y profesionales, adaptándonos a las necesidades específicas de cada proyecto.</t>
  </si>
  <si>
    <t xml:space="preserve">http://www.edfmateriales.com.ar/</t>
  </si>
  <si>
    <t xml:space="preserve">ELECTRO CORDOBA</t>
  </si>
  <si>
    <t xml:space="preserve">ELECTRO CORDOBA S A</t>
  </si>
  <si>
    <t xml:space="preserve">Somos una compañía industrial argentina con base en Córdoba y más de seis décadas en el sector eléctrico. Lo que comenzó como una distribuidora especializada se transformó en una fábrica integrada que diseña, produce, galvaniza y ensaya cada componente que entrega al sistema eléctrico nacional. Hoy somos un eslabón estratégico en la cadena de valor del sector energético argentino, abasteciendo a utilities, distribuidoras provinciales, contratistas EPC y proyectos de obra pública en todo el país.</t>
  </si>
  <si>
    <t xml:space="preserve">ELECTRO DOCTA SERVICIOS SRL</t>
  </si>
  <si>
    <t xml:space="preserve">avalenziano@electrodocta.com.ar</t>
  </si>
  <si>
    <t xml:space="preserve">Somos una empresa dedicada al diseño de ingeniería, conexionado, fabricacion de tableros, ensayos eléctricos y puesta en marcha de obras eléctricas y electromecánicas de gran envergadura, con 15 años de experiencia en el mercado. ELECTRODOCTA es una empresa con presencia en el mercado eléctrico dedicada al diseño, supervisión y asesoramiento de obras eléctricas y electromecánicas de gran envergadura. Brindando servicios en proyectos de Extra Alta Tensión (EAT), Alta Tensión (AT), Media Tensión (MT) y Baja Tensión (BT). Nuestra política es brindar el asesoramiento necesario y adecuado en cada uno de estos campos con soluciones confiables, económicas y eficientes, garantizando calidad en los servicios ofrecidos.Contamos con recursos altamente capacitados con amplia experiencia en el sector de ingeniería, consultoría y asesoramiento; comisionamiento y precomisionamiento de Estaciones Transformadoras de 500kV, 330kV, 220kV, 132kKV, 33kV; Centrales Térmicas de Potencia, Parques Eólicos y Solares entre otros. Disponemos de gran cantidad de equipamiento para la realización de ensayos de equipos y sistemas eléctricos.</t>
  </si>
  <si>
    <t xml:space="preserve">https://www.electrodocta.com.ar/</t>
  </si>
  <si>
    <t xml:space="preserve">ELECTROPELBA</t>
  </si>
  <si>
    <t xml:space="preserve">ventas@pelba.com.ar</t>
  </si>
  <si>
    <t xml:space="preserve">F617 | F618</t>
  </si>
  <si>
    <t xml:space="preserve">ELECTROPELBA SA</t>
  </si>
  <si>
    <t xml:space="preserve">Desde 1982, nos hemos consolidado como líderes indiscutibles en la venta y distribución de materiales eléctricos y de iluminación. A lo largo de los años, hemos forjado una sólida reputación basada en la calidad de nuestros productos y servicios. Nuestro Centro de Distribución, con una superficie de 5.000 metros cuadrados, alberga un extenso inventario de más de 20.000 artículos disponibles de forma continua. Esta amplia variedad nos permite satisfacer de inmediato las necesidades más exigentes de nuestros clientes. Contamos con nuestra propia red logística interna. Esto garantiza la entrega gratuita a nuestros clientes en el Área Metropolitana de Buenos Aires (AMBA), asegurando una distribución rápida y eficiente.</t>
  </si>
  <si>
    <t xml:space="preserve">https://www.pelba.com.ar/</t>
  </si>
  <si>
    <t xml:space="preserve">EMPRENDIMIENTOS DEL FUTURO</t>
  </si>
  <si>
    <t xml:space="preserve">ENDRESS+HAUSER ARGENTINA</t>
  </si>
  <si>
    <t xml:space="preserve">info.ar@endress.com</t>
  </si>
  <si>
    <t xml:space="preserve">Expo San Juan Minera 2026. También en: Exponor (ID 600).</t>
  </si>
  <si>
    <t xml:space="preserve">F601</t>
  </si>
  <si>
    <t xml:space="preserve">ENDRESS HAUSER ARGENTINA S.A.</t>
  </si>
  <si>
    <t xml:space="preserve">Endress+Hauser es un proveedor global líder en tecnología de medición para procesos y laboratorios. Ofrecemos un amplio portafolio de instrumentación, soluciones y servicios que ayudan a nuestros clientes de la industria de procesos a mejorar sus productos y fabricarlos de forma más eficiente. Contamos con décadas de experiencia, una actitud pionera y un fuerte anhelo de innovación, lo cual nos permite proporcionar soluciones fiables y de alta calidad en todo el mundo. Como la empresa familiar que somos, también somos sinónimo de fiabilidad, colaboraciones a largo plazo y estabilidad.</t>
  </si>
  <si>
    <t xml:space="preserve">https://www.ar.endress.com/</t>
  </si>
  <si>
    <t xml:space="preserve">Exponor (ID 600)</t>
  </si>
  <si>
    <t xml:space="preserve">FAESA</t>
  </si>
  <si>
    <t xml:space="preserve">F.A.E.S.A. FABRICA ARGENTINA DE ELASTICOS S.A.I.YC.</t>
  </si>
  <si>
    <t xml:space="preserve">FAESA es una empresa argentina con amplia trayectoria en el desarrollo de soluciones de suspensión y componentes industriales, consolidada como referente en el sector a lo largo de décadas de evolución. Diseñamos, producimos y comercializamos productos de alta calidad, orientados a las necesidades de industrias como el transporte, el agro y la minería, con foco en la innovación y la eficiencia. Contamos con una sólida estructura productiva y presencia internacionales, desarrollando relaciones estratégicas y oportunidades de negocio a nivel global. Nuestro compromiso con la excelencia, respaldado por certificaciones de calidad y una ingeniería robusta, nos posiciona como un socio confiable para proyectos exigentes en entornos industriales.</t>
  </si>
  <si>
    <t xml:space="preserve">FASE ELECTRICIDAD</t>
  </si>
  <si>
    <t xml:space="preserve">marcelo.miodowky@faseelectricidad.com.ar</t>
  </si>
  <si>
    <t xml:space="preserve">Isla: 5 B</t>
  </si>
  <si>
    <t xml:space="preserve">MIODOWKY MARCELO EDUARDO</t>
  </si>
  <si>
    <t xml:space="preserve">Soluciones Eléctricas Profesionales En Fase Electricidad ofrecemos soluciones integrales en productos eléctricos para empresas, industrias y mayoristas. Somos referentes en la región de Cuyo, destacándonos por la calidad de nuestros productos y el compromiso con cada cliente. Operamos bajo un modelo de comercialización exclusiva para empresas y mayoristas, asegurando un servicio especializado y acorde a las demandas del mercado profesional. Como socios de Fegime, potenciamos nuestra propuesta con el respaldo de una red líder en soluciones innovadoras para la industria.</t>
  </si>
  <si>
    <t xml:space="preserve">https://www.faseelectricidad.com.ar/</t>
  </si>
  <si>
    <t xml:space="preserve">FERNANDEZ INSUA</t>
  </si>
  <si>
    <t xml:space="preserve">info@fdez-insua.com.ar</t>
  </si>
  <si>
    <t xml:space="preserve">B241 | B242</t>
  </si>
  <si>
    <t xml:space="preserve">FERNANDEZ INSUA S.A.</t>
  </si>
  <si>
    <t xml:space="preserve">FERNANDEZ INSUA comercializa repuestos para máquinas viales y motores diésel. Nuestra gama, abarca repuestos para maquinaria de obra pública, construcción, minería, petróleo y gas y motores pesqueros. Más de 150.000 ítems en stock y 200.000 referencias disponibles. Importadores directos.</t>
  </si>
  <si>
    <t xml:space="preserve">https://www.fernandezinsua.com/</t>
  </si>
  <si>
    <t xml:space="preserve">FLOUSA</t>
  </si>
  <si>
    <t xml:space="preserve">flousa@flousasa.com</t>
  </si>
  <si>
    <t xml:space="preserve">C308 | C327</t>
  </si>
  <si>
    <t xml:space="preserve">FLOUSA S.A.</t>
  </si>
  <si>
    <t xml:space="preserve">Proveedor de Suministros y Servicios para las Industrias de Proceso, Mineras, Gasoductos y Oleoductos</t>
  </si>
  <si>
    <t xml:space="preserve">https://www.flousa.com/</t>
  </si>
  <si>
    <t xml:space="preserve">FOHAMA ELECTROMECÁNICA</t>
  </si>
  <si>
    <t xml:space="preserve">ventas@fohama.com.ar</t>
  </si>
  <si>
    <t xml:space="preserve">FOHAMA ELECTROMECÁNICA S.R.L.</t>
  </si>
  <si>
    <t xml:space="preserve">Transformadores Eléctricos FOHAMA desarrolla transformadores especiales para la industria minera, incluyendo unidades no seriadas diseñadas bajo requerimientos particulares de potencia, tensión y condiciones de instalación. Los equipos son fabricados conforme a estándares internacionales (IEC 60076 u otros aplicables), con diseño reforzado para operación continua en ambientes severos.</t>
  </si>
  <si>
    <t xml:space="preserve">https://www.fohama.com.ar/</t>
  </si>
  <si>
    <t xml:space="preserve">FRACHT ARGENTINA SA</t>
  </si>
  <si>
    <t xml:space="preserve">agostina.lambertini@ar.fracht.com</t>
  </si>
  <si>
    <t xml:space="preserve">Expo San Juan Minera 2026. También en: Exponor (ID 667).</t>
  </si>
  <si>
    <t xml:space="preserve">Fracht Group es una empresa de logística internacional y líder del sector en soluciones logísticas integrales. Fundada en 1955 por Mr. Ruedi Reisdorf, nuestra empresa con sede en Suiza sigue siendo orgullosamente independiente y de propiedad familiar hasta el día de hoy. Con una presencia global que abarca más de 150 oficinas en más de 50 países, estamos comprometidos a ofrecer excelencia en logística. Como NVOCC y agentes de cargas tradicional, combinamos lo mejor de ambos mundos para ofrecer un servicio inigualable. Nuestro equipo de más de 2500 expertos en logística alrededor del mundo se asegura de que cada envío se gestione con precisión. En Argentina estamos desde el año 2013 y nos especializamos tanto en cargas de proyecto, así como en cargas marítimas, aéreas y terrestres. Andreas Luedecke (CEO) está al frente de las oficinas en Buenos Aires. Su objetivo principal, es la entrega de soluciones logísticas personalizadas y seguras que brinden a los clientes un valor agregado a nivel local.</t>
  </si>
  <si>
    <t xml:space="preserve">https://www.frachtgroup.com/es</t>
  </si>
  <si>
    <t xml:space="preserve">Exponor (ID 667)</t>
  </si>
  <si>
    <t xml:space="preserve">FRANKLIN ELECTRIC / EROSTARBE INGENIERÍA</t>
  </si>
  <si>
    <t xml:space="preserve">news@fele.com</t>
  </si>
  <si>
    <t xml:space="preserve">E530</t>
  </si>
  <si>
    <t xml:space="preserve">INDUSTRIAS ROTOR PUMP SA</t>
  </si>
  <si>
    <t xml:space="preserve">Con más de 75 años de experiencia, Franklin Electric se ha consolidado como un referente mundial en soluciones de bombeo. Lo que comenzó como una empresa especializada en motores sumergibles, hoy es un proveedor líder de sistemas integrales de agua a nivel global. A través de sus reconocidas marcas —Rotor Pump, Pioneer Pump, Minetuff y WDM— la compañía ha acompañado durante décadas al sector minero, desarrollando soluciones de bombeo confiables y eficientes para aplicaciones exigentes en minería, construcción y túneles. Dewatering en minería subterránea y de superficie, Trasvase de soluciones, Achique en salares, Manejo de aguas abrasivas y sucias, Drenaje de aguas industriales, Control de inundaciones y movimiento de grandes volúmenes de agua. Por su parte, Erostarbe Ingeniería, revendedor autorizado de Franklin Electric en Argentina, aporta más de 60 años de trayectoria en la industria del bombeo. Con base en San Juan, ofrece un servicio integral respaldado por un equipo de profesionales altamente calificados, que acompañan cada proyecto desde la selección del equipo hasta su puesta en marcha y mantenimiento.</t>
  </si>
  <si>
    <t xml:space="preserve">https://www.rotorpump.com/</t>
  </si>
  <si>
    <t xml:space="preserve">FREGUGLIA CARPAS S.A</t>
  </si>
  <si>
    <t xml:space="preserve">comercial@grupofreguglia.com</t>
  </si>
  <si>
    <t xml:space="preserve">Grupo Freguglia es una empresa dedicada a desarrollar soluciones innovadoras para las necesidades de almacenamiento y logística en todo tipo de industria. Somos especialistas en infraestructuras temporales y semipermanentes.</t>
  </si>
  <si>
    <t xml:space="preserve">https://www.grupofreguglia.com/</t>
  </si>
  <si>
    <t xml:space="preserve">FRESOMAC SAC</t>
  </si>
  <si>
    <t xml:space="preserve">fredy.ccarhuaypina@fresomac.com</t>
  </si>
  <si>
    <t xml:space="preserve">Expo San Juan Minera 2026. También en: ExpoMina (ID 465).</t>
  </si>
  <si>
    <t xml:space="preserve">A163</t>
  </si>
  <si>
    <t xml:space="preserve">FRESOMAC S.A.C. es una empresa peruana especializada en brindar soluciones integrales para los sectores minero e industrial, con sólida experiencia en la fabricación, mecanizado de alta precisión, mantenimiento, reparación y overhaul de equipos, así como en la comercialización de repuestos y alquiler de maquinaria. Operamos bajo estándares internacionales de calidad, respaldados por la certificación ISO 9001:2015, que garantiza procesos controlados, eficiencia operativa y mejora continua. Asimismo, contamos con procesos de homologación que validan nuestra capacidad técnica, operativa y de gestión en el sector. Nuestro enfoque está orientado a optimizar la eficiencia y continuidad operativa de nuestros clientes, a través de soluciones confiables, seguras e innovadoras, alineadas a los más altos estándares de seguridad, calidad y sostenibilidad.</t>
  </si>
  <si>
    <t xml:space="preserve">https://www.fresomac.com/</t>
  </si>
  <si>
    <t xml:space="preserve">ExpoMina (ID 465)</t>
  </si>
  <si>
    <t xml:space="preserve">FUGRO CHILE S.A.</t>
  </si>
  <si>
    <t xml:space="preserve">p.bachmann@gmail.com</t>
  </si>
  <si>
    <t xml:space="preserve">FUGRO</t>
  </si>
  <si>
    <t xml:space="preserve">https://www.fugro.com/</t>
  </si>
  <si>
    <t xml:space="preserve">GALVANOTECNIA DEL OESTE S.A.</t>
  </si>
  <si>
    <t xml:space="preserve">info@gdosa.com.ar</t>
  </si>
  <si>
    <t xml:space="preserve">Equipos Sometidos a Presión y Repuestos O &amp; G y Minería Galvanotecnia del Oeste S.A. es una empresa metalmecánica con una trayectoria de más de 60 años en el mercado Oil &amp; Gas. Los productos que ofrece son equipos sometidos a presión intercambiadores de calor, aeroenfriadores, separadores trifásicos, FWKO, acumuladores, tanques, calentadores indirectos, filtros, calderas, torres, y repuestos para bombas, válvulas y equipos de superficie.</t>
  </si>
  <si>
    <t xml:space="preserve">https://www.gdosa.com.ar/</t>
  </si>
  <si>
    <t xml:space="preserve">GASATEX S.A</t>
  </si>
  <si>
    <t xml:space="preserve">earce@gasatex.com.ar</t>
  </si>
  <si>
    <t xml:space="preserve">D415</t>
  </si>
  <si>
    <t xml:space="preserve">GASATEX S.A.</t>
  </si>
  <si>
    <t xml:space="preserve">SOMOS UNA EMPRESA NACIONAL DEDICADA A LA FABRICACIÓN DE PRODUCTOS FILTRANTE EN TEJIDOS SINTÉTICOS. ENTRE NUESTROS PRODUCTOS DESTACADOS ESTÁN LOS PAÑOS PARA FILTROS PRENSA, FUNDAS PARA EQUIPOS CLARIFICADORES, TELAS PLÁSTICAS PARA ZARANDAS LINEALES, MANGAS PARA FILTRACIÓN SECA, BOLSAS MICRONIZADAS, ZARANDAS EN ACERO INOXIDABLE.</t>
  </si>
  <si>
    <t xml:space="preserve">https://www.gasatex.com.ar/</t>
  </si>
  <si>
    <t xml:space="preserve">GIOVAGNOLI SRL</t>
  </si>
  <si>
    <t xml:space="preserve">maitelopergolo@giovagnoli.com.ar</t>
  </si>
  <si>
    <t xml:space="preserve">Hace más de medio siglo, en Giovagnoli S.R.L. hemos consolidado nuestra posición como el socio estratégico fundamental para el sector industrial argentino. Con sede en el corazón del polo industrial de Rosario, combinamos casi seis décadas de experiencia con una visión joven y disruptiva para ofrecer soluciones de alta ingeniería. Representamos y distribuimos marcas líderes a nivel mundial como Flowserve, SKF, TotalEnergies y Atlas Copco, asegurando que cada componente de las plantas sea sinónimo de confiabilidad y eficiencia operativa. Además ofrecemos soluciones con nuestros servicios certificados de aval internacional. Garantizamos la disponibilidad inmediata de componentes críticos mediante una gestión logística eficiente y acompañamos al cordón industrial a innovar en sus procesos.</t>
  </si>
  <si>
    <t xml:space="preserve">https://www.giovagnoli.com.ar/</t>
  </si>
  <si>
    <t xml:space="preserve">GRUPO ARG</t>
  </si>
  <si>
    <t xml:space="preserve">Isla: 35 | Isla: 41</t>
  </si>
  <si>
    <t xml:space="preserve">Sobre la empresa | About the Company ESPAÑOL En Grupo ARG Carpas Argentinas SRL, desarrollamos y proveemos soluciones técnicas para operaciones mineras e industriales en todo el país. Nos especializamos en la fabricación y provisión de carpas industriales, módulos habitacionales, carpas térmicas, sistemas de ventilación para minería subterránea, ductos de alta resistencia, flexitanks, soluciones térmicas y estructuras técnicas, así como en la representación de productos técnicos complementarios, adaptados a las condiciones más exigentes de operación. Contamos con más de 10 años de experiencia acompañando a la industria minera argentina, con presencia en operaciones mineras subterráneas a lo largo de todo el país y en proyectos de exploración, donde hemos suministrado soluciones a medida y miles de metros de ductos de ventilación. Trabajamos bajo estándares de calidad certificados (ISO 9001), combinando producción local, ingeniería aplicada y una fuerte orientación a la operación real, lo que nos permite responder con rapidez, flexibilidad y precisión técnica. Nos diferenciamos por nuestra capacidad de: Entender la necesidad en campo y transformarla en solución concreta Adaptar productos a cada operación Acompañar al cliente desde el relevamiento hasta la implementación Cumplir en entornos exigentes donde el error no es opción En ARG, no vendemos productos: resolvemos problemas operativos en minería. ENGLISH At Grupo ARG Carpas Argentinas SRL, we develop and supply technical solutions for mining and industrial operations across Argentina. We specialize in the manufacturing and supply of industrial shelters, modular housing units, thermal shelters, underground mine ventilation systems, high-resistance ducts, flexitanks, thermal solutions, and technical structures, as well as the representation of complementary technical products, designed to perform under the most demanding operating conditions. With over 10 years of experience supporting the Argentine mining industry, we have a strong presence in underground mining operations across the country as well as exploration projects, delivering tailored solutions and thousands of meters of ventilation ducting. We operate under certified quality standards (ISO 9001), combining local manufacturing, applied engineering, and a strong field-oriented approach, allowing us to respond with speed, flexibility, and technical precision. Our key strengths: Understanding real operational needs and turning them into practical solutions Customizing products for each project Supporting clients from site assessment to implementation Delivering reliably in high-demand environments where failure is not an option At ARG, we don’t just sell products — we solve operational challenges in mining.</t>
  </si>
  <si>
    <t xml:space="preserve">GRUPO ENG</t>
  </si>
  <si>
    <t xml:space="preserve">info@grupoeng.com</t>
  </si>
  <si>
    <t xml:space="preserve">GRUPO ENG S.A.</t>
  </si>
  <si>
    <t xml:space="preserve">Diseño, Fabricación y Montaje de Estructuras Metálicas y Equipos Industriales. Empresa Familiar que inició sus actividades industriales en 1966, hoy es un referente regional en la fabricación de estructuras metálicas llave en mano. Certificada ISO 9001:2015 en diseño, fabricación y montaje de estructuras metálicas, realizando obras de infraestructuras en la industria del Oil &amp; Gas, Minería, Petroquímica, Construcción, Aeroportuaria, Transporte, Energética, etc. Participó en la fabricación de estructuras en varios aeropuertos, estaciones ferroviarias, puertos, puentes, estructuras en refinerías, parrales, torres, edificios, etc. Cuenta con maquinarias CNC y software BIM para la resolución de todas las tipologías constructivas que los distintos proyectos puedan presentar.</t>
  </si>
  <si>
    <t xml:space="preserve">https://www.grupoeng.com/</t>
  </si>
  <si>
    <t xml:space="preserve">GRUPO L</t>
  </si>
  <si>
    <t xml:space="preserve">SERVICIOS ATLANTICOS S.A</t>
  </si>
  <si>
    <t xml:space="preserve">GRUPO PAGLIA</t>
  </si>
  <si>
    <t xml:space="preserve">ventas@grupopaglia.com</t>
  </si>
  <si>
    <t xml:space="preserve">Isla: 53</t>
  </si>
  <si>
    <t xml:space="preserve">PAGLIA MAURO MIGUEL</t>
  </si>
  <si>
    <t xml:space="preserve">Grupo Paglia es una empresa argentina con más de 35 años de trayectoria en el desarrollo y fabricación de soluciones metalúrgicas para el trabajo intensivo. Nacida en Charata, la compañía se ha consolidado como un referente en la fabricación de implementos agrícolas y equipamiento para pick-ups, con presencia en todo el país y proyección en mercados de países vecinos. A lo largo de su historia, Grupo Paglia ha evolucionado combinando experiencia en el sector agroindustrial con innovación en diseño y procesos productivos. Actualmente, la empresa desarrolla trays, canopies y accesorios para camionetas, además de soluciones específicas para el trabajo rural, minero e industrial. Su diferencial radica en la integración de ingeniería estructural, calidad de fabricación y diseño moderno, logrando productos robustos, confiables y preparados para condiciones de uso exigentes. Cada desarrollo está pensado para optimizar la operación diaria de sus clientes, priorizando la durabilidad, la funcionalidad y la estética. Con una visión orientada al crecimiento y la mejora continua, Grupo Paglia se posiciona como una marca que representa experiencia, innovación y solidez, acompañando a quienes necesitan herramientas de trabajo que realmente respondan en el terreno.</t>
  </si>
  <si>
    <t xml:space="preserve">https://grupopaglia.com/</t>
  </si>
  <si>
    <t xml:space="preserve">GRUPO SIE</t>
  </si>
  <si>
    <t xml:space="preserve">info@ingenieriasie.com</t>
  </si>
  <si>
    <t xml:space="preserve">A137</t>
  </si>
  <si>
    <t xml:space="preserve">SIE INGENIERIA S.R.L</t>
  </si>
  <si>
    <t xml:space="preserve">En Grupo SIE desarrollamos soluciones integrales de ingeniería eléctrica para la industria y obras de infraestructura, acompañando a nuestros clientes desde la concepción del proyecto hasta su puesta en marcha y mantenimiento. Contamos con más de 15 años de experiencia brindando servicios que abarcan: ⚡ Ingeniería eléctrica Diseño y desarrollo de proyectos adaptados a cada necesidad, con foco en eficiencia, escalabilidad y cumplimiento normativo. ⚡ Obras y montajes eléctricos Ejecución de instalaciones industriales y de infraestructura, garantizando calidad, seguridad y cumplimiento de plazos. ⚡ Fabricación de tableros eléctricos Producción de tableros protocolizados certificados por Schneider Electric, preparados para entornos críticos como industria, salud, minería y energía. ⚡ Servicios y mantenimiento Optimización, modernización y mantenimiento de instalaciones eléctricas para asegurar continuidad operativa y máxima performance. Además, contamos con certificaciones que respaldan la calidad de nuestro trabajo: somos Partner Builder y EcoXpert de Schneider Electric, lo que garantiza que nuestros procesos, soluciones y tableros cumplen con estándares internacionales de excelencia. Nos diferenciamos por ofrecer soluciones a medida, combinando ingeniería, tecnología y experiencia en campo. Trabajamos con estándares internacionales, priorizando la seguridad, la confiabilidad y la eficiencia energética, con un fuerte compromiso en acompañar el crecimiento de nuestros clientes a largo plazo. En Grupo SIE, no solo ejecutamos proyectos: diseñamos la infraestructura eléctrica que sostiene el futuro de la industria</t>
  </si>
  <si>
    <t xml:space="preserve">https://ingenieriasie.com/</t>
  </si>
  <si>
    <t xml:space="preserve">GRUPO SIMPA</t>
  </si>
  <si>
    <t xml:space="preserve">vtaboada@simpa.com.ar</t>
  </si>
  <si>
    <t xml:space="preserve">Isla: 46</t>
  </si>
  <si>
    <t xml:space="preserve">Grupo Simpa es una empresa de capitales nacionales que desarrolla actividades productivas y comerciales en Argentina y la región para sus 3 divisiones: rodados, plásticos y herramientas. Actualmente cuenta con alrededor de 250 colaboradores distribuidos en sus locaciones de Argentina, Brasil y México. Grupo Simpa se destaca como líder en cada una de sus unidades de negocio, ubicándose como una de las empresas de mayor relevancia y reconocimiento a nivel nacional y regional para sus segmentos. DIVISIÓN HERRAMIENTAS La División Herramientas se dedica desde 1991 a la producción, venta y distribución de herramientas con desarrollos de marca propios: Gamma Máquinas y UMI como también a través de acuerdos de distribución con marcas internacionales: Comet y B+D. Actualmente, Gamma es líder en numerosos segmentos de herramientas en Argentina, atendiendo de forma directa a más de 1.300 ferreterías industriales como así a los principales actores del sector, supermercados, homecenters y cadenas de línea blanca. Gamma cuenta con una amplia red comercial y más de 140 servicios técnicos oficiales en todo el país, constituyendo una verdadera red nacional de servicio. Paralelamente a su desarrollo en Argentina, Gamma cuenta con una operación directa en Brasil y también comercializa sus productos en Uruguay, Paraguay y Chile Desde fines de 2021, Gamma Máquinas se encuentra produciendo algunos segmentos de herramientas en la nueva Planta Pilar de Grupo Simpa. Entre estas, se encuentran diversos modelos de soldadoras, aspiradoras y grupos electrógenos, con vistas a continuar expandiendo el portafolio de productos de fabricación nacional en el futuro.</t>
  </si>
  <si>
    <t xml:space="preserve">https://simpa.com.ar/</t>
  </si>
  <si>
    <t xml:space="preserve">GRUPO SP FORWARDING</t>
  </si>
  <si>
    <t xml:space="preserve">ptrabattoni@grupo-sp.com.ar</t>
  </si>
  <si>
    <t xml:space="preserve">GYE SA</t>
  </si>
  <si>
    <t xml:space="preserve">GRUPO SP es un forwarder AEREO integral, con casa central en Rosario - Santa Fe y sucursales en Cordoba, Tucuman, Salta, Santa Fe, Paraná, Mar del Plata, Ezeiza (Buenos Aires), Neuquen operando además de Ezeiza (EZE) con todos los aeropuertos del interior de Argentina. Servicios disponibles: - courier impo &amp; expo (somos partner de FEDEX y UPS en todo el interior de Argentina) - OLES (operador logistico exporta simple), servicio para empresas que aun no son exportadores y quieren exportar - AGENTE ACREDITADO IATA operando además de Ezeiza (EZE) y (AEP) varios aeropuertos del interior de Argentina con transitos de IMPO Y EXPO como por ejemplo: ROS, COR, MDZ, UAQ, LUQ, PSS, IGR, SLA, TUC, JUJ, SFN, PRA, RGL, CRD, USH y otros. Somos miembros de WCA. Ademas de carga general trabajamos con mercancías peligrosas y perecederos, siendo miembros de WCA Dangerous Goods Network and Perishables network. Para empresas que no cuenta con un despachante de aduana podemos también brindarles el servicio de despacho aduanero. Nuestra empresa tiene 27 años de experiencia y está especializada en Minería y Oil &amp; Gas. Nuestros servicios estan dispnibles en todas las provincias: Rio Negro, San Juan, Mendoza, Salta, Catamarca, Jujuy, Santa Cruz, Cordoba, Tucuman, Neuquen, Chubut y otras, con oficinas propias en varias de ellas. Somos proveedores locales en, Jujuy, San Juan and other provinces por estar asociados a CaPEMISA en Salta (compre local en convenio con las otras camaras).</t>
  </si>
  <si>
    <t xml:space="preserve">http://www.grupo-sp.com.ar/</t>
  </si>
  <si>
    <t xml:space="preserve">HERMANN PAUS</t>
  </si>
  <si>
    <t xml:space="preserve">HIDROPUMP</t>
  </si>
  <si>
    <t xml:space="preserve">jimmi.munar@geohidraulica.com.pe</t>
  </si>
  <si>
    <t xml:space="preserve">CONSORCIO GEOHIDRAULICA S.A.C.</t>
  </si>
  <si>
    <t xml:space="preserve">Consorcio Geohidráulica es una empresa especializada en soluciones integrales de sistemas de bombeo para la industria minera e industrial. Diseñamos, fabricamos y operamos sistemas que garantizan la continuidad operativa de nuestros clientes, optimizando costos y maximizando la eficiencia. Nuestra propuesta combina: * Ingeniería aplicada al sistema completo de bombeo (no solo al equipo) * Fabricación de bombas sumergibles y estacionarias * Alquiler de equipos * Operación y mantenimiento integral (predictivo, preventivo y correctivo) * Reparación multimarca hasta 800 HP y fabricación de repuestos alternativos A través de modelamiento hidráulico y análisis técnico, identificamos oportunidades de optimización que generan ahorros reales para el cliente. Con presencia internacional en América, África, Europa y Asia, nuestra principal ventaja competitiva es la rapidez de respuesta, confiabilidad técnica y enfoque en resultados operativos, asegurando que los sistemas críticos de bombeo nunca se detengan.</t>
  </si>
  <si>
    <t xml:space="preserve">https://geohidraulica.com/</t>
  </si>
  <si>
    <t xml:space="preserve">HORMISERV</t>
  </si>
  <si>
    <t xml:space="preserve">ventas@hormiserv.com.ar</t>
  </si>
  <si>
    <t xml:space="preserve">Isla: MP J</t>
  </si>
  <si>
    <t xml:space="preserve">Empresa certificada bajo normas ISO 9001:2015, líder en San Juan dedicada a la venta de hormigón y premoldeados civiles. Cuenta con presencia continua en los diferentes proyectos mineros que se desarrollan en la Provincia de San Juan, con servicios como provisión de Hormigón elaborado en sitios remotos, fabricación de elementos premoldeados, Gestión de RSU y Rental de equipos (camiones regadores, equipos viales) entre otros.</t>
  </si>
  <si>
    <t xml:space="preserve">https://www.hormiserv.com/</t>
  </si>
  <si>
    <t xml:space="preserve">HOSE POWER S.A</t>
  </si>
  <si>
    <t xml:space="preserve">B232</t>
  </si>
  <si>
    <t xml:space="preserve">En Hose Power diseñamos, fabricamos y comercializamos mangueras técnicas para una amplia gama de aplicaciones donde se requieren productos de alto rendimiento. Brindamos una propuesta de valor diferenciada a nuestros clientes, ofreciendo un portfolio completo de productos de primera calidad tanto para aplicaciones de reemplazo como para fabricantes de equipos originales. Nuestro compromiso es el de proveer soluciones superadoras que aumenten la productividad de nuestros clientes. Valoramos una cultura de ética fuerte con todos nuestros socios de la cadena de suministros, incluyendo clientes y proveedores. Crear y mantener una relación de confianza y transparencia, son la base para una plataforma de mutuo beneficio y crecimiento. Nuestro éxito como empresa depende del mejor activo de Hose Power: Nuestra gente. Su experiencia, conocimiento, amplitud y diversidad, son la base para ofrecer un servicio excepcional a nuestros clientes.</t>
  </si>
  <si>
    <t xml:space="preserve">HYFLON</t>
  </si>
  <si>
    <t xml:space="preserve">sales@hfguard.com</t>
  </si>
  <si>
    <t xml:space="preserve">F600</t>
  </si>
  <si>
    <t xml:space="preserve">H Group es una red de soluciones integrales dedicada a mejorar continuamente la eficiencia industrial y la confiabilidad operativa. Trabajamos para maximizar la disponibilidad de los procesos productivos, combinando tecnología avanzada, innovación y un firme compromiso con la sostenibilidad para reducir costos operativos en las industrias más exigentes. Lo que hacemos (Nuestras Divisiones Especializadas): Contamos con seis unidades de negocio estratégicas que cubren todo el ciclo de confiabilidad: HYFLON: Expertos en ingeniería y soluciones de lubricación industrial y tribología. HF GUARD: Provisión de insumos y equipos diseñados para proteger los activos y optimizar el mantenimiento. HG LAB: Laboratorio especializado en análisis de lubricantes y grasas para predecir el desgaste y prolongar la vida útil de los equipos. HG CONTROL: Líderes en Mantenimiento 4.0, utilizando sensores y monitoreo en tiempo real para decisiones informadas. HG TRAINING: Formación y certificación de profesionales en confiabilidad, mantenimiento y mejores prácticas industriales. HG SERVICE: Servicios tercerizados de mantenimiento especializado, filtración, deshidratación y gestión de lubricación en planta. Confianza Respaldada por Líderes Globales Nuestra capacidad operativa está validada por la confianza de marcas líderes como Coca-Cola, PepsiCo, YPF, Cargill, Arcor, Pan American Energy y muchas otras. Operamos con una red global de socios y distribuidores destacados en Argentina, Chile, Perú, México, Colombia, Ecuador y Bélgica.</t>
  </si>
  <si>
    <t xml:space="preserve">https://www.hfguard.com/</t>
  </si>
  <si>
    <t xml:space="preserve">IDERO</t>
  </si>
  <si>
    <t xml:space="preserve">ventas@idero.com.ar</t>
  </si>
  <si>
    <t xml:space="preserve">Isla: 2C</t>
  </si>
  <si>
    <t xml:space="preserve">IDERO es la empresa líder en Argentina en construcción industrializada con alto valor agregado, que integra la industria con la arquitectura. Cuenta con más de 30 años de experiencia brindando soluciones constructivas innovadoras utilizando las bondades del acero. Construye llave en mano viviendas modulares, edificios modulares, módulos hoteleros, edificios habitacionales y comerciales, entre otros.</t>
  </si>
  <si>
    <t xml:space="preserve">http://www.idero.com.ar/</t>
  </si>
  <si>
    <t xml:space="preserve">IFLUTECH</t>
  </si>
  <si>
    <t xml:space="preserve">latam01@iflutech.com</t>
  </si>
  <si>
    <t xml:space="preserve">Expo San Juan Minera 2026. También en: Directorio SSO (ID 336); ExpoMina (ID 121); Exponor (ID 269).</t>
  </si>
  <si>
    <t xml:space="preserve">A154 | A155</t>
  </si>
  <si>
    <t xml:space="preserve">IFLUTECH SAC</t>
  </si>
  <si>
    <t xml:space="preserve">Soluciones integrales en sistemas de Bombeo.</t>
  </si>
  <si>
    <t xml:space="preserve">Directorio SSO (ID 336); ExpoMina (ID 121); Exponor (ID 269)</t>
  </si>
  <si>
    <t xml:space="preserve">IFM ELECTRONIC SRL</t>
  </si>
  <si>
    <t xml:space="preserve">Expo San Juan Minera 2026. Sin email publicado. También en: AquaSur (ID 47).</t>
  </si>
  <si>
    <t xml:space="preserve">AquaSur (ID 47)</t>
  </si>
  <si>
    <t xml:space="preserve">IMPO ESTRUCTURAS METÁLICAS</t>
  </si>
  <si>
    <t xml:space="preserve">gcarbonell@imposa.com.ar</t>
  </si>
  <si>
    <t xml:space="preserve">A150</t>
  </si>
  <si>
    <t xml:space="preserve">IMZAMA POTES</t>
  </si>
  <si>
    <t xml:space="preserve">Somos fabricantes especializado en estructuras metálicas de mediano y gran porte, referentes en el mercado del cemento, minería y Oil and Gas desde hace más de 15 años. Contamos con uno de los talleres más importantes de Argentina, donde trabajamos con las últimas tecnologías disponibles y un equipo de trabajo enfocado en la mejora continua. En estos talleres, se producen 500Tn de estructuras por mes, sin descuidar la calidad y las exigencias de nuestros clientes. Imzama Potes ha participado en la construcción de los proyectos más importantes en minería, tanto metalífera como últimamente en Litio.</t>
  </si>
  <si>
    <t xml:space="preserve">https://imposa.com.ar/unidades-de-negocio/estructuras-metalicas/</t>
  </si>
  <si>
    <t xml:space="preserve">INBELT</t>
  </si>
  <si>
    <t xml:space="preserve">inbelt@inbelt.com.ar</t>
  </si>
  <si>
    <t xml:space="preserve">A135</t>
  </si>
  <si>
    <t xml:space="preserve">INBELT S.A</t>
  </si>
  <si>
    <t xml:space="preserve">(ESP) Diseñamos protecciones mecánicas/químicas de equipos a partir del empleo de todo tipo de elastómeros (cauchos naturales, sintéticos, poliuretanos), cerámicas y aceros anti-desgaste. (ENG) We design mechanical and chemical protection systems for equipment through the use of all types of elastomers (natural rubber, synthetic rubber, polyurethanes), ceramics, and wear-resistant steels.</t>
  </si>
  <si>
    <t xml:space="preserve">https://inbelt.com.ar/</t>
  </si>
  <si>
    <t xml:space="preserve">INCIMMET S.A.</t>
  </si>
  <si>
    <t xml:space="preserve">smontero@incimmet.com</t>
  </si>
  <si>
    <t xml:space="preserve">Expo San Juan Minera 2026. También en: Directorio SSO (ID 80); Exponor (ID 47).</t>
  </si>
  <si>
    <t xml:space="preserve">Somos una empresa regional activa en Latinoamérica en países como Perú, Colombia, Chile, México, Brasil, Argentina, Ecuador, Nicaragua y Bolivia. Contamos con más de 32 años de experiencia en la región y estamos comprometidos en brindar servicios de calidad con altos estándares de seguridad y productividad. Actualmente realizamos más de 56 km de túneles anuales en excavación horizontal y más de 3 km de chimeneas (piques) construidas en diámetros de 1.5 a 6 metros. Contamos con tres sólidas unidades de negocio: Minería Subterránea, Minería Superficial e Infraestructura. MINERÍA SUBTERRÁNEA Somos una contratista que brinda Soluciones Integrales en Excavación a través de una amplia gama de servicios, lo que se traduce en un menor costo de producción para nuestros mandantes. Trabajamos de manera independiente para elevar la productividad y mejorar los estándares de seguridad. Principales servicios: Excavación vertical, excavación horizontal, relleno de minas (backfill), explotación (perforación radial), shotcrete, cable bolting, servicios auxiliares, obras civiles en mina y acarreo y transporte. INFRAESTRUCTURA Sabemos que nuestra trayectoria es valiosa para los retos que enfrenta el sector de infraestructura. Queremos participar activamente en reducir el déficit en obras de infraestructura que tiene Latinoamérica y ser una alternativa atractiva para nuestros mandantes. Principales servicios: Perforación y tronadura, tunelería y obras civiles. CLIENTES ACTUALES EN LA REGIÓN: Perú: ü Nexa Resources: Cerro Lindo, El Porvenir ü Compañía de Minas Buenaventura: Tambomayo, Orcopampa, El Brocal ü Compañía Minera Raura: Raura ü Compañia Minera Poderosa S.A.: Santa María ü Volcan Compañía Minera: Romina, San Cristóbal Colombia: ü Zijin-Continental Gold: Buriticá ü Aris Mining: Marmato y Segovia ü Hidroeléctrica del Río Aures. Brasil: ü Atlantic Nickel: Santa Rita. Chile: ü Antofagasta Minerals: Proyecto Cachorro ü Compañía Minera del Pacífico: El Romeral Ecuador: ü Lundin Gold Ecuador: Fruta del Norte Argentina: ü Hochschild: San José Nicaragua: ü Hemco: Bonanza</t>
  </si>
  <si>
    <t xml:space="preserve">https://wwww.incimmet.com/</t>
  </si>
  <si>
    <t xml:space="preserve">Directorio SSO (ID 80); Exponor (ID 47)</t>
  </si>
  <si>
    <t xml:space="preserve">INDUSTRIA GEO S.A.</t>
  </si>
  <si>
    <t xml:space="preserve">gfb@industriageo.com</t>
  </si>
  <si>
    <t xml:space="preserve">D447 | D448</t>
  </si>
  <si>
    <t xml:space="preserve">INDUSTRIA GEO S.A</t>
  </si>
  <si>
    <t xml:space="preserve">Bolsas para muestras mineras secas y húmedas, -Cajas portatestigos, -Cajas para cutting, -Discos de corte diamantados, -Venta y alquiler de máquinas de corte, -Insumos para geología.</t>
  </si>
  <si>
    <t xml:space="preserve">https://www.industriageo.com/</t>
  </si>
  <si>
    <t xml:space="preserve">INDUSTRIAL BELGRANO</t>
  </si>
  <si>
    <t xml:space="preserve">info@ibsa.com.ar</t>
  </si>
  <si>
    <t xml:space="preserve">C300</t>
  </si>
  <si>
    <t xml:space="preserve">INDUSTRIAL BELGRANO S.A.</t>
  </si>
  <si>
    <t xml:space="preserve">Desde 1955 nos dedicamos a la provisión integral de insumos industriales para instalaciones y mantenimiento en el sector Minero, Naval, Industrial e Incendio. Contamos con stock permanente de caños (acero al carbono; inoxidable; HDPE; CPVC y PVC); válvulas; accesorios, y más de un centenar de productos complementarios. También somos representantes exclusivos en Argentina de revestimientos anticorrosivos y antiabrasivos DEVCON y productos para fijación de maquinarias y grandes equipos CHOCKFAST.</t>
  </si>
  <si>
    <t xml:space="preserve">https://www.ibsa.com.ar/</t>
  </si>
  <si>
    <t xml:space="preserve">INDUSTRIAS MECA</t>
  </si>
  <si>
    <t xml:space="preserve">INDUSTRIASMECASJ@GMAIL.COM</t>
  </si>
  <si>
    <t xml:space="preserve">INDUSTRIAS MECA S. R. L.</t>
  </si>
  <si>
    <t xml:space="preserve">Argentina Solar es una empresa familiar sanjuanina con visión nacional e internacional, dedicada a la fabricación y desarrollo de soluciones integrales en energía solar, metalurgica de precisión y logística pesada. MISIÓN Ofrecer soluciones integrales en energía solar, metalurgia, logística y estructuras industriales, combinando innovación, calidad y compromiso sustentable. VISIÓN Ser una empresa argentina líder y reconocida por su capacidad productiva, su responsabilidad ambiental y su impacto positivo en sectores estratégicos como la industria, el agro, la logística, la construcción y la energía.</t>
  </si>
  <si>
    <t xml:space="preserve">https://argentinasolar.com.ar/</t>
  </si>
  <si>
    <t xml:space="preserve">INELEC</t>
  </si>
  <si>
    <t xml:space="preserve">marketing@ineleconline.com</t>
  </si>
  <si>
    <t xml:space="preserve">E535</t>
  </si>
  <si>
    <t xml:space="preserve">Innovación en higiene para baños públicos Desde 1946, INELEC lidera el mercado desarrollando soluciones inteligentes para baños públicos que combinan diseño, tecnología y sustentabilidad. Brindamos soluciones integrales que incluyen el suministro de equipamiento, la integración de sistemas y el soporte técnico, garantizando un funcionamiento eficiente en espacios de alto tránsito. Nuestra amplia gama de productos está diseñada para optimizar el uso del baño, mejorar la experiencia del usuario y reducir costos operativos. Lo que diferencia a INELEC es su enfoque en la durabilidad, la eficiencia y la sustentabilidad, ofreciendo sistemas robustos y antivandálicos que reducen el consumo de agua, minimizan residuos y elevan los estándares de higiene. Comprometidos con el cuidado del medio ambiente, las soluciones INELEC acompañan proyectos de construcción sustentable y contribuyen a la obtención de Créditos LEED.</t>
  </si>
  <si>
    <t xml:space="preserve">https://ineleconline.com/</t>
  </si>
  <si>
    <t xml:space="preserve">INEXLINK ARGENTINA</t>
  </si>
  <si>
    <t xml:space="preserve">Economía Circular. Le damos valor a tu bienes en desuso y te ayudamos a comercializarlos Procurement. No solo compramos lo que necesitas, ayudamos creando vínculos claves y desarrollamos proveedores con estándares globales. Brindamos soluciones a medida</t>
  </si>
  <si>
    <t xml:space="preserve">INMEBA SRL</t>
  </si>
  <si>
    <t xml:space="preserve">comercial@inmebasrl.com</t>
  </si>
  <si>
    <t xml:space="preserve">INMEBA se dedica desde hace ya más de 40 años al diseño y fabricación de Piezas Especiales Mecanizadas CNC en hasta 5 ejes de trabajo de gran porte y precisión, Conjuntos Mecánicos en pequeñas y medianas series, Celdas Robotizadas, Dispositivos de Ensamble, de Soldadura y para la Manipulación y Colocación de Piezas (Mecánicos, Neumáticos, Electro neumáticos e Hidráulicos), Calibres Especiales de Control (Mecánicos y Electrónicos), Moldes y Matrices para las principales industrias del país y el mundo de diversos rubros como ser: Automotriz, Aeronáutico, Espacial, Ferroviario, Minería, Petróleo y Gas, Energías Alternativas, Nuclear, Alimenticio y Agropecuario entre otros.</t>
  </si>
  <si>
    <t xml:space="preserve">https://inmebasrl.com/</t>
  </si>
  <si>
    <t xml:space="preserve">INTERNATIONAL CARGO S.A.</t>
  </si>
  <si>
    <t xml:space="preserve">intlcargo@intlcargo.com.ar</t>
  </si>
  <si>
    <t xml:space="preserve">D467</t>
  </si>
  <si>
    <t xml:space="preserve">QUIéNES SOMOS? El nacimiento de International Cargo S.A data del 15 de Noviembre de 1999, en tiempos muy difíciles para nuestro país. Durante los primeros años nuestra empresa focalizó todos sus esfuerzos en asentar muy bien sus raíces y así poder desarrollar todo el know how en materia de logística internacional. Años de experiencia y crecimiento en el rubro han moldeado nuestros enfoques permitiendo interpretar las prioridades de nuestros clientes. Todo esto, resulta en exitosas soluciones a la medida de sus necesidades. Nuestro equipo de trabajo se encuentra capacitado para el manejo y transporte de carga general, perecedera, peligrosa y de proyecto. Nos basamos en la filosofía de flexibilidad y adaptación al crecimiento de clientes desarrollado relaciones comerciales a largo plazo y agilizando constantemente los procesos de gestión de servicio con el objetivo de enfocar la correcta atención en todos nuestros embarques. En conjunto con nuestra red de agentes, con presencia en los cinco continentes, logramos una amplia variedad de planes logísticos para los diferentes tipo de empresas / estructura siempre con la meta de generar ventajas competitivas tanto en los costos como en el tiempo de entrega. MISIóN - VISIóN - VALORES Misión Ofrecer servicios de alta calidad y soluciones globales en logística internacional para permitirles alcanzar a nuestros clientes la mayor productividad en sus operaciones y facilitarles la expansión comercial. Visión Ser un referente logístico importante y reconocido ante nuestros clientes. Asegurándoles la máxima calidad de nuestros servicios. Valores Confiabilidad - Seguridad - Compromiso - Responsabilidad - Honestidad y Profesionalismo son los pilares fundamentales que constituyen a International Cargo S.A para el desarrollo de sus actividades. Características tales como la Confiabilidad, la Responsabilidad y la Honestidad nos distinguen; todos estos conceptos fuertemente arraigados a un concepto principal funcionan como la base fundamental de nuestra empresa; El compromiso.</t>
  </si>
  <si>
    <t xml:space="preserve">https://www.intlcargo.com.ar/</t>
  </si>
  <si>
    <t xml:space="preserve">IPH</t>
  </si>
  <si>
    <t xml:space="preserve">marketing@iphglobal.com</t>
  </si>
  <si>
    <t xml:space="preserve">A142</t>
  </si>
  <si>
    <t xml:space="preserve">IPH SAICF</t>
  </si>
  <si>
    <t xml:space="preserve">IPH es una empresa argentina con más de 75 años de trayectoria, especializada en la fabricación de cables de acero y en el desarrollo de soluciones integrales para el izaje, amarre y movimiento de cargas. Con un fuerte enfoque en la calidad, la seguridad y la innovación, IPH acompaña a industrias clave como oil &amp; gas, minería, construcción, pesca, ascensores y operaciones portuarias. Nuestro portafolio de productos incluye cables de acero de alto rendimiento, eslingas sintéticas diseñadas y certificadas por IPH (PROCINTA) y una amplia gama de accesorios para izaje de marcas líderes a nivel mundial como Crosby, Yoke y Thiele. Ofrecemos grilletes, ganchos, tensores, terminales, eslabones de conexión, destorcedores y otros componentes críticos para operaciones seguras de movimiento de cargas. Además, IPH brinda servicios de valor agregado como asesoramiento técnico, desarrollo de soluciones a medida, capacitaciones, inspección y certificación de equipos de izaje, y soporte en campo. Nuestro compromiso es ofrecer soluciones confiables, eficientes y seguras, adaptadas a las necesidades operativas de cada cliente.</t>
  </si>
  <si>
    <t xml:space="preserve">https://www.iphglobal.com/</t>
  </si>
  <si>
    <t xml:space="preserve">IVANAR SA</t>
  </si>
  <si>
    <t xml:space="preserve">Ventas@ivanar.com.ar</t>
  </si>
  <si>
    <t xml:space="preserve">Somos una empresa argentina con más de 50 años de trayectoria, dedicada al comercio de productos siderúrgicos. Con el paso de los años, nuestra constante evolución nos ha convertido en un líder en el sector, ofreciendo soluciones para la construcción, el agro y la industria. Nuestro compromiso con la innovación, el trabajo en equipo y la responsabilidad con el medio ambiente nos impulsa a seguir creciendo y mejorando día a día. Ofrecemos productos y servicios siderúrgicos de alta calidad, procurando optimizar la cadena de producción de nuestros clientes. Nos guiamos por una visión de innovación y responsabilidad, trabajando con integridad y compromiso para un futuro sostenible. Valoramos la honestidad, el trabajo en equipo y la superación continua.</t>
  </si>
  <si>
    <t xml:space="preserve">https://www.ivanar.com.ar/</t>
  </si>
  <si>
    <t xml:space="preserve">JHM GRUPOS VILA</t>
  </si>
  <si>
    <t xml:space="preserve">contacto@jhmventas.com</t>
  </si>
  <si>
    <t xml:space="preserve">Isla: 8E</t>
  </si>
  <si>
    <t xml:space="preserve">JHM Grupo Vila Hnos. Soluciones Térmicas y Construcción Modular de Alta Eficiencia En JHM Grupo Vila Hnos., somos especialistas en la creación de ambientes controlados y confortables. Con una sólida trayectoria en el mercado, integramos ingeniería climática y construcción avanzada para responder a las exigencias operativas de la industria, la minería y el comercio. ¿Qué hacemos? Transformamos la eficiencia térmica en una ventaja competitiva. Nos dedicamos al diseño, montaje y mantenimiento de soluciones integrales que abarcan desde la climatización de precisión hasta la infraestructura modular de alta resistencia. Nuestros Servicios Climatización Integral: Proyectos a medida para los sectores residencial, comercial e industrial, garantizando confort y rendimiento energético. Construcción en Seco con Paneles Térmicos: Desarrollo de infraestructura rápida y eficiente, ideal para entornos remotos: Módulos Habitacionales y Oficinas: Soluciones llave en mano para campamentos. Cámaras Frigoríficas: Ingeniería aplicada a la cadena de frío y conservación. Logística de Frío: Carrozados térmicos y sistemas de transporte refrigerado para vehículos. El Diferencial de JHM Grupo Vila Hnos. Lo que nos distingue es nuestra capacidad de adaptación a condiciones extremas. Entendemos que, en la actividad minera, el aislamiento térmico no es un lujo, sino una necesidad operativa. Combinamos tecnología de paneles de última generación con una ejecución técnica rigurosa, asegurando durabilidad, ahorro de energía y rapidez de montaje en cualquier terreno.</t>
  </si>
  <si>
    <t xml:space="preserve">https://www.jhmventas.com/</t>
  </si>
  <si>
    <t xml:space="preserve">JMH S.R.L.</t>
  </si>
  <si>
    <t xml:space="preserve">ventas@jmh.com.ar</t>
  </si>
  <si>
    <t xml:space="preserve">JMH SRL es una empresa líder en instrumentación industrial con más de 30 años de experiencia. Somos especialistas en la fabricación y comercialización de instrumentos para la medición de presión y temperatura, brindando soluciones precisas y confiables a nuestros clientes en la industria de la Minería, Oil &amp; Gas y otros sectores.</t>
  </si>
  <si>
    <t xml:space="preserve">https://www.jmh.com.ar/</t>
  </si>
  <si>
    <t xml:space="preserve">KEIPS FLUID S A</t>
  </si>
  <si>
    <t xml:space="preserve">info@keips.com</t>
  </si>
  <si>
    <t xml:space="preserve">C359</t>
  </si>
  <si>
    <t xml:space="preserve">Somos una empresa Argentina, con una marcada experiencia en la fabricación de sistemas de bombeo, bombas y agitadores para los rubros de medio ambiente, petroquímico, petróleo, alimenticio y farmacéutico. Contamos con un sólido servicio técnico de postventa y asesoramiento profesional en la selección y compra del equipo. Con una amplia variedad de tipos de bomba y funciones, desde bombas de cavidades progresivas, bombas lobulares rotativas, bombas de tornillos múltiples, maceradores o trituradores, hasta bombas con tecnología de dosificación y equipos hechos a medida para encontrar soluciones a cada aplicación. Nuestra trayectoria y reputación en el segmento, con reconocimiento internacional, nos permite que empresas líderes en el mercado mundial de bombas, como Netzsch (Bombas de tornillo), Flux (Bombas para tambores), Yamada (Bombas Neumáticas Diafragma), Peribest (Bombas Peristálticas) y Prominent (bombas dosificadoras) depositen su confianza y expectativas otorgándonos su representación local.</t>
  </si>
  <si>
    <t xml:space="preserve">https://keips.com/</t>
  </si>
  <si>
    <t xml:space="preserve">KUNTUR PUMP</t>
  </si>
  <si>
    <t xml:space="preserve">ventas@kunturpumps.com</t>
  </si>
  <si>
    <t xml:space="preserve">Expo San Juan Minera 2026. También en: Exponor (ID 855).</t>
  </si>
  <si>
    <t xml:space="preserve">KUNTUR PUMP S.A.C.</t>
  </si>
  <si>
    <t xml:space="preserve">Empresa peruana con más de 7 años de experiencia, especializada en el manejo de fluidos, fabricantes de bombas, suministros, reparaciones y servicios post venta.</t>
  </si>
  <si>
    <t xml:space="preserve">https://kunturpump.com.pe/</t>
  </si>
  <si>
    <t xml:space="preserve">Exponor (ID 855)</t>
  </si>
  <si>
    <t xml:space="preserve">LA PLATENSE S.A.</t>
  </si>
  <si>
    <t xml:space="preserve">info@laplatensesa.com.ar</t>
  </si>
  <si>
    <t xml:space="preserve">Isla: 19 SUP</t>
  </si>
  <si>
    <t xml:space="preserve">https://www.oxigenoargentino.com.ar/</t>
  </si>
  <si>
    <t xml:space="preserve">LABAC</t>
  </si>
  <si>
    <t xml:space="preserve">comercial2@labac-web.com.ar</t>
  </si>
  <si>
    <t xml:space="preserve">LABAC SA</t>
  </si>
  <si>
    <t xml:space="preserve">LABAC S.A. es el laboratorio central y casa matriz del Grupo LABAC, un conglomerado regional líder especializado en análisis ambientales y de salud ocupacional de alta complejidad. Con una trayectoria consolidada y presencia en puntos estratégicos de Argentina y Uruguay, nos posicionamos como el socio técnico fundamental para empresas que buscan un crecimiento sustentable y el estricto cumplimiento de la normativa legal vigente. Nuestra infraestructura técnica y operativa nos permite abordar desafíos en matrices sólidas, líquidas y gaseosas, garantizando precisión analítica y respaldo institucional en cada proyecto. Nuestros Servicios Especializados Medio Ambiente y Monitoreo de Matrices Ofrecemos soluciones integrales para la evaluación y control del impacto ambiental, con alcance en todo el territorio nacional: Calidad de Aire: Monitoreo de material particulado (PM10, PM2,5), gases (NO2, SO2, SH2), metales pesados (Pb, Cr) y compuestos orgánicos (BTEX). Emisiones en Conductos: Evaluación de chimeneas y fuentes puntuales mediante modelación gaussiana, medición de COVs y cinética de emisión. Gestión de Aguas y Efluentes: Análisis fisicoquímicos y bacteriológicos en aguas superficiales, subterráneas (freatímetros), de consumo y efluentes industriales o cloacales. Suelos y Sitios Contaminados: Caracterización de suelos, identificación de pasivos ambientales y análisis de contaminantes (hidrocarburos, pesticidas, metales pesados). Residuos: Análisis de lixiviados y caracterización para disposición final. Higiene y Salud Ocupacional Brindamos servicios de consultoría y medición para garantizar entornos laborales seguros, cumpliendo con los protocolos de la SRT: Evaluación de ruido laboral y vibraciones. Medición de iluminación, carga térmica y ventilación. Muestreos de polvo (total y respirable) y gases en ambiente laboral. Ensayos de puesta a tierra y radiaciones UV. Alcance y Calidad Garantizada Acreditaciones: Contamos con acreditación bajo la norma ISO 17025 (OAA), lo que asegura la competencia técnica y la validez internacional de nuestros resultados. Presencia Estratégica: Poseemos sedes operativas en Rosario (Casa Central), Salta (NOA) y una base especializada en Neuquén (Oil &amp; Gas), además de habilitaciones en las principales provincias del país. Experiencia: Más de 400 clientes en sectores críticos como minería, energía, petróleo y agroindustria avalan nuestra capacidad de respuesta. LABAC S.A. Siempre un paso más hacia la sustentabilidad industrial. www.labac-web.com.ar</t>
  </si>
  <si>
    <t xml:space="preserve">https://www.labac-web.com.ar/</t>
  </si>
  <si>
    <t xml:space="preserve">LAYHER</t>
  </si>
  <si>
    <t xml:space="preserve">info@layher.com.ar</t>
  </si>
  <si>
    <t xml:space="preserve">Expo San Juan Minera 2026. También en: Directorio SSO (ID 86).</t>
  </si>
  <si>
    <t xml:space="preserve">LAYHER SUDAMERICANA S.A</t>
  </si>
  <si>
    <t xml:space="preserve">LAYHER - La Compañía de Andamios. Trabajando duro para el éxito de nuestros clientes, desde hace más de 75 años. Layher produce calidad «Made in Germany», algo que es sinónimo de seguridad, rentabilidad y compromisos cumplidos. Los departamentos de diseño, fabricación, producción, técnico, comercial, administrativo y logístico se concentran en nuestra sede alemana en Güglingen-Eibensbach y todos juntos damos lo mejor para conseguir ofrecer la calidad «Made by Layher». Nuestro eslogan «siempre más» es la expresión de una filosofía que en nuestra fábrica de andamios se ha estado viviendo por generaciones. En Layher hacemos que lo imposible sea posible, diseñando los productos y servicios del mañana.</t>
  </si>
  <si>
    <t xml:space="preserve">https://www.layher.com.ar/</t>
  </si>
  <si>
    <t xml:space="preserve">Directorio SSO (ID 86)</t>
  </si>
  <si>
    <t xml:space="preserve">LENOR SRL</t>
  </si>
  <si>
    <t xml:space="preserve">comercial@lenorgroup.com</t>
  </si>
  <si>
    <t xml:space="preserve">E518 | E519</t>
  </si>
  <si>
    <t xml:space="preserve">Desde 1999, acompañamos a quienes fabrican, producen, diseñan y exportan, con servicios que garantizan calidad, seguridad y cumplimiento normativo. Hoy somos una red regional con equipos técnicos en constante acción, soluciones a medida y una forma de trabajar que combina agilidad con solidez. Más que un Organismo Evaluador de la Conformidad, somos un socio estratégico para quienes apuestan por competir, mejorar y llegar más lejos. Lenor contribuye a garantizar la calidad, la seguridad y el cumplimiento normativo a través de servicios de certificación, inspección y ensayos. Participación regional e internacional Lenor forma parte activa de los sistemas internacionales que definen y fortalecen la Evaluación de la Conformidad. Además, integramos comités técnicos regulatorios en Argentina, Chile, Perú, Ecuador, Colombia, Brasil y Bolivia.</t>
  </si>
  <si>
    <t xml:space="preserve">https://lenorgroup.com/</t>
  </si>
  <si>
    <t xml:space="preserve">LOCTITE</t>
  </si>
  <si>
    <t xml:space="preserve">D421</t>
  </si>
  <si>
    <t xml:space="preserve">HENKEL ARGENTINA S.A.</t>
  </si>
  <si>
    <t xml:space="preserve">Loctite es la marca líder mundial en adhesivos, selladores y productos para el tratamiento de superficies. Con una tecnología de lo más avanzada, brindamos soluciones que satisfacen nuestros objetivos al proporcionar unos adhesivos más eficientes que son a la vez resistentes, fuertes y duraderos para liberar el potencial ilimitado del hombre y la máquina. Ofrecemos una extensa gama de productos para las aplicaciones industriales más exigentes.</t>
  </si>
  <si>
    <t xml:space="preserve">https://www.henkel-adhesives.com/ar/es/compa%C3%B1%C3%ADa/nuestras-marcas/loctite-new.html</t>
  </si>
  <si>
    <t xml:space="preserve">LUSQTOFF</t>
  </si>
  <si>
    <t xml:space="preserve">adrian.mu%C3%B1oz@lusqtoff.com.ar</t>
  </si>
  <si>
    <t xml:space="preserve">Isla: 29-INF</t>
  </si>
  <si>
    <t xml:space="preserve">Con más de 15 años de presencia en el mercado argentino, nos dedicamos a la comercialización y distribución de diversos tipos de máquinas y herramientas, abarcando mas de 20 categorías de productos, tales como soldadoras, grupos electrógenos, herramientas eléctricas, manuales y a batería, hidrolavadoras, compresores, jardín y agrícola, y mucho más.</t>
  </si>
  <si>
    <t xml:space="preserve">https://www.lusqtoff.com.ar/</t>
  </si>
  <si>
    <t xml:space="preserve">MADERERA LAVALLOL</t>
  </si>
  <si>
    <t xml:space="preserve">ventas@maderera.com.ar</t>
  </si>
  <si>
    <t xml:space="preserve">E522</t>
  </si>
  <si>
    <t xml:space="preserve">** 50 años de Trayectoria** Desde hace cinco décadas, transformamos la madera en posibilidades. Con la fuerza de nuestra historia, la calidad como bandera y una visión de futuro sustentable, somos parte del crecimiento de quienes construyen, crean y diseñan. Trabajamos con maderas seleccionadas y certificadas, cuidando cada detalle del proceso, acompañando a profesionales y apasionados del oficio con experiencia, respaldo y confianza. Porque en cada veta hay una historia Y en cada proyecto, una oportunidad de seguir creciendo juntos. 50 years of career For five decades, we have transformed wood into possibilities. With the strength of our history, quality as a flag and a vision of a sustainable future, we are part of the growth of those who build, create and design. We work with selected and certified woods, taking care of every detail of the process, accompanying professionals and enthusiasts of the trade with experience, support and trust. Because in every vein there is a story And in every project, an opportunity to continue growing together.</t>
  </si>
  <si>
    <t xml:space="preserve">https://www.maderera.com.ar/</t>
  </si>
  <si>
    <t xml:space="preserve">MAGGIORA LLC</t>
  </si>
  <si>
    <t xml:space="preserve">Estados Unidos</t>
  </si>
  <si>
    <t xml:space="preserve">emiliano@maggiorallc.com</t>
  </si>
  <si>
    <t xml:space="preserve">B209</t>
  </si>
  <si>
    <t xml:space="preserve">MAGGIORA</t>
  </si>
  <si>
    <t xml:space="preserve">Somos expertos en PVF. Distribuimos tuberías, válvulas, accesorios y sistemas de control a toda Latinoamérica.</t>
  </si>
  <si>
    <t xml:space="preserve">https://www.maggiorallc.com/</t>
  </si>
  <si>
    <t xml:space="preserve">MAKITA</t>
  </si>
  <si>
    <t xml:space="preserve">Expo San Juan Minera 2026. Sin email publicado. También en: Exponor (ID 895).</t>
  </si>
  <si>
    <t xml:space="preserve">Isla: 52</t>
  </si>
  <si>
    <t xml:space="preserve">MAKITA HERRAMIENTAS ELECTRICAS DE ARGENTINA S A</t>
  </si>
  <si>
    <t xml:space="preserve">Makita es una empresa líder a nivel mundial en el desarrollo y fabricación de herramientas eléctricas, inalámbricas y equipos para la industria, la construcción y el mantenimiento. Con más de 100 años de trayectoria, se destaca por su innovación, calidad y confiabilidad, ofreciendo soluciones que optimizan la productividad y garantizan un alto rendimiento en condiciones exigentes. En Argentina, Makita brinda soporte local, servicio técnico especializado y una amplia red de distribución, acompañando a profesionales y empresas en sus proyectos diarios.</t>
  </si>
  <si>
    <t xml:space="preserve">Exponor (ID 895)</t>
  </si>
  <si>
    <t xml:space="preserve">MANA LUBRICANTES DISTRIBUIDOR OFICAL SHELL EN SAN JUAN</t>
  </si>
  <si>
    <t xml:space="preserve">contacto@manasrl.com.ar</t>
  </si>
  <si>
    <t xml:space="preserve">F651</t>
  </si>
  <si>
    <t xml:space="preserve">MANA S.R.L.</t>
  </si>
  <si>
    <t xml:space="preserve">Somos distribuidores oficiales en San Juan de Lubricantes SHELL</t>
  </si>
  <si>
    <t xml:space="preserve">https://manasrl.com.ar/</t>
  </si>
  <si>
    <t xml:space="preserve">MANULI FUICONNECTO SRL</t>
  </si>
  <si>
    <t xml:space="preserve">gustavo.ortega@fluiconnecto.com</t>
  </si>
  <si>
    <t xml:space="preserve">Isla: 39</t>
  </si>
  <si>
    <t xml:space="preserve">MANULI FUICONNECTO</t>
  </si>
  <si>
    <t xml:space="preserve">Fluiconnecto es un proveedor de servicios único que combina una amplia gama de productos con servicios avanzados para mantener tu equipo en funcionamiento. Somos miembros del Grupo multinacional italiano Manuli Ryco Como organización internacional líder en servicios, nos enorgullece ofrecer conocimientos sobre productos y aplicaciones, así como servicios de mantenimiento, desde OEM hasta usuarios finales en todos los segmentos de mercado, a través de una red global adaptada a las condiciones locales. Siempre estamos cerca de nuestros clientes y disponibles las 24 horas del día, los 7 días de la semana.</t>
  </si>
  <si>
    <t xml:space="preserve">https://www.fluiconnecto.com/</t>
  </si>
  <si>
    <t xml:space="preserve">MAQFER</t>
  </si>
  <si>
    <t xml:space="preserve">MIGUEL@METALURGICAFERRARO.COM.AR</t>
  </si>
  <si>
    <t xml:space="preserve">MAQFER SRL</t>
  </si>
  <si>
    <t xml:space="preserve">https://www.maqfer.com.ar/</t>
  </si>
  <si>
    <t xml:space="preserve">MARLEW S.A.</t>
  </si>
  <si>
    <t xml:space="preserve">neuquen@marlew.com.ar</t>
  </si>
  <si>
    <t xml:space="preserve">Expo San Juan Minera 2026. También en: ExpoMina (ID 226); Exponor (ID 904).</t>
  </si>
  <si>
    <t xml:space="preserve">B233 | B234</t>
  </si>
  <si>
    <t xml:space="preserve">Somos una empresa Argentina con más de 50 años de experiencia en la fabricación de conductores eléctricos. Nuestro liderazgo en el mercado argentino de cables especiales de baja tensión, nos permite proyectarnos internacionalmente de manera sostenida. Contamos con un departamento de ingeniería especializado en el desarrollo y diseño de productos de acuerdo a los requerimientos técnicos de cada proyecto, lo que nos posiciona a la vanguardia en términos de asesoramiento técnico especializado.</t>
  </si>
  <si>
    <t xml:space="preserve">https://www.marlew.com.ar/</t>
  </si>
  <si>
    <t xml:space="preserve">ExpoMina (ID 226); Exponor (ID 904)</t>
  </si>
  <si>
    <t xml:space="preserve">MATO GMBH &amp; CO. KG</t>
  </si>
  <si>
    <t xml:space="preserve">MAYO TRANSFORMADORES SRL</t>
  </si>
  <si>
    <t xml:space="preserve">ventas@gcmayo.com</t>
  </si>
  <si>
    <t xml:space="preserve">MAYO TRANSFORMADORES S.R.L.</t>
  </si>
  <si>
    <t xml:space="preserve">Somos una empresa referente del sector, dedicada a la fabricación de transformadores eléctricos en todas sus potencias. También tenemos Planta de impregnación de postes de eucalipto y comercializamos todos los materiales eléctricos para proyectos.</t>
  </si>
  <si>
    <t xml:space="preserve">https://www.gcmayo.com/</t>
  </si>
  <si>
    <t xml:space="preserve">MENARA CONSTRUCCIONES</t>
  </si>
  <si>
    <t xml:space="preserve">fernando.novello@menara.com.ar</t>
  </si>
  <si>
    <t xml:space="preserve">D437 | D440</t>
  </si>
  <si>
    <t xml:space="preserve">MENARA CONSTRUCCIONES S.A.</t>
  </si>
  <si>
    <t xml:space="preserve">Menara Construcciones S.A. es una empresa familiar con sede en la ciudad de Rafaela, Provincia de Santa Fe, que forma parte del Grupo Menara y cuenta con más de 60 años de trayectoria en el mercado de la construcción. La constante inversión en infraestructura, equipamiento y tecnología le permitió a la empresa diversificarse logrando una integración vertical y horizontal que la posiciona como uno de los principales grupos constructores del interior del país. Menara Construcciones S.A se autoabastece de insumos y materias primas por su participación familiar en empresas de distribución de materiales de construcción y aceros, posibilitando una rápida respuesta a los requerimientos de los clientes.</t>
  </si>
  <si>
    <t xml:space="preserve">https://menara.com.ar/</t>
  </si>
  <si>
    <t xml:space="preserve">MERCK</t>
  </si>
  <si>
    <t xml:space="preserve">METAL MECANIZADOS</t>
  </si>
  <si>
    <t xml:space="preserve">info@metalmecanizados.com.ar</t>
  </si>
  <si>
    <t xml:space="preserve">F650</t>
  </si>
  <si>
    <t xml:space="preserve">METAL MECANIZADOS S.R.L</t>
  </si>
  <si>
    <t xml:space="preserve">Metal Mecanizados SRL es una empresa especializada en soluciones metalmecánicas para la industria minera, brindando servicios confiables y de alta calidad en entornos de operación exigentes. Nos enfocamos en el diseño, fabricación, reparación y mantenimiento de componentes, estructuras y equipos utilizados en procesos mineros. Contamos con experiencia en mecanizado de precisión, soldadura industrial, montaje y desarrollo de soluciones a medida, adaptadas a las necesidades operativas de cada cliente. Trabajamos con un fuerte compromiso en seguridad, calidad y cumplimiento de plazos, alineados a los estándares requeridos por la industria minera. Nuestra capacidad de respuesta y flexibilidad nos permite acompañar tanto paradas de planta como operaciones continuas, minimizando tiempos de inactividad. Nos diferenciamos por ofrecer soluciones prácticas, eficientes y duraderas, entendiendo la criticidad de cada componente dentro del proceso productivo. Acompañamos a nuestros clientes en todas las etapas: desde la ingeniería y provisión hasta la implementación y servicio postventa. Metal Mecanizados SRL specializes in metalworking solutions for the mining industry, delivering reliable, high-quality services in demanding operational environments. We focus on the design, manufacturing, repair, and maintenance of components, structures, and equipment used in mining processes. Our capabilities include precision machining, industrial welding, assembly, and custom-engineered solutions tailored to each client’s operational requirements. We are strongly committed to safety, quality, and on-time delivery, aligned with the standards required by the mining industry. Our responsiveness and flexibility allow us to support both plant shutdowns and continuous operations, helping to minimize downtime. We stand out by providing practical, efficient, and durable solutions, understanding the critical role of each component within the production process. We support our clients throughout all project stages, from engineering and supply to implementation and after-sales service.</t>
  </si>
  <si>
    <t xml:space="preserve">https://www.metalmecanizados.com.ar/</t>
  </si>
  <si>
    <t xml:space="preserve">METALART</t>
  </si>
  <si>
    <t xml:space="preserve">INFO@metalart.com.ar</t>
  </si>
  <si>
    <t xml:space="preserve">B221</t>
  </si>
  <si>
    <t xml:space="preserve">Empresa líder en automatización y comercialización de válvulas, con 60 años de experiencia. Ofrecemos ingeniería, servicios y soluciones de automatización de válvulas bajo estrictos estándares internacionales, garantizando calidad, seguridad y confiabilidad. Actuadores eléctricos, neumáticos e hidráulicos marca ROTORK, válvulas pinch y cuchilla marca RED VALVE, y válvulas direccionales y solenoide marca VERSA.</t>
  </si>
  <si>
    <t xml:space="preserve">METALCROM</t>
  </si>
  <si>
    <t xml:space="preserve">info@metalcrom.com.ar</t>
  </si>
  <si>
    <t xml:space="preserve">METALCROM S.A.</t>
  </si>
  <si>
    <t xml:space="preserve">METALCROM S.A., fundada en 1967 por Norberto Bartalini, es una empresa pionera en la aplicación de cromo duro para la recuperación y optimización de componentes industriales. A lo largo de su trayectoria, incorporó servicios de rectificado y mecanizado de precisión, consolidándose como referente en el sector. Fue además la primera empresa en fabricar barras cromadas en Argentina, marcando un hito en la industria hidráulica y neumática. Opera desde su planta en Parque Industrial Plátanos (Buenos Aires), con tecnología de última generación y certificación ISO 9001:2015, desarrollando soluciones integrales que incluyen bombas reciprocantes (MCA OIL PUMPS) y repuestos de alto rendimiento (MCA HARDLINE). Actualmente, cuenta con una nueva operación en Añelo, Neuquén, fortaleciendo su presencia en Vaca Muerta y brindando respuesta rápida al sector energético.</t>
  </si>
  <si>
    <t xml:space="preserve">https://metalcrom.com.ar/</t>
  </si>
  <si>
    <t xml:space="preserve">METALÚRGICA ALBACE S.A.</t>
  </si>
  <si>
    <t xml:space="preserve">contacto@metalurgicaalbace.com.ar</t>
  </si>
  <si>
    <t xml:space="preserve">Diseño, Fabricación y Montaje de Estructuras Metálicas, Equipos y Piping. Con más de 20 años de experiencia, nos especializamos en la construcción de estructuras metálicas, fabricación de equipos, piping y recipientes a presión en acero al carbono y acero inoxidable. Atendemos a industrias como la petrolera, minería, satelital, alimenticia y de energías en general. Nuestra capacidad de desarrollo de ingeniería nos permite ofrecer servicios integrales: desde ingeniería de detalle hasta la ejecución y gestión completa de proyectos, abarcando desde la fase inicial hasta la entrega final. Contamos con un equipo de expertos altamente capacitados, junto con maquinaria, equipos e infraestructura moderna, lo que nos permite desarrollar soluciones a medida.</t>
  </si>
  <si>
    <t xml:space="preserve">https://www.metalurgicaalbace.com.ar/</t>
  </si>
  <si>
    <t xml:space="preserve">METALURGICA C Y G</t>
  </si>
  <si>
    <t xml:space="preserve">mfurlan@metalurgicacyg.com.ar</t>
  </si>
  <si>
    <t xml:space="preserve">METALURGICA C Y G SRL</t>
  </si>
  <si>
    <t xml:space="preserve">Metalúrgica CyG SRL es una empresa con más de 40 años de trayectoria en el rubro metalmecánico, radicada en Córdoba, Argentina. Somos fabricantes de bulonería especial de alta calidad forjada en caliente y elementos de fijación de alta resistencia, con capacidades productivas desde ½” hasta 3” de diámetro en forja y roscas laminadas. Contamos además con área de mecanizados de precisión, matricería propia y tratamientos superficiales internos. Nuestra experiencia nos respalda en sectores como minería, petróleo, cementeras, ingenios, energías renovables, canteras y petroquímicos, trabajando siempre bajo certificación ISO 9001:2015, garantizando la total trazabilidad de cada producto. Adjunto nuestra presentación institucional y quedo a disposición para coordinar una reunión o llamada, con el objetivo de analizar cómo podemos acompañar a su empresa con soluciones a medida.</t>
  </si>
  <si>
    <t xml:space="preserve">https://www.metalurgicacyg.com.ar/</t>
  </si>
  <si>
    <t xml:space="preserve">METALÚRGICA CAMSA</t>
  </si>
  <si>
    <t xml:space="preserve">metalurgicacamsa@gmail.com</t>
  </si>
  <si>
    <t xml:space="preserve">B256 | B257</t>
  </si>
  <si>
    <t xml:space="preserve">Somos CAMSA, Ingeniería en soluciones, una empresa con más de 20 años en el rubro metalúrgico e hidráulico ofreciendo principalmente los siguientes servicios: Fabricación y reparación de cilindros hidráulicos, Fabricación de sellos hidráulicos, Reparación motorreductores, mandos finales y transmisiones hidráulicas. Recuperación de piezas con laser cladding Reparaciónmartillos hidráulicos, overhaul de equipos, Mecanizados especiales, Overhaul Contamos con un equipo humano capacitado y tecnología avanzada para brindar soluciones integrales y eficaces a los diversos sectores de la industria.</t>
  </si>
  <si>
    <t xml:space="preserve">https://www.metalurgicacamsa.com/</t>
  </si>
  <si>
    <t xml:space="preserve">METALÚRGICA MATIENZO</t>
  </si>
  <si>
    <t xml:space="preserve">ventas@mmatienzo.com.ar</t>
  </si>
  <si>
    <t xml:space="preserve">METALÚRGICA MATIENZO SRL</t>
  </si>
  <si>
    <t xml:space="preserve">FABRICACIÓN Y VENTA DE MAQUINAS Y HERRAMIENTAS PARA LA CONSTRUCCIÓN. DESARROLLO E INGENIERÍA PARA LA MINERIA. Nos especializamos en la fabricación de estructuras metálicas y equipos para operaciones industriales, con experiencia en soluciones para sectores de construcción, energía y servicios especiales. Actualmente estamos desarrollando una línea de piletas metálicas transportables tipo skid destinadas a almacenamiento de agua, flowback y fluidos de operación en locaciones petroleras. Entre nuestras capacidades: • fabricación de piletas metálicas modulares (≈70 m³ y configuraciones especiales) • estructuras reforzadas para transporte en campo • conexiones bridadas según requerimiento operativo • opciones con recubrimiento epoxi para fluidos de proceso • diseño adaptable a especificaciones del cliente Contamos con flexibilidad productiva para fabricación bajo plano o desarrollo conjunto según necesidades de obra.</t>
  </si>
  <si>
    <t xml:space="preserve">https://www.mmatienzo.com.ar/</t>
  </si>
  <si>
    <t xml:space="preserve">METALÚRGICA SARMIENTO</t>
  </si>
  <si>
    <t xml:space="preserve">comercial@metalurgicasarmiento.com</t>
  </si>
  <si>
    <t xml:space="preserve">METALÚRGICA SARMIENTO SRL</t>
  </si>
  <si>
    <t xml:space="preserve">Ingeniería, fabricación y montaje de equipos metalúrgicos Empresa Industrial Nacional dedicada a la Ingeniería, Fabricación y Montaje de equipos y sistemas para la captación, transporte y filtrado de polvos y gases. Entre los principales productos, proveemos Filtros de Mangas Pulse Jet y Baja Presión, Separadores Ciclónicos, Filtros de Cartuchos Pulse Jet, Transporte Neumáticos, Conductería de gran porte, Lavadores de Gases en PRFV y Metálicos. Los equipos pueden ser provistos en chapa SAE (acero al carbono), AISI (acero inoxidable) y Galvanizada. Por otro lado, también proveemos productos metalúrgicos tradicionales, como tanques, recipientes varios, piping de servicios y estructuras. Participamos en diversos sectores de la INDUSTRIA (Alimenticio, Maderero, Cuero, Metalmecánica, Fundición, Químico, Baterías y Plomo, etc.), cómo así también en la AGROINDUSTRIA, ENERGÍAS RENOVABLES, MINERÍA y GAS – PETRÓLEO.</t>
  </si>
  <si>
    <t xml:space="preserve">https://www.metalurgicasarmiento.com/</t>
  </si>
  <si>
    <t xml:space="preserve">MG</t>
  </si>
  <si>
    <t xml:space="preserve">ventas@mgserviciodelimpieza.com.ar</t>
  </si>
  <si>
    <t xml:space="preserve">Isla: 33</t>
  </si>
  <si>
    <t xml:space="preserve">MG SERVICIOS DE LIMPIEZA S.A.S</t>
  </si>
  <si>
    <t xml:space="preserve">MG Servicios: Limpieza Profesional e Integral MG Servicios es una empresa líder con más de 40 años de trayectoria en el mercado, especializada en brindar soluciones de limpieza y mantenimiento para entornos de alta exigencia. Desde 1985, combinamos experiencia familiar con una estructura profesionalizada para atender a los sectores corporativo, industrial, sanitario y minero. Propuesta de Valor para el Sector Minero Entendemos que la minería requiere estándares superiores de seguridad y eficiencia. Nuestra operatividad se basa en cuatro pilares fundamentales: Seguridad y Cumplimiento: Rigurosos protocolos de seguridad ocupacional y personal bajo contratación formal con todos los beneficios de ley. Capacitación Especializada: Equipo entrenado en normas legales, uso de tecnología específica y técnicas modernas de limpieza industrial. Sustentabilidad: Prácticas orientadas a la responsabilidad ambiental, alineadas con los valores de impacto positivo que demanda la industria actual. Flexibilidad Operativa: Diseño de protocolos personalizados según el tipo de actividad y entorno. Servicios Destacados Ofrecemos una gestión integral para que las operadoras y proveedores se enfoquen en su core business: Limpieza en Minería: Intervenciones técnicas en sitios de operación y campamentos. Limpieza Industrial y de Altura: Equipamiento profesional para infraestructuras complejas. Tratamiento de Suelos: Lavado, sellado y pulido de superficies de alto tránsito. Mantenimiento de Oficinas y Áreas Administrativas: Entornos seguros para el personal jerárquico. Limpieza Hospitalaria: Desinfección bajo normas sanitarias estrictas.</t>
  </si>
  <si>
    <t xml:space="preserve">https://serviciosmg.com.ar/</t>
  </si>
  <si>
    <t xml:space="preserve">MINESUPPLIES</t>
  </si>
  <si>
    <t xml:space="preserve">ventas@minesupplies.com.ar</t>
  </si>
  <si>
    <t xml:space="preserve">B226 | B227 | B228</t>
  </si>
  <si>
    <t xml:space="preserve">Más de 25 años liderando la innovación en la industria local. Suministramos equipamiento industrial de vanguardia que garantiza niveles superiores de eficiencia y productividad. Nuestro éxito y crecimiento constante ha sido posible gracias a nuestra gente, clientes, proveedores y demás colaboradores que han confiado en nosotros. Desde 1996, cuando Minesupplies estableció su presencia en Argentina, hemos participado activamente en grandes obras de infraestructura nacional y nos hemos especializado en el suministro de insumos</t>
  </si>
  <si>
    <t xml:space="preserve">https://www.minesupplies.com.ar/</t>
  </si>
  <si>
    <t xml:space="preserve">MIRÓN</t>
  </si>
  <si>
    <t xml:space="preserve">info@miron.com.ar</t>
  </si>
  <si>
    <t xml:space="preserve">Isla: 19</t>
  </si>
  <si>
    <t xml:space="preserve">Somos un equipo de profesionales apasionados, que combina la potencia de una gran industria con la flexibilidad de un taller especializado. Nuestra misión es impulsar el futuro energético con productos y servicios que superan expectativas. Desde el diseño hasta el montaje final, trabajamos con precisión y cuidado en cada proyecto, garantizando soluciones sostenibles y eficientes. Unidades de negocios: Fabricación de transformadores en baño de aceite Fabricación de transformadores de aislación seca Servicio y mantenimiento de transformadores eléctricos Desarrollo de parques solares fotovoltaicos</t>
  </si>
  <si>
    <t xml:space="preserve">https://miron.com.ar/</t>
  </si>
  <si>
    <t xml:space="preserve">MIX GROUP</t>
  </si>
  <si>
    <t xml:space="preserve">MIX GROUP S.R.L.</t>
  </si>
  <si>
    <t xml:space="preserve">MODULAR SOLUTION</t>
  </si>
  <si>
    <t xml:space="preserve">Isla: 10</t>
  </si>
  <si>
    <t xml:space="preserve">UTE Modular Solutions – Saltapor La UTE Modular Solutions – Saltapor se constituye como una alianza estratégica entre dos compañías con sólida trayectoria en el desarrollo de obras para el sector minero. Esta integración tiene como propósito consolidar capacidades, optimizar recursos y ofrecer soluciones constructivas integrales, articulando la experiencia en ejecución de obra con tecnología modular de última generación. A través de esta sinergia, la UTE brinda un servicio competitivo y eficiente, preparado para responder a los requerimientos actuales de la industria, bajo estrictos estándares de calidad, seguridad, cumplimiento de plazos y sostenibilidad. Modular Solutions y Saltapor conforman una estructura operativa robusta, orientada a proyectos de gran escala, con una visión compartida: desarrollar soluciones constructivas con innovación, eficiencia y responsabilidad.</t>
  </si>
  <si>
    <t xml:space="preserve">MODULARQ</t>
  </si>
  <si>
    <t xml:space="preserve">ventas@modularq.net</t>
  </si>
  <si>
    <t xml:space="preserve">Isla: 3</t>
  </si>
  <si>
    <t xml:space="preserve">PIACENZA S.R.L</t>
  </si>
  <si>
    <t xml:space="preserve">En Modularq somos una empresa sanjuanina especializada en soluciones modulares innovadoras, pensadas para crear espacios funcionales, rápidos de instalar y transportables, que se adapta a cada necesidad. Nos dedicamos a la fabricación, alquiler y venta de módulos habitacionales, oficinas, baños, vestuarios, comedores y espacios personalizados para obras, industrias, eventos y proyectos particulares. Nos enorgullece trabajar con mano de obra sanjuanina y junto a proveedores locales, apostando al crecimiento de nuestra provincia y generando valor en cada proyecto. Nos diferenciamos por brindar productos de calidad, atención cercana y respuestas ágiles, acompañando a nuestros clientes en cada etapa. Trabajamos para simplificar proyectos con soluciones prácticas, eficientes y confiables, optimizando tiempos y costos sin resignar confort ni diseño. En Modularq creemos que cada proyecto merece un espacio a la altura de sus desafíos, y por eso ponemos nuestra experiencia, compromiso y raíces sanjuaninas al servicio de quienes confían en nosotros.</t>
  </si>
  <si>
    <t xml:space="preserve">https://modularq.net/</t>
  </si>
  <si>
    <t xml:space="preserve">MODULCON</t>
  </si>
  <si>
    <t xml:space="preserve">E502</t>
  </si>
  <si>
    <t xml:space="preserve">MODULCON is a company dedicated to modular industrial construction and the rental/sale of residential modules and shipping containers. We also carry out remodeling, expansion, and adaptation work on existing facilities. Our projects include the construction of industrial plants, office buildings, warehouses, production facilities, service areas, restrooms, changing rooms, cafeterias, and laboratories.</t>
  </si>
  <si>
    <t xml:space="preserve">MORO HIDRAULICA</t>
  </si>
  <si>
    <t xml:space="preserve">MORO HIDRAULICA SRL</t>
  </si>
  <si>
    <t xml:space="preserve">Moro Hidráulica es una empresa argentina con más de 50 años de trayectoria en el diseño, fabricación y comercialización de cilindros hidráulicos y componentes oleohidráulicos para la industria, el agro, la minería, el transporte y otros sectores productivos. Brindamos soluciones confiables, asistencia técnica y productos de calidad para aplicaciones de alta exigencia.</t>
  </si>
  <si>
    <t xml:space="preserve">MOTORARG S.A.</t>
  </si>
  <si>
    <t xml:space="preserve">info@motorarg.com.ar</t>
  </si>
  <si>
    <t xml:space="preserve">Isla: 54</t>
  </si>
  <si>
    <t xml:space="preserve">MOTORARG S.A. INDUSTRIAL COMERCIAL FINANCIERA INMOBILIARIA Y AGROPECUARIA</t>
  </si>
  <si>
    <t xml:space="preserve">Especialistas en bombas desde 1957. Diseñamos y fabricamos bombas y motores de gran calidad. Contamos con una línea completa de productos, confiables, innovadores y eficientes.</t>
  </si>
  <si>
    <t xml:space="preserve">https://www.motorarg.com.ar/</t>
  </si>
  <si>
    <t xml:space="preserve">MSALABS INC</t>
  </si>
  <si>
    <t xml:space="preserve">americas@msalabs.com</t>
  </si>
  <si>
    <t xml:space="preserve">Somos un proveedor internacional de servicios de laboratorio geoquímico para los sectores de exploración y minería. Brindamos servicios de geoquímica comercial y somos expertos en diseño, dirección de proyecto de construcción y operación de laboratorios directamente en el sitio de la mina.</t>
  </si>
  <si>
    <t xml:space="preserve">https://www.msalabs.com/</t>
  </si>
  <si>
    <t xml:space="preserve">NAUE GMBH &amp; CO. KG</t>
  </si>
  <si>
    <t xml:space="preserve">NETZSCH</t>
  </si>
  <si>
    <t xml:space="preserve">Expo San Juan Minera 2026. Sin email publicado. También en: ExpoMina (ID 235); Exponor (ID 963).</t>
  </si>
  <si>
    <t xml:space="preserve">NETZSCH ARGENTINA S.A.</t>
  </si>
  <si>
    <t xml:space="preserve">ExpoMina (ID 235); Exponor (ID 963)</t>
  </si>
  <si>
    <t xml:space="preserve">NEUMAGOM SAS</t>
  </si>
  <si>
    <t xml:space="preserve">ventas@neumagom.com.ar</t>
  </si>
  <si>
    <t xml:space="preserve">Isla: 23 INF</t>
  </si>
  <si>
    <t xml:space="preserve">NEUMAGOM</t>
  </si>
  <si>
    <t xml:space="preserve">Neumagom es una empresa familiar dedicada al rubro de los neumáticos con una trayectoria de mas de 70 años. Desde sus inicios allá por la década de 1940, comercializó neumáticos, y en su afán de brindar soluciones a sus clientes, Neumagom incursionó en la reconstrucción de los mismos; todos éstos años transcurridos resultaron en la evolución y sofisticación de los procedimientos para llegar a ser especialistas en el tema. Reconstruyendo todo tipo de neumáticos, desde las medidas industriales y agrícolas más pequeñas hasta las más grandes y robustas encontradas en todo tipo de máquinas. De esta manera la empresa es capaz de atender cada una de las particularidades y necesidades afines de nuestro clientes. Operando siempre con los más altos estándares de calidad y los mejores materiales disponibles Siguiendo con este compromiso por la calidad, la empresa es representante oficial de Goodyear Argentina y Titan Argentina, cumpliendo así en brindar soluciones premium a sus clientes.</t>
  </si>
  <si>
    <t xml:space="preserve">https://www.neumagom.com.ar/</t>
  </si>
  <si>
    <t xml:space="preserve">OIL CONTROL</t>
  </si>
  <si>
    <t xml:space="preserve">gpereyra@oilcontrol.com.ar</t>
  </si>
  <si>
    <t xml:space="preserve">OIL CONTROL S.A</t>
  </si>
  <si>
    <t xml:space="preserve">Todo nuestro portfolio está apuntado a aumentar la confiabilidad de los activos. A modo de resumen: AUDITORÍA EN LUBRICACIÓN: Está alineada con la norma ICML 55.1 que tiene como objetivo gestionar con efectividad y eficiencia las políticas, estrategias y planes de lubricación para conseguir un alto nivel de confiabilidad en los activos. La misma responde a la ISO 55001 (Gestión de Activos). ANÁLISIS DE ACEITE: Laboratorio propio para analizar la salud y la contaminación del lubricante y el desgaste del activo. Contamos con software dedicado para el análisis y diagnóstico. Los informes son alojados en la nube para que el cliente pueda ingresar y ver o descargar según su necesidad. CONTROL DE CONTAMINACIÓN: Planeo de Ingeniería en Lubricación apuntadas a evitar el ingreso de contaminación al equipo. Desde el almacenamiento, manipuleo hasta la aplicación del lubricante. LUBRICACIÓN CENTRALIZADA: Diseño y puesta en marcha de sistemas manuales y automáticos que permiten dosificar la cantidad adecuada de lubricante ahorrando en tiempo de mano de obra para la aplicación y lubricante. LUBRICANTES ESPECIALES: Dentro de nuestro programa de confiabilidad, ofrecemos lubricantes de alta performance con aditivos especiales marca Lubrication Engineers de origen USA adecuados para cada tipo de mecanismo. Además, lubricantes de baja toxicidad y grado alimenticio H1. Lubricación de: cadenas, cables, compresores, reductores, centrales hidráulicas, rodamientos, bujes y engranajes abiertos</t>
  </si>
  <si>
    <t xml:space="preserve">https://www.oilcontrol.com.ar/</t>
  </si>
  <si>
    <t xml:space="preserve">ONTEC FORTINOX S.A.U.</t>
  </si>
  <si>
    <t xml:space="preserve">PALMERO SAN LUIS SA</t>
  </si>
  <si>
    <t xml:space="preserve">consultas@palmero.com</t>
  </si>
  <si>
    <t xml:space="preserve">Palmero is a strategic partner for the mining industry, with solid experience in developing solutions focused on efficiency, reliability, and operational continuity. We provide an integrated offering that combines equipment, spare parts, and services, with a focus on optimizing crushing processes. As official distributors of Metso, we deliver internationally recognized technology backed by specialized technical support. With a nationwide presence through 5 branches (Buenos Aires, Neuquén, San Luis, Mendoza, and Chubut), we support each operation with proximity, agility, and in-depth local knowledge. We drive solutions that enhance performance and support the evolution of the mining industry.</t>
  </si>
  <si>
    <t xml:space="preserve">https://palmero.com/</t>
  </si>
  <si>
    <t xml:space="preserve">PANEL ARGENTINA</t>
  </si>
  <si>
    <t xml:space="preserve">panel.argentina.hgl@gmail.com</t>
  </si>
  <si>
    <t xml:space="preserve">Isla: 38E Superior</t>
  </si>
  <si>
    <t xml:space="preserve">PANEL NOW S.A.S</t>
  </si>
  <si>
    <t xml:space="preserve">https://www.panelargentina.com/</t>
  </si>
  <si>
    <t xml:space="preserve">PELTEC S.A.</t>
  </si>
  <si>
    <t xml:space="preserve">gmedina@peltecsa.com.ar</t>
  </si>
  <si>
    <t xml:space="preserve">Empresa Metalúrgica dedicada a fabricación de estructuras, tanques, espesadores, reactores,celdas de flotación, pisos industriales, piping, plantas de dosificación, plantas de granulación, y todo tipo de servicios metalúrgicos.</t>
  </si>
  <si>
    <t xml:space="preserve">https://www.peltecsa.com.ar/</t>
  </si>
  <si>
    <t xml:space="preserve">PERFICON STEEL GMBH</t>
  </si>
  <si>
    <t xml:space="preserve">PERI S.A.</t>
  </si>
  <si>
    <t xml:space="preserve">PILMHOR</t>
  </si>
  <si>
    <t xml:space="preserve">presidencia@pilmhor.com.ar</t>
  </si>
  <si>
    <t xml:space="preserve">PILMHOR S.A</t>
  </si>
  <si>
    <t xml:space="preserve">Fabricación y comercialización de componentes oleo hidráulicos, bombas y motores de engranajes, paletas, pistones, válvulas hidráulicas, motores orbitales, direcciones hidrostáticas, centrales hidráulicas, accesorios oleo hidráulicos. Venta y reparación de transmisiones hidrostáticas Servicios de venta e instalación de hidro grúas Servicios satelitales mediante interferometría, modelos digitales de elevación, índice de verdor vegetal.</t>
  </si>
  <si>
    <t xml:space="preserve">https://www.pilmhor.com.ar/</t>
  </si>
  <si>
    <t xml:space="preserve">PINTURERIAS ROBLES</t>
  </si>
  <si>
    <t xml:space="preserve">roblespinturerias@gmail.com</t>
  </si>
  <si>
    <t xml:space="preserve">Somos distribuidores de las mejores marcas de pintura del mercado con más de 25 años de experiencia en pinturas para Industria , Hogar, Obra y Automotor</t>
  </si>
  <si>
    <t xml:space="preserve">https://www.instagram.com/roblespintureria?igsh=c3JuenJ5c3NwaHJo&amp;utm_source=qr</t>
  </si>
  <si>
    <t xml:space="preserve">PLASTICOS AGRICOLAS</t>
  </si>
  <si>
    <t xml:space="preserve">comercialchile@pqapag.cl</t>
  </si>
  <si>
    <t xml:space="preserve">D425</t>
  </si>
  <si>
    <t xml:space="preserve">Somos una empresa que se dedica a fabricar productos plasticos con experiencia de mas de 30 años, matriz en Colombia y fabricas en Mexico, Ecuador, Perú y Costa Rica conn presencia y bodegas en Chile y Argentina. Abastecemos principalmente a la Minería y la agroindustria. Fabricamos geomembranas de HDPE y LLDPE, lisas y Texturadas desde 0,5mm a 3,0mm de espesor negra o en colores. Tambien somos fabricantes de Geotextil PET y PP desde 130gr/m2 a 1000gr.m2. Contamos con mas de 25 ensayos de laboratorio certificados por GAI-LAP, ISO9001,14001,45001.</t>
  </si>
  <si>
    <t xml:space="preserve">https://www.pqapag.co/</t>
  </si>
  <si>
    <t xml:space="preserve">POWERMAX LATAM</t>
  </si>
  <si>
    <t xml:space="preserve">ventas@powermaxlatam.com</t>
  </si>
  <si>
    <t xml:space="preserve">C356 | C357</t>
  </si>
  <si>
    <t xml:space="preserve">Empresa fabricante de enchufes y coplas de baja y media tensión. Fabricante de mufas de unión y vulcanizadas Fabricantes de máquina vulcanizadora de cables Fabricante de tableros eléctricos con protección diferencial Fabricante de Shelters y salas eléctricas</t>
  </si>
  <si>
    <t xml:space="preserve">https://www.powermaxlatam.com/</t>
  </si>
  <si>
    <t xml:space="preserve">PROCESOS INDUSTRIALES METALLO SA</t>
  </si>
  <si>
    <t xml:space="preserve">fvacchieri@metallo.com.ar</t>
  </si>
  <si>
    <t xml:space="preserve">Somos una empresa del Grupo Crucianelli destinada a la realización de procesos industriales, orientada a la entrega de piezas metálicas y conjuntos terminados para la industria de la argentina y el exterior. Fabricamos estructuras, piezas de corte / plegado y conjuntos soldados</t>
  </si>
  <si>
    <t xml:space="preserve">https://metallo.com.ar/</t>
  </si>
  <si>
    <t xml:space="preserve">PROMETVA</t>
  </si>
  <si>
    <t xml:space="preserve">info@prometva.com.ar</t>
  </si>
  <si>
    <t xml:space="preserve">PROMETVA S.R.L</t>
  </si>
  <si>
    <t xml:space="preserve">Diseño, Fabricación y Montaje de Estructuras Metalicas . Ingenieria para Para Grandes Proyectos</t>
  </si>
  <si>
    <t xml:space="preserve">https://www.prometva.com.ar/</t>
  </si>
  <si>
    <t xml:space="preserve">PROMINENT ARGENTINA S.A.</t>
  </si>
  <si>
    <t xml:space="preserve">Expo San Juan Minera 2026. Sin email publicado. También en: Exponor (ID 1037); AquaSur (ID 407).</t>
  </si>
  <si>
    <t xml:space="preserve">Exponor (ID 1037); AquaSur (ID 407)</t>
  </si>
  <si>
    <t xml:space="preserve">PYRE S.A.</t>
  </si>
  <si>
    <t xml:space="preserve">albarellos@pyre.com.ar</t>
  </si>
  <si>
    <t xml:space="preserve">F602 | F603</t>
  </si>
  <si>
    <t xml:space="preserve">REALIZAMOS TABLEROS ELECTRICOS DE POTENCIA Y DE CONTROL, ESTAMOS HOMOLOGADOS POR ABB COMO INTEGRADOR DE TABLEROS PROTOCOLIZADOS</t>
  </si>
  <si>
    <t xml:space="preserve">https://www.pyre.com.ar/</t>
  </si>
  <si>
    <t xml:space="preserve">RAPPACHIANI</t>
  </si>
  <si>
    <t xml:space="preserve">lramos@rappachiani.com</t>
  </si>
  <si>
    <t xml:space="preserve">RAPPACHIANI SRL</t>
  </si>
  <si>
    <t xml:space="preserve">Rappachiani diseña y fabrica soluciones de contención y cobertura para operaciones industriales exigentes.</t>
  </si>
  <si>
    <t xml:space="preserve">https://rappachiani.com/</t>
  </si>
  <si>
    <t xml:space="preserve">RELIPER</t>
  </si>
  <si>
    <t xml:space="preserve">Marcial.cortes@reliper.cl</t>
  </si>
  <si>
    <t xml:space="preserve">A151</t>
  </si>
  <si>
    <t xml:space="preserve">Reliper: Soluciones Integrales para la Minería e Industria Reliper es una compañía chilena con más de 30 años de trayectoria (fundada en 1994), especializada en el suministro estratégico de productos y servicios para los sectores minero, industrial y energético. Se destaca por ser un socio logístico clave que optimiza la operatividad de sus clientes mediante un portafolio de alta especialización técnica. Pilares Estratégicos Especialización en Suministros: Líder en la comercialización de sistemas de fijación de alta resistencia, herramientas profesionales de alto desempeño (Milwaukee, Facom, USAG) e iluminación industrial de alta eficiencia (Nordic Lights, Streamlight). Gestión de Contratos Stockless: Expertos en modelos de suministro eficiente, garantizando la disponibilidad de insumos críticos directamente en las faenas, reduciendo costos de inventario y tiempos de inactividad para grandes compañías como Codelco, BHP y Collahuasi. Presencia Regional: Con casa matriz en Antofagasta y operaciones en puntos clave de Chile (como Santiago) y el extranjero, la empresa asegura una cobertura logística robusta en las principales zonas mineras. Innovación y Valor Agregado: Más allá de la venta de productos, Reliper se enfoca en la asesoría técnica, la capacitación de operadores y la implementación de soluciones a medida que mejoran la seguridad y productividad industrial.</t>
  </si>
  <si>
    <t xml:space="preserve">https://www.reliper.com/</t>
  </si>
  <si>
    <t xml:space="preserve">REPRESENTACIONES MINERAS</t>
  </si>
  <si>
    <t xml:space="preserve">A152</t>
  </si>
  <si>
    <t xml:space="preserve">REPRESENTACIONES MINERAS S.R.L.</t>
  </si>
  <si>
    <t xml:space="preserve">En Representaciones Mineras, desarrollamos una cartera de productos especializados en la industria minera, construcción, oil &amp; gas, industrias de áridos, puertos y centros logísticos. Ofrecemos productos que son clave en el desarrollo de las operaciones, y nos enfocamos en mejorar la calidad, duración y diseño mediante una continua interacción con los usuarios. El resultado es, menores costos operativos y reducción de los tiempos de parada de planta. Nuestro foco es incrementar el valor de los productos, reducir los costos para nuestros clientes y desarrollar relaciones a largo plazo. Para ello, invertimos en ingeniería utilizando instrumentos de medición acordes a los desarrollos y capacitamos a nuestros asesores técnicos.</t>
  </si>
  <si>
    <t xml:space="preserve">RHT INDUSTRIAL</t>
  </si>
  <si>
    <t xml:space="preserve">gimenez@rhtind.com.ar</t>
  </si>
  <si>
    <t xml:space="preserve">RHT INDUSTRIAL DE GIMÉNEZ HERMÁN</t>
  </si>
  <si>
    <t xml:space="preserve">Comercializamos elementos para la conducción, control, medición y sellado de fluidos, brindando soluciones confiables para la industria. Nos destacamos por la calidad de nuestros productos, atención personalizada y rapidez de respuesta. We supply components for fluid conveyance, control, measurement, and sealing, providing reliable solutions for industrial applications. We stand out for product quality, personalized service, and fast response times.</t>
  </si>
  <si>
    <t xml:space="preserve">https://rhtind.com.ar/</t>
  </si>
  <si>
    <t xml:space="preserve">RODAMAR</t>
  </si>
  <si>
    <t xml:space="preserve">industria@rodamar.com.ar</t>
  </si>
  <si>
    <t xml:space="preserve">D429 | D430</t>
  </si>
  <si>
    <t xml:space="preserve">RODAMAR SRL TIMKEM COMPANY</t>
  </si>
  <si>
    <t xml:space="preserve">Rodamar SRL es una empresa argentina dedicada a la importación, comercialización y distribución de rodamientos, retenes y otros elementos de transmisión industrial. Con base en Rosario, brinda soluciones tanto a revendedores como a industrias, ofreciendo una amplia variedad de marcas y calidades —desde opciones económicas hasta líneas premium— junto con asesoramiento técnico especializado, capacitación y servicio logístico en todo el país.</t>
  </si>
  <si>
    <t xml:space="preserve">https://app.rodamar.com.ar/</t>
  </si>
  <si>
    <t xml:space="preserve">RODAMIENTOS CAROYA SA</t>
  </si>
  <si>
    <t xml:space="preserve">francobrunelli@rccaroya.com.ar</t>
  </si>
  <si>
    <t xml:space="preserve">B237 | B238 | B239 | B240</t>
  </si>
  <si>
    <t xml:space="preserve">Rodamientos Caroya Rodamientos Caroya es una empresa argentina con más de 59 años de trayectoria, especializada en el suministro de rodamientos, componentes industriales y soluciones de mantenimiento para el sector minero. Con cobertura nacional a través de cuatro sucursales, brindamos soporte técnico y respuesta ágil en campo. Representaciones destacadas: -SKF -NTN -FAG -Loctite -Lincoln -BBC-R -Atlas Copco Especialidades: -Torque controlado (bolting) con respaldo de Atlas Copco -Sistemas de lubricación centralizada -Soluciones en transmisión de potencia -Venta de reductores industriales -Monitoreo de condiciones -Servicios en planta de alineado láser -Balanceos dinámicos -Reingeniería de aplicaciones Soporte técnico orientado a maximizar disponibilidad y reducir paradas Nuestro compromiso es mejorar la eficiencia operativa y la confiabilidad de los activos mineros, combinando productos de alta calidad, conocimiento técnico y cercanía con el cliente en todo el país. Seguinos en: Facebook: https://www.facebook.com/rcaroya Instagram: https://www.instagram.com/caroya.arg LinkedIn: https://www.linkedin.com/company/caroya</t>
  </si>
  <si>
    <t xml:space="preserve">https://www.caroya.com.ar/</t>
  </si>
  <si>
    <t xml:space="preserve">RODAMIENTOS CUYO</t>
  </si>
  <si>
    <t xml:space="preserve">RODAMIENTOS CUYO S.R.L.</t>
  </si>
  <si>
    <t xml:space="preserve">ROSATO</t>
  </si>
  <si>
    <t xml:space="preserve">ventas@talleresrosatosa.com.ar</t>
  </si>
  <si>
    <t xml:space="preserve">ROSATO SA</t>
  </si>
  <si>
    <t xml:space="preserve">Rosato S. A. es una empresa familiar fundada en 1949 por don Osvaldo H. Rosato y Angela Reberte de Rosato teniendo como principal actividad la fabricación de máquinas y equipos para la industria en general. Paso a paso, con responsabilidad y compromiso, conseguimos extendernos a todo el mercado nacional. En el año 2004 la nos trasladamos al Parque Industrial Plátanos en Berazategui, siendo empresa pionera en la puesta en marcha del mismo, contando allí con una estructura edilicia de 10.000 mts cuadrados cubiertos y 3600 mts cuadrados libres. Se montan 2 puentes grúas de capacidad de 20 toneladas con 15 mts de luz y 10 mts de alzada para realizar trabajos de gran porte. Hacia 2014 comenzamos a realizar mecanizado In Situ incorporando tornos neumáticos portátiles que nos permiten maquinar diámetros de hasta 8000 mm. y la implementación de normas ISO 9001, 14001 y 45001 que garantizan la calidad de nuestros servicios y productos; minimizando el impacto que producen nuestras tareas en el medio ambiente y asegurando la salud de los trabajadores. La incorporación de YPF como cliente, ha impulsado la ampliación de nuestra cartera de clientes como ser Bunge Argentina SRL, Axion Energy, Pan American Energy y Shell entre otros; quienes han comprobado que el servicio de maquinado in situ aumenta su productividad, minimizando tiempos, costos y riesgos operativos. En el año 2016 ampliamos el servicio haciendo reentubado de mazos. Para ello nos equipamos con maquinaria italiana de última tecnología, que brinda rapidez y calidad sin necesidad de traslado de los mazos. Actualmente, y pensando la posibilidad de brindar una asistencia integral, adquirimos equipos para la reparación de válvulas convencionales y de tipo PSV (válvulas de seguridad). En 2025 abrimos una nueva sede en Añelo, pleno corazon de Vaca Muerta, donde brindamos asistencia a la industria energetica en general prestando ademas de los servicios habituales, asistencia metalurgica en general, resolviendo urgencias y colaborando con nuestros clientes para minimizar los tiempos de parada de planta. En paralelo con ese servicio hemos desarrollado Ingenieria y maquinaria para llevar a cabo un servicio novedoso. Somos la unica empresa nacional que brinda servicios de reparacion In situ de las unidades AIB. Esto pernite a nustros clientes no solo reducir plazos de entrega sino tambien aminora los costos y riesgos relacionados al traslado de dichos equipós. Este 2026 nos encuentra con nuevas instalaciones, esta vez en la provincia de San Juan, desde donde proyectamos asistir con nuestros servicios a la industria minera y sus proveedores. Desde nuestra base en Parque industrial Albardon nos preparamos para contribuir no solo con nuestros servicios metalurgicos y maquinados In Situ, sino que ademas comercializamos una amplia variedad de productos de fundicion como mandíbulas, martillos y conos de triturado en acero al manganeso, piezas para molienda de minerales hechas en acero hadfiel y nihard y piezas para el sector minero en general. Nos distinguimos por el compromiso con nuestros clientes cumpliendo en tiempo y forma con sus requerimientos. Solucionando sus emergencias las 24 hs, los 365 días del año. Con esta estructura nos proyectamos para seguir avanzando, incorporando a cada paso nuevas tecnologías y herramientas que aumenten la competitividad y productividad de nuestra empresa y nos potencien hacia la expansión del mercado tanto nacional como de países de Latinoamérica.</t>
  </si>
  <si>
    <t xml:space="preserve">https://rosatosa.com/</t>
  </si>
  <si>
    <t xml:space="preserve">RPM CONTROL</t>
  </si>
  <si>
    <t xml:space="preserve">ventas@rpmcontrol.com.ar</t>
  </si>
  <si>
    <t xml:space="preserve">F646 | F647</t>
  </si>
  <si>
    <t xml:space="preserve">RPM CONTROL S.A</t>
  </si>
  <si>
    <t xml:space="preserve">Especialistas en Control de Fluidos. Respaldados por más de 30 años de trayectoria en el mercado industrial, en RPM Control transformamos la complejidad técnica en confiabilidad operativa. Somos el socio estratégico que las industrias eligen para garantizar la integridad de sus procesos más críticos. Nuestra propuesta de valor combina el conocimiento de expertos locales con el respaldo de líderes globales como Baker Hughes (Masoneilan, Becker, Mooney), AMPO Poyam, RF Valves. Integramos tecnología de alta performance diseñada para los entornos más exigentes de Petróleo y Gas, Minería, Energía y Petroquímica con servicios de mantenimiento de válvulas Masoneilan (certificación MARC 2). Donde hay un lazo de control, un fluido crítico o un servicio severo, está RPM Control.</t>
  </si>
  <si>
    <t xml:space="preserve">https://rpmcontrol.com.ar/</t>
  </si>
  <si>
    <t xml:space="preserve">RVM SAS</t>
  </si>
  <si>
    <t xml:space="preserve">ricardopulgar@rvm-sm.com</t>
  </si>
  <si>
    <t xml:space="preserve">R.V.M. S.A.S.</t>
  </si>
  <si>
    <t xml:space="preserve">En RVM Servicios Metalúrgicos nos especializamos en brindar soluciones integrales con un enfoque de Industria 4.0. Esto nos permite integrar tecnología de vanguardia y digitalización en nuestros procesos de fabricación para garantizar precisión, trazabilidad y eficiencia en cada etapa del desarrollo. Nuestra propuesta de valor se basa en un servicio 360 respaldado por nuestra certificación ISO 9001:2015, asegurando los más altos estándares de calidad en: Diseño y Desarrollo: Ingeniería aplicada a sus necesidades específicas. Corte Láser y Plegado CNC: Tecnología de alta precisión para chapa y tubos. Soldadura y Ensamble: Procesos validados para componentes complejos. Pintura Termoconvertible: Acabados industriales de máxima durabilidad. Adjunto a este correo encontrarán nuestra presentación institucional, un video breve de nuestras capacidades productivas y el detalle de nuestras certificaciones vigentes. Estamos convencidos de que nuestra agilidad tecnológica y compromiso con la calidad pueden generar sinergias de alto impacto para ustedes. Quedo a su disposición para profundizar en cualquier punto técnico o coordinar una visita a nuestra planta.</t>
  </si>
  <si>
    <t xml:space="preserve">https://www.rvmserviciosmetalurgicos.com/</t>
  </si>
  <si>
    <t xml:space="preserve">SCAME</t>
  </si>
  <si>
    <t xml:space="preserve">F635</t>
  </si>
  <si>
    <t xml:space="preserve">SCAME ARGENTINA S A</t>
  </si>
  <si>
    <t xml:space="preserve">En Scame nos dedicamos a soluciones eléctricas en conexionado industrial, tableros de servicio, tomas, fichas e iluminación para áreas clasificadas, seccionadores de seguridad a pie de máquina, tomas en GRP para entornos agresivos, ideal para mineria.</t>
  </si>
  <si>
    <t xml:space="preserve">SEAL</t>
  </si>
  <si>
    <t xml:space="preserve">E510 | E511</t>
  </si>
  <si>
    <t xml:space="preserve">SEAL INNOVATION S. A.</t>
  </si>
  <si>
    <t xml:space="preserve">Seal Innovation es una empresa Argentina, dedicada a la fabricación de sellos, retenes y empaquetaduras para cilindros hidráulicos. También ofrece el servicio de reparación y fabricación de cilindros hidráulicos.</t>
  </si>
  <si>
    <t xml:space="preserve">SEF HIDROACCESORIOS</t>
  </si>
  <si>
    <t xml:space="preserve">E507</t>
  </si>
  <si>
    <t xml:space="preserve">FRAU ALBORS</t>
  </si>
  <si>
    <t xml:space="preserve">ES: Especialistas en hidraulica y neumatica ofreciendo soluciones innovadoras y de alta calidad para el mercado internacional. Nos enfocamos en el crecimiento sostenible y la satisfacción del cliente. EN: Specialists in hydraulics and pneumatics providing innovative, high-quality solutions for the international market. We focus on sustainable growth and client satisfaction.</t>
  </si>
  <si>
    <t xml:space="preserve">SEIRE S.A. - POLIPOSTE</t>
  </si>
  <si>
    <t xml:space="preserve">crigl@poliposte.com.ar</t>
  </si>
  <si>
    <t xml:space="preserve">ESTRUCTURAS METÁLICAS ESPECIALES PESADAS Seire S.A. con su marca Poliposte, desde el año 1996, desarrolla estructuras metálicas de todo tipo. Desde torres para transporte de energía, telecomunicación, subestaciones eléctricas, columnas especiales de iluminación, para plantas petroleras, estadios de fútbol, aeropuertos. Cálculo, diseño y fabricación de galpones de viga de alma llena y reticulados. Estructuras de señalamiento vial, peajes automáticos, columnas de alumbrado y especiales con ingeniería propia y de terceros.</t>
  </si>
  <si>
    <t xml:space="preserve">https://www.poliposte.com.ar/</t>
  </si>
  <si>
    <t xml:space="preserve">SHALE TECH SOLUTIONS SRL</t>
  </si>
  <si>
    <t xml:space="preserve">sales@shaletechsolutions.com</t>
  </si>
  <si>
    <t xml:space="preserve">C309</t>
  </si>
  <si>
    <t xml:space="preserve">Baroid IDP drilling fluids Quik-Gel Bentonite, Polymers, Viscosifiers, LCM, Field Technical Service, Rental of RSU Centrifuge Decanters, and Mud Cleaners. Laboratory Equipment (FANN), Viscometers, Mobile Labs. In-company Training and Mud School, Present in San Juan, Salta, Mendoza, Neuquen, and Buenos Aires.</t>
  </si>
  <si>
    <t xml:space="preserve">https://www.shaletechsolutions.com/</t>
  </si>
  <si>
    <t xml:space="preserve">SIDES INGENIERÍA</t>
  </si>
  <si>
    <t xml:space="preserve">SIDES Ingeniería: Soluciones Electromecánicas Integrales Con más de 25 años de trayectoria, brindamos soluciones integrales en Ingeniería Eléctrica, Electromecánica y Electrónica para proyectos de alta complejidad. Nos especializamos en el sector minero e industrial, adaptándonos a entornos técnicos y geográficos exigentes, con un enfoque ágil, eficiente y orientado a resultados, priorizando la mejor relación precio/calidad y la satisfacción del cliente en cada proyecto. Nuestros servicios • Proyectos llave en mano: desarrollo integral desde la ingeniería básica y de detalle hasta el precomisionado, puesta en marcha y operación. • Montajes y obras: ejecución de montajes electromecánicos, piping, estructuras, instrumentación y sistemas de control. • Mantenimiento y asistencia técnica: servicios especializados para paradas de planta, mantenimiento preventivo y correctivo, y provisión de personal técnico bajo modalidad H/H. • Fabricación: diseño y armado de tableros eléctricos bajo estrictos estándares de calidad. • Ingeniería y soporte técnico: relevamientos en campo, desarrollo de documentación técnica, planos y soluciones adaptadas a cada necesidad. Contamos con equipos propios de profesionales y técnicos altamente capacitados, lo que nos permite brindar servicios ágiles, flexibles y a medida, acompañando a nuestros clientes en todas las etapas de sus proyectos. Nuestra experiencia se respalda en la ejecución de obras para importantes compañías de los sectores industrial y energético, participando en proyectos de montaje, ampliación de instalaciones, tendido eléctrico, automatización y puesta en marcha. Disponemos de una red de sedes operativas estratégicamente ubicadas en Córdoba, Buenos Aires, Salta, Mendoza, San Luis, Neuquén, Santa Fe y Santa Cruz, lo que nos permite responder de manera rápida y eficiente en todos los destinos donde operan nuestros clientes.</t>
  </si>
  <si>
    <t xml:space="preserve">SOFTYS</t>
  </si>
  <si>
    <t xml:space="preserve">lrios@softys.com</t>
  </si>
  <si>
    <t xml:space="preserve">Isla: 65</t>
  </si>
  <si>
    <t xml:space="preserve">Elite Professional es la marca de soluciones higiénicas de Softys, pensada especialmente para acompañar negocios e instituciones en su día a día. Ofrecemos productos de alto rendimiento que combinan eficiencia, calidad y diseño para responder a las demandas reales de cada rubro profesional. Trabajamos junto a industrias, servicios, hoteles, restaurantes, hospitales, sanatorios, y muchos más, brindando una propuesta integral que eleva los estándares de higiene en todos los espacios.</t>
  </si>
  <si>
    <t xml:space="preserve">https://www.eliteprofessional.com.ar/</t>
  </si>
  <si>
    <t xml:space="preserve">SOLIDPRO</t>
  </si>
  <si>
    <t xml:space="preserve">info@solidpro.com.ar</t>
  </si>
  <si>
    <t xml:space="preserve">Isla: 71 | Isla: 72</t>
  </si>
  <si>
    <t xml:space="preserve">En SOLIDPRO diseñamos, construimos y proveemos transportadores tubulares a cadena para sólidos a granel. Nuestro sistema permite transportar sólidos granulares o polvos micronizados, alimentos para consumo humano o desechos, sólidos secos o lodos pegajosos. Los equipos desplazan sólidos de manera suave, evitando la disgregación por tamaño de partícula, haciendo un uso eficiente de la energía eléctrica. El transportador SOLIDPRO mueve sólidos de manera eficiente en el uso de energía, permitiendo desplazamientos en los tres planos del espacio sin dañar el producto. Su diseño estanco previene la pérdida de material y ofrece configuraciones flexibles con múltiples entradas y salidas.</t>
  </si>
  <si>
    <t xml:space="preserve">https://www.solidpro.com.ar/</t>
  </si>
  <si>
    <t xml:space="preserve">SOLIND</t>
  </si>
  <si>
    <t xml:space="preserve">SOLIND SAS</t>
  </si>
  <si>
    <t xml:space="preserve">SERVICIOS DE Fabricaciones Metal-Mecánicas y Montajes,Trabajos en Acero Inoxidable, Piping y Soldaduras. Obras Civiles, Pinturas con Epoxi y Poliuretano. Redes de Protección Contra Incendios</t>
  </si>
  <si>
    <t xml:space="preserve">SOLKEM S.A.</t>
  </si>
  <si>
    <t xml:space="preserve">daiana@solkem.com.ar</t>
  </si>
  <si>
    <t xml:space="preserve">C367</t>
  </si>
  <si>
    <t xml:space="preserve">Fundada en 2006 como una empresa familiar, hemos evolucionado gracias a décadas de experiencia en el sector de la Industria Química y nuestro compromiso inquebrantable con la atención personalizada.</t>
  </si>
  <si>
    <t xml:space="preserve">https://solkem.com.ar/index.php</t>
  </si>
  <si>
    <t xml:space="preserve">SOLVE</t>
  </si>
  <si>
    <t xml:space="preserve">comercial@solveingenieria.com.ar</t>
  </si>
  <si>
    <t xml:space="preserve">SOLVE S.R.L.</t>
  </si>
  <si>
    <t xml:space="preserve">En SOLVE INGENIERÍA, somos especialistas en Electricidad, Instrumentación y Control (EI&amp;C), brindando soluciones de alto valor para minería, petróleo y gas, manufactura y construcción. Desde 2013, acompañamos a nuestros clientes en todas las etapas de sus proyectos, desde el diseño hasta la puesta en marcha. Nuestro propósito es potenciar el desarrollo sostenible de las empresas que confían en nosotros, priorizando seguridad, eficiencia y soluciones escalables. Creemos en el crecimiento a largo plazo, construyendo relaciones comerciales basadas en la confianza y el compromiso.</t>
  </si>
  <si>
    <t xml:space="preserve">https://solveingenieria.com.ar/</t>
  </si>
  <si>
    <t xml:space="preserve">SOULE SACEI</t>
  </si>
  <si>
    <t xml:space="preserve">christianv@soule-electric.com.ar</t>
  </si>
  <si>
    <t xml:space="preserve">F609</t>
  </si>
  <si>
    <t xml:space="preserve">Soule S.A.C.el. es una empresa de origen familiar, cuya actividad se inicia en el año 1952. Soule S.A.C.e.I. es una empresa de origen familiar, cuya actividad se inicia en el año 1952. A pesar del tiempo transcurrido, los descendientes de los socios fundadores continúan ejerciendo la conducción de la empresa manteniendo en plena expansión nuestra actividad comercial. La experiencia acumulada en tan dilatada trayectoria de constante actividad y la permanente capacitación de los distintos niveles de responsabilidad, nos convierten en un importante referente del sector eléctrico industrial. En la actualidad por la constante renovación tecnológica debemos ampliar permanentemente el horizonte de conocimientos que, volcados al mercado a través de nuestros recursos humanos, nos permite mantener una creciente participación en el sector eléctrico y una fuerte relación con clientes y proveedores.</t>
  </si>
  <si>
    <t xml:space="preserve">https://www.soule.com.ar/</t>
  </si>
  <si>
    <t xml:space="preserve">SPIRAX GROUP - WATSON-MARLOW</t>
  </si>
  <si>
    <t xml:space="preserve">Isla: 79</t>
  </si>
  <si>
    <t xml:space="preserve">Watson-Marlow Fluid Technology Solutions (WMFTS) es una empresa líder mundial en soluciones de gestión de fluidos de nicho, reconocida por su innovación, precisión y confiabilidad en aplicaciones críticas. Forma parte del Grupo Spirax, un grupo industrial global enfocado en crear soluciones eficientes y sostenibles para clientes de todo el mundo. WMFTS diseña y fabrica tecnologías de bombeo peristáltico, dosificación, transferencia de fluidos y manejo de procesos, atendiendo industrias como farmacéutica, biotecnología, alimentos y bebidas, minería, química y gestión del agua. Su enfoque combina excelencia en ingeniería, cercanía con el cliente y un fuerte compromiso con la sostenibilidad y la mejora continua.</t>
  </si>
  <si>
    <t xml:space="preserve">SPRAYTEC</t>
  </si>
  <si>
    <t xml:space="preserve">industriales@spraytec.com.ar</t>
  </si>
  <si>
    <t xml:space="preserve">F628</t>
  </si>
  <si>
    <t xml:space="preserve">Desde 1991, nos consolidamos como referentes en el mercado de la pulverización, respaldados por una sólida trayectoria en la comercialización de una amplia gama de componentes y soluciones para la pulverización industrial. Nos destacamos por priorizar la relación con nuestros clientes, ofreciendo siempre propuestas técnico-comerciales adecuadas a cada necesidad. Ofrecemos soluciones en: -Control de Polvo -Sistemas de Dosificación -Sistemas de Lavado -Refrigeración Evaporativa -Lavado de Gases -Filtros Autolimpiantes</t>
  </si>
  <si>
    <t xml:space="preserve">https://www.spraytec.com.ar/</t>
  </si>
  <si>
    <t xml:space="preserve">STM ARGENTINA S A</t>
  </si>
  <si>
    <t xml:space="preserve">comercial@stmteam.com.ar</t>
  </si>
  <si>
    <t xml:space="preserve">C360 | C361</t>
  </si>
  <si>
    <t xml:space="preserve">Nuestra gama completa de productos para el control y la transmisión de potencia se traduce en una única filosofía: la más alta tecnología para ofrecer la más alta calidad y eficiencia. Presentes en Argentina desde 1997 y afianzando nuestro crecimiento, STM Argentina S.A., filial de STM Spa. Italia, llega con sus productos a fabricantes y usuarios brindando soluciones inherentes a la transmisión de potencia mecánica.</t>
  </si>
  <si>
    <t xml:space="preserve">https://www.stmteam.com.ar/</t>
  </si>
  <si>
    <t xml:space="preserve">STORAGE COMPAT</t>
  </si>
  <si>
    <t xml:space="preserve">Isla: 11</t>
  </si>
  <si>
    <t xml:space="preserve">STORAGE COMPAT SA</t>
  </si>
  <si>
    <t xml:space="preserve">SUMIAGRO SANTA FE</t>
  </si>
  <si>
    <t xml:space="preserve">sanjuan@sumienergy.com.ar</t>
  </si>
  <si>
    <t xml:space="preserve">E539 | E540 | F607</t>
  </si>
  <si>
    <t xml:space="preserve">SUMIAGRO SANTA FE S A</t>
  </si>
  <si>
    <t xml:space="preserve">Sumienergy es una empresa especializada en la venta de maquinaria, herramientas e insumos para los sectores de Construcción, Industria, Minería y Oil &amp; Gas, con base en la provincia de Salta. Formamos parte de Sumiagro S.A., una compañía con más de 45 años de trayectoria en el litoral, lo que nos brinda solidez, experiencia y respaldo en cada operación. Nos enfocamos en abastecer los principales polos productivos del país (NOA, San Juan y Vaca Muerta), ofreciendo respuesta ágil, asesoramiento técnico y soluciones adaptadas a cada proyecto. Nos diferenciamos por desarrollar y comercializar productos de marca propia, como bombas de lodo, torres de iluminación a batería, mini cargadoras y vibropisones, diseñados bajo estándares de primera calidad para rendir en entornos exigentes y garantizar la mejor relación costo-beneficio. En Sumienergy trabajamos para ser un socio estratégico, asegurando cumplimiento, calidad y acompañamiento en cada etapa.</t>
  </si>
  <si>
    <t xml:space="preserve">https://www.sumienergy.com.ar/</t>
  </si>
  <si>
    <t xml:space="preserve">SUR TECNICA</t>
  </si>
  <si>
    <t xml:space="preserve">infocomercial@surtecnica.com</t>
  </si>
  <si>
    <t xml:space="preserve">B200 | C362 | C363 | C364 | C365</t>
  </si>
  <si>
    <t xml:space="preserve">SIS TRANS S.A</t>
  </si>
  <si>
    <t xml:space="preserve">Nos dedicamos al diseño, fabricación y comercialización de rodillos, cintas y bandas transportadoras, tambores y una amplia gama de componentes para sistemas de transporte industrial.</t>
  </si>
  <si>
    <t xml:space="preserve">https://www.surtecnica.com.ar/</t>
  </si>
  <si>
    <t xml:space="preserve">SURGENTE MOLINOS</t>
  </si>
  <si>
    <t xml:space="preserve">emantovani@surgente.com.ar</t>
  </si>
  <si>
    <t xml:space="preserve">SURGENTE MOLINOS SA</t>
  </si>
  <si>
    <t xml:space="preserve">Industria metalurgica de servicios y comercial de productos para el sector agropecuario y construcciom</t>
  </si>
  <si>
    <t xml:space="preserve">https://www.surgente.com.ar/</t>
  </si>
  <si>
    <t xml:space="preserve">SV SERVICIOS VIALES</t>
  </si>
  <si>
    <t xml:space="preserve">contacto@serviciosviales.com.ar</t>
  </si>
  <si>
    <t xml:space="preserve">E520 | E534</t>
  </si>
  <si>
    <t xml:space="preserve">SERVICIOS VIALES SANTA FE SA</t>
  </si>
  <si>
    <t xml:space="preserve">Somos una empresa con 40 años de trayectoria, dedicada a la importación y distribución de Filtros, Repuestos, GET y Tren Rodante para equipos pesados. Ofrecemos productos de marcas líderes en el mercado, originales y alternativas con calidad OEM: Donaldson, KTN y Turbo en filtración; y repuestos CAT, CTP, ITR, Ghinassi, Blumaq, KTN, y Nordic Lights; abasteciendo a todas las industrias: Minería, Agro, Transporte, Construcción, Oil &amp; Gas, entre otras. En SV valoramos la atención al cliente, por lo que ofrecemos entrega inmediata desde nuestras cuatro sucursales operativas estratégicamente ubicadas en: Santa Fe (casa central), Buenos Aires, Mendoza y Salta.</t>
  </si>
  <si>
    <t xml:space="preserve">https://sv.com.ar/</t>
  </si>
  <si>
    <t xml:space="preserve">TANKITO</t>
  </si>
  <si>
    <t xml:space="preserve">Isla: 26E-INF</t>
  </si>
  <si>
    <t xml:space="preserve">IFRIMEN SRL</t>
  </si>
  <si>
    <t xml:space="preserve">TDL S.A</t>
  </si>
  <si>
    <t xml:space="preserve">ventas@tdlsa.com.ar</t>
  </si>
  <si>
    <t xml:space="preserve">B247 | B248 | B249</t>
  </si>
  <si>
    <t xml:space="preserve">TDL S.A.</t>
  </si>
  <si>
    <t xml:space="preserve">TDL SA es una de las empresas del GRUPO SALVATORE con más de 30 años de experiencia y reconocida como referente en Sudamérica en la fabricación de pisos y escalones de rejillas metálicas, estructuras de alta resistencia, etc. Nuestro compromiso con la industria minera nos ha permitido participar en proyectos de gran envergadura, aportando productos diseñados para soportar condiciones extremas y ajustados a los más altos estándares de seguridad y calidad internacional. Contamos con tres plantas industriales que nos brindan la capacidad de responder con rapidez y eficiencia a las exigencias de obras mineras de gran escala. Además, hemos incorporado tecnología única en Argentina para la producción de rejillas metálicas electroforjadas, garantizando soluciones más duraderas, seguras y confiables para operaciones en altura y ambientes de alta exigencia. Nuestra trayectoria está respaldada por más de 3.000 clientes nacionales e internacionales, entre los que se destacan empresas líderes del sector como YPF, Cerro Vanguardia, Mina Pirquitas, Minera Alumbrera, Pan American Silver Argentina y Sales de Jujuy, quienes confían en nosotros por la calidad, personalización y cercanía en cada proyecto.</t>
  </si>
  <si>
    <t xml:space="preserve">https://www.tdlsa.com.ar/</t>
  </si>
  <si>
    <t xml:space="preserve">TDM</t>
  </si>
  <si>
    <t xml:space="preserve">TDM GEOSINTETICOS S.A.</t>
  </si>
  <si>
    <t xml:space="preserve">Quiénes somos Con más de 30 años en Latinoamérica, en TDM transformamos desafíos técnicos con innovación, construyendo infraestructura confiable y sostenible que impulsa el desarrollo sostenible de la región y mejora la calidad de vida de las personas. Soluciones Implementamos diversas aplicaciones que integran productos y servicios para garantizar la eficiencia en cada proyecto. Te garantizamos Soporte técnico Brindamos asesoría técnica a través de un equipo especializado en el uso de nuestros productos en diversas especialidades de ingeniería. Operaciones Industriales Contamos con líneas de fabricación de geomembranas y geoceldas en Perú, así como una línea de fabricación de geoceldas en Brasil, con capacidad para atender la demanda de nuestros clientes en toda Latinoamérica. Trabajamos con resinas selectas, certificadas y de alta calidad, lo que garantiza productos con un excelente desempeño. Laboratorios y Departamento de I+D+i Nuestras plantas de fabricación cuentan con laboratorios que poseen la acreditación GAI-LAP para el control de calidad de nuestros productos. Además, contamos con un departamento de Investigación, Desarrollo e Innovación especializado en ampliar y profundizar el conocimiento de los productos manufacturados por nosotros y de todo nuestro portafolio, así como desarrollar nuevos productos. Servicio de instalación Ofrecemos un servicio especializado de instalación con personal certificado, equipos adecuados y estrictos controles de calidad en campo. Productos Fabricamos, comercializamos y suministramos productos reconocidos mundialmente por sus beneficios y características técnicas. Conoce más de ellos.</t>
  </si>
  <si>
    <t xml:space="preserve">TECMAQ</t>
  </si>
  <si>
    <t xml:space="preserve">ventas@tecmaqsrl.com</t>
  </si>
  <si>
    <t xml:space="preserve">Isla: 76</t>
  </si>
  <si>
    <t xml:space="preserve">TECMAQ S.R.L.</t>
  </si>
  <si>
    <t xml:space="preserve">TECMAQ es una empresa argentina con casi cinco décadas de experiencia en ingeniería y fabricación industrial, especializada en el diseño y producción de maquinaria y equipos para el procesamiento de materiales, principalmente en los sectores de áridos, minería y construcción.</t>
  </si>
  <si>
    <t xml:space="preserve">https://www.tecmaqsrl.com/</t>
  </si>
  <si>
    <t xml:space="preserve">THORUS</t>
  </si>
  <si>
    <t xml:space="preserve">THYSSEN PLASTIC SOLUTION</t>
  </si>
  <si>
    <t xml:space="preserve">Isla: 60</t>
  </si>
  <si>
    <t xml:space="preserve">ANTIGUAS ESTANCIAS DON ROBERTO S A</t>
  </si>
  <si>
    <t xml:space="preserve">Thyssen Plastic Solutions, empresa que desde 1998 lidera el mercado argentino en la fabricación de tuberías de polietileno de alta densidad (PEAD). Con más de 25 años de trayectoria, nos especializamos en brindar soluciones para sectores de alta exigencia como la industria minera, empresas petroleras y la construcción de grandes acueductos. Nuestra propuesta se distingue por ofrecer una solución técnica integral: Contamos con todas las soluciones en electrofuśion y termofusión. Destacamos nuestra capacidad de fabricar accesorios bajo plano en termofusión, adaptándonos a las necesidades geométricas y técnicas específicas de cada proyecto. También proveemos sistemas por compresión y asesoramiento en obra. Desde nuestra planta industrial en Villa Mercedes, San Luis (Ruta Nac. Nº 148 Km. 716), operamos con maquinaria de última generación que garantiza un control de proceso permanente y resultados de máxima confiabilidad. Utilizamos resinas PEAD 80 y PEAD 100 de origen internacional, cumpliendo estrictamente con las normas IRAM 13485, ISO 4427, DIN 8074 (Agua) y NAG-140 (Gas). Fabricamos desde 20 mm hasta 1200 mm para agua y hasta 250 mm para redes de gas, con flexibilidad en entregas de rollos o tramos de hasta 15 metros. Nuestra vasta experiencia en el sector y la especialización de nuestro Departamento Técnico nos permiten garantizar el éxito en la extensión total de su obra.</t>
  </si>
  <si>
    <t xml:space="preserve">TIP TOP ARGENTINA</t>
  </si>
  <si>
    <t xml:space="preserve">tiptop@tiptop.com.ar</t>
  </si>
  <si>
    <t xml:space="preserve">F634</t>
  </si>
  <si>
    <t xml:space="preserve">TIP TOP ARGENTINA S.A</t>
  </si>
  <si>
    <t xml:space="preserve">Somos una empresa argentina, fundada en 1960, y nos focalizamos en: -Provisión y mantenimiento de cintas transportadoras. -Protección contra la abrasión y la corrosión. -Equipamiento para vehículos OTR y de gran porte. -Servicio de mantenimiento industrial 24/7 en todo el país. Nuestra misión es maximizar la confiabilidad y disponibilidad del equipamiento productivo de nuestros clientes a través de la provisión de productos y servicios de alta calidad.</t>
  </si>
  <si>
    <t xml:space="preserve">https://rematiptop.com.ar/</t>
  </si>
  <si>
    <t xml:space="preserve">TRAFUL</t>
  </si>
  <si>
    <t xml:space="preserve">Isla: 25-INF</t>
  </si>
  <si>
    <t xml:space="preserve">TRANSCADEN</t>
  </si>
  <si>
    <t xml:space="preserve">TRANSCADEN S.R.L.</t>
  </si>
  <si>
    <t xml:space="preserve">Transcaden S.R.L. es una empresa argentina fundada en 1994 dedicada a la comercialización de productos y soluciones para transmisión de potencia y repuestos industriales y agrícolas. La compañía ofrece una amplia gama de componentes como correas, cadenas, poleas, reductores, motores y otros elementos mecánicos utilizados en diferentes aplicaciones industriales. Con más de dos décadas de trayectoria, la empresa se enfoca en brindar asesoramiento técnico, variedad de marcas y distintos niveles de calidad para adaptarse a las necesidades de sus clientes, priorizando la atención, la respuesta rápida y la mejora continua en sus procesos y servicios.</t>
  </si>
  <si>
    <t xml:space="preserve">TRANSOCEAN COATINGS (ULTRACOATINGS)</t>
  </si>
  <si>
    <t xml:space="preserve">TRANSOCEAN MARINE PAINTS ASSOCIATION</t>
  </si>
  <si>
    <t xml:space="preserve">TRIELEC</t>
  </si>
  <si>
    <t xml:space="preserve">javierbaudonnet@trielec.com.ar</t>
  </si>
  <si>
    <t xml:space="preserve">D404 | D405 | D406</t>
  </si>
  <si>
    <t xml:space="preserve">TRIELEC S A</t>
  </si>
  <si>
    <t xml:space="preserve">TRIELEC S.A. TRIELEC es un socio técnico confiable. Mucho más que un proveedor de materiales eléctricos. Proveemos materiales eléctricos de primeras marcas, integrados en soluciones técnicas pensadas para minería, industria, comercio y construcción. No solo suministramos productos: acompañamos cada operación asegurando continuidad, eficiencia y confiabilidad desde la correcta selección y provisión de cada componente. ✔ Marcas líderes ✔ Asesoramiento técnico especializado ✔ Disponibilidad inmediata y logística eficiente Transformamos la provisión de materiales eléctricos en soluciones concretas para entornos exigentes. SEGMENTOS ATENDIDOS 1. Energía y Distribución Eléctrica Proveemos materiales para infraestructura eléctrica robusta, asegurando instalaciones confiables en entornos críticos. 2. Automatización, Control y Procesos Suministramos componentes y soluciones para control y automatización, optimizando procesos productivos con tecnología confiable. 3. Energía de Respaldo y Calidad de Energía Ofrecemos equipamiento y materiales que garantizan continuidad operativa y estabilidad energética. 4. Energía Renovable y Soluciones Autónomas Proveemos sistemas y componentes para generación eficiente, reduciendo costos y dependencia de combustibles. 5. Conectividad Eléctrica Industrial Suministramos soluciones de conexión seguras y durables para condiciones de alta exigencia. 6. Redes y Comunicación Industrial Integramos materiales y soluciones para vincular la operación eléctrica con sistemas de información y control. 7. Medición y Diagnóstico Proveemos instrumentos y soluciones para medición precisa, permitiendo control y mejora continua. 8. Soluciones Modulares y Proyectos Especiales Suministramos materiales y desarrollamos soluciones adaptadas, listas para implementar según cada proyecto. 9. Ingeniería y Servicios Acompañamos la provisión con soporte técnico, desde la selección de materiales hasta la implementación, integrando soluciones completas en cada etapa del proyecto. **En TRIELEC, cada material que proveemos forma parte de una solución. Porque entendemos que una buena provisión no es solo entrega: es garantizar que todo funcione.**</t>
  </si>
  <si>
    <t xml:space="preserve">https://www.trielec.com.ar/</t>
  </si>
  <si>
    <t xml:space="preserve">VASILE Y CIA S.A.C.I</t>
  </si>
  <si>
    <t xml:space="preserve">info@vasile.com.ar</t>
  </si>
  <si>
    <t xml:space="preserve">TRANSFORMADORES DE POTENCIA Vasile y CIA S.A.C.I., Fabricante de transformadores de potencia con más de 60 años en el mercado eléctrico. Suministrando transformadores para la generación y transmisión para la industria minera, petrolera y del gas.</t>
  </si>
  <si>
    <t xml:space="preserve">https://www.vasile.com.ar/</t>
  </si>
  <si>
    <t xml:space="preserve">VERIFICACION TECNICA</t>
  </si>
  <si>
    <t xml:space="preserve">VERIFICACION TECNICA SAN JUAN SRL</t>
  </si>
  <si>
    <t xml:space="preserve">VICTOR CONTRERAS SA</t>
  </si>
  <si>
    <t xml:space="preserve">VICTOR M CONTRERAS Y CIA SOCIEDAD ANONIMA</t>
  </si>
  <si>
    <t xml:space="preserve">WG INGENIERÍA ELÉCTRICA S.A.</t>
  </si>
  <si>
    <t xml:space="preserve">WILO SALMSON ARGENTINA S. A.</t>
  </si>
  <si>
    <t xml:space="preserve">WIN WATER</t>
  </si>
  <si>
    <t xml:space="preserve">info@winwater.com.ar</t>
  </si>
  <si>
    <t xml:space="preserve">Empresa del grupo Geotub especializada en ofrecer soluciones termoplásticas para la conducción de fluidos en rubros de minería, Oil &amp; Gas y diferentes industrias, ofreciendo productos de calidad industrial y servicios de selección de materiales. Venta consultiva y logística in-situ para Mineria, Oil &amp; Gas, Química e Industrial. Presupuesto y selección de materiales en distintas etapas de ingeniería de proyecto. Cotización en firme y logística en sitio de nuestros productos.</t>
  </si>
  <si>
    <t xml:space="preserve">https://www.winwater.com.ar/</t>
  </si>
  <si>
    <t xml:space="preserve">WTK ® WENTINCK</t>
  </si>
  <si>
    <t xml:space="preserve">info@wtkconductores.com</t>
  </si>
  <si>
    <t xml:space="preserve">Isla: 32E</t>
  </si>
  <si>
    <t xml:space="preserve">ELPIDA S.A</t>
  </si>
  <si>
    <t xml:space="preserve">WTK®️ Wentinck — Soluciones en Cables BT para Minería WTK®️ Wentinck | Fabricamos y desarrollamos cables críticos BT, abasteciendo operaciones de alta demanda en el sector minero, Oil&amp;Gas, Agro e infrasctuctura, donde la confiabilidad eléctrica es determinante. Contamos con equipo de ingeniería para el desarrollo de soluciones especiales en tiempos récord, con trazabilidad completa de proceso a entrega. Stock permanente en planta y alta capacidad de respuesta para abastecer cuando el proyecto lo requiere — sin importar dónde se encuentre la operación. Contamos con distintos puntos de distribución en Argentina, lo que garantiza la inmediatez de abastecimiento. Cada línea que producimos está certificada bajo normas IRAM y respaldada por ISO 9001:2015. Nuestra línea para el sector minero: — Cables de potencia / subterráneos · IRAM 2178-1 — Cables de señalización y comando · IRAM 2178-1 — Conductores desnudos / recocidos · IRAM 2004 · NM 280 — Cables unipolares flexibles · IRAM NM247-3 — Cables tipo taller · IRAM NM247-5 — Cables subterráneos LS0H · IRAM 62266 — Cables unipolares flexibles LS0H · IRAM 62267 — Cables para minería — Cables para bomba sumergible — Cables resistentes a hidrocarburos y rayos UV Elegir WTK®️ es elegir un aliado estratégico que garantiza abastecimiento, calidad y respuesta técnica. 🌐 wtkconductores.com 📋 https://wtkconductores.com/catalogo 📩 https://wtkconductores.com/contacto-wtk-wentinck 💬 Escribinos por WhatsApp: https://wa.me/5491141621331</t>
  </si>
  <si>
    <t xml:space="preserve">https://www.wtkconductores.com/</t>
  </si>
  <si>
    <t xml:space="preserve">ZIGMA SOLUCIONES INDUSTRIALES LTDA</t>
  </si>
  <si>
    <t xml:space="preserve">ventas@zigma.com.ar</t>
  </si>
  <si>
    <t xml:space="preserve">Expo San Juan Minera 2026. También en: Exponor (ID 1375); AquaSur (ID 508).</t>
  </si>
  <si>
    <t xml:space="preserve">C366</t>
  </si>
  <si>
    <t xml:space="preserve">Spears® | Valvulas, Fittings, Cañerias y Accesorios de PVC &amp; CPVC Weld-On® | Cementos Solventes y Accesorios para ABS - PVC - CPVC APS® | Protectores de Seguridad contra rociado de PTFE – PP - PVC - SS EFCO Swiss® ClicTop de Polidamina para Cañerías desde 1/4" a 4" Valvulas, Fittings, Cañerias y Accesorios de PP - PVDF - PTFE Piezas Especiales de origen Norteamericano.</t>
  </si>
  <si>
    <t xml:space="preserve">https://www.zigma.com.ar/</t>
  </si>
  <si>
    <t xml:space="preserve">Exponor (ID 1375); AquaSur (ID 508)</t>
  </si>
  <si>
    <t xml:space="preserve">AUTOPARK</t>
  </si>
  <si>
    <t xml:space="preserve">admin@autoparksa.com.ar</t>
  </si>
  <si>
    <t xml:space="preserve">Sin acción comercial</t>
  </si>
  <si>
    <t xml:space="preserve">Fuera de foco (turismo y servicios locales)</t>
  </si>
  <si>
    <t xml:space="preserve">Isla: 20D</t>
  </si>
  <si>
    <t xml:space="preserve">INSU-MAQ S.R.L</t>
  </si>
  <si>
    <t xml:space="preserve">Con una sólida trayectoria en la provincia de San Juan, Autopark nos posicionamos como el aliado estratégico clave para la industria minera y los grandes proyectos de infraestructura. Nos especializamos en la provisión de ferretería industrial, ofreciendo un catálogo exhaustivo de herramientas, insumos y equipos de las marcas líderes a nivel mundial. Nos acompañan en el stand, Total, Biassoni, Czerweny, Vulcano y Honda. Nuestra propuesta de valor se basa en la eficiencia logística y el asesoramiento técnico especializado, garantizando soluciones que optimizan la productividad en entornos de alta exigencia. Entendemos los estándares de seguridad y calidad que el sector minero requiere, por lo que trabajamos bajo el compromiso de brindar respuestas rápidas y stock permanente para que la operatividad de nuestros clientes nunca se detenga. Autopark: Calidad, respaldo y tecnología al servicio del desarrollo industrial sanjuanino</t>
  </si>
  <si>
    <t xml:space="preserve">https://www.instagram.com/autopark.sj</t>
  </si>
  <si>
    <t xml:space="preserve">BRANDS</t>
  </si>
  <si>
    <t xml:space="preserve">D413</t>
  </si>
  <si>
    <t xml:space="preserve">capreturok@gmail.com</t>
  </si>
  <si>
    <t xml:space="preserve">La Cámara de Prestadores Turísticos de San Juan es una organización que nuclea a empresas y profesionales del sector turístico de la provincia, con el objetivo de fortalecer la actividad, mejorar la competitividad y representar los intereses del sector privado ante organismos públicos y otras instituciones. Sus principales actividades suelen incluir: 1. Representación institucional Actúa como vocera de los prestadores turísticos frente a organismos gubernamentales, participando en mesas de diálogo, planificación y diseño de políticas públicas vinculadas al turismo. 2. Promoción del destino Colabora en campañas de difusión para posicionar a San Juan como destino turístico, participando en ferias, eventos y acciones de marketing tanto a nivel nacional como internacional. 3. Articulación público-privada Trabaja en conjunto con el gobierno provincial, municipios y otras entidades para impulsar proyectos turísticos, mejorar la infraestructura y generar oportunidades de desarrollo. 5. Networking y fortalecimiento del sector Fomenta el intercambio entre sus miembros, generando espacios de encuentro, alianzas estratégicas y cooperación entre empresas del rubro (hoteles, agencias, guías, gastronomía, etc.). 6. Defensa de intereses del sector Interviene ante problemáticas que afectan a los prestadores (normativas, impuestos, crisis económicas, regulaciones), buscando soluciones y mejores condiciones para la actividad. 7. Desarrollo de productos turísticos Impulsa la creación y diversificación de ofertas turísticas, como circuitos temáticos, turismo aventura, enoturismo o turismo cultural, aprovechando los recursos locales. En conjunto, la cámara cumple un rol clave en el crecimiento y la organización del turismo en San Juan, actuando como puente entre el sector privado y el público.</t>
  </si>
  <si>
    <t xml:space="preserve">CASABLANCA</t>
  </si>
  <si>
    <t xml:space="preserve">Isla: 45</t>
  </si>
  <si>
    <t xml:space="preserve">DSD-0 S.A.</t>
  </si>
  <si>
    <t xml:space="preserve">CHAMPAÑERA MIGUEL MAS</t>
  </si>
  <si>
    <t xml:space="preserve">MIGUEL MAS</t>
  </si>
  <si>
    <t xml:space="preserve">EL BOLSILLO</t>
  </si>
  <si>
    <t xml:space="preserve">FERRETERIA MINERA EL BOLSILLO S. A. S.</t>
  </si>
  <si>
    <t xml:space="preserve">ESCAPE AVENTURA</t>
  </si>
  <si>
    <t xml:space="preserve">BRAIAN TELLO</t>
  </si>
  <si>
    <t xml:space="preserve">FG PRODUCTORA</t>
  </si>
  <si>
    <t xml:space="preserve">FINCA DON ELIAS</t>
  </si>
  <si>
    <t xml:space="preserve">MARTA CECILIA OVALLE</t>
  </si>
  <si>
    <t xml:space="preserve">FLORERIA ARGENTINA</t>
  </si>
  <si>
    <t xml:space="preserve">GARDENIA ALQUILER TEMPORARIO</t>
  </si>
  <si>
    <t xml:space="preserve">VALERIA GASQUEZ SUERO</t>
  </si>
  <si>
    <t xml:space="preserve">GREENFIELD MINING</t>
  </si>
  <si>
    <t xml:space="preserve">CRISTIAN MAXIMILIANO UNDA</t>
  </si>
  <si>
    <t xml:space="preserve">IGARRETA SACI</t>
  </si>
  <si>
    <t xml:space="preserve">INTERLAGOS ADV</t>
  </si>
  <si>
    <t xml:space="preserve">CRISTIAN M. U</t>
  </si>
  <si>
    <t xml:space="preserve">LA SOÑADA</t>
  </si>
  <si>
    <t xml:space="preserve">CARLOS DEVIT</t>
  </si>
  <si>
    <t xml:space="preserve">LEPLAG FUMIGACIONES</t>
  </si>
  <si>
    <t xml:space="preserve">leplag.fumigaciones@gmail.com</t>
  </si>
  <si>
    <t xml:space="preserve">F616</t>
  </si>
  <si>
    <t xml:space="preserve">RUIZ RAMIRO NICOLAS</t>
  </si>
  <si>
    <t xml:space="preserve">Empresa dedicada a la prestación de Servicios de Manejo Integrado de plagas urbanas, erradicación de aves con redes, limpieza de tanques de agua y Desmalezado. También contamos con una unidad de negocios que abarca el mantenimiento de Edificios en general.</t>
  </si>
  <si>
    <t xml:space="preserve">https://www.leplag.com/</t>
  </si>
  <si>
    <t xml:space="preserve">MUNICIPALIDAD DE VALLE FERTIL</t>
  </si>
  <si>
    <t xml:space="preserve">PARQUE PARADOR</t>
  </si>
  <si>
    <t xml:space="preserve">DPA SAS</t>
  </si>
  <si>
    <t xml:space="preserve">RE/MAX CUYANA</t>
  </si>
  <si>
    <t xml:space="preserve">VERDE JADE S.A.</t>
  </si>
  <si>
    <t xml:space="preserve">WE MADE</t>
  </si>
  <si>
    <t xml:space="preserve">WE MADE S. R. L.</t>
  </si>
  <si>
    <t xml:space="preserve">YAFAR DESTINOS</t>
  </si>
  <si>
    <t xml:space="preserve">SITIOS TURISTICOS SRL</t>
  </si>
  <si>
    <t xml:space="preserve">ID oportunidad</t>
  </si>
  <si>
    <t xml:space="preserve">ID contacto</t>
  </si>
  <si>
    <t xml:space="preserve">Necesidad</t>
  </si>
  <si>
    <t xml:space="preserve">Solución propuesta</t>
  </si>
  <si>
    <t xml:space="preserve">Etapa</t>
  </si>
  <si>
    <t xml:space="preserve">Valor estimado</t>
  </si>
  <si>
    <t xml:space="preserve">Probabilidad</t>
  </si>
  <si>
    <t xml:space="preserve">Fecha</t>
  </si>
  <si>
    <t xml:space="preserve">Evento/Fuente</t>
  </si>
  <si>
    <t xml:space="preserve">Cantidad</t>
  </si>
  <si>
    <t xml:space="preserve">Total</t>
  </si>
  <si>
    <t xml:space="preserve">Estado (pipeline)</t>
  </si>
  <si>
    <t xml:space="preserve">Contactado</t>
  </si>
  <si>
    <t xml:space="preserve">Reunión</t>
  </si>
  <si>
    <t xml:space="preserve">Propuesta</t>
  </si>
  <si>
    <t xml:space="preserve">Cliente</t>
  </si>
  <si>
    <t xml:space="preserve">No interesado</t>
  </si>
  <si>
    <t xml:space="preserve">Indicadores</t>
  </si>
  <si>
    <t xml:space="preserve">Registros originales</t>
  </si>
  <si>
    <t xml:space="preserve">Empresas / instituciones únicas</t>
  </si>
  <si>
    <t xml:space="preserve">Con sede en Argentina</t>
  </si>
  <si>
    <t xml:space="preserve">Con email</t>
  </si>
  <si>
    <t xml:space="preserve">Con web</t>
  </si>
  <si>
    <t xml:space="preserve">En otros CRM</t>
  </si>
  <si>
    <t xml:space="preserve">Evento</t>
  </si>
  <si>
    <t xml:space="preserve">Valor para SafetyMind</t>
  </si>
  <si>
    <t xml:space="preserve">Directorio SSO 2026 – Cero Accidentes (22.ª ed.)</t>
  </si>
  <si>
    <t xml:space="preserve">Mapa de ~670 proveedores SST en Perú (ver CRM_Directorio_SSO_2026).</t>
  </si>
  <si>
    <t xml:space="preserve">ExpoMina Perú 2026</t>
  </si>
  <si>
    <t xml:space="preserve">Feria minera (ver CRM_ExpoMina_2026).</t>
  </si>
  <si>
    <t xml:space="preserve">Exponor 2026 (Antofagasta)</t>
  </si>
  <si>
    <t xml:space="preserve">Feria minera del norte de Chile (ver CRM_Exponor_2026).</t>
  </si>
  <si>
    <t xml:space="preserve">AquaSur 2026 (Puerto Montt)</t>
  </si>
  <si>
    <t xml:space="preserve">Feria acuícola (ver CRM_AquaSur_2026).</t>
  </si>
  <si>
    <t xml:space="preserve">FIDAE 2026 (Santiago)</t>
  </si>
  <si>
    <t xml:space="preserve">Feria aeroespacial y de defensa (ver CRM_FIDAE_2026).</t>
  </si>
  <si>
    <t xml:space="preserve">Feria minera de San Juan (cobre y oro): operaciones y proyectos (Veladero, Vicuña, Los Azules, El Pachón, Casposo), contratistas de perforación, voladura, transporte y campamentos, y cámaras (Cámara Minera, CASEMI, AOMA). Puerta de entrada a Argentina.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</si>
</sst>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ables/table1.xml><?xml version="1.0" encoding="utf-8"?>
<table xmlns="http://schemas.openxmlformats.org/spreadsheetml/2006/main" id="1" name="Contactos" displayName="Contactos" ref="A1:T427" headerRowCount="1" totalsRowCount="0" totalsRowShown="0">
  <autoFilter ref="A1:T427"/>
  <tableColumns count="20">
    <tableColumn id="1" name="ID"/>
    <tableColumn id="2" name="Nombre"/>
    <tableColumn id="3" name="Cargo"/>
    <tableColumn id="4" name="Empresa"/>
    <tableColumn id="5" name="País"/>
    <tableColumn id="6" name="Email"/>
    <tableColumn id="7" name="LinkedIn"/>
    <tableColumn id="8" name="Origen"/>
    <tableColumn id="9" name="Estado"/>
    <tableColumn id="10" name="Prioridad"/>
    <tableColumn id="11" name="Próxima acción"/>
    <tableColumn id="12" name="Notas"/>
    <tableColumn id="13" name="Segmento SafetyMind"/>
    <tableColumn id="14" name="Stand(s)"/>
    <tableColumn id="15" name="Ubicación"/>
    <tableColumn id="16" name="Agrupación"/>
    <tableColumn id="17" name="Razón social"/>
    <tableColumn id="18" name="Descripción"/>
    <tableColumn id="19" name="Web"/>
    <tableColumn id="20" name="Cruce otros CRM"/>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0"/>
    <col collapsed="false" customWidth="true" hidden="false" outlineLevel="0" max="4" min="4" style="0" width="40"/>
    <col collapsed="false" customWidth="true" hidden="false" outlineLevel="0" max="5" min="5" style="0" width="14"/>
    <col collapsed="false" customWidth="true" hidden="false" outlineLevel="0" max="6" min="6" style="0" width="32"/>
    <col collapsed="false" customWidth="true" hidden="false" outlineLevel="0" max="7" min="7" style="0" width="14"/>
    <col collapsed="false" customWidth="true" hidden="false" outlineLevel="0" max="8" min="8" style="0" width="22"/>
    <col collapsed="false" customWidth="true" hidden="false" outlineLevel="0" max="9" min="9" style="0" width="12"/>
    <col collapsed="false" customWidth="true" hidden="false" outlineLevel="0" max="10" min="10" style="0" width="10"/>
    <col collapsed="false" customWidth="true" hidden="false" outlineLevel="0" max="11" min="11" style="0" width="50"/>
    <col collapsed="false" customWidth="true" hidden="false" outlineLevel="0" max="12" min="12" style="0" width="55"/>
    <col collapsed="false" customWidth="true" hidden="false" outlineLevel="0" max="13" min="13" style="0" width="48"/>
    <col collapsed="false" customWidth="true" hidden="false" outlineLevel="0" max="14" min="14" style="0" width="22"/>
    <col collapsed="false" customWidth="true" hidden="false" outlineLevel="0" max="15" min="15" style="0" width="12"/>
    <col collapsed="false" customWidth="true" hidden="false" outlineLevel="0" max="16" min="16" style="0" width="26"/>
    <col collapsed="false" customWidth="true" hidden="false" outlineLevel="0" max="17" min="17" style="0" width="30"/>
    <col collapsed="false" customWidth="true" hidden="false" outlineLevel="0" max="18" min="18" style="0" width="60"/>
    <col collapsed="false" customWidth="true" hidden="false" outlineLevel="0" max="19" min="19" style="0" width="32"/>
    <col collapsed="false" customWidth="true" hidden="false" outlineLevel="0" max="20" min="20" style="0" width="26"/>
  </cols>
  <sheetData>
    <row r="1" customFormat="false" ht="28.3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5" hidden="false" customHeight="false" outlineLevel="0" collapsed="false">
      <c r="A2" s="0" t="n">
        <v>1</v>
      </c>
      <c r="D2" s="0" t="s">
        <v>20</v>
      </c>
      <c r="E2" s="0" t="s">
        <v>21</v>
      </c>
      <c r="F2" s="0" t="s">
        <v>22</v>
      </c>
      <c r="H2" s="0" t="s">
        <v>23</v>
      </c>
      <c r="I2" s="2" t="s">
        <v>24</v>
      </c>
      <c r="J2" s="2" t="s">
        <v>25</v>
      </c>
      <c r="K2" s="0" t="s">
        <v>26</v>
      </c>
      <c r="L2" s="0" t="s">
        <v>27</v>
      </c>
      <c r="M2" s="0" t="s">
        <v>28</v>
      </c>
      <c r="N2" s="0" t="s">
        <v>29</v>
      </c>
      <c r="O2" s="0" t="s">
        <v>30</v>
      </c>
      <c r="Q2" s="0" t="s">
        <v>31</v>
      </c>
      <c r="R2" s="0" t="s">
        <v>32</v>
      </c>
      <c r="T2" s="0" t="s">
        <v>33</v>
      </c>
    </row>
    <row r="3" customFormat="false" ht="15" hidden="false" customHeight="false" outlineLevel="0" collapsed="false">
      <c r="A3" s="0" t="n">
        <v>2</v>
      </c>
      <c r="D3" s="0" t="s">
        <v>34</v>
      </c>
      <c r="E3" s="0" t="s">
        <v>21</v>
      </c>
      <c r="H3" s="0" t="s">
        <v>23</v>
      </c>
      <c r="I3" s="2" t="s">
        <v>24</v>
      </c>
      <c r="J3" s="2" t="s">
        <v>25</v>
      </c>
      <c r="K3" s="0" t="s">
        <v>26</v>
      </c>
      <c r="L3" s="0" t="s">
        <v>35</v>
      </c>
      <c r="M3" s="0" t="s">
        <v>28</v>
      </c>
      <c r="N3" s="0" t="s">
        <v>36</v>
      </c>
      <c r="O3" s="0" t="s">
        <v>37</v>
      </c>
      <c r="Q3" s="0" t="s">
        <v>38</v>
      </c>
      <c r="R3" s="0" t="s">
        <v>39</v>
      </c>
      <c r="T3" s="0" t="s">
        <v>33</v>
      </c>
    </row>
    <row r="4" customFormat="false" ht="15" hidden="false" customHeight="false" outlineLevel="0" collapsed="false">
      <c r="A4" s="0" t="n">
        <v>3</v>
      </c>
      <c r="D4" s="0" t="s">
        <v>40</v>
      </c>
      <c r="E4" s="0" t="s">
        <v>21</v>
      </c>
      <c r="F4" s="0" t="s">
        <v>41</v>
      </c>
      <c r="H4" s="0" t="s">
        <v>23</v>
      </c>
      <c r="I4" s="2" t="s">
        <v>24</v>
      </c>
      <c r="J4" s="2" t="s">
        <v>25</v>
      </c>
      <c r="K4" s="0" t="s">
        <v>26</v>
      </c>
      <c r="L4" s="0" t="s">
        <v>27</v>
      </c>
      <c r="M4" s="0" t="s">
        <v>28</v>
      </c>
      <c r="N4" s="0" t="s">
        <v>42</v>
      </c>
      <c r="O4" s="0" t="s">
        <v>37</v>
      </c>
      <c r="Q4" s="0" t="s">
        <v>43</v>
      </c>
      <c r="R4" s="0" t="s">
        <v>44</v>
      </c>
      <c r="S4" s="0" t="s">
        <v>45</v>
      </c>
      <c r="T4" s="0" t="s">
        <v>33</v>
      </c>
    </row>
    <row r="5" customFormat="false" ht="15" hidden="false" customHeight="false" outlineLevel="0" collapsed="false">
      <c r="A5" s="0" t="n">
        <v>4</v>
      </c>
      <c r="D5" s="0" t="s">
        <v>46</v>
      </c>
      <c r="E5" s="0" t="s">
        <v>21</v>
      </c>
      <c r="F5" s="0" t="s">
        <v>47</v>
      </c>
      <c r="H5" s="0" t="s">
        <v>23</v>
      </c>
      <c r="I5" s="2" t="s">
        <v>24</v>
      </c>
      <c r="J5" s="2" t="s">
        <v>25</v>
      </c>
      <c r="K5" s="0" t="s">
        <v>26</v>
      </c>
      <c r="L5" s="0" t="s">
        <v>27</v>
      </c>
      <c r="M5" s="0" t="s">
        <v>28</v>
      </c>
      <c r="N5" s="0" t="s">
        <v>48</v>
      </c>
      <c r="O5" s="0" t="s">
        <v>37</v>
      </c>
      <c r="R5" s="0" t="s">
        <v>49</v>
      </c>
      <c r="S5" s="0" t="s">
        <v>50</v>
      </c>
      <c r="T5" s="0" t="s">
        <v>33</v>
      </c>
    </row>
    <row r="6" customFormat="false" ht="15" hidden="false" customHeight="false" outlineLevel="0" collapsed="false">
      <c r="A6" s="0" t="n">
        <v>5</v>
      </c>
      <c r="D6" s="0" t="s">
        <v>51</v>
      </c>
      <c r="E6" s="0" t="s">
        <v>21</v>
      </c>
      <c r="H6" s="0" t="s">
        <v>23</v>
      </c>
      <c r="I6" s="2" t="s">
        <v>24</v>
      </c>
      <c r="J6" s="2" t="s">
        <v>25</v>
      </c>
      <c r="K6" s="0" t="s">
        <v>26</v>
      </c>
      <c r="L6" s="0" t="s">
        <v>35</v>
      </c>
      <c r="M6" s="0" t="s">
        <v>28</v>
      </c>
      <c r="N6" s="0" t="s">
        <v>52</v>
      </c>
      <c r="O6" s="0" t="s">
        <v>30</v>
      </c>
      <c r="Q6" s="0" t="s">
        <v>53</v>
      </c>
      <c r="T6" s="0" t="s">
        <v>33</v>
      </c>
    </row>
    <row r="7" customFormat="false" ht="15" hidden="false" customHeight="false" outlineLevel="0" collapsed="false">
      <c r="A7" s="0" t="n">
        <v>6</v>
      </c>
      <c r="D7" s="0" t="s">
        <v>54</v>
      </c>
      <c r="E7" s="0" t="s">
        <v>21</v>
      </c>
      <c r="F7" s="0" t="s">
        <v>55</v>
      </c>
      <c r="H7" s="0" t="s">
        <v>23</v>
      </c>
      <c r="I7" s="2" t="s">
        <v>24</v>
      </c>
      <c r="J7" s="2" t="s">
        <v>25</v>
      </c>
      <c r="K7" s="0" t="s">
        <v>26</v>
      </c>
      <c r="L7" s="0" t="s">
        <v>27</v>
      </c>
      <c r="M7" s="0" t="s">
        <v>28</v>
      </c>
      <c r="N7" s="0" t="s">
        <v>56</v>
      </c>
      <c r="O7" s="0" t="s">
        <v>57</v>
      </c>
      <c r="Q7" s="0" t="s">
        <v>58</v>
      </c>
      <c r="R7" s="0" t="s">
        <v>59</v>
      </c>
      <c r="S7" s="0" t="s">
        <v>60</v>
      </c>
      <c r="T7" s="0" t="s">
        <v>33</v>
      </c>
    </row>
    <row r="8" customFormat="false" ht="15" hidden="false" customHeight="false" outlineLevel="0" collapsed="false">
      <c r="A8" s="0" t="n">
        <v>7</v>
      </c>
      <c r="D8" s="0" t="s">
        <v>61</v>
      </c>
      <c r="E8" s="0" t="s">
        <v>21</v>
      </c>
      <c r="F8" s="0" t="s">
        <v>62</v>
      </c>
      <c r="H8" s="0" t="s">
        <v>23</v>
      </c>
      <c r="I8" s="2" t="s">
        <v>24</v>
      </c>
      <c r="J8" s="2" t="s">
        <v>25</v>
      </c>
      <c r="K8" s="0" t="s">
        <v>26</v>
      </c>
      <c r="L8" s="0" t="s">
        <v>27</v>
      </c>
      <c r="M8" s="0" t="s">
        <v>28</v>
      </c>
      <c r="N8" s="0" t="s">
        <v>63</v>
      </c>
      <c r="O8" s="0" t="s">
        <v>30</v>
      </c>
      <c r="Q8" s="0" t="s">
        <v>64</v>
      </c>
      <c r="R8" s="0" t="s">
        <v>65</v>
      </c>
      <c r="S8" s="0" t="s">
        <v>66</v>
      </c>
      <c r="T8" s="0" t="s">
        <v>33</v>
      </c>
    </row>
    <row r="9" customFormat="false" ht="15" hidden="false" customHeight="false" outlineLevel="0" collapsed="false">
      <c r="A9" s="0" t="n">
        <v>8</v>
      </c>
      <c r="D9" s="0" t="s">
        <v>67</v>
      </c>
      <c r="E9" s="0" t="s">
        <v>21</v>
      </c>
      <c r="H9" s="0" t="s">
        <v>23</v>
      </c>
      <c r="I9" s="2" t="s">
        <v>24</v>
      </c>
      <c r="J9" s="2" t="s">
        <v>25</v>
      </c>
      <c r="K9" s="0" t="s">
        <v>26</v>
      </c>
      <c r="L9" s="0" t="s">
        <v>35</v>
      </c>
      <c r="M9" s="0" t="s">
        <v>28</v>
      </c>
      <c r="N9" s="0" t="s">
        <v>68</v>
      </c>
      <c r="O9" s="0" t="s">
        <v>37</v>
      </c>
      <c r="Q9" s="0" t="s">
        <v>69</v>
      </c>
      <c r="R9" s="0" t="s">
        <v>70</v>
      </c>
      <c r="T9" s="0" t="s">
        <v>33</v>
      </c>
    </row>
    <row r="10" customFormat="false" ht="15" hidden="false" customHeight="false" outlineLevel="0" collapsed="false">
      <c r="A10" s="0" t="n">
        <v>9</v>
      </c>
      <c r="D10" s="0" t="s">
        <v>71</v>
      </c>
      <c r="E10" s="0" t="s">
        <v>21</v>
      </c>
      <c r="H10" s="0" t="s">
        <v>23</v>
      </c>
      <c r="I10" s="2" t="s">
        <v>24</v>
      </c>
      <c r="J10" s="2" t="s">
        <v>25</v>
      </c>
      <c r="K10" s="0" t="s">
        <v>26</v>
      </c>
      <c r="L10" s="0" t="s">
        <v>35</v>
      </c>
      <c r="M10" s="0" t="s">
        <v>28</v>
      </c>
      <c r="N10" s="0" t="s">
        <v>72</v>
      </c>
      <c r="O10" s="0" t="s">
        <v>57</v>
      </c>
      <c r="Q10" s="0" t="s">
        <v>73</v>
      </c>
      <c r="T10" s="0" t="s">
        <v>33</v>
      </c>
    </row>
    <row r="11" customFormat="false" ht="15" hidden="false" customHeight="false" outlineLevel="0" collapsed="false">
      <c r="A11" s="0" t="n">
        <v>10</v>
      </c>
      <c r="D11" s="0" t="s">
        <v>74</v>
      </c>
      <c r="E11" s="0" t="s">
        <v>21</v>
      </c>
      <c r="F11" s="0" t="s">
        <v>75</v>
      </c>
      <c r="H11" s="0" t="s">
        <v>23</v>
      </c>
      <c r="I11" s="2" t="s">
        <v>24</v>
      </c>
      <c r="J11" s="2" t="s">
        <v>25</v>
      </c>
      <c r="K11" s="0" t="s">
        <v>26</v>
      </c>
      <c r="L11" s="0" t="s">
        <v>27</v>
      </c>
      <c r="M11" s="0" t="s">
        <v>28</v>
      </c>
      <c r="N11" s="0" t="s">
        <v>76</v>
      </c>
      <c r="O11" s="0" t="s">
        <v>30</v>
      </c>
      <c r="Q11" s="0" t="s">
        <v>77</v>
      </c>
      <c r="R11" s="0" t="s">
        <v>78</v>
      </c>
      <c r="S11" s="0" t="s">
        <v>79</v>
      </c>
      <c r="T11" s="0" t="s">
        <v>33</v>
      </c>
    </row>
    <row r="12" customFormat="false" ht="15" hidden="false" customHeight="false" outlineLevel="0" collapsed="false">
      <c r="A12" s="0" t="n">
        <v>11</v>
      </c>
      <c r="D12" s="0" t="s">
        <v>80</v>
      </c>
      <c r="E12" s="0" t="s">
        <v>21</v>
      </c>
      <c r="F12" s="0" t="s">
        <v>81</v>
      </c>
      <c r="H12" s="0" t="s">
        <v>23</v>
      </c>
      <c r="I12" s="2" t="s">
        <v>24</v>
      </c>
      <c r="J12" s="2" t="s">
        <v>25</v>
      </c>
      <c r="K12" s="0" t="s">
        <v>26</v>
      </c>
      <c r="L12" s="0" t="s">
        <v>27</v>
      </c>
      <c r="M12" s="0" t="s">
        <v>28</v>
      </c>
      <c r="N12" s="0" t="s">
        <v>82</v>
      </c>
      <c r="O12" s="0" t="s">
        <v>37</v>
      </c>
      <c r="R12" s="0" t="s">
        <v>83</v>
      </c>
      <c r="S12" s="0" t="s">
        <v>84</v>
      </c>
      <c r="T12" s="0" t="s">
        <v>33</v>
      </c>
    </row>
    <row r="13" customFormat="false" ht="15" hidden="false" customHeight="false" outlineLevel="0" collapsed="false">
      <c r="A13" s="0" t="n">
        <v>12</v>
      </c>
      <c r="D13" s="0" t="s">
        <v>85</v>
      </c>
      <c r="E13" s="0" t="s">
        <v>21</v>
      </c>
      <c r="H13" s="0" t="s">
        <v>23</v>
      </c>
      <c r="I13" s="2" t="s">
        <v>24</v>
      </c>
      <c r="J13" s="2" t="s">
        <v>25</v>
      </c>
      <c r="K13" s="0" t="s">
        <v>26</v>
      </c>
      <c r="L13" s="0" t="s">
        <v>35</v>
      </c>
      <c r="M13" s="0" t="s">
        <v>28</v>
      </c>
      <c r="N13" s="0" t="s">
        <v>86</v>
      </c>
      <c r="O13" s="0" t="s">
        <v>37</v>
      </c>
      <c r="Q13" s="0" t="s">
        <v>87</v>
      </c>
      <c r="R13" s="0" t="s">
        <v>88</v>
      </c>
      <c r="T13" s="0" t="s">
        <v>33</v>
      </c>
    </row>
    <row r="14" customFormat="false" ht="15" hidden="false" customHeight="false" outlineLevel="0" collapsed="false">
      <c r="A14" s="0" t="n">
        <v>13</v>
      </c>
      <c r="D14" s="0" t="s">
        <v>89</v>
      </c>
      <c r="E14" s="0" t="s">
        <v>90</v>
      </c>
      <c r="H14" s="0" t="s">
        <v>23</v>
      </c>
      <c r="I14" s="2" t="s">
        <v>24</v>
      </c>
      <c r="J14" s="2" t="s">
        <v>25</v>
      </c>
      <c r="K14" s="0" t="s">
        <v>26</v>
      </c>
      <c r="L14" s="0" t="s">
        <v>35</v>
      </c>
      <c r="M14" s="0" t="s">
        <v>28</v>
      </c>
      <c r="N14" s="0" t="s">
        <v>91</v>
      </c>
      <c r="O14" s="0" t="s">
        <v>30</v>
      </c>
      <c r="R14" s="0" t="s">
        <v>92</v>
      </c>
      <c r="T14" s="0" t="s">
        <v>33</v>
      </c>
    </row>
    <row r="15" customFormat="false" ht="15" hidden="false" customHeight="false" outlineLevel="0" collapsed="false">
      <c r="A15" s="0" t="n">
        <v>14</v>
      </c>
      <c r="D15" s="0" t="s">
        <v>93</v>
      </c>
      <c r="E15" s="0" t="s">
        <v>21</v>
      </c>
      <c r="H15" s="0" t="s">
        <v>23</v>
      </c>
      <c r="I15" s="2" t="s">
        <v>24</v>
      </c>
      <c r="J15" s="2" t="s">
        <v>25</v>
      </c>
      <c r="K15" s="0" t="s">
        <v>26</v>
      </c>
      <c r="L15" s="0" t="s">
        <v>35</v>
      </c>
      <c r="M15" s="0" t="s">
        <v>28</v>
      </c>
      <c r="N15" s="0" t="s">
        <v>94</v>
      </c>
      <c r="O15" s="0" t="s">
        <v>37</v>
      </c>
      <c r="Q15" s="0" t="s">
        <v>95</v>
      </c>
      <c r="R15" s="0" t="s">
        <v>96</v>
      </c>
      <c r="S15" s="0" t="s">
        <v>97</v>
      </c>
      <c r="T15" s="0" t="s">
        <v>33</v>
      </c>
    </row>
    <row r="16" customFormat="false" ht="15" hidden="false" customHeight="false" outlineLevel="0" collapsed="false">
      <c r="A16" s="0" t="n">
        <v>15</v>
      </c>
      <c r="D16" s="0" t="s">
        <v>98</v>
      </c>
      <c r="E16" s="0" t="s">
        <v>21</v>
      </c>
      <c r="H16" s="0" t="s">
        <v>23</v>
      </c>
      <c r="I16" s="2" t="s">
        <v>24</v>
      </c>
      <c r="J16" s="2" t="s">
        <v>25</v>
      </c>
      <c r="K16" s="0" t="s">
        <v>26</v>
      </c>
      <c r="L16" s="0" t="s">
        <v>35</v>
      </c>
      <c r="M16" s="0" t="s">
        <v>28</v>
      </c>
      <c r="N16" s="0" t="s">
        <v>99</v>
      </c>
      <c r="O16" s="0" t="s">
        <v>30</v>
      </c>
      <c r="Q16" s="0" t="s">
        <v>100</v>
      </c>
      <c r="T16" s="0" t="s">
        <v>33</v>
      </c>
    </row>
    <row r="17" customFormat="false" ht="15" hidden="false" customHeight="false" outlineLevel="0" collapsed="false">
      <c r="A17" s="0" t="n">
        <v>16</v>
      </c>
      <c r="D17" s="0" t="s">
        <v>101</v>
      </c>
      <c r="E17" s="0" t="s">
        <v>21</v>
      </c>
      <c r="H17" s="0" t="s">
        <v>23</v>
      </c>
      <c r="I17" s="2" t="s">
        <v>24</v>
      </c>
      <c r="J17" s="2" t="s">
        <v>25</v>
      </c>
      <c r="K17" s="0" t="s">
        <v>26</v>
      </c>
      <c r="L17" s="0" t="s">
        <v>35</v>
      </c>
      <c r="M17" s="0" t="s">
        <v>28</v>
      </c>
      <c r="N17" s="0" t="s">
        <v>102</v>
      </c>
      <c r="O17" s="0" t="s">
        <v>30</v>
      </c>
      <c r="Q17" s="0" t="s">
        <v>103</v>
      </c>
      <c r="R17" s="0" t="s">
        <v>104</v>
      </c>
      <c r="S17" s="0" t="s">
        <v>105</v>
      </c>
      <c r="T17" s="0" t="s">
        <v>33</v>
      </c>
    </row>
    <row r="18" customFormat="false" ht="15" hidden="false" customHeight="false" outlineLevel="0" collapsed="false">
      <c r="A18" s="0" t="n">
        <v>17</v>
      </c>
      <c r="D18" s="0" t="s">
        <v>106</v>
      </c>
      <c r="E18" s="0" t="s">
        <v>21</v>
      </c>
      <c r="F18" s="0" t="s">
        <v>107</v>
      </c>
      <c r="H18" s="0" t="s">
        <v>23</v>
      </c>
      <c r="I18" s="2" t="s">
        <v>24</v>
      </c>
      <c r="J18" s="2" t="s">
        <v>25</v>
      </c>
      <c r="K18" s="0" t="s">
        <v>108</v>
      </c>
      <c r="L18" s="0" t="s">
        <v>27</v>
      </c>
      <c r="M18" s="0" t="s">
        <v>109</v>
      </c>
      <c r="N18" s="0" t="s">
        <v>110</v>
      </c>
      <c r="O18" s="0" t="s">
        <v>57</v>
      </c>
      <c r="R18" s="0" t="s">
        <v>111</v>
      </c>
      <c r="S18" s="0" t="s">
        <v>112</v>
      </c>
      <c r="T18" s="0" t="s">
        <v>33</v>
      </c>
    </row>
    <row r="19" customFormat="false" ht="15" hidden="false" customHeight="false" outlineLevel="0" collapsed="false">
      <c r="A19" s="0" t="n">
        <v>18</v>
      </c>
      <c r="D19" s="0" t="s">
        <v>113</v>
      </c>
      <c r="E19" s="0" t="s">
        <v>21</v>
      </c>
      <c r="F19" s="0" t="s">
        <v>114</v>
      </c>
      <c r="H19" s="0" t="s">
        <v>23</v>
      </c>
      <c r="I19" s="2" t="s">
        <v>24</v>
      </c>
      <c r="J19" s="2" t="s">
        <v>25</v>
      </c>
      <c r="K19" s="0" t="s">
        <v>108</v>
      </c>
      <c r="L19" s="0" t="s">
        <v>27</v>
      </c>
      <c r="M19" s="0" t="s">
        <v>109</v>
      </c>
      <c r="N19" s="0" t="s">
        <v>115</v>
      </c>
      <c r="O19" s="0" t="s">
        <v>30</v>
      </c>
      <c r="P19" s="0" t="s">
        <v>116</v>
      </c>
      <c r="Q19" s="0" t="s">
        <v>117</v>
      </c>
      <c r="R19" s="0" t="s">
        <v>118</v>
      </c>
      <c r="T19" s="0" t="s">
        <v>33</v>
      </c>
    </row>
    <row r="20" customFormat="false" ht="15" hidden="false" customHeight="false" outlineLevel="0" collapsed="false">
      <c r="A20" s="0" t="n">
        <v>19</v>
      </c>
      <c r="D20" s="0" t="s">
        <v>119</v>
      </c>
      <c r="E20" s="0" t="s">
        <v>21</v>
      </c>
      <c r="F20" s="0" t="s">
        <v>120</v>
      </c>
      <c r="H20" s="0" t="s">
        <v>23</v>
      </c>
      <c r="I20" s="2" t="s">
        <v>24</v>
      </c>
      <c r="J20" s="2" t="s">
        <v>25</v>
      </c>
      <c r="K20" s="0" t="s">
        <v>108</v>
      </c>
      <c r="L20" s="0" t="s">
        <v>27</v>
      </c>
      <c r="M20" s="0" t="s">
        <v>109</v>
      </c>
      <c r="N20" s="0" t="s">
        <v>121</v>
      </c>
      <c r="O20" s="0" t="s">
        <v>30</v>
      </c>
      <c r="R20" s="0" t="s">
        <v>122</v>
      </c>
      <c r="S20" s="0" t="s">
        <v>123</v>
      </c>
      <c r="T20" s="0" t="s">
        <v>33</v>
      </c>
    </row>
    <row r="21" customFormat="false" ht="15" hidden="false" customHeight="false" outlineLevel="0" collapsed="false">
      <c r="A21" s="0" t="n">
        <v>20</v>
      </c>
      <c r="D21" s="0" t="s">
        <v>124</v>
      </c>
      <c r="E21" s="0" t="s">
        <v>21</v>
      </c>
      <c r="F21" s="0" t="s">
        <v>125</v>
      </c>
      <c r="H21" s="0" t="s">
        <v>23</v>
      </c>
      <c r="I21" s="2" t="s">
        <v>24</v>
      </c>
      <c r="J21" s="2" t="s">
        <v>25</v>
      </c>
      <c r="K21" s="0" t="s">
        <v>108</v>
      </c>
      <c r="L21" s="0" t="s">
        <v>27</v>
      </c>
      <c r="M21" s="0" t="s">
        <v>109</v>
      </c>
      <c r="N21" s="0" t="s">
        <v>115</v>
      </c>
      <c r="O21" s="0" t="s">
        <v>30</v>
      </c>
      <c r="P21" s="0" t="s">
        <v>116</v>
      </c>
      <c r="Q21" s="0" t="s">
        <v>126</v>
      </c>
      <c r="R21" s="0" t="s">
        <v>127</v>
      </c>
      <c r="S21" s="0" t="s">
        <v>128</v>
      </c>
      <c r="T21" s="0" t="s">
        <v>33</v>
      </c>
    </row>
    <row r="22" customFormat="false" ht="15" hidden="false" customHeight="false" outlineLevel="0" collapsed="false">
      <c r="A22" s="0" t="n">
        <v>21</v>
      </c>
      <c r="D22" s="0" t="s">
        <v>129</v>
      </c>
      <c r="E22" s="0" t="s">
        <v>21</v>
      </c>
      <c r="F22" s="0" t="s">
        <v>130</v>
      </c>
      <c r="H22" s="0" t="s">
        <v>23</v>
      </c>
      <c r="I22" s="2" t="s">
        <v>24</v>
      </c>
      <c r="J22" s="2" t="s">
        <v>25</v>
      </c>
      <c r="K22" s="0" t="s">
        <v>108</v>
      </c>
      <c r="L22" s="0" t="s">
        <v>27</v>
      </c>
      <c r="M22" s="0" t="s">
        <v>109</v>
      </c>
      <c r="N22" s="0" t="s">
        <v>131</v>
      </c>
      <c r="O22" s="0" t="s">
        <v>37</v>
      </c>
      <c r="Q22" s="0" t="s">
        <v>132</v>
      </c>
      <c r="R22" s="0" t="s">
        <v>133</v>
      </c>
      <c r="S22" s="0" t="s">
        <v>134</v>
      </c>
      <c r="T22" s="0" t="s">
        <v>33</v>
      </c>
    </row>
    <row r="23" customFormat="false" ht="15" hidden="false" customHeight="false" outlineLevel="0" collapsed="false">
      <c r="A23" s="0" t="n">
        <v>22</v>
      </c>
      <c r="D23" s="0" t="s">
        <v>135</v>
      </c>
      <c r="E23" s="0" t="s">
        <v>21</v>
      </c>
      <c r="F23" s="0" t="s">
        <v>136</v>
      </c>
      <c r="H23" s="0" t="s">
        <v>23</v>
      </c>
      <c r="I23" s="2" t="s">
        <v>24</v>
      </c>
      <c r="J23" s="2" t="s">
        <v>25</v>
      </c>
      <c r="K23" s="0" t="s">
        <v>108</v>
      </c>
      <c r="L23" s="0" t="s">
        <v>137</v>
      </c>
      <c r="M23" s="0" t="s">
        <v>109</v>
      </c>
      <c r="N23" s="0" t="s">
        <v>138</v>
      </c>
      <c r="O23" s="0" t="s">
        <v>30</v>
      </c>
      <c r="R23" s="0" t="s">
        <v>139</v>
      </c>
      <c r="S23" s="0" t="s">
        <v>140</v>
      </c>
      <c r="T23" s="0" t="s">
        <v>141</v>
      </c>
    </row>
    <row r="24" customFormat="false" ht="15" hidden="false" customHeight="false" outlineLevel="0" collapsed="false">
      <c r="A24" s="0" t="n">
        <v>23</v>
      </c>
      <c r="D24" s="0" t="s">
        <v>142</v>
      </c>
      <c r="E24" s="0" t="s">
        <v>21</v>
      </c>
      <c r="F24" s="0" t="s">
        <v>143</v>
      </c>
      <c r="H24" s="0" t="s">
        <v>23</v>
      </c>
      <c r="I24" s="2" t="s">
        <v>24</v>
      </c>
      <c r="J24" s="2" t="s">
        <v>25</v>
      </c>
      <c r="K24" s="0" t="s">
        <v>108</v>
      </c>
      <c r="L24" s="0" t="s">
        <v>27</v>
      </c>
      <c r="M24" s="0" t="s">
        <v>109</v>
      </c>
      <c r="N24" s="0" t="s">
        <v>144</v>
      </c>
      <c r="O24" s="0" t="s">
        <v>57</v>
      </c>
      <c r="Q24" s="0" t="s">
        <v>145</v>
      </c>
      <c r="R24" s="0" t="s">
        <v>146</v>
      </c>
      <c r="S24" s="0" t="s">
        <v>147</v>
      </c>
      <c r="T24" s="0" t="s">
        <v>33</v>
      </c>
    </row>
    <row r="25" customFormat="false" ht="15" hidden="false" customHeight="false" outlineLevel="0" collapsed="false">
      <c r="A25" s="0" t="n">
        <v>24</v>
      </c>
      <c r="D25" s="0" t="s">
        <v>148</v>
      </c>
      <c r="E25" s="0" t="s">
        <v>21</v>
      </c>
      <c r="H25" s="0" t="s">
        <v>23</v>
      </c>
      <c r="I25" s="2" t="s">
        <v>24</v>
      </c>
      <c r="J25" s="2" t="s">
        <v>25</v>
      </c>
      <c r="K25" s="0" t="s">
        <v>108</v>
      </c>
      <c r="L25" s="0" t="s">
        <v>35</v>
      </c>
      <c r="M25" s="0" t="s">
        <v>109</v>
      </c>
      <c r="N25" s="0" t="s">
        <v>149</v>
      </c>
      <c r="O25" s="0" t="s">
        <v>30</v>
      </c>
      <c r="Q25" s="0" t="s">
        <v>150</v>
      </c>
      <c r="R25" s="0" t="s">
        <v>151</v>
      </c>
      <c r="T25" s="0" t="s">
        <v>33</v>
      </c>
    </row>
    <row r="26" customFormat="false" ht="15" hidden="false" customHeight="false" outlineLevel="0" collapsed="false">
      <c r="A26" s="0" t="n">
        <v>25</v>
      </c>
      <c r="D26" s="0" t="s">
        <v>152</v>
      </c>
      <c r="E26" s="0" t="s">
        <v>21</v>
      </c>
      <c r="F26" s="0" t="s">
        <v>153</v>
      </c>
      <c r="H26" s="0" t="s">
        <v>23</v>
      </c>
      <c r="I26" s="2" t="s">
        <v>24</v>
      </c>
      <c r="J26" s="2" t="s">
        <v>25</v>
      </c>
      <c r="K26" s="0" t="s">
        <v>108</v>
      </c>
      <c r="L26" s="0" t="s">
        <v>27</v>
      </c>
      <c r="M26" s="0" t="s">
        <v>109</v>
      </c>
      <c r="N26" s="0" t="s">
        <v>154</v>
      </c>
      <c r="O26" s="0" t="s">
        <v>30</v>
      </c>
      <c r="Q26" s="0" t="s">
        <v>155</v>
      </c>
      <c r="R26" s="0" t="s">
        <v>156</v>
      </c>
      <c r="S26" s="0" t="s">
        <v>157</v>
      </c>
      <c r="T26" s="0" t="s">
        <v>33</v>
      </c>
    </row>
    <row r="27" customFormat="false" ht="15" hidden="false" customHeight="false" outlineLevel="0" collapsed="false">
      <c r="A27" s="0" t="n">
        <v>26</v>
      </c>
      <c r="D27" s="0" t="s">
        <v>158</v>
      </c>
      <c r="E27" s="0" t="s">
        <v>21</v>
      </c>
      <c r="F27" s="0" t="s">
        <v>159</v>
      </c>
      <c r="H27" s="0" t="s">
        <v>23</v>
      </c>
      <c r="I27" s="2" t="s">
        <v>24</v>
      </c>
      <c r="J27" s="2" t="s">
        <v>25</v>
      </c>
      <c r="K27" s="0" t="s">
        <v>108</v>
      </c>
      <c r="L27" s="0" t="s">
        <v>27</v>
      </c>
      <c r="M27" s="0" t="s">
        <v>109</v>
      </c>
      <c r="N27" s="0" t="s">
        <v>160</v>
      </c>
      <c r="O27" s="0" t="s">
        <v>30</v>
      </c>
      <c r="Q27" s="0" t="s">
        <v>161</v>
      </c>
      <c r="R27" s="0" t="s">
        <v>162</v>
      </c>
      <c r="S27" s="0" t="s">
        <v>163</v>
      </c>
      <c r="T27" s="0" t="s">
        <v>33</v>
      </c>
    </row>
    <row r="28" customFormat="false" ht="15" hidden="false" customHeight="false" outlineLevel="0" collapsed="false">
      <c r="A28" s="0" t="n">
        <v>27</v>
      </c>
      <c r="D28" s="0" t="s">
        <v>164</v>
      </c>
      <c r="E28" s="0" t="s">
        <v>165</v>
      </c>
      <c r="F28" s="0" t="s">
        <v>166</v>
      </c>
      <c r="H28" s="0" t="s">
        <v>23</v>
      </c>
      <c r="I28" s="2" t="s">
        <v>24</v>
      </c>
      <c r="J28" s="2" t="s">
        <v>25</v>
      </c>
      <c r="K28" s="0" t="s">
        <v>108</v>
      </c>
      <c r="L28" s="0" t="s">
        <v>167</v>
      </c>
      <c r="M28" s="0" t="s">
        <v>109</v>
      </c>
      <c r="N28" s="0" t="s">
        <v>168</v>
      </c>
      <c r="O28" s="0" t="s">
        <v>30</v>
      </c>
      <c r="R28" s="0" t="s">
        <v>169</v>
      </c>
      <c r="S28" s="0" t="s">
        <v>170</v>
      </c>
      <c r="T28" s="0" t="s">
        <v>171</v>
      </c>
    </row>
    <row r="29" customFormat="false" ht="15" hidden="false" customHeight="false" outlineLevel="0" collapsed="false">
      <c r="A29" s="0" t="n">
        <v>28</v>
      </c>
      <c r="D29" s="0" t="s">
        <v>172</v>
      </c>
      <c r="E29" s="0" t="s">
        <v>21</v>
      </c>
      <c r="F29" s="0" t="s">
        <v>173</v>
      </c>
      <c r="H29" s="0" t="s">
        <v>23</v>
      </c>
      <c r="I29" s="2" t="s">
        <v>24</v>
      </c>
      <c r="J29" s="2" t="s">
        <v>25</v>
      </c>
      <c r="K29" s="0" t="s">
        <v>108</v>
      </c>
      <c r="L29" s="0" t="s">
        <v>27</v>
      </c>
      <c r="M29" s="0" t="s">
        <v>109</v>
      </c>
      <c r="N29" s="0" t="s">
        <v>174</v>
      </c>
      <c r="O29" s="0" t="s">
        <v>57</v>
      </c>
      <c r="Q29" s="0" t="s">
        <v>175</v>
      </c>
      <c r="R29" s="0" t="s">
        <v>176</v>
      </c>
      <c r="S29" s="0" t="s">
        <v>177</v>
      </c>
      <c r="T29" s="0" t="s">
        <v>33</v>
      </c>
    </row>
    <row r="30" customFormat="false" ht="15" hidden="false" customHeight="false" outlineLevel="0" collapsed="false">
      <c r="A30" s="0" t="n">
        <v>29</v>
      </c>
      <c r="D30" s="0" t="s">
        <v>178</v>
      </c>
      <c r="E30" s="0" t="s">
        <v>21</v>
      </c>
      <c r="F30" s="0" t="s">
        <v>179</v>
      </c>
      <c r="H30" s="0" t="s">
        <v>23</v>
      </c>
      <c r="I30" s="2" t="s">
        <v>24</v>
      </c>
      <c r="J30" s="2" t="s">
        <v>25</v>
      </c>
      <c r="K30" s="0" t="s">
        <v>108</v>
      </c>
      <c r="L30" s="0" t="s">
        <v>27</v>
      </c>
      <c r="M30" s="0" t="s">
        <v>109</v>
      </c>
      <c r="N30" s="0" t="s">
        <v>180</v>
      </c>
      <c r="O30" s="0" t="s">
        <v>30</v>
      </c>
      <c r="Q30" s="0" t="s">
        <v>181</v>
      </c>
      <c r="R30" s="0" t="s">
        <v>182</v>
      </c>
      <c r="S30" s="0" t="s">
        <v>183</v>
      </c>
      <c r="T30" s="0" t="s">
        <v>33</v>
      </c>
    </row>
    <row r="31" customFormat="false" ht="15" hidden="false" customHeight="false" outlineLevel="0" collapsed="false">
      <c r="A31" s="0" t="n">
        <v>30</v>
      </c>
      <c r="D31" s="0" t="s">
        <v>184</v>
      </c>
      <c r="E31" s="0" t="s">
        <v>21</v>
      </c>
      <c r="F31" s="0" t="s">
        <v>185</v>
      </c>
      <c r="H31" s="0" t="s">
        <v>23</v>
      </c>
      <c r="I31" s="2" t="s">
        <v>24</v>
      </c>
      <c r="J31" s="2" t="s">
        <v>25</v>
      </c>
      <c r="K31" s="0" t="s">
        <v>108</v>
      </c>
      <c r="L31" s="0" t="s">
        <v>27</v>
      </c>
      <c r="M31" s="0" t="s">
        <v>109</v>
      </c>
      <c r="N31" s="0" t="s">
        <v>186</v>
      </c>
      <c r="O31" s="0" t="s">
        <v>37</v>
      </c>
      <c r="P31" s="0" t="s">
        <v>187</v>
      </c>
      <c r="R31" s="0" t="s">
        <v>188</v>
      </c>
      <c r="S31" s="0" t="s">
        <v>189</v>
      </c>
      <c r="T31" s="0" t="s">
        <v>33</v>
      </c>
    </row>
    <row r="32" customFormat="false" ht="15" hidden="false" customHeight="false" outlineLevel="0" collapsed="false">
      <c r="A32" s="0" t="n">
        <v>31</v>
      </c>
      <c r="D32" s="0" t="s">
        <v>190</v>
      </c>
      <c r="E32" s="0" t="s">
        <v>21</v>
      </c>
      <c r="H32" s="0" t="s">
        <v>23</v>
      </c>
      <c r="I32" s="2" t="s">
        <v>24</v>
      </c>
      <c r="J32" s="2" t="s">
        <v>25</v>
      </c>
      <c r="K32" s="0" t="s">
        <v>108</v>
      </c>
      <c r="L32" s="0" t="s">
        <v>35</v>
      </c>
      <c r="M32" s="0" t="s">
        <v>109</v>
      </c>
      <c r="N32" s="0" t="s">
        <v>191</v>
      </c>
      <c r="O32" s="0" t="s">
        <v>30</v>
      </c>
      <c r="Q32" s="0" t="s">
        <v>192</v>
      </c>
      <c r="R32" s="0" t="s">
        <v>193</v>
      </c>
      <c r="T32" s="0" t="s">
        <v>33</v>
      </c>
    </row>
    <row r="33" customFormat="false" ht="15" hidden="false" customHeight="false" outlineLevel="0" collapsed="false">
      <c r="A33" s="0" t="n">
        <v>32</v>
      </c>
      <c r="D33" s="0" t="s">
        <v>194</v>
      </c>
      <c r="E33" s="0" t="s">
        <v>21</v>
      </c>
      <c r="F33" s="0" t="s">
        <v>195</v>
      </c>
      <c r="H33" s="0" t="s">
        <v>23</v>
      </c>
      <c r="I33" s="2" t="s">
        <v>24</v>
      </c>
      <c r="J33" s="2" t="s">
        <v>25</v>
      </c>
      <c r="K33" s="0" t="s">
        <v>108</v>
      </c>
      <c r="L33" s="0" t="s">
        <v>27</v>
      </c>
      <c r="M33" s="0" t="s">
        <v>109</v>
      </c>
      <c r="N33" s="0" t="s">
        <v>196</v>
      </c>
      <c r="O33" s="0" t="s">
        <v>30</v>
      </c>
      <c r="Q33" s="0" t="s">
        <v>197</v>
      </c>
      <c r="R33" s="0" t="s">
        <v>198</v>
      </c>
      <c r="S33" s="0" t="s">
        <v>199</v>
      </c>
      <c r="T33" s="0" t="s">
        <v>33</v>
      </c>
    </row>
    <row r="34" customFormat="false" ht="15" hidden="false" customHeight="false" outlineLevel="0" collapsed="false">
      <c r="A34" s="0" t="n">
        <v>33</v>
      </c>
      <c r="D34" s="0" t="s">
        <v>200</v>
      </c>
      <c r="E34" s="0" t="s">
        <v>21</v>
      </c>
      <c r="H34" s="0" t="s">
        <v>23</v>
      </c>
      <c r="I34" s="2" t="s">
        <v>24</v>
      </c>
      <c r="J34" s="2" t="s">
        <v>25</v>
      </c>
      <c r="K34" s="0" t="s">
        <v>108</v>
      </c>
      <c r="L34" s="0" t="s">
        <v>35</v>
      </c>
      <c r="M34" s="0" t="s">
        <v>109</v>
      </c>
      <c r="N34" s="0" t="s">
        <v>201</v>
      </c>
      <c r="O34" s="0" t="s">
        <v>30</v>
      </c>
      <c r="T34" s="0" t="s">
        <v>33</v>
      </c>
    </row>
    <row r="35" customFormat="false" ht="15" hidden="false" customHeight="false" outlineLevel="0" collapsed="false">
      <c r="A35" s="0" t="n">
        <v>34</v>
      </c>
      <c r="D35" s="0" t="s">
        <v>202</v>
      </c>
      <c r="E35" s="0" t="s">
        <v>21</v>
      </c>
      <c r="F35" s="0" t="s">
        <v>203</v>
      </c>
      <c r="H35" s="0" t="s">
        <v>23</v>
      </c>
      <c r="I35" s="2" t="s">
        <v>24</v>
      </c>
      <c r="J35" s="2" t="s">
        <v>25</v>
      </c>
      <c r="K35" s="0" t="s">
        <v>108</v>
      </c>
      <c r="L35" s="0" t="s">
        <v>27</v>
      </c>
      <c r="M35" s="0" t="s">
        <v>109</v>
      </c>
      <c r="N35" s="0" t="s">
        <v>204</v>
      </c>
      <c r="O35" s="0" t="s">
        <v>30</v>
      </c>
      <c r="Q35" s="0" t="s">
        <v>205</v>
      </c>
      <c r="R35" s="0" t="s">
        <v>206</v>
      </c>
      <c r="S35" s="0" t="s">
        <v>207</v>
      </c>
      <c r="T35" s="0" t="s">
        <v>33</v>
      </c>
    </row>
    <row r="36" customFormat="false" ht="15" hidden="false" customHeight="false" outlineLevel="0" collapsed="false">
      <c r="A36" s="0" t="n">
        <v>35</v>
      </c>
      <c r="D36" s="0" t="s">
        <v>208</v>
      </c>
      <c r="E36" s="0" t="s">
        <v>21</v>
      </c>
      <c r="F36" s="0" t="s">
        <v>209</v>
      </c>
      <c r="H36" s="0" t="s">
        <v>23</v>
      </c>
      <c r="I36" s="2" t="s">
        <v>24</v>
      </c>
      <c r="J36" s="2" t="s">
        <v>25</v>
      </c>
      <c r="K36" s="0" t="s">
        <v>108</v>
      </c>
      <c r="L36" s="0" t="s">
        <v>27</v>
      </c>
      <c r="M36" s="0" t="s">
        <v>109</v>
      </c>
      <c r="N36" s="0" t="s">
        <v>210</v>
      </c>
      <c r="O36" s="0" t="s">
        <v>30</v>
      </c>
      <c r="Q36" s="0" t="s">
        <v>211</v>
      </c>
      <c r="R36" s="0" t="s">
        <v>212</v>
      </c>
      <c r="S36" s="0" t="s">
        <v>213</v>
      </c>
      <c r="T36" s="0" t="s">
        <v>33</v>
      </c>
    </row>
    <row r="37" customFormat="false" ht="15" hidden="false" customHeight="false" outlineLevel="0" collapsed="false">
      <c r="A37" s="0" t="n">
        <v>36</v>
      </c>
      <c r="D37" s="0" t="s">
        <v>214</v>
      </c>
      <c r="E37" s="0" t="s">
        <v>21</v>
      </c>
      <c r="F37" s="0" t="s">
        <v>215</v>
      </c>
      <c r="H37" s="0" t="s">
        <v>23</v>
      </c>
      <c r="I37" s="2" t="s">
        <v>24</v>
      </c>
      <c r="J37" s="2" t="s">
        <v>25</v>
      </c>
      <c r="K37" s="0" t="s">
        <v>108</v>
      </c>
      <c r="L37" s="0" t="s">
        <v>27</v>
      </c>
      <c r="M37" s="0" t="s">
        <v>109</v>
      </c>
      <c r="N37" s="0" t="s">
        <v>216</v>
      </c>
      <c r="O37" s="0" t="s">
        <v>57</v>
      </c>
      <c r="R37" s="0" t="s">
        <v>217</v>
      </c>
      <c r="T37" s="0" t="s">
        <v>33</v>
      </c>
    </row>
    <row r="38" customFormat="false" ht="15" hidden="false" customHeight="false" outlineLevel="0" collapsed="false">
      <c r="A38" s="0" t="n">
        <v>37</v>
      </c>
      <c r="D38" s="0" t="s">
        <v>218</v>
      </c>
      <c r="E38" s="0" t="s">
        <v>21</v>
      </c>
      <c r="F38" s="0" t="s">
        <v>219</v>
      </c>
      <c r="H38" s="0" t="s">
        <v>23</v>
      </c>
      <c r="I38" s="2" t="s">
        <v>24</v>
      </c>
      <c r="J38" s="2" t="s">
        <v>25</v>
      </c>
      <c r="K38" s="0" t="s">
        <v>108</v>
      </c>
      <c r="L38" s="0" t="s">
        <v>220</v>
      </c>
      <c r="M38" s="0" t="s">
        <v>109</v>
      </c>
      <c r="N38" s="0" t="s">
        <v>221</v>
      </c>
      <c r="O38" s="0" t="s">
        <v>30</v>
      </c>
      <c r="Q38" s="0" t="s">
        <v>222</v>
      </c>
      <c r="R38" s="0" t="s">
        <v>223</v>
      </c>
      <c r="T38" s="0" t="s">
        <v>224</v>
      </c>
    </row>
    <row r="39" customFormat="false" ht="15" hidden="false" customHeight="false" outlineLevel="0" collapsed="false">
      <c r="A39" s="0" t="n">
        <v>38</v>
      </c>
      <c r="D39" s="0" t="s">
        <v>225</v>
      </c>
      <c r="E39" s="0" t="s">
        <v>21</v>
      </c>
      <c r="F39" s="0" t="s">
        <v>226</v>
      </c>
      <c r="H39" s="0" t="s">
        <v>23</v>
      </c>
      <c r="I39" s="2" t="s">
        <v>24</v>
      </c>
      <c r="J39" s="2" t="s">
        <v>25</v>
      </c>
      <c r="K39" s="0" t="s">
        <v>108</v>
      </c>
      <c r="L39" s="0" t="s">
        <v>27</v>
      </c>
      <c r="M39" s="0" t="s">
        <v>109</v>
      </c>
      <c r="N39" s="0" t="s">
        <v>115</v>
      </c>
      <c r="O39" s="0" t="s">
        <v>30</v>
      </c>
      <c r="P39" s="0" t="s">
        <v>116</v>
      </c>
      <c r="Q39" s="0" t="s">
        <v>227</v>
      </c>
      <c r="R39" s="0" t="s">
        <v>228</v>
      </c>
      <c r="S39" s="0" t="s">
        <v>229</v>
      </c>
      <c r="T39" s="0" t="s">
        <v>33</v>
      </c>
    </row>
    <row r="40" customFormat="false" ht="15" hidden="false" customHeight="false" outlineLevel="0" collapsed="false">
      <c r="A40" s="0" t="n">
        <v>39</v>
      </c>
      <c r="D40" s="0" t="s">
        <v>230</v>
      </c>
      <c r="E40" s="0" t="s">
        <v>21</v>
      </c>
      <c r="H40" s="0" t="s">
        <v>23</v>
      </c>
      <c r="I40" s="2" t="s">
        <v>24</v>
      </c>
      <c r="J40" s="2" t="s">
        <v>25</v>
      </c>
      <c r="K40" s="0" t="s">
        <v>108</v>
      </c>
      <c r="L40" s="0" t="s">
        <v>231</v>
      </c>
      <c r="M40" s="0" t="s">
        <v>109</v>
      </c>
      <c r="N40" s="0" t="s">
        <v>232</v>
      </c>
      <c r="O40" s="0" t="s">
        <v>37</v>
      </c>
      <c r="R40" s="0" t="s">
        <v>233</v>
      </c>
      <c r="T40" s="0" t="s">
        <v>234</v>
      </c>
    </row>
    <row r="41" customFormat="false" ht="15" hidden="false" customHeight="false" outlineLevel="0" collapsed="false">
      <c r="A41" s="0" t="n">
        <v>40</v>
      </c>
      <c r="D41" s="0" t="s">
        <v>235</v>
      </c>
      <c r="E41" s="0" t="s">
        <v>21</v>
      </c>
      <c r="H41" s="0" t="s">
        <v>23</v>
      </c>
      <c r="I41" s="2" t="s">
        <v>24</v>
      </c>
      <c r="J41" s="2" t="s">
        <v>25</v>
      </c>
      <c r="K41" s="0" t="s">
        <v>108</v>
      </c>
      <c r="L41" s="0" t="s">
        <v>35</v>
      </c>
      <c r="M41" s="0" t="s">
        <v>109</v>
      </c>
      <c r="N41" s="0" t="s">
        <v>236</v>
      </c>
      <c r="O41" s="0" t="s">
        <v>30</v>
      </c>
      <c r="R41" s="0" t="s">
        <v>237</v>
      </c>
      <c r="T41" s="0" t="s">
        <v>33</v>
      </c>
    </row>
    <row r="42" customFormat="false" ht="15" hidden="false" customHeight="false" outlineLevel="0" collapsed="false">
      <c r="A42" s="0" t="n">
        <v>41</v>
      </c>
      <c r="D42" s="0" t="s">
        <v>238</v>
      </c>
      <c r="E42" s="0" t="s">
        <v>21</v>
      </c>
      <c r="F42" s="0" t="s">
        <v>239</v>
      </c>
      <c r="H42" s="0" t="s">
        <v>23</v>
      </c>
      <c r="I42" s="2" t="s">
        <v>24</v>
      </c>
      <c r="J42" s="2" t="s">
        <v>25</v>
      </c>
      <c r="K42" s="0" t="s">
        <v>108</v>
      </c>
      <c r="L42" s="0" t="s">
        <v>27</v>
      </c>
      <c r="M42" s="0" t="s">
        <v>109</v>
      </c>
      <c r="N42" s="0" t="s">
        <v>240</v>
      </c>
      <c r="O42" s="0" t="s">
        <v>37</v>
      </c>
      <c r="Q42" s="0" t="s">
        <v>241</v>
      </c>
      <c r="R42" s="0" t="s">
        <v>242</v>
      </c>
      <c r="S42" s="0" t="s">
        <v>243</v>
      </c>
      <c r="T42" s="0" t="s">
        <v>33</v>
      </c>
    </row>
    <row r="43" customFormat="false" ht="15" hidden="false" customHeight="false" outlineLevel="0" collapsed="false">
      <c r="A43" s="0" t="n">
        <v>42</v>
      </c>
      <c r="D43" s="0" t="s">
        <v>244</v>
      </c>
      <c r="E43" s="0" t="s">
        <v>21</v>
      </c>
      <c r="F43" s="0" t="s">
        <v>245</v>
      </c>
      <c r="H43" s="0" t="s">
        <v>23</v>
      </c>
      <c r="I43" s="2" t="s">
        <v>24</v>
      </c>
      <c r="J43" s="2" t="s">
        <v>25</v>
      </c>
      <c r="K43" s="0" t="s">
        <v>108</v>
      </c>
      <c r="L43" s="0" t="s">
        <v>27</v>
      </c>
      <c r="M43" s="0" t="s">
        <v>109</v>
      </c>
      <c r="O43" s="0" t="s">
        <v>57</v>
      </c>
      <c r="Q43" s="0" t="s">
        <v>246</v>
      </c>
      <c r="R43" s="0" t="s">
        <v>247</v>
      </c>
      <c r="T43" s="0" t="s">
        <v>33</v>
      </c>
    </row>
    <row r="44" customFormat="false" ht="15" hidden="false" customHeight="false" outlineLevel="0" collapsed="false">
      <c r="A44" s="0" t="n">
        <v>43</v>
      </c>
      <c r="D44" s="0" t="s">
        <v>248</v>
      </c>
      <c r="E44" s="0" t="s">
        <v>21</v>
      </c>
      <c r="H44" s="0" t="s">
        <v>23</v>
      </c>
      <c r="I44" s="2" t="s">
        <v>24</v>
      </c>
      <c r="J44" s="2" t="s">
        <v>25</v>
      </c>
      <c r="K44" s="0" t="s">
        <v>108</v>
      </c>
      <c r="L44" s="0" t="s">
        <v>35</v>
      </c>
      <c r="M44" s="0" t="s">
        <v>109</v>
      </c>
      <c r="N44" s="0" t="s">
        <v>249</v>
      </c>
      <c r="O44" s="0" t="s">
        <v>37</v>
      </c>
      <c r="P44" s="0" t="s">
        <v>250</v>
      </c>
      <c r="Q44" s="0" t="s">
        <v>251</v>
      </c>
      <c r="T44" s="0" t="s">
        <v>33</v>
      </c>
    </row>
    <row r="45" customFormat="false" ht="15" hidden="false" customHeight="false" outlineLevel="0" collapsed="false">
      <c r="A45" s="0" t="n">
        <v>44</v>
      </c>
      <c r="D45" s="0" t="s">
        <v>252</v>
      </c>
      <c r="E45" s="0" t="s">
        <v>21</v>
      </c>
      <c r="H45" s="0" t="s">
        <v>23</v>
      </c>
      <c r="I45" s="2" t="s">
        <v>24</v>
      </c>
      <c r="J45" s="2" t="s">
        <v>25</v>
      </c>
      <c r="K45" s="0" t="s">
        <v>108</v>
      </c>
      <c r="L45" s="0" t="s">
        <v>35</v>
      </c>
      <c r="M45" s="0" t="s">
        <v>109</v>
      </c>
      <c r="N45" s="0" t="s">
        <v>253</v>
      </c>
      <c r="O45" s="0" t="s">
        <v>37</v>
      </c>
      <c r="Q45" s="0" t="s">
        <v>254</v>
      </c>
      <c r="R45" s="0" t="s">
        <v>255</v>
      </c>
      <c r="T45" s="0" t="s">
        <v>33</v>
      </c>
    </row>
    <row r="46" customFormat="false" ht="15" hidden="false" customHeight="false" outlineLevel="0" collapsed="false">
      <c r="A46" s="0" t="n">
        <v>45</v>
      </c>
      <c r="D46" s="0" t="s">
        <v>256</v>
      </c>
      <c r="E46" s="0" t="s">
        <v>21</v>
      </c>
      <c r="F46" s="0" t="s">
        <v>257</v>
      </c>
      <c r="H46" s="0" t="s">
        <v>23</v>
      </c>
      <c r="I46" s="2" t="s">
        <v>24</v>
      </c>
      <c r="J46" s="2" t="s">
        <v>25</v>
      </c>
      <c r="K46" s="0" t="s">
        <v>108</v>
      </c>
      <c r="L46" s="0" t="s">
        <v>27</v>
      </c>
      <c r="M46" s="0" t="s">
        <v>109</v>
      </c>
      <c r="N46" s="0" t="s">
        <v>258</v>
      </c>
      <c r="O46" s="0" t="s">
        <v>37</v>
      </c>
      <c r="Q46" s="0" t="s">
        <v>259</v>
      </c>
      <c r="R46" s="0" t="s">
        <v>260</v>
      </c>
      <c r="S46" s="0" t="s">
        <v>261</v>
      </c>
      <c r="T46" s="0" t="s">
        <v>33</v>
      </c>
    </row>
    <row r="47" customFormat="false" ht="15" hidden="false" customHeight="false" outlineLevel="0" collapsed="false">
      <c r="A47" s="0" t="n">
        <v>46</v>
      </c>
      <c r="D47" s="0" t="s">
        <v>262</v>
      </c>
      <c r="E47" s="0" t="s">
        <v>21</v>
      </c>
      <c r="F47" s="0" t="s">
        <v>263</v>
      </c>
      <c r="H47" s="0" t="s">
        <v>23</v>
      </c>
      <c r="I47" s="2" t="s">
        <v>24</v>
      </c>
      <c r="J47" s="2" t="s">
        <v>25</v>
      </c>
      <c r="K47" s="0" t="s">
        <v>108</v>
      </c>
      <c r="L47" s="0" t="s">
        <v>27</v>
      </c>
      <c r="M47" s="0" t="s">
        <v>109</v>
      </c>
      <c r="N47" s="0" t="s">
        <v>115</v>
      </c>
      <c r="O47" s="0" t="s">
        <v>30</v>
      </c>
      <c r="P47" s="0" t="s">
        <v>116</v>
      </c>
      <c r="Q47" s="0" t="s">
        <v>264</v>
      </c>
      <c r="R47" s="0" t="s">
        <v>265</v>
      </c>
      <c r="S47" s="0" t="s">
        <v>266</v>
      </c>
      <c r="T47" s="0" t="s">
        <v>33</v>
      </c>
    </row>
    <row r="48" customFormat="false" ht="15" hidden="false" customHeight="false" outlineLevel="0" collapsed="false">
      <c r="A48" s="0" t="n">
        <v>47</v>
      </c>
      <c r="D48" s="0" t="s">
        <v>267</v>
      </c>
      <c r="E48" s="0" t="s">
        <v>21</v>
      </c>
      <c r="H48" s="0" t="s">
        <v>23</v>
      </c>
      <c r="I48" s="2" t="s">
        <v>24</v>
      </c>
      <c r="J48" s="2" t="s">
        <v>25</v>
      </c>
      <c r="K48" s="0" t="s">
        <v>108</v>
      </c>
      <c r="L48" s="0" t="s">
        <v>35</v>
      </c>
      <c r="M48" s="0" t="s">
        <v>109</v>
      </c>
      <c r="N48" s="0" t="s">
        <v>115</v>
      </c>
      <c r="O48" s="0" t="s">
        <v>30</v>
      </c>
      <c r="P48" s="0" t="s">
        <v>116</v>
      </c>
      <c r="Q48" s="0" t="s">
        <v>268</v>
      </c>
      <c r="T48" s="0" t="s">
        <v>33</v>
      </c>
    </row>
    <row r="49" customFormat="false" ht="15" hidden="false" customHeight="false" outlineLevel="0" collapsed="false">
      <c r="A49" s="0" t="n">
        <v>48</v>
      </c>
      <c r="D49" s="0" t="s">
        <v>269</v>
      </c>
      <c r="E49" s="0" t="s">
        <v>21</v>
      </c>
      <c r="F49" s="0" t="s">
        <v>270</v>
      </c>
      <c r="H49" s="0" t="s">
        <v>23</v>
      </c>
      <c r="I49" s="2" t="s">
        <v>24</v>
      </c>
      <c r="J49" s="2" t="s">
        <v>25</v>
      </c>
      <c r="K49" s="0" t="s">
        <v>108</v>
      </c>
      <c r="L49" s="0" t="s">
        <v>27</v>
      </c>
      <c r="M49" s="0" t="s">
        <v>109</v>
      </c>
      <c r="N49" s="0" t="s">
        <v>271</v>
      </c>
      <c r="O49" s="0" t="s">
        <v>30</v>
      </c>
      <c r="R49" s="0" t="s">
        <v>272</v>
      </c>
      <c r="S49" s="0" t="s">
        <v>273</v>
      </c>
      <c r="T49" s="0" t="s">
        <v>33</v>
      </c>
    </row>
    <row r="50" customFormat="false" ht="15" hidden="false" customHeight="false" outlineLevel="0" collapsed="false">
      <c r="A50" s="0" t="n">
        <v>49</v>
      </c>
      <c r="D50" s="0" t="s">
        <v>274</v>
      </c>
      <c r="E50" s="0" t="s">
        <v>21</v>
      </c>
      <c r="F50" s="0" t="s">
        <v>275</v>
      </c>
      <c r="H50" s="0" t="s">
        <v>23</v>
      </c>
      <c r="I50" s="2" t="s">
        <v>24</v>
      </c>
      <c r="J50" s="2" t="s">
        <v>25</v>
      </c>
      <c r="K50" s="0" t="s">
        <v>108</v>
      </c>
      <c r="L50" s="0" t="s">
        <v>27</v>
      </c>
      <c r="M50" s="0" t="s">
        <v>109</v>
      </c>
      <c r="N50" s="0" t="s">
        <v>276</v>
      </c>
      <c r="O50" s="0" t="s">
        <v>57</v>
      </c>
      <c r="R50" s="0" t="s">
        <v>277</v>
      </c>
      <c r="T50" s="0" t="s">
        <v>33</v>
      </c>
    </row>
    <row r="51" customFormat="false" ht="15" hidden="false" customHeight="false" outlineLevel="0" collapsed="false">
      <c r="A51" s="0" t="n">
        <v>50</v>
      </c>
      <c r="D51" s="0" t="s">
        <v>278</v>
      </c>
      <c r="E51" s="0" t="s">
        <v>21</v>
      </c>
      <c r="F51" s="0" t="s">
        <v>279</v>
      </c>
      <c r="H51" s="0" t="s">
        <v>23</v>
      </c>
      <c r="I51" s="2" t="s">
        <v>24</v>
      </c>
      <c r="J51" s="2" t="s">
        <v>25</v>
      </c>
      <c r="K51" s="0" t="s">
        <v>108</v>
      </c>
      <c r="L51" s="0" t="s">
        <v>280</v>
      </c>
      <c r="M51" s="0" t="s">
        <v>109</v>
      </c>
      <c r="N51" s="0" t="s">
        <v>281</v>
      </c>
      <c r="O51" s="0" t="s">
        <v>37</v>
      </c>
      <c r="R51" s="0" t="s">
        <v>282</v>
      </c>
      <c r="T51" s="0" t="s">
        <v>283</v>
      </c>
    </row>
    <row r="52" customFormat="false" ht="15" hidden="false" customHeight="false" outlineLevel="0" collapsed="false">
      <c r="A52" s="0" t="n">
        <v>51</v>
      </c>
      <c r="D52" s="0" t="s">
        <v>284</v>
      </c>
      <c r="E52" s="0" t="s">
        <v>21</v>
      </c>
      <c r="F52" s="0" t="s">
        <v>285</v>
      </c>
      <c r="H52" s="0" t="s">
        <v>23</v>
      </c>
      <c r="I52" s="2" t="s">
        <v>24</v>
      </c>
      <c r="J52" s="2" t="s">
        <v>25</v>
      </c>
      <c r="K52" s="0" t="s">
        <v>108</v>
      </c>
      <c r="L52" s="0" t="s">
        <v>27</v>
      </c>
      <c r="M52" s="0" t="s">
        <v>109</v>
      </c>
      <c r="N52" s="0" t="s">
        <v>286</v>
      </c>
      <c r="O52" s="0" t="s">
        <v>37</v>
      </c>
      <c r="Q52" s="0" t="s">
        <v>287</v>
      </c>
      <c r="R52" s="0" t="s">
        <v>288</v>
      </c>
      <c r="S52" s="0" t="s">
        <v>289</v>
      </c>
      <c r="T52" s="0" t="s">
        <v>33</v>
      </c>
    </row>
    <row r="53" customFormat="false" ht="15" hidden="false" customHeight="false" outlineLevel="0" collapsed="false">
      <c r="A53" s="0" t="n">
        <v>52</v>
      </c>
      <c r="D53" s="0" t="s">
        <v>290</v>
      </c>
      <c r="E53" s="0" t="s">
        <v>21</v>
      </c>
      <c r="H53" s="0" t="s">
        <v>23</v>
      </c>
      <c r="I53" s="2" t="s">
        <v>24</v>
      </c>
      <c r="J53" s="2" t="s">
        <v>25</v>
      </c>
      <c r="K53" s="0" t="s">
        <v>108</v>
      </c>
      <c r="L53" s="0" t="s">
        <v>35</v>
      </c>
      <c r="M53" s="0" t="s">
        <v>109</v>
      </c>
      <c r="N53" s="0" t="s">
        <v>291</v>
      </c>
      <c r="O53" s="0" t="s">
        <v>57</v>
      </c>
      <c r="Q53" s="0" t="s">
        <v>292</v>
      </c>
      <c r="T53" s="0" t="s">
        <v>33</v>
      </c>
    </row>
    <row r="54" customFormat="false" ht="15" hidden="false" customHeight="false" outlineLevel="0" collapsed="false">
      <c r="A54" s="0" t="n">
        <v>53</v>
      </c>
      <c r="D54" s="0" t="s">
        <v>293</v>
      </c>
      <c r="E54" s="0" t="s">
        <v>21</v>
      </c>
      <c r="F54" s="0" t="s">
        <v>294</v>
      </c>
      <c r="H54" s="0" t="s">
        <v>23</v>
      </c>
      <c r="I54" s="2" t="s">
        <v>24</v>
      </c>
      <c r="J54" s="2" t="s">
        <v>25</v>
      </c>
      <c r="K54" s="0" t="s">
        <v>108</v>
      </c>
      <c r="L54" s="0" t="s">
        <v>27</v>
      </c>
      <c r="M54" s="0" t="s">
        <v>109</v>
      </c>
      <c r="N54" s="0" t="s">
        <v>295</v>
      </c>
      <c r="O54" s="0" t="s">
        <v>37</v>
      </c>
      <c r="Q54" s="0" t="s">
        <v>296</v>
      </c>
      <c r="R54" s="0" t="s">
        <v>297</v>
      </c>
      <c r="S54" s="0" t="s">
        <v>298</v>
      </c>
      <c r="T54" s="0" t="s">
        <v>33</v>
      </c>
    </row>
    <row r="55" customFormat="false" ht="15" hidden="false" customHeight="false" outlineLevel="0" collapsed="false">
      <c r="A55" s="0" t="n">
        <v>54</v>
      </c>
      <c r="D55" s="0" t="s">
        <v>299</v>
      </c>
      <c r="E55" s="0" t="s">
        <v>21</v>
      </c>
      <c r="F55" s="0" t="s">
        <v>300</v>
      </c>
      <c r="H55" s="0" t="s">
        <v>23</v>
      </c>
      <c r="I55" s="2" t="s">
        <v>24</v>
      </c>
      <c r="J55" s="2" t="s">
        <v>25</v>
      </c>
      <c r="K55" s="0" t="s">
        <v>108</v>
      </c>
      <c r="L55" s="0" t="s">
        <v>27</v>
      </c>
      <c r="M55" s="0" t="s">
        <v>109</v>
      </c>
      <c r="N55" s="0" t="s">
        <v>301</v>
      </c>
      <c r="O55" s="0" t="s">
        <v>57</v>
      </c>
      <c r="Q55" s="0" t="s">
        <v>302</v>
      </c>
      <c r="R55" s="0" t="s">
        <v>303</v>
      </c>
      <c r="S55" s="0" t="s">
        <v>304</v>
      </c>
      <c r="T55" s="0" t="s">
        <v>33</v>
      </c>
    </row>
    <row r="56" customFormat="false" ht="15" hidden="false" customHeight="false" outlineLevel="0" collapsed="false">
      <c r="A56" s="0" t="n">
        <v>55</v>
      </c>
      <c r="D56" s="0" t="s">
        <v>305</v>
      </c>
      <c r="E56" s="0" t="s">
        <v>21</v>
      </c>
      <c r="F56" s="0" t="s">
        <v>306</v>
      </c>
      <c r="H56" s="0" t="s">
        <v>23</v>
      </c>
      <c r="I56" s="2" t="s">
        <v>24</v>
      </c>
      <c r="J56" s="2" t="s">
        <v>25</v>
      </c>
      <c r="K56" s="0" t="s">
        <v>108</v>
      </c>
      <c r="L56" s="0" t="s">
        <v>27</v>
      </c>
      <c r="M56" s="0" t="s">
        <v>109</v>
      </c>
      <c r="N56" s="0" t="s">
        <v>307</v>
      </c>
      <c r="O56" s="0" t="s">
        <v>37</v>
      </c>
      <c r="Q56" s="0" t="s">
        <v>308</v>
      </c>
      <c r="R56" s="0" t="s">
        <v>309</v>
      </c>
      <c r="S56" s="0" t="s">
        <v>310</v>
      </c>
      <c r="T56" s="0" t="s">
        <v>33</v>
      </c>
    </row>
    <row r="57" customFormat="false" ht="15" hidden="false" customHeight="false" outlineLevel="0" collapsed="false">
      <c r="A57" s="0" t="n">
        <v>56</v>
      </c>
      <c r="D57" s="0" t="s">
        <v>311</v>
      </c>
      <c r="E57" s="0" t="s">
        <v>21</v>
      </c>
      <c r="F57" s="0" t="s">
        <v>312</v>
      </c>
      <c r="H57" s="0" t="s">
        <v>23</v>
      </c>
      <c r="I57" s="2" t="s">
        <v>24</v>
      </c>
      <c r="J57" s="2" t="s">
        <v>25</v>
      </c>
      <c r="K57" s="0" t="s">
        <v>108</v>
      </c>
      <c r="L57" s="0" t="s">
        <v>27</v>
      </c>
      <c r="M57" s="0" t="s">
        <v>109</v>
      </c>
      <c r="N57" s="0" t="s">
        <v>313</v>
      </c>
      <c r="O57" s="0" t="s">
        <v>30</v>
      </c>
      <c r="Q57" s="0" t="s">
        <v>314</v>
      </c>
      <c r="R57" s="0" t="s">
        <v>315</v>
      </c>
      <c r="S57" s="0" t="s">
        <v>316</v>
      </c>
      <c r="T57" s="0" t="s">
        <v>33</v>
      </c>
    </row>
    <row r="58" customFormat="false" ht="15" hidden="false" customHeight="false" outlineLevel="0" collapsed="false">
      <c r="A58" s="0" t="n">
        <v>57</v>
      </c>
      <c r="D58" s="0" t="s">
        <v>317</v>
      </c>
      <c r="E58" s="0" t="s">
        <v>21</v>
      </c>
      <c r="F58" s="0" t="s">
        <v>318</v>
      </c>
      <c r="H58" s="0" t="s">
        <v>23</v>
      </c>
      <c r="I58" s="2" t="s">
        <v>24</v>
      </c>
      <c r="J58" s="2" t="s">
        <v>25</v>
      </c>
      <c r="K58" s="0" t="s">
        <v>108</v>
      </c>
      <c r="L58" s="0" t="s">
        <v>27</v>
      </c>
      <c r="M58" s="0" t="s">
        <v>109</v>
      </c>
      <c r="N58" s="0" t="s">
        <v>319</v>
      </c>
      <c r="O58" s="0" t="s">
        <v>57</v>
      </c>
      <c r="Q58" s="0" t="s">
        <v>320</v>
      </c>
      <c r="R58" s="0" t="s">
        <v>321</v>
      </c>
      <c r="S58" s="0" t="s">
        <v>322</v>
      </c>
      <c r="T58" s="0" t="s">
        <v>33</v>
      </c>
    </row>
    <row r="59" customFormat="false" ht="15" hidden="false" customHeight="false" outlineLevel="0" collapsed="false">
      <c r="A59" s="0" t="n">
        <v>58</v>
      </c>
      <c r="D59" s="0" t="s">
        <v>323</v>
      </c>
      <c r="E59" s="0" t="s">
        <v>21</v>
      </c>
      <c r="F59" s="0" t="s">
        <v>324</v>
      </c>
      <c r="H59" s="0" t="s">
        <v>23</v>
      </c>
      <c r="I59" s="2" t="s">
        <v>24</v>
      </c>
      <c r="J59" s="2" t="s">
        <v>25</v>
      </c>
      <c r="K59" s="0" t="s">
        <v>108</v>
      </c>
      <c r="L59" s="0" t="s">
        <v>27</v>
      </c>
      <c r="M59" s="0" t="s">
        <v>109</v>
      </c>
      <c r="N59" s="0" t="s">
        <v>276</v>
      </c>
      <c r="O59" s="0" t="s">
        <v>57</v>
      </c>
      <c r="Q59" s="0" t="s">
        <v>325</v>
      </c>
      <c r="R59" s="0" t="s">
        <v>326</v>
      </c>
      <c r="S59" s="0" t="s">
        <v>327</v>
      </c>
      <c r="T59" s="0" t="s">
        <v>33</v>
      </c>
    </row>
    <row r="60" customFormat="false" ht="15" hidden="false" customHeight="false" outlineLevel="0" collapsed="false">
      <c r="A60" s="0" t="n">
        <v>59</v>
      </c>
      <c r="D60" s="0" t="s">
        <v>328</v>
      </c>
      <c r="E60" s="0" t="s">
        <v>21</v>
      </c>
      <c r="F60" s="0" t="s">
        <v>329</v>
      </c>
      <c r="H60" s="0" t="s">
        <v>23</v>
      </c>
      <c r="I60" s="2" t="s">
        <v>24</v>
      </c>
      <c r="J60" s="2" t="s">
        <v>25</v>
      </c>
      <c r="K60" s="0" t="s">
        <v>108</v>
      </c>
      <c r="L60" s="0" t="s">
        <v>27</v>
      </c>
      <c r="M60" s="0" t="s">
        <v>109</v>
      </c>
      <c r="N60" s="0" t="s">
        <v>330</v>
      </c>
      <c r="O60" s="0" t="s">
        <v>30</v>
      </c>
      <c r="Q60" s="0" t="s">
        <v>331</v>
      </c>
      <c r="R60" s="0" t="s">
        <v>332</v>
      </c>
      <c r="S60" s="0" t="s">
        <v>333</v>
      </c>
      <c r="T60" s="0" t="s">
        <v>33</v>
      </c>
    </row>
    <row r="61" customFormat="false" ht="15" hidden="false" customHeight="false" outlineLevel="0" collapsed="false">
      <c r="A61" s="0" t="n">
        <v>60</v>
      </c>
      <c r="D61" s="0" t="s">
        <v>334</v>
      </c>
      <c r="E61" s="0" t="s">
        <v>21</v>
      </c>
      <c r="F61" s="0" t="s">
        <v>335</v>
      </c>
      <c r="H61" s="0" t="s">
        <v>23</v>
      </c>
      <c r="I61" s="2" t="s">
        <v>24</v>
      </c>
      <c r="J61" s="2" t="s">
        <v>25</v>
      </c>
      <c r="K61" s="0" t="s">
        <v>108</v>
      </c>
      <c r="L61" s="0" t="s">
        <v>336</v>
      </c>
      <c r="M61" s="0" t="s">
        <v>109</v>
      </c>
      <c r="N61" s="0" t="s">
        <v>337</v>
      </c>
      <c r="O61" s="0" t="s">
        <v>30</v>
      </c>
      <c r="Q61" s="0" t="s">
        <v>338</v>
      </c>
      <c r="R61" s="0" t="s">
        <v>339</v>
      </c>
      <c r="S61" s="0" t="s">
        <v>340</v>
      </c>
      <c r="T61" s="0" t="s">
        <v>341</v>
      </c>
    </row>
    <row r="62" customFormat="false" ht="15" hidden="false" customHeight="false" outlineLevel="0" collapsed="false">
      <c r="A62" s="0" t="n">
        <v>61</v>
      </c>
      <c r="D62" s="0" t="s">
        <v>342</v>
      </c>
      <c r="E62" s="0" t="s">
        <v>21</v>
      </c>
      <c r="F62" s="0" t="s">
        <v>343</v>
      </c>
      <c r="H62" s="0" t="s">
        <v>23</v>
      </c>
      <c r="I62" s="2" t="s">
        <v>24</v>
      </c>
      <c r="J62" s="2" t="s">
        <v>25</v>
      </c>
      <c r="K62" s="0" t="s">
        <v>108</v>
      </c>
      <c r="L62" s="0" t="s">
        <v>27</v>
      </c>
      <c r="M62" s="0" t="s">
        <v>109</v>
      </c>
      <c r="N62" s="0" t="s">
        <v>344</v>
      </c>
      <c r="O62" s="0" t="s">
        <v>30</v>
      </c>
      <c r="R62" s="0" t="s">
        <v>345</v>
      </c>
      <c r="S62" s="0" t="s">
        <v>346</v>
      </c>
      <c r="T62" s="0" t="s">
        <v>33</v>
      </c>
    </row>
    <row r="63" customFormat="false" ht="15" hidden="false" customHeight="false" outlineLevel="0" collapsed="false">
      <c r="A63" s="0" t="n">
        <v>62</v>
      </c>
      <c r="D63" s="0" t="s">
        <v>347</v>
      </c>
      <c r="E63" s="0" t="s">
        <v>21</v>
      </c>
      <c r="H63" s="0" t="s">
        <v>23</v>
      </c>
      <c r="I63" s="2" t="s">
        <v>24</v>
      </c>
      <c r="J63" s="2" t="s">
        <v>25</v>
      </c>
      <c r="K63" s="0" t="s">
        <v>108</v>
      </c>
      <c r="L63" s="0" t="s">
        <v>35</v>
      </c>
      <c r="M63" s="0" t="s">
        <v>109</v>
      </c>
      <c r="N63" s="0" t="s">
        <v>115</v>
      </c>
      <c r="O63" s="0" t="s">
        <v>30</v>
      </c>
      <c r="P63" s="0" t="s">
        <v>116</v>
      </c>
      <c r="T63" s="0" t="s">
        <v>33</v>
      </c>
    </row>
    <row r="64" customFormat="false" ht="15" hidden="false" customHeight="false" outlineLevel="0" collapsed="false">
      <c r="A64" s="0" t="n">
        <v>63</v>
      </c>
      <c r="D64" s="0" t="s">
        <v>348</v>
      </c>
      <c r="E64" s="0" t="s">
        <v>21</v>
      </c>
      <c r="H64" s="0" t="s">
        <v>23</v>
      </c>
      <c r="I64" s="2" t="s">
        <v>24</v>
      </c>
      <c r="J64" s="2" t="s">
        <v>25</v>
      </c>
      <c r="K64" s="0" t="s">
        <v>108</v>
      </c>
      <c r="L64" s="0" t="s">
        <v>35</v>
      </c>
      <c r="M64" s="0" t="s">
        <v>109</v>
      </c>
      <c r="N64" s="0" t="s">
        <v>115</v>
      </c>
      <c r="O64" s="0" t="s">
        <v>30</v>
      </c>
      <c r="P64" s="0" t="s">
        <v>116</v>
      </c>
      <c r="Q64" s="0" t="s">
        <v>349</v>
      </c>
      <c r="T64" s="0" t="s">
        <v>33</v>
      </c>
    </row>
    <row r="65" customFormat="false" ht="15" hidden="false" customHeight="false" outlineLevel="0" collapsed="false">
      <c r="A65" s="0" t="n">
        <v>64</v>
      </c>
      <c r="D65" s="0" t="s">
        <v>350</v>
      </c>
      <c r="E65" s="0" t="s">
        <v>21</v>
      </c>
      <c r="F65" s="0" t="s">
        <v>351</v>
      </c>
      <c r="H65" s="0" t="s">
        <v>23</v>
      </c>
      <c r="I65" s="2" t="s">
        <v>24</v>
      </c>
      <c r="J65" s="2" t="s">
        <v>25</v>
      </c>
      <c r="K65" s="0" t="s">
        <v>108</v>
      </c>
      <c r="L65" s="0" t="s">
        <v>27</v>
      </c>
      <c r="M65" s="0" t="s">
        <v>109</v>
      </c>
      <c r="N65" s="0" t="s">
        <v>352</v>
      </c>
      <c r="O65" s="0" t="s">
        <v>57</v>
      </c>
      <c r="R65" s="0" t="s">
        <v>353</v>
      </c>
      <c r="S65" s="0" t="s">
        <v>354</v>
      </c>
      <c r="T65" s="0" t="s">
        <v>33</v>
      </c>
    </row>
    <row r="66" customFormat="false" ht="15" hidden="false" customHeight="false" outlineLevel="0" collapsed="false">
      <c r="A66" s="0" t="n">
        <v>65</v>
      </c>
      <c r="D66" s="0" t="s">
        <v>355</v>
      </c>
      <c r="E66" s="0" t="s">
        <v>21</v>
      </c>
      <c r="F66" s="0" t="s">
        <v>356</v>
      </c>
      <c r="H66" s="0" t="s">
        <v>23</v>
      </c>
      <c r="I66" s="2" t="s">
        <v>24</v>
      </c>
      <c r="J66" s="2" t="s">
        <v>25</v>
      </c>
      <c r="K66" s="0" t="s">
        <v>108</v>
      </c>
      <c r="L66" s="0" t="s">
        <v>27</v>
      </c>
      <c r="M66" s="0" t="s">
        <v>109</v>
      </c>
      <c r="N66" s="0" t="s">
        <v>357</v>
      </c>
      <c r="O66" s="0" t="s">
        <v>57</v>
      </c>
      <c r="R66" s="0" t="s">
        <v>358</v>
      </c>
      <c r="S66" s="0" t="s">
        <v>359</v>
      </c>
      <c r="T66" s="0" t="s">
        <v>33</v>
      </c>
    </row>
    <row r="67" customFormat="false" ht="15" hidden="false" customHeight="false" outlineLevel="0" collapsed="false">
      <c r="A67" s="0" t="n">
        <v>66</v>
      </c>
      <c r="D67" s="0" t="s">
        <v>360</v>
      </c>
      <c r="E67" s="0" t="s">
        <v>21</v>
      </c>
      <c r="H67" s="0" t="s">
        <v>23</v>
      </c>
      <c r="I67" s="2" t="s">
        <v>24</v>
      </c>
      <c r="J67" s="2" t="s">
        <v>25</v>
      </c>
      <c r="K67" s="0" t="s">
        <v>108</v>
      </c>
      <c r="L67" s="0" t="s">
        <v>35</v>
      </c>
      <c r="M67" s="0" t="s">
        <v>109</v>
      </c>
      <c r="N67" s="0" t="s">
        <v>361</v>
      </c>
      <c r="O67" s="0" t="s">
        <v>30</v>
      </c>
      <c r="R67" s="0" t="s">
        <v>362</v>
      </c>
      <c r="T67" s="0" t="s">
        <v>33</v>
      </c>
    </row>
    <row r="68" customFormat="false" ht="15" hidden="false" customHeight="false" outlineLevel="0" collapsed="false">
      <c r="A68" s="0" t="n">
        <v>67</v>
      </c>
      <c r="D68" s="0" t="s">
        <v>363</v>
      </c>
      <c r="E68" s="0" t="s">
        <v>21</v>
      </c>
      <c r="F68" s="0" t="s">
        <v>364</v>
      </c>
      <c r="H68" s="0" t="s">
        <v>23</v>
      </c>
      <c r="I68" s="2" t="s">
        <v>24</v>
      </c>
      <c r="J68" s="2" t="s">
        <v>25</v>
      </c>
      <c r="K68" s="0" t="s">
        <v>108</v>
      </c>
      <c r="L68" s="0" t="s">
        <v>27</v>
      </c>
      <c r="M68" s="0" t="s">
        <v>109</v>
      </c>
      <c r="N68" s="0" t="s">
        <v>365</v>
      </c>
      <c r="O68" s="0" t="s">
        <v>57</v>
      </c>
      <c r="Q68" s="0" t="s">
        <v>366</v>
      </c>
      <c r="R68" s="0" t="s">
        <v>367</v>
      </c>
      <c r="S68" s="0" t="s">
        <v>368</v>
      </c>
      <c r="T68" s="0" t="s">
        <v>33</v>
      </c>
    </row>
    <row r="69" customFormat="false" ht="15" hidden="false" customHeight="false" outlineLevel="0" collapsed="false">
      <c r="A69" s="0" t="n">
        <v>68</v>
      </c>
      <c r="D69" s="0" t="s">
        <v>369</v>
      </c>
      <c r="E69" s="0" t="s">
        <v>21</v>
      </c>
      <c r="H69" s="0" t="s">
        <v>23</v>
      </c>
      <c r="I69" s="2" t="s">
        <v>24</v>
      </c>
      <c r="J69" s="2" t="s">
        <v>25</v>
      </c>
      <c r="K69" s="0" t="s">
        <v>108</v>
      </c>
      <c r="L69" s="0" t="s">
        <v>35</v>
      </c>
      <c r="M69" s="0" t="s">
        <v>109</v>
      </c>
      <c r="N69" s="0" t="s">
        <v>115</v>
      </c>
      <c r="O69" s="0" t="s">
        <v>30</v>
      </c>
      <c r="P69" s="0" t="s">
        <v>116</v>
      </c>
      <c r="Q69" s="0" t="s">
        <v>370</v>
      </c>
      <c r="T69" s="0" t="s">
        <v>33</v>
      </c>
    </row>
    <row r="70" customFormat="false" ht="15" hidden="false" customHeight="false" outlineLevel="0" collapsed="false">
      <c r="A70" s="0" t="n">
        <v>69</v>
      </c>
      <c r="D70" s="0" t="s">
        <v>371</v>
      </c>
      <c r="E70" s="0" t="s">
        <v>21</v>
      </c>
      <c r="H70" s="0" t="s">
        <v>23</v>
      </c>
      <c r="I70" s="2" t="s">
        <v>24</v>
      </c>
      <c r="J70" s="2" t="s">
        <v>25</v>
      </c>
      <c r="K70" s="0" t="s">
        <v>108</v>
      </c>
      <c r="L70" s="0" t="s">
        <v>35</v>
      </c>
      <c r="M70" s="0" t="s">
        <v>109</v>
      </c>
      <c r="N70" s="0" t="s">
        <v>372</v>
      </c>
      <c r="O70" s="0" t="s">
        <v>57</v>
      </c>
      <c r="Q70" s="0" t="s">
        <v>373</v>
      </c>
      <c r="R70" s="0" t="s">
        <v>374</v>
      </c>
      <c r="T70" s="0" t="s">
        <v>33</v>
      </c>
    </row>
    <row r="71" customFormat="false" ht="15" hidden="false" customHeight="false" outlineLevel="0" collapsed="false">
      <c r="A71" s="0" t="n">
        <v>70</v>
      </c>
      <c r="D71" s="0" t="s">
        <v>375</v>
      </c>
      <c r="E71" s="0" t="s">
        <v>21</v>
      </c>
      <c r="F71" s="0" t="s">
        <v>376</v>
      </c>
      <c r="H71" s="0" t="s">
        <v>23</v>
      </c>
      <c r="I71" s="2" t="s">
        <v>24</v>
      </c>
      <c r="J71" s="2" t="s">
        <v>25</v>
      </c>
      <c r="K71" s="0" t="s">
        <v>108</v>
      </c>
      <c r="L71" s="0" t="s">
        <v>27</v>
      </c>
      <c r="M71" s="0" t="s">
        <v>109</v>
      </c>
      <c r="N71" s="0" t="s">
        <v>377</v>
      </c>
      <c r="O71" s="0" t="s">
        <v>57</v>
      </c>
      <c r="R71" s="0" t="s">
        <v>378</v>
      </c>
      <c r="S71" s="0" t="s">
        <v>379</v>
      </c>
      <c r="T71" s="0" t="s">
        <v>33</v>
      </c>
    </row>
    <row r="72" customFormat="false" ht="15" hidden="false" customHeight="false" outlineLevel="0" collapsed="false">
      <c r="A72" s="0" t="n">
        <v>71</v>
      </c>
      <c r="D72" s="0" t="s">
        <v>380</v>
      </c>
      <c r="E72" s="0" t="s">
        <v>21</v>
      </c>
      <c r="F72" s="0" t="s">
        <v>381</v>
      </c>
      <c r="H72" s="0" t="s">
        <v>23</v>
      </c>
      <c r="I72" s="2" t="s">
        <v>24</v>
      </c>
      <c r="J72" s="2" t="s">
        <v>25</v>
      </c>
      <c r="K72" s="0" t="s">
        <v>108</v>
      </c>
      <c r="L72" s="0" t="s">
        <v>27</v>
      </c>
      <c r="M72" s="0" t="s">
        <v>109</v>
      </c>
      <c r="N72" s="0" t="s">
        <v>382</v>
      </c>
      <c r="O72" s="0" t="s">
        <v>57</v>
      </c>
      <c r="Q72" s="0" t="s">
        <v>383</v>
      </c>
      <c r="R72" s="0" t="s">
        <v>384</v>
      </c>
      <c r="S72" s="0" t="s">
        <v>385</v>
      </c>
      <c r="T72" s="0" t="s">
        <v>33</v>
      </c>
    </row>
    <row r="73" customFormat="false" ht="15" hidden="false" customHeight="false" outlineLevel="0" collapsed="false">
      <c r="A73" s="0" t="n">
        <v>72</v>
      </c>
      <c r="D73" s="0" t="s">
        <v>386</v>
      </c>
      <c r="E73" s="0" t="s">
        <v>21</v>
      </c>
      <c r="H73" s="0" t="s">
        <v>23</v>
      </c>
      <c r="I73" s="2" t="s">
        <v>24</v>
      </c>
      <c r="J73" s="2" t="s">
        <v>25</v>
      </c>
      <c r="K73" s="0" t="s">
        <v>108</v>
      </c>
      <c r="L73" s="0" t="s">
        <v>35</v>
      </c>
      <c r="M73" s="0" t="s">
        <v>109</v>
      </c>
      <c r="N73" s="0" t="s">
        <v>387</v>
      </c>
      <c r="O73" s="0" t="s">
        <v>30</v>
      </c>
      <c r="R73" s="0" t="s">
        <v>388</v>
      </c>
      <c r="T73" s="0" t="s">
        <v>33</v>
      </c>
    </row>
    <row r="74" customFormat="false" ht="15" hidden="false" customHeight="false" outlineLevel="0" collapsed="false">
      <c r="A74" s="0" t="n">
        <v>73</v>
      </c>
      <c r="D74" s="0" t="s">
        <v>389</v>
      </c>
      <c r="E74" s="0" t="s">
        <v>21</v>
      </c>
      <c r="F74" s="0" t="s">
        <v>390</v>
      </c>
      <c r="H74" s="0" t="s">
        <v>23</v>
      </c>
      <c r="I74" s="2" t="s">
        <v>24</v>
      </c>
      <c r="J74" s="2" t="s">
        <v>25</v>
      </c>
      <c r="K74" s="0" t="s">
        <v>391</v>
      </c>
      <c r="L74" s="0" t="s">
        <v>27</v>
      </c>
      <c r="M74" s="0" t="s">
        <v>392</v>
      </c>
      <c r="N74" s="0" t="s">
        <v>393</v>
      </c>
      <c r="O74" s="0" t="s">
        <v>30</v>
      </c>
      <c r="P74" s="0" t="s">
        <v>394</v>
      </c>
      <c r="R74" s="0" t="s">
        <v>395</v>
      </c>
      <c r="S74" s="0" t="s">
        <v>396</v>
      </c>
      <c r="T74" s="0" t="s">
        <v>33</v>
      </c>
    </row>
    <row r="75" customFormat="false" ht="15" hidden="false" customHeight="false" outlineLevel="0" collapsed="false">
      <c r="A75" s="0" t="n">
        <v>74</v>
      </c>
      <c r="D75" s="0" t="s">
        <v>397</v>
      </c>
      <c r="E75" s="0" t="s">
        <v>21</v>
      </c>
      <c r="F75" s="0" t="s">
        <v>398</v>
      </c>
      <c r="H75" s="0" t="s">
        <v>23</v>
      </c>
      <c r="I75" s="2" t="s">
        <v>24</v>
      </c>
      <c r="J75" s="2" t="s">
        <v>25</v>
      </c>
      <c r="K75" s="0" t="s">
        <v>391</v>
      </c>
      <c r="L75" s="0" t="s">
        <v>27</v>
      </c>
      <c r="M75" s="0" t="s">
        <v>392</v>
      </c>
      <c r="N75" s="0" t="s">
        <v>399</v>
      </c>
      <c r="O75" s="0" t="s">
        <v>37</v>
      </c>
      <c r="R75" s="0" t="s">
        <v>400</v>
      </c>
      <c r="S75" s="0" t="s">
        <v>401</v>
      </c>
      <c r="T75" s="0" t="s">
        <v>33</v>
      </c>
    </row>
    <row r="76" customFormat="false" ht="15" hidden="false" customHeight="false" outlineLevel="0" collapsed="false">
      <c r="A76" s="0" t="n">
        <v>75</v>
      </c>
      <c r="D76" s="0" t="s">
        <v>402</v>
      </c>
      <c r="E76" s="0" t="s">
        <v>21</v>
      </c>
      <c r="H76" s="0" t="s">
        <v>23</v>
      </c>
      <c r="I76" s="2" t="s">
        <v>24</v>
      </c>
      <c r="J76" s="2" t="s">
        <v>25</v>
      </c>
      <c r="K76" s="0" t="s">
        <v>391</v>
      </c>
      <c r="L76" s="0" t="s">
        <v>35</v>
      </c>
      <c r="M76" s="0" t="s">
        <v>392</v>
      </c>
      <c r="N76" s="0" t="s">
        <v>249</v>
      </c>
      <c r="O76" s="0" t="s">
        <v>37</v>
      </c>
      <c r="P76" s="0" t="s">
        <v>250</v>
      </c>
      <c r="Q76" s="0" t="s">
        <v>403</v>
      </c>
      <c r="R76" s="0" t="s">
        <v>404</v>
      </c>
      <c r="T76" s="0" t="s">
        <v>33</v>
      </c>
    </row>
    <row r="77" customFormat="false" ht="15" hidden="false" customHeight="false" outlineLevel="0" collapsed="false">
      <c r="A77" s="0" t="n">
        <v>76</v>
      </c>
      <c r="D77" s="0" t="s">
        <v>405</v>
      </c>
      <c r="E77" s="0" t="s">
        <v>21</v>
      </c>
      <c r="F77" s="0" t="s">
        <v>406</v>
      </c>
      <c r="H77" s="0" t="s">
        <v>23</v>
      </c>
      <c r="I77" s="2" t="s">
        <v>24</v>
      </c>
      <c r="J77" s="2" t="s">
        <v>25</v>
      </c>
      <c r="K77" s="0" t="s">
        <v>391</v>
      </c>
      <c r="L77" s="0" t="s">
        <v>27</v>
      </c>
      <c r="M77" s="0" t="s">
        <v>392</v>
      </c>
      <c r="N77" s="0" t="s">
        <v>407</v>
      </c>
      <c r="O77" s="0" t="s">
        <v>37</v>
      </c>
      <c r="Q77" s="0" t="s">
        <v>408</v>
      </c>
      <c r="R77" s="0" t="s">
        <v>409</v>
      </c>
      <c r="S77" s="0" t="s">
        <v>410</v>
      </c>
      <c r="T77" s="0" t="s">
        <v>33</v>
      </c>
    </row>
    <row r="78" customFormat="false" ht="15" hidden="false" customHeight="false" outlineLevel="0" collapsed="false">
      <c r="A78" s="0" t="n">
        <v>77</v>
      </c>
      <c r="D78" s="0" t="s">
        <v>411</v>
      </c>
      <c r="E78" s="0" t="s">
        <v>21</v>
      </c>
      <c r="F78" s="0" t="s">
        <v>412</v>
      </c>
      <c r="H78" s="0" t="s">
        <v>23</v>
      </c>
      <c r="I78" s="2" t="s">
        <v>24</v>
      </c>
      <c r="J78" s="2" t="s">
        <v>25</v>
      </c>
      <c r="K78" s="0" t="s">
        <v>391</v>
      </c>
      <c r="L78" s="0" t="s">
        <v>27</v>
      </c>
      <c r="M78" s="0" t="s">
        <v>392</v>
      </c>
      <c r="N78" s="0" t="s">
        <v>413</v>
      </c>
      <c r="O78" s="0" t="s">
        <v>37</v>
      </c>
      <c r="Q78" s="0" t="s">
        <v>414</v>
      </c>
      <c r="R78" s="0" t="s">
        <v>415</v>
      </c>
      <c r="S78" s="0" t="s">
        <v>416</v>
      </c>
      <c r="T78" s="0" t="s">
        <v>33</v>
      </c>
    </row>
    <row r="79" customFormat="false" ht="15" hidden="false" customHeight="false" outlineLevel="0" collapsed="false">
      <c r="A79" s="0" t="n">
        <v>78</v>
      </c>
      <c r="D79" s="0" t="s">
        <v>417</v>
      </c>
      <c r="E79" s="0" t="s">
        <v>21</v>
      </c>
      <c r="H79" s="0" t="s">
        <v>23</v>
      </c>
      <c r="I79" s="2" t="s">
        <v>24</v>
      </c>
      <c r="J79" s="2" t="s">
        <v>25</v>
      </c>
      <c r="K79" s="0" t="s">
        <v>391</v>
      </c>
      <c r="L79" s="0" t="s">
        <v>35</v>
      </c>
      <c r="M79" s="0" t="s">
        <v>392</v>
      </c>
      <c r="N79" s="0" t="s">
        <v>418</v>
      </c>
      <c r="O79" s="0" t="s">
        <v>30</v>
      </c>
      <c r="Q79" s="0" t="s">
        <v>419</v>
      </c>
      <c r="R79" s="0" t="s">
        <v>420</v>
      </c>
      <c r="T79" s="0" t="s">
        <v>33</v>
      </c>
    </row>
    <row r="80" customFormat="false" ht="15" hidden="false" customHeight="false" outlineLevel="0" collapsed="false">
      <c r="A80" s="0" t="n">
        <v>79</v>
      </c>
      <c r="D80" s="0" t="s">
        <v>421</v>
      </c>
      <c r="E80" s="0" t="s">
        <v>21</v>
      </c>
      <c r="H80" s="0" t="s">
        <v>23</v>
      </c>
      <c r="I80" s="2" t="s">
        <v>24</v>
      </c>
      <c r="J80" s="2" t="s">
        <v>25</v>
      </c>
      <c r="K80" s="0" t="s">
        <v>391</v>
      </c>
      <c r="L80" s="0" t="s">
        <v>422</v>
      </c>
      <c r="M80" s="0" t="s">
        <v>392</v>
      </c>
      <c r="N80" s="0" t="s">
        <v>423</v>
      </c>
      <c r="O80" s="0" t="s">
        <v>57</v>
      </c>
      <c r="S80" s="0" t="s">
        <v>424</v>
      </c>
      <c r="T80" s="0" t="s">
        <v>425</v>
      </c>
    </row>
    <row r="81" customFormat="false" ht="15" hidden="false" customHeight="false" outlineLevel="0" collapsed="false">
      <c r="A81" s="0" t="n">
        <v>80</v>
      </c>
      <c r="D81" s="0" t="s">
        <v>426</v>
      </c>
      <c r="E81" s="0" t="s">
        <v>21</v>
      </c>
      <c r="F81" s="0" t="s">
        <v>427</v>
      </c>
      <c r="H81" s="0" t="s">
        <v>23</v>
      </c>
      <c r="I81" s="2" t="s">
        <v>24</v>
      </c>
      <c r="J81" s="2" t="s">
        <v>25</v>
      </c>
      <c r="K81" s="0" t="s">
        <v>391</v>
      </c>
      <c r="L81" s="0" t="s">
        <v>27</v>
      </c>
      <c r="M81" s="0" t="s">
        <v>392</v>
      </c>
      <c r="N81" s="0" t="s">
        <v>428</v>
      </c>
      <c r="O81" s="0" t="s">
        <v>57</v>
      </c>
      <c r="R81" s="0" t="s">
        <v>429</v>
      </c>
      <c r="S81" s="0" t="s">
        <v>430</v>
      </c>
      <c r="T81" s="0" t="s">
        <v>33</v>
      </c>
    </row>
    <row r="82" customFormat="false" ht="15" hidden="false" customHeight="false" outlineLevel="0" collapsed="false">
      <c r="A82" s="0" t="n">
        <v>81</v>
      </c>
      <c r="D82" s="0" t="s">
        <v>431</v>
      </c>
      <c r="E82" s="0" t="s">
        <v>21</v>
      </c>
      <c r="F82" s="0" t="s">
        <v>432</v>
      </c>
      <c r="H82" s="0" t="s">
        <v>23</v>
      </c>
      <c r="I82" s="2" t="s">
        <v>24</v>
      </c>
      <c r="J82" s="2" t="s">
        <v>25</v>
      </c>
      <c r="K82" s="0" t="s">
        <v>391</v>
      </c>
      <c r="L82" s="0" t="s">
        <v>27</v>
      </c>
      <c r="M82" s="0" t="s">
        <v>392</v>
      </c>
      <c r="N82" s="0" t="s">
        <v>433</v>
      </c>
      <c r="O82" s="0" t="s">
        <v>37</v>
      </c>
      <c r="R82" s="0" t="s">
        <v>434</v>
      </c>
      <c r="S82" s="0" t="s">
        <v>435</v>
      </c>
      <c r="T82" s="0" t="s">
        <v>33</v>
      </c>
    </row>
    <row r="83" customFormat="false" ht="15" hidden="false" customHeight="false" outlineLevel="0" collapsed="false">
      <c r="A83" s="0" t="n">
        <v>82</v>
      </c>
      <c r="D83" s="0" t="s">
        <v>436</v>
      </c>
      <c r="E83" s="0" t="s">
        <v>21</v>
      </c>
      <c r="F83" s="0" t="s">
        <v>437</v>
      </c>
      <c r="H83" s="0" t="s">
        <v>23</v>
      </c>
      <c r="I83" s="2" t="s">
        <v>24</v>
      </c>
      <c r="J83" s="2" t="s">
        <v>25</v>
      </c>
      <c r="K83" s="0" t="s">
        <v>391</v>
      </c>
      <c r="L83" s="0" t="s">
        <v>27</v>
      </c>
      <c r="M83" s="0" t="s">
        <v>392</v>
      </c>
      <c r="N83" s="0" t="s">
        <v>115</v>
      </c>
      <c r="O83" s="0" t="s">
        <v>30</v>
      </c>
      <c r="P83" s="0" t="s">
        <v>116</v>
      </c>
      <c r="R83" s="0" t="s">
        <v>438</v>
      </c>
      <c r="S83" s="0" t="s">
        <v>439</v>
      </c>
      <c r="T83" s="0" t="s">
        <v>33</v>
      </c>
    </row>
    <row r="84" customFormat="false" ht="15" hidden="false" customHeight="false" outlineLevel="0" collapsed="false">
      <c r="A84" s="0" t="n">
        <v>83</v>
      </c>
      <c r="D84" s="0" t="s">
        <v>440</v>
      </c>
      <c r="E84" s="0" t="s">
        <v>21</v>
      </c>
      <c r="H84" s="0" t="s">
        <v>23</v>
      </c>
      <c r="I84" s="2" t="s">
        <v>24</v>
      </c>
      <c r="J84" s="2" t="s">
        <v>25</v>
      </c>
      <c r="K84" s="0" t="s">
        <v>391</v>
      </c>
      <c r="L84" s="0" t="s">
        <v>35</v>
      </c>
      <c r="M84" s="0" t="s">
        <v>392</v>
      </c>
      <c r="N84" s="0" t="s">
        <v>441</v>
      </c>
      <c r="O84" s="0" t="s">
        <v>57</v>
      </c>
      <c r="R84" s="0" t="s">
        <v>442</v>
      </c>
      <c r="T84" s="0" t="s">
        <v>33</v>
      </c>
    </row>
    <row r="85" customFormat="false" ht="15" hidden="false" customHeight="false" outlineLevel="0" collapsed="false">
      <c r="A85" s="0" t="n">
        <v>84</v>
      </c>
      <c r="D85" s="0" t="s">
        <v>443</v>
      </c>
      <c r="E85" s="0" t="s">
        <v>21</v>
      </c>
      <c r="F85" s="0" t="s">
        <v>444</v>
      </c>
      <c r="H85" s="0" t="s">
        <v>23</v>
      </c>
      <c r="I85" s="2" t="s">
        <v>24</v>
      </c>
      <c r="J85" s="2" t="s">
        <v>25</v>
      </c>
      <c r="K85" s="0" t="s">
        <v>391</v>
      </c>
      <c r="L85" s="0" t="s">
        <v>27</v>
      </c>
      <c r="M85" s="0" t="s">
        <v>392</v>
      </c>
      <c r="N85" s="0" t="s">
        <v>115</v>
      </c>
      <c r="O85" s="0" t="s">
        <v>30</v>
      </c>
      <c r="P85" s="0" t="s">
        <v>116</v>
      </c>
      <c r="Q85" s="0" t="s">
        <v>445</v>
      </c>
      <c r="R85" s="0" t="s">
        <v>446</v>
      </c>
      <c r="S85" s="0" t="s">
        <v>447</v>
      </c>
      <c r="T85" s="0" t="s">
        <v>33</v>
      </c>
    </row>
    <row r="86" customFormat="false" ht="15" hidden="false" customHeight="false" outlineLevel="0" collapsed="false">
      <c r="A86" s="0" t="n">
        <v>85</v>
      </c>
      <c r="D86" s="0" t="s">
        <v>448</v>
      </c>
      <c r="E86" s="0" t="s">
        <v>21</v>
      </c>
      <c r="F86" s="0" t="s">
        <v>449</v>
      </c>
      <c r="H86" s="0" t="s">
        <v>23</v>
      </c>
      <c r="I86" s="2" t="s">
        <v>24</v>
      </c>
      <c r="J86" s="2" t="s">
        <v>25</v>
      </c>
      <c r="K86" s="0" t="s">
        <v>391</v>
      </c>
      <c r="L86" s="0" t="s">
        <v>450</v>
      </c>
      <c r="M86" s="0" t="s">
        <v>392</v>
      </c>
      <c r="N86" s="0" t="s">
        <v>115</v>
      </c>
      <c r="O86" s="0" t="s">
        <v>30</v>
      </c>
      <c r="P86" s="0" t="s">
        <v>116</v>
      </c>
      <c r="Q86" s="0" t="s">
        <v>451</v>
      </c>
      <c r="R86" s="0" t="s">
        <v>452</v>
      </c>
      <c r="S86" s="0" t="s">
        <v>453</v>
      </c>
      <c r="T86" s="0" t="s">
        <v>33</v>
      </c>
    </row>
    <row r="87" customFormat="false" ht="15" hidden="false" customHeight="false" outlineLevel="0" collapsed="false">
      <c r="A87" s="0" t="n">
        <v>86</v>
      </c>
      <c r="D87" s="0" t="s">
        <v>454</v>
      </c>
      <c r="E87" s="0" t="s">
        <v>21</v>
      </c>
      <c r="F87" s="0" t="s">
        <v>455</v>
      </c>
      <c r="H87" s="0" t="s">
        <v>23</v>
      </c>
      <c r="I87" s="2" t="s">
        <v>24</v>
      </c>
      <c r="J87" s="2" t="s">
        <v>25</v>
      </c>
      <c r="K87" s="0" t="s">
        <v>391</v>
      </c>
      <c r="L87" s="0" t="s">
        <v>27</v>
      </c>
      <c r="M87" s="0" t="s">
        <v>392</v>
      </c>
      <c r="N87" s="0" t="s">
        <v>456</v>
      </c>
      <c r="O87" s="0" t="s">
        <v>30</v>
      </c>
      <c r="R87" s="0" t="s">
        <v>457</v>
      </c>
      <c r="S87" s="0" t="s">
        <v>458</v>
      </c>
      <c r="T87" s="0" t="s">
        <v>33</v>
      </c>
    </row>
    <row r="88" customFormat="false" ht="15" hidden="false" customHeight="false" outlineLevel="0" collapsed="false">
      <c r="A88" s="0" t="n">
        <v>87</v>
      </c>
      <c r="D88" s="0" t="s">
        <v>459</v>
      </c>
      <c r="E88" s="0" t="s">
        <v>21</v>
      </c>
      <c r="F88" s="0" t="s">
        <v>460</v>
      </c>
      <c r="H88" s="0" t="s">
        <v>23</v>
      </c>
      <c r="I88" s="2" t="s">
        <v>24</v>
      </c>
      <c r="J88" s="2" t="s">
        <v>25</v>
      </c>
      <c r="K88" s="0" t="s">
        <v>391</v>
      </c>
      <c r="L88" s="0" t="s">
        <v>27</v>
      </c>
      <c r="M88" s="0" t="s">
        <v>392</v>
      </c>
      <c r="N88" s="0" t="s">
        <v>461</v>
      </c>
      <c r="O88" s="0" t="s">
        <v>30</v>
      </c>
      <c r="Q88" s="0" t="s">
        <v>462</v>
      </c>
      <c r="R88" s="0" t="s">
        <v>463</v>
      </c>
      <c r="T88" s="0" t="s">
        <v>33</v>
      </c>
    </row>
    <row r="89" customFormat="false" ht="15" hidden="false" customHeight="false" outlineLevel="0" collapsed="false">
      <c r="A89" s="0" t="n">
        <v>88</v>
      </c>
      <c r="D89" s="0" t="s">
        <v>464</v>
      </c>
      <c r="E89" s="0" t="s">
        <v>21</v>
      </c>
      <c r="F89" s="0" t="s">
        <v>465</v>
      </c>
      <c r="H89" s="0" t="s">
        <v>23</v>
      </c>
      <c r="I89" s="2" t="s">
        <v>24</v>
      </c>
      <c r="J89" s="2" t="s">
        <v>25</v>
      </c>
      <c r="K89" s="0" t="s">
        <v>391</v>
      </c>
      <c r="L89" s="0" t="s">
        <v>466</v>
      </c>
      <c r="M89" s="0" t="s">
        <v>392</v>
      </c>
      <c r="N89" s="0" t="s">
        <v>467</v>
      </c>
      <c r="O89" s="0" t="s">
        <v>37</v>
      </c>
      <c r="Q89" s="0" t="s">
        <v>468</v>
      </c>
      <c r="R89" s="0" t="s">
        <v>469</v>
      </c>
      <c r="S89" s="0" t="s">
        <v>470</v>
      </c>
      <c r="T89" s="0" t="s">
        <v>33</v>
      </c>
    </row>
    <row r="90" customFormat="false" ht="15" hidden="false" customHeight="false" outlineLevel="0" collapsed="false">
      <c r="A90" s="0" t="n">
        <v>89</v>
      </c>
      <c r="D90" s="0" t="s">
        <v>471</v>
      </c>
      <c r="E90" s="0" t="s">
        <v>21</v>
      </c>
      <c r="F90" s="0" t="s">
        <v>472</v>
      </c>
      <c r="H90" s="0" t="s">
        <v>23</v>
      </c>
      <c r="I90" s="2" t="s">
        <v>24</v>
      </c>
      <c r="J90" s="2" t="s">
        <v>25</v>
      </c>
      <c r="K90" s="0" t="s">
        <v>391</v>
      </c>
      <c r="L90" s="0" t="s">
        <v>27</v>
      </c>
      <c r="M90" s="0" t="s">
        <v>392</v>
      </c>
      <c r="N90" s="0" t="s">
        <v>473</v>
      </c>
      <c r="O90" s="0" t="s">
        <v>37</v>
      </c>
      <c r="R90" s="0" t="s">
        <v>474</v>
      </c>
      <c r="S90" s="0" t="s">
        <v>475</v>
      </c>
      <c r="T90" s="0" t="s">
        <v>33</v>
      </c>
    </row>
    <row r="91" customFormat="false" ht="15" hidden="false" customHeight="false" outlineLevel="0" collapsed="false">
      <c r="A91" s="0" t="n">
        <v>90</v>
      </c>
      <c r="D91" s="0" t="s">
        <v>476</v>
      </c>
      <c r="E91" s="0" t="s">
        <v>21</v>
      </c>
      <c r="F91" s="0" t="s">
        <v>477</v>
      </c>
      <c r="H91" s="0" t="s">
        <v>23</v>
      </c>
      <c r="I91" s="2" t="s">
        <v>24</v>
      </c>
      <c r="J91" s="2" t="s">
        <v>25</v>
      </c>
      <c r="K91" s="0" t="s">
        <v>391</v>
      </c>
      <c r="L91" s="0" t="s">
        <v>478</v>
      </c>
      <c r="M91" s="0" t="s">
        <v>392</v>
      </c>
      <c r="N91" s="0" t="s">
        <v>479</v>
      </c>
      <c r="O91" s="0" t="s">
        <v>57</v>
      </c>
      <c r="R91" s="0" t="s">
        <v>480</v>
      </c>
      <c r="S91" s="0" t="s">
        <v>481</v>
      </c>
      <c r="T91" s="0" t="s">
        <v>482</v>
      </c>
    </row>
    <row r="92" customFormat="false" ht="15" hidden="false" customHeight="false" outlineLevel="0" collapsed="false">
      <c r="A92" s="0" t="n">
        <v>91</v>
      </c>
      <c r="D92" s="0" t="s">
        <v>483</v>
      </c>
      <c r="E92" s="0" t="s">
        <v>484</v>
      </c>
      <c r="F92" s="0" t="s">
        <v>485</v>
      </c>
      <c r="H92" s="0" t="s">
        <v>23</v>
      </c>
      <c r="I92" s="2" t="s">
        <v>24</v>
      </c>
      <c r="J92" s="2" t="s">
        <v>25</v>
      </c>
      <c r="K92" s="0" t="s">
        <v>391</v>
      </c>
      <c r="L92" s="0" t="s">
        <v>486</v>
      </c>
      <c r="M92" s="0" t="s">
        <v>392</v>
      </c>
      <c r="N92" s="0" t="s">
        <v>487</v>
      </c>
      <c r="O92" s="0" t="s">
        <v>37</v>
      </c>
      <c r="P92" s="0" t="s">
        <v>488</v>
      </c>
      <c r="Q92" s="0" t="s">
        <v>489</v>
      </c>
      <c r="R92" s="0" t="s">
        <v>490</v>
      </c>
      <c r="S92" s="0" t="s">
        <v>491</v>
      </c>
      <c r="T92" s="0" t="s">
        <v>492</v>
      </c>
    </row>
    <row r="93" customFormat="false" ht="15" hidden="false" customHeight="false" outlineLevel="0" collapsed="false">
      <c r="A93" s="0" t="n">
        <v>92</v>
      </c>
      <c r="D93" s="0" t="s">
        <v>493</v>
      </c>
      <c r="E93" s="0" t="s">
        <v>21</v>
      </c>
      <c r="F93" s="0" t="s">
        <v>494</v>
      </c>
      <c r="H93" s="0" t="s">
        <v>23</v>
      </c>
      <c r="I93" s="2" t="s">
        <v>24</v>
      </c>
      <c r="J93" s="2" t="s">
        <v>25</v>
      </c>
      <c r="K93" s="0" t="s">
        <v>391</v>
      </c>
      <c r="L93" s="0" t="s">
        <v>27</v>
      </c>
      <c r="M93" s="0" t="s">
        <v>392</v>
      </c>
      <c r="N93" s="0" t="s">
        <v>249</v>
      </c>
      <c r="O93" s="0" t="s">
        <v>37</v>
      </c>
      <c r="P93" s="0" t="s">
        <v>250</v>
      </c>
      <c r="R93" s="0" t="s">
        <v>495</v>
      </c>
      <c r="S93" s="0" t="s">
        <v>496</v>
      </c>
      <c r="T93" s="0" t="s">
        <v>33</v>
      </c>
    </row>
    <row r="94" customFormat="false" ht="15" hidden="false" customHeight="false" outlineLevel="0" collapsed="false">
      <c r="A94" s="0" t="n">
        <v>93</v>
      </c>
      <c r="D94" s="0" t="s">
        <v>497</v>
      </c>
      <c r="E94" s="0" t="s">
        <v>21</v>
      </c>
      <c r="F94" s="0" t="s">
        <v>498</v>
      </c>
      <c r="H94" s="0" t="s">
        <v>23</v>
      </c>
      <c r="I94" s="2" t="s">
        <v>24</v>
      </c>
      <c r="J94" s="2" t="s">
        <v>25</v>
      </c>
      <c r="K94" s="0" t="s">
        <v>391</v>
      </c>
      <c r="L94" s="0" t="s">
        <v>499</v>
      </c>
      <c r="M94" s="0" t="s">
        <v>392</v>
      </c>
      <c r="N94" s="0" t="s">
        <v>115</v>
      </c>
      <c r="O94" s="0" t="s">
        <v>30</v>
      </c>
      <c r="P94" s="0" t="s">
        <v>116</v>
      </c>
      <c r="Q94" s="0" t="s">
        <v>500</v>
      </c>
      <c r="R94" s="0" t="s">
        <v>501</v>
      </c>
      <c r="S94" s="0" t="s">
        <v>502</v>
      </c>
      <c r="T94" s="0" t="s">
        <v>33</v>
      </c>
    </row>
    <row r="95" customFormat="false" ht="15" hidden="false" customHeight="false" outlineLevel="0" collapsed="false">
      <c r="A95" s="0" t="n">
        <v>94</v>
      </c>
      <c r="D95" s="0" t="s">
        <v>503</v>
      </c>
      <c r="E95" s="0" t="s">
        <v>21</v>
      </c>
      <c r="H95" s="0" t="s">
        <v>23</v>
      </c>
      <c r="I95" s="2" t="s">
        <v>24</v>
      </c>
      <c r="J95" s="2" t="s">
        <v>25</v>
      </c>
      <c r="K95" s="0" t="s">
        <v>391</v>
      </c>
      <c r="L95" s="0" t="s">
        <v>35</v>
      </c>
      <c r="M95" s="0" t="s">
        <v>392</v>
      </c>
      <c r="N95" s="0" t="s">
        <v>504</v>
      </c>
      <c r="O95" s="0" t="s">
        <v>57</v>
      </c>
      <c r="R95" s="0" t="s">
        <v>505</v>
      </c>
      <c r="T95" s="0" t="s">
        <v>33</v>
      </c>
    </row>
    <row r="96" customFormat="false" ht="15" hidden="false" customHeight="false" outlineLevel="0" collapsed="false">
      <c r="A96" s="0" t="n">
        <v>95</v>
      </c>
      <c r="D96" s="0" t="s">
        <v>506</v>
      </c>
      <c r="E96" s="0" t="s">
        <v>21</v>
      </c>
      <c r="F96" s="0" t="s">
        <v>507</v>
      </c>
      <c r="H96" s="0" t="s">
        <v>23</v>
      </c>
      <c r="I96" s="2" t="s">
        <v>24</v>
      </c>
      <c r="J96" s="2" t="s">
        <v>25</v>
      </c>
      <c r="K96" s="0" t="s">
        <v>391</v>
      </c>
      <c r="L96" s="0" t="s">
        <v>508</v>
      </c>
      <c r="M96" s="0" t="s">
        <v>392</v>
      </c>
      <c r="N96" s="0" t="s">
        <v>509</v>
      </c>
      <c r="O96" s="0" t="s">
        <v>37</v>
      </c>
      <c r="P96" s="0" t="s">
        <v>510</v>
      </c>
      <c r="Q96" s="0" t="s">
        <v>511</v>
      </c>
      <c r="R96" s="0" t="s">
        <v>512</v>
      </c>
      <c r="S96" s="0" t="s">
        <v>513</v>
      </c>
      <c r="T96" s="0" t="s">
        <v>514</v>
      </c>
    </row>
    <row r="97" customFormat="false" ht="15" hidden="false" customHeight="false" outlineLevel="0" collapsed="false">
      <c r="A97" s="0" t="n">
        <v>96</v>
      </c>
      <c r="D97" s="0" t="s">
        <v>515</v>
      </c>
      <c r="E97" s="0" t="s">
        <v>21</v>
      </c>
      <c r="F97" s="0" t="s">
        <v>516</v>
      </c>
      <c r="H97" s="0" t="s">
        <v>23</v>
      </c>
      <c r="I97" s="2" t="s">
        <v>24</v>
      </c>
      <c r="J97" s="2" t="s">
        <v>25</v>
      </c>
      <c r="K97" s="0" t="s">
        <v>391</v>
      </c>
      <c r="L97" s="0" t="s">
        <v>27</v>
      </c>
      <c r="M97" s="0" t="s">
        <v>392</v>
      </c>
      <c r="N97" s="0" t="s">
        <v>249</v>
      </c>
      <c r="O97" s="0" t="s">
        <v>37</v>
      </c>
      <c r="P97" s="0" t="s">
        <v>250</v>
      </c>
      <c r="Q97" s="0" t="s">
        <v>517</v>
      </c>
      <c r="R97" s="0" t="s">
        <v>518</v>
      </c>
      <c r="S97" s="0" t="s">
        <v>519</v>
      </c>
      <c r="T97" s="0" t="s">
        <v>33</v>
      </c>
    </row>
    <row r="98" customFormat="false" ht="15" hidden="false" customHeight="false" outlineLevel="0" collapsed="false">
      <c r="A98" s="0" t="n">
        <v>97</v>
      </c>
      <c r="D98" s="0" t="s">
        <v>520</v>
      </c>
      <c r="E98" s="0" t="s">
        <v>21</v>
      </c>
      <c r="H98" s="0" t="s">
        <v>23</v>
      </c>
      <c r="I98" s="2" t="s">
        <v>24</v>
      </c>
      <c r="J98" s="2" t="s">
        <v>25</v>
      </c>
      <c r="K98" s="0" t="s">
        <v>521</v>
      </c>
      <c r="L98" s="0" t="s">
        <v>35</v>
      </c>
      <c r="M98" s="0" t="s">
        <v>522</v>
      </c>
      <c r="N98" s="0" t="s">
        <v>115</v>
      </c>
      <c r="O98" s="0" t="s">
        <v>30</v>
      </c>
      <c r="P98" s="0" t="s">
        <v>116</v>
      </c>
      <c r="Q98" s="0" t="s">
        <v>523</v>
      </c>
      <c r="R98" s="0" t="s">
        <v>524</v>
      </c>
      <c r="T98" s="0" t="s">
        <v>33</v>
      </c>
    </row>
    <row r="99" customFormat="false" ht="15" hidden="false" customHeight="false" outlineLevel="0" collapsed="false">
      <c r="A99" s="0" t="n">
        <v>98</v>
      </c>
      <c r="D99" s="0" t="s">
        <v>525</v>
      </c>
      <c r="E99" s="0" t="s">
        <v>484</v>
      </c>
      <c r="F99" s="0" t="s">
        <v>526</v>
      </c>
      <c r="H99" s="0" t="s">
        <v>23</v>
      </c>
      <c r="I99" s="2" t="s">
        <v>24</v>
      </c>
      <c r="J99" s="2" t="s">
        <v>25</v>
      </c>
      <c r="K99" s="0" t="s">
        <v>521</v>
      </c>
      <c r="L99" s="0" t="s">
        <v>527</v>
      </c>
      <c r="M99" s="0" t="s">
        <v>522</v>
      </c>
      <c r="N99" s="0" t="s">
        <v>487</v>
      </c>
      <c r="O99" s="0" t="s">
        <v>37</v>
      </c>
      <c r="P99" s="0" t="s">
        <v>488</v>
      </c>
      <c r="Q99" s="0" t="s">
        <v>528</v>
      </c>
      <c r="R99" s="0" t="s">
        <v>529</v>
      </c>
      <c r="S99" s="0" t="s">
        <v>530</v>
      </c>
      <c r="T99" s="0" t="s">
        <v>531</v>
      </c>
    </row>
    <row r="100" customFormat="false" ht="15" hidden="false" customHeight="false" outlineLevel="0" collapsed="false">
      <c r="A100" s="0" t="n">
        <v>99</v>
      </c>
      <c r="D100" s="0" t="s">
        <v>532</v>
      </c>
      <c r="E100" s="0" t="s">
        <v>21</v>
      </c>
      <c r="F100" s="0" t="s">
        <v>533</v>
      </c>
      <c r="H100" s="0" t="s">
        <v>23</v>
      </c>
      <c r="I100" s="2" t="s">
        <v>24</v>
      </c>
      <c r="J100" s="2" t="s">
        <v>25</v>
      </c>
      <c r="K100" s="0" t="s">
        <v>521</v>
      </c>
      <c r="L100" s="0" t="s">
        <v>27</v>
      </c>
      <c r="M100" s="0" t="s">
        <v>522</v>
      </c>
      <c r="N100" s="0" t="s">
        <v>534</v>
      </c>
      <c r="O100" s="0" t="s">
        <v>37</v>
      </c>
      <c r="R100" s="0" t="s">
        <v>535</v>
      </c>
      <c r="S100" s="0" t="s">
        <v>536</v>
      </c>
      <c r="T100" s="0" t="s">
        <v>33</v>
      </c>
    </row>
    <row r="101" customFormat="false" ht="15" hidden="false" customHeight="false" outlineLevel="0" collapsed="false">
      <c r="A101" s="0" t="n">
        <v>100</v>
      </c>
      <c r="D101" s="0" t="s">
        <v>537</v>
      </c>
      <c r="E101" s="0" t="s">
        <v>21</v>
      </c>
      <c r="F101" s="0" t="s">
        <v>538</v>
      </c>
      <c r="H101" s="0" t="s">
        <v>23</v>
      </c>
      <c r="I101" s="2" t="s">
        <v>24</v>
      </c>
      <c r="J101" s="2" t="s">
        <v>25</v>
      </c>
      <c r="K101" s="0" t="s">
        <v>521</v>
      </c>
      <c r="L101" s="0" t="s">
        <v>27</v>
      </c>
      <c r="M101" s="0" t="s">
        <v>522</v>
      </c>
      <c r="N101" s="0" t="s">
        <v>539</v>
      </c>
      <c r="O101" s="0" t="s">
        <v>30</v>
      </c>
      <c r="Q101" s="0" t="s">
        <v>540</v>
      </c>
      <c r="R101" s="0" t="s">
        <v>541</v>
      </c>
      <c r="S101" s="0" t="s">
        <v>542</v>
      </c>
      <c r="T101" s="0" t="s">
        <v>33</v>
      </c>
    </row>
    <row r="102" customFormat="false" ht="15" hidden="false" customHeight="false" outlineLevel="0" collapsed="false">
      <c r="A102" s="0" t="n">
        <v>101</v>
      </c>
      <c r="D102" s="0" t="s">
        <v>543</v>
      </c>
      <c r="E102" s="0" t="s">
        <v>21</v>
      </c>
      <c r="F102" s="0" t="s">
        <v>544</v>
      </c>
      <c r="H102" s="0" t="s">
        <v>23</v>
      </c>
      <c r="I102" s="2" t="s">
        <v>24</v>
      </c>
      <c r="J102" s="2" t="s">
        <v>25</v>
      </c>
      <c r="K102" s="0" t="s">
        <v>521</v>
      </c>
      <c r="L102" s="0" t="s">
        <v>27</v>
      </c>
      <c r="M102" s="0" t="s">
        <v>522</v>
      </c>
      <c r="N102" s="0" t="s">
        <v>545</v>
      </c>
      <c r="O102" s="0" t="s">
        <v>30</v>
      </c>
      <c r="P102" s="0" t="s">
        <v>546</v>
      </c>
      <c r="R102" s="0" t="s">
        <v>547</v>
      </c>
      <c r="S102" s="0" t="s">
        <v>548</v>
      </c>
      <c r="T102" s="0" t="s">
        <v>33</v>
      </c>
    </row>
    <row r="103" customFormat="false" ht="15" hidden="false" customHeight="false" outlineLevel="0" collapsed="false">
      <c r="A103" s="0" t="n">
        <v>102</v>
      </c>
      <c r="D103" s="0" t="s">
        <v>549</v>
      </c>
      <c r="E103" s="0" t="s">
        <v>21</v>
      </c>
      <c r="F103" s="0" t="s">
        <v>550</v>
      </c>
      <c r="H103" s="0" t="s">
        <v>23</v>
      </c>
      <c r="I103" s="2" t="s">
        <v>24</v>
      </c>
      <c r="J103" s="2" t="s">
        <v>25</v>
      </c>
      <c r="K103" s="0" t="s">
        <v>521</v>
      </c>
      <c r="L103" s="0" t="s">
        <v>27</v>
      </c>
      <c r="M103" s="0" t="s">
        <v>522</v>
      </c>
      <c r="N103" s="0" t="s">
        <v>186</v>
      </c>
      <c r="O103" s="0" t="s">
        <v>37</v>
      </c>
      <c r="P103" s="0" t="s">
        <v>187</v>
      </c>
      <c r="Q103" s="0" t="s">
        <v>551</v>
      </c>
      <c r="R103" s="0" t="s">
        <v>552</v>
      </c>
      <c r="S103" s="0" t="s">
        <v>553</v>
      </c>
      <c r="T103" s="0" t="s">
        <v>33</v>
      </c>
    </row>
    <row r="104" customFormat="false" ht="15" hidden="false" customHeight="false" outlineLevel="0" collapsed="false">
      <c r="A104" s="0" t="n">
        <v>103</v>
      </c>
      <c r="D104" s="0" t="s">
        <v>554</v>
      </c>
      <c r="E104" s="0" t="s">
        <v>21</v>
      </c>
      <c r="F104" s="0" t="s">
        <v>555</v>
      </c>
      <c r="H104" s="0" t="s">
        <v>23</v>
      </c>
      <c r="I104" s="2" t="s">
        <v>24</v>
      </c>
      <c r="J104" s="2" t="s">
        <v>25</v>
      </c>
      <c r="K104" s="0" t="s">
        <v>521</v>
      </c>
      <c r="L104" s="0" t="s">
        <v>27</v>
      </c>
      <c r="M104" s="0" t="s">
        <v>522</v>
      </c>
      <c r="N104" s="0" t="s">
        <v>249</v>
      </c>
      <c r="O104" s="0" t="s">
        <v>37</v>
      </c>
      <c r="P104" s="0" t="s">
        <v>250</v>
      </c>
      <c r="Q104" s="0" t="s">
        <v>556</v>
      </c>
      <c r="R104" s="0" t="s">
        <v>557</v>
      </c>
      <c r="S104" s="0" t="s">
        <v>558</v>
      </c>
      <c r="T104" s="0" t="s">
        <v>33</v>
      </c>
    </row>
    <row r="105" customFormat="false" ht="15" hidden="false" customHeight="false" outlineLevel="0" collapsed="false">
      <c r="A105" s="0" t="n">
        <v>104</v>
      </c>
      <c r="D105" s="0" t="s">
        <v>559</v>
      </c>
      <c r="E105" s="0" t="s">
        <v>21</v>
      </c>
      <c r="H105" s="0" t="s">
        <v>23</v>
      </c>
      <c r="I105" s="2" t="s">
        <v>24</v>
      </c>
      <c r="J105" s="2" t="s">
        <v>25</v>
      </c>
      <c r="K105" s="0" t="s">
        <v>521</v>
      </c>
      <c r="L105" s="0" t="s">
        <v>560</v>
      </c>
      <c r="M105" s="0" t="s">
        <v>522</v>
      </c>
      <c r="N105" s="0" t="s">
        <v>561</v>
      </c>
      <c r="O105" s="0" t="s">
        <v>57</v>
      </c>
      <c r="P105" s="0" t="s">
        <v>562</v>
      </c>
      <c r="Q105" s="0" t="s">
        <v>563</v>
      </c>
      <c r="T105" s="0" t="s">
        <v>564</v>
      </c>
    </row>
    <row r="106" customFormat="false" ht="15" hidden="false" customHeight="false" outlineLevel="0" collapsed="false">
      <c r="A106" s="0" t="n">
        <v>105</v>
      </c>
      <c r="D106" s="0" t="s">
        <v>565</v>
      </c>
      <c r="E106" s="0" t="s">
        <v>21</v>
      </c>
      <c r="F106" s="0" t="s">
        <v>566</v>
      </c>
      <c r="H106" s="0" t="s">
        <v>23</v>
      </c>
      <c r="I106" s="2" t="s">
        <v>24</v>
      </c>
      <c r="J106" s="2" t="s">
        <v>25</v>
      </c>
      <c r="K106" s="0" t="s">
        <v>521</v>
      </c>
      <c r="L106" s="0" t="s">
        <v>27</v>
      </c>
      <c r="M106" s="0" t="s">
        <v>522</v>
      </c>
      <c r="N106" s="0" t="s">
        <v>567</v>
      </c>
      <c r="O106" s="0" t="s">
        <v>30</v>
      </c>
      <c r="Q106" s="0" t="s">
        <v>568</v>
      </c>
      <c r="R106" s="0" t="s">
        <v>569</v>
      </c>
      <c r="S106" s="0" t="s">
        <v>570</v>
      </c>
      <c r="T106" s="0" t="s">
        <v>33</v>
      </c>
    </row>
    <row r="107" customFormat="false" ht="15" hidden="false" customHeight="false" outlineLevel="0" collapsed="false">
      <c r="A107" s="0" t="n">
        <v>106</v>
      </c>
      <c r="D107" s="0" t="s">
        <v>571</v>
      </c>
      <c r="E107" s="0" t="s">
        <v>21</v>
      </c>
      <c r="F107" s="0" t="s">
        <v>572</v>
      </c>
      <c r="H107" s="0" t="s">
        <v>23</v>
      </c>
      <c r="I107" s="2" t="s">
        <v>24</v>
      </c>
      <c r="J107" s="2" t="s">
        <v>25</v>
      </c>
      <c r="K107" s="0" t="s">
        <v>521</v>
      </c>
      <c r="L107" s="0" t="s">
        <v>573</v>
      </c>
      <c r="M107" s="0" t="s">
        <v>522</v>
      </c>
      <c r="N107" s="0" t="s">
        <v>487</v>
      </c>
      <c r="O107" s="0" t="s">
        <v>37</v>
      </c>
      <c r="P107" s="0" t="s">
        <v>488</v>
      </c>
      <c r="Q107" s="0" t="s">
        <v>574</v>
      </c>
      <c r="R107" s="0" t="s">
        <v>575</v>
      </c>
      <c r="S107" s="0" t="s">
        <v>576</v>
      </c>
      <c r="T107" s="0" t="s">
        <v>577</v>
      </c>
    </row>
    <row r="108" customFormat="false" ht="15" hidden="false" customHeight="false" outlineLevel="0" collapsed="false">
      <c r="A108" s="0" t="n">
        <v>107</v>
      </c>
      <c r="D108" s="0" t="s">
        <v>578</v>
      </c>
      <c r="E108" s="0" t="s">
        <v>21</v>
      </c>
      <c r="F108" s="0" t="s">
        <v>579</v>
      </c>
      <c r="H108" s="0" t="s">
        <v>23</v>
      </c>
      <c r="I108" s="2" t="s">
        <v>24</v>
      </c>
      <c r="J108" s="2" t="s">
        <v>25</v>
      </c>
      <c r="K108" s="0" t="s">
        <v>521</v>
      </c>
      <c r="L108" s="0" t="s">
        <v>27</v>
      </c>
      <c r="M108" s="0" t="s">
        <v>522</v>
      </c>
      <c r="N108" s="0" t="s">
        <v>580</v>
      </c>
      <c r="O108" s="0" t="s">
        <v>37</v>
      </c>
      <c r="Q108" s="0" t="s">
        <v>581</v>
      </c>
      <c r="R108" s="0" t="s">
        <v>582</v>
      </c>
      <c r="S108" s="0" t="s">
        <v>583</v>
      </c>
      <c r="T108" s="0" t="s">
        <v>33</v>
      </c>
    </row>
    <row r="109" customFormat="false" ht="15" hidden="false" customHeight="false" outlineLevel="0" collapsed="false">
      <c r="A109" s="0" t="n">
        <v>108</v>
      </c>
      <c r="D109" s="0" t="s">
        <v>584</v>
      </c>
      <c r="E109" s="0" t="s">
        <v>21</v>
      </c>
      <c r="F109" s="0" t="s">
        <v>585</v>
      </c>
      <c r="H109" s="0" t="s">
        <v>23</v>
      </c>
      <c r="I109" s="2" t="s">
        <v>24</v>
      </c>
      <c r="J109" s="2" t="s">
        <v>25</v>
      </c>
      <c r="K109" s="0" t="s">
        <v>521</v>
      </c>
      <c r="L109" s="0" t="s">
        <v>27</v>
      </c>
      <c r="M109" s="0" t="s">
        <v>522</v>
      </c>
      <c r="N109" s="0" t="s">
        <v>586</v>
      </c>
      <c r="O109" s="0" t="s">
        <v>37</v>
      </c>
      <c r="Q109" s="0" t="s">
        <v>587</v>
      </c>
      <c r="R109" s="0" t="s">
        <v>588</v>
      </c>
      <c r="S109" s="0" t="s">
        <v>589</v>
      </c>
      <c r="T109" s="0" t="s">
        <v>33</v>
      </c>
    </row>
    <row r="110" customFormat="false" ht="15" hidden="false" customHeight="false" outlineLevel="0" collapsed="false">
      <c r="A110" s="0" t="n">
        <v>109</v>
      </c>
      <c r="D110" s="0" t="s">
        <v>590</v>
      </c>
      <c r="E110" s="0" t="s">
        <v>21</v>
      </c>
      <c r="F110" s="0" t="s">
        <v>591</v>
      </c>
      <c r="H110" s="0" t="s">
        <v>23</v>
      </c>
      <c r="I110" s="2" t="s">
        <v>24</v>
      </c>
      <c r="J110" s="2" t="s">
        <v>592</v>
      </c>
      <c r="K110" s="0" t="s">
        <v>593</v>
      </c>
      <c r="L110" s="0" t="s">
        <v>27</v>
      </c>
      <c r="M110" s="0" t="s">
        <v>594</v>
      </c>
      <c r="N110" s="0" t="s">
        <v>595</v>
      </c>
      <c r="O110" s="0" t="s">
        <v>37</v>
      </c>
      <c r="R110" s="0" t="s">
        <v>596</v>
      </c>
      <c r="S110" s="0" t="s">
        <v>597</v>
      </c>
      <c r="T110" s="0" t="s">
        <v>33</v>
      </c>
    </row>
    <row r="111" customFormat="false" ht="15" hidden="false" customHeight="false" outlineLevel="0" collapsed="false">
      <c r="A111" s="0" t="n">
        <v>110</v>
      </c>
      <c r="D111" s="0" t="s">
        <v>598</v>
      </c>
      <c r="E111" s="0" t="s">
        <v>21</v>
      </c>
      <c r="F111" s="0" t="s">
        <v>599</v>
      </c>
      <c r="H111" s="0" t="s">
        <v>23</v>
      </c>
      <c r="I111" s="2" t="s">
        <v>24</v>
      </c>
      <c r="J111" s="2" t="s">
        <v>592</v>
      </c>
      <c r="K111" s="0" t="s">
        <v>593</v>
      </c>
      <c r="L111" s="0" t="s">
        <v>27</v>
      </c>
      <c r="M111" s="0" t="s">
        <v>594</v>
      </c>
      <c r="N111" s="0" t="s">
        <v>600</v>
      </c>
      <c r="O111" s="0" t="s">
        <v>30</v>
      </c>
      <c r="P111" s="0" t="s">
        <v>601</v>
      </c>
      <c r="R111" s="0" t="s">
        <v>602</v>
      </c>
      <c r="S111" s="0" t="s">
        <v>603</v>
      </c>
      <c r="T111" s="0" t="s">
        <v>33</v>
      </c>
    </row>
    <row r="112" customFormat="false" ht="15" hidden="false" customHeight="false" outlineLevel="0" collapsed="false">
      <c r="A112" s="0" t="n">
        <v>111</v>
      </c>
      <c r="D112" s="0" t="s">
        <v>604</v>
      </c>
      <c r="E112" s="0" t="s">
        <v>21</v>
      </c>
      <c r="F112" s="0" t="s">
        <v>605</v>
      </c>
      <c r="H112" s="0" t="s">
        <v>23</v>
      </c>
      <c r="I112" s="2" t="s">
        <v>24</v>
      </c>
      <c r="J112" s="2" t="s">
        <v>592</v>
      </c>
      <c r="K112" s="0" t="s">
        <v>593</v>
      </c>
      <c r="L112" s="0" t="s">
        <v>27</v>
      </c>
      <c r="M112" s="0" t="s">
        <v>594</v>
      </c>
      <c r="N112" s="0" t="s">
        <v>606</v>
      </c>
      <c r="O112" s="0" t="s">
        <v>37</v>
      </c>
      <c r="R112" s="0" t="s">
        <v>607</v>
      </c>
      <c r="S112" s="0" t="s">
        <v>608</v>
      </c>
      <c r="T112" s="0" t="s">
        <v>33</v>
      </c>
    </row>
    <row r="113" customFormat="false" ht="15" hidden="false" customHeight="false" outlineLevel="0" collapsed="false">
      <c r="A113" s="0" t="n">
        <v>112</v>
      </c>
      <c r="D113" s="0" t="s">
        <v>609</v>
      </c>
      <c r="E113" s="0" t="s">
        <v>21</v>
      </c>
      <c r="F113" s="0" t="s">
        <v>610</v>
      </c>
      <c r="H113" s="0" t="s">
        <v>23</v>
      </c>
      <c r="I113" s="2" t="s">
        <v>24</v>
      </c>
      <c r="J113" s="2" t="s">
        <v>592</v>
      </c>
      <c r="K113" s="0" t="s">
        <v>593</v>
      </c>
      <c r="L113" s="0" t="s">
        <v>27</v>
      </c>
      <c r="M113" s="0" t="s">
        <v>594</v>
      </c>
      <c r="N113" s="0" t="s">
        <v>611</v>
      </c>
      <c r="O113" s="0" t="s">
        <v>37</v>
      </c>
      <c r="R113" s="0" t="s">
        <v>612</v>
      </c>
      <c r="S113" s="0" t="s">
        <v>613</v>
      </c>
      <c r="T113" s="0" t="s">
        <v>33</v>
      </c>
    </row>
    <row r="114" customFormat="false" ht="15" hidden="false" customHeight="false" outlineLevel="0" collapsed="false">
      <c r="A114" s="0" t="n">
        <v>113</v>
      </c>
      <c r="D114" s="0" t="s">
        <v>614</v>
      </c>
      <c r="E114" s="0" t="s">
        <v>21</v>
      </c>
      <c r="F114" s="0" t="s">
        <v>615</v>
      </c>
      <c r="H114" s="0" t="s">
        <v>23</v>
      </c>
      <c r="I114" s="2" t="s">
        <v>24</v>
      </c>
      <c r="J114" s="2" t="s">
        <v>592</v>
      </c>
      <c r="K114" s="0" t="s">
        <v>593</v>
      </c>
      <c r="L114" s="0" t="s">
        <v>27</v>
      </c>
      <c r="M114" s="0" t="s">
        <v>594</v>
      </c>
      <c r="N114" s="0" t="s">
        <v>616</v>
      </c>
      <c r="O114" s="0" t="s">
        <v>57</v>
      </c>
      <c r="Q114" s="0" t="s">
        <v>617</v>
      </c>
      <c r="R114" s="0" t="s">
        <v>618</v>
      </c>
      <c r="S114" s="0" t="s">
        <v>619</v>
      </c>
      <c r="T114" s="0" t="s">
        <v>33</v>
      </c>
    </row>
    <row r="115" customFormat="false" ht="15" hidden="false" customHeight="false" outlineLevel="0" collapsed="false">
      <c r="A115" s="0" t="n">
        <v>114</v>
      </c>
      <c r="D115" s="0" t="s">
        <v>620</v>
      </c>
      <c r="E115" s="0" t="s">
        <v>21</v>
      </c>
      <c r="H115" s="0" t="s">
        <v>23</v>
      </c>
      <c r="I115" s="2" t="s">
        <v>24</v>
      </c>
      <c r="J115" s="2" t="s">
        <v>592</v>
      </c>
      <c r="K115" s="0" t="s">
        <v>593</v>
      </c>
      <c r="L115" s="0" t="s">
        <v>35</v>
      </c>
      <c r="M115" s="0" t="s">
        <v>594</v>
      </c>
      <c r="N115" s="0" t="s">
        <v>621</v>
      </c>
      <c r="O115" s="0" t="s">
        <v>37</v>
      </c>
      <c r="R115" s="0" t="s">
        <v>622</v>
      </c>
      <c r="T115" s="0" t="s">
        <v>33</v>
      </c>
    </row>
    <row r="116" customFormat="false" ht="15" hidden="false" customHeight="false" outlineLevel="0" collapsed="false">
      <c r="A116" s="0" t="n">
        <v>115</v>
      </c>
      <c r="D116" s="0" t="s">
        <v>623</v>
      </c>
      <c r="E116" s="0" t="s">
        <v>21</v>
      </c>
      <c r="F116" s="0" t="s">
        <v>624</v>
      </c>
      <c r="H116" s="0" t="s">
        <v>23</v>
      </c>
      <c r="I116" s="2" t="s">
        <v>24</v>
      </c>
      <c r="J116" s="2" t="s">
        <v>592</v>
      </c>
      <c r="K116" s="0" t="s">
        <v>593</v>
      </c>
      <c r="L116" s="0" t="s">
        <v>27</v>
      </c>
      <c r="M116" s="0" t="s">
        <v>594</v>
      </c>
      <c r="N116" s="0" t="s">
        <v>115</v>
      </c>
      <c r="O116" s="0" t="s">
        <v>30</v>
      </c>
      <c r="P116" s="0" t="s">
        <v>116</v>
      </c>
      <c r="Q116" s="0" t="s">
        <v>625</v>
      </c>
      <c r="R116" s="0" t="s">
        <v>626</v>
      </c>
      <c r="S116" s="0" t="s">
        <v>627</v>
      </c>
      <c r="T116" s="0" t="s">
        <v>33</v>
      </c>
    </row>
    <row r="117" customFormat="false" ht="15" hidden="false" customHeight="false" outlineLevel="0" collapsed="false">
      <c r="A117" s="0" t="n">
        <v>116</v>
      </c>
      <c r="D117" s="0" t="s">
        <v>628</v>
      </c>
      <c r="E117" s="0" t="s">
        <v>21</v>
      </c>
      <c r="H117" s="0" t="s">
        <v>23</v>
      </c>
      <c r="I117" s="2" t="s">
        <v>24</v>
      </c>
      <c r="J117" s="2" t="s">
        <v>592</v>
      </c>
      <c r="K117" s="0" t="s">
        <v>593</v>
      </c>
      <c r="L117" s="0" t="s">
        <v>35</v>
      </c>
      <c r="M117" s="0" t="s">
        <v>594</v>
      </c>
      <c r="N117" s="0" t="s">
        <v>629</v>
      </c>
      <c r="O117" s="0" t="s">
        <v>57</v>
      </c>
      <c r="Q117" s="0" t="s">
        <v>630</v>
      </c>
      <c r="R117" s="0" t="s">
        <v>631</v>
      </c>
      <c r="T117" s="0" t="s">
        <v>33</v>
      </c>
    </row>
    <row r="118" customFormat="false" ht="15" hidden="false" customHeight="false" outlineLevel="0" collapsed="false">
      <c r="A118" s="0" t="n">
        <v>117</v>
      </c>
      <c r="D118" s="0" t="s">
        <v>632</v>
      </c>
      <c r="E118" s="0" t="s">
        <v>21</v>
      </c>
      <c r="F118" s="0" t="s">
        <v>633</v>
      </c>
      <c r="H118" s="0" t="s">
        <v>23</v>
      </c>
      <c r="I118" s="2" t="s">
        <v>24</v>
      </c>
      <c r="J118" s="2" t="s">
        <v>592</v>
      </c>
      <c r="K118" s="0" t="s">
        <v>593</v>
      </c>
      <c r="L118" s="0" t="s">
        <v>634</v>
      </c>
      <c r="M118" s="0" t="s">
        <v>594</v>
      </c>
      <c r="N118" s="0" t="s">
        <v>635</v>
      </c>
      <c r="O118" s="0" t="s">
        <v>30</v>
      </c>
      <c r="Q118" s="0" t="s">
        <v>636</v>
      </c>
      <c r="R118" s="0" t="s">
        <v>637</v>
      </c>
      <c r="S118" s="0" t="s">
        <v>638</v>
      </c>
      <c r="T118" s="0" t="s">
        <v>639</v>
      </c>
    </row>
    <row r="119" customFormat="false" ht="15" hidden="false" customHeight="false" outlineLevel="0" collapsed="false">
      <c r="A119" s="0" t="n">
        <v>118</v>
      </c>
      <c r="D119" s="0" t="s">
        <v>640</v>
      </c>
      <c r="E119" s="0" t="s">
        <v>21</v>
      </c>
      <c r="F119" s="0" t="s">
        <v>641</v>
      </c>
      <c r="H119" s="0" t="s">
        <v>23</v>
      </c>
      <c r="I119" s="2" t="s">
        <v>24</v>
      </c>
      <c r="J119" s="2" t="s">
        <v>592</v>
      </c>
      <c r="K119" s="0" t="s">
        <v>593</v>
      </c>
      <c r="L119" s="0" t="s">
        <v>27</v>
      </c>
      <c r="M119" s="0" t="s">
        <v>594</v>
      </c>
      <c r="N119" s="0" t="s">
        <v>642</v>
      </c>
      <c r="O119" s="0" t="s">
        <v>57</v>
      </c>
      <c r="Q119" s="0" t="s">
        <v>643</v>
      </c>
      <c r="R119" s="0" t="s">
        <v>644</v>
      </c>
      <c r="S119" s="0" t="s">
        <v>645</v>
      </c>
      <c r="T119" s="0" t="s">
        <v>33</v>
      </c>
    </row>
    <row r="120" customFormat="false" ht="15" hidden="false" customHeight="false" outlineLevel="0" collapsed="false">
      <c r="A120" s="0" t="n">
        <v>119</v>
      </c>
      <c r="D120" s="0" t="s">
        <v>646</v>
      </c>
      <c r="E120" s="0" t="s">
        <v>21</v>
      </c>
      <c r="H120" s="0" t="s">
        <v>23</v>
      </c>
      <c r="I120" s="2" t="s">
        <v>24</v>
      </c>
      <c r="J120" s="2" t="s">
        <v>592</v>
      </c>
      <c r="K120" s="0" t="s">
        <v>593</v>
      </c>
      <c r="L120" s="0" t="s">
        <v>35</v>
      </c>
      <c r="M120" s="0" t="s">
        <v>594</v>
      </c>
      <c r="N120" s="0" t="s">
        <v>647</v>
      </c>
      <c r="O120" s="0" t="s">
        <v>57</v>
      </c>
      <c r="Q120" s="0" t="s">
        <v>648</v>
      </c>
      <c r="R120" s="0" t="s">
        <v>649</v>
      </c>
      <c r="S120" s="0" t="s">
        <v>650</v>
      </c>
      <c r="T120" s="0" t="s">
        <v>33</v>
      </c>
    </row>
    <row r="121" customFormat="false" ht="15" hidden="false" customHeight="false" outlineLevel="0" collapsed="false">
      <c r="A121" s="0" t="n">
        <v>120</v>
      </c>
      <c r="D121" s="0" t="s">
        <v>651</v>
      </c>
      <c r="E121" s="0" t="s">
        <v>21</v>
      </c>
      <c r="H121" s="0" t="s">
        <v>23</v>
      </c>
      <c r="I121" s="2" t="s">
        <v>24</v>
      </c>
      <c r="J121" s="2" t="s">
        <v>592</v>
      </c>
      <c r="K121" s="0" t="s">
        <v>593</v>
      </c>
      <c r="L121" s="0" t="s">
        <v>652</v>
      </c>
      <c r="M121" s="0" t="s">
        <v>594</v>
      </c>
      <c r="N121" s="0" t="s">
        <v>653</v>
      </c>
      <c r="O121" s="0" t="s">
        <v>37</v>
      </c>
      <c r="R121" s="0" t="s">
        <v>654</v>
      </c>
      <c r="S121" s="0" t="s">
        <v>655</v>
      </c>
      <c r="T121" s="0" t="s">
        <v>656</v>
      </c>
    </row>
    <row r="122" customFormat="false" ht="15" hidden="false" customHeight="false" outlineLevel="0" collapsed="false">
      <c r="A122" s="0" t="n">
        <v>121</v>
      </c>
      <c r="D122" s="0" t="s">
        <v>657</v>
      </c>
      <c r="E122" s="0" t="s">
        <v>21</v>
      </c>
      <c r="F122" s="0" t="s">
        <v>658</v>
      </c>
      <c r="H122" s="0" t="s">
        <v>23</v>
      </c>
      <c r="I122" s="2" t="s">
        <v>24</v>
      </c>
      <c r="J122" s="2" t="s">
        <v>592</v>
      </c>
      <c r="K122" s="0" t="s">
        <v>593</v>
      </c>
      <c r="L122" s="0" t="s">
        <v>659</v>
      </c>
      <c r="M122" s="0" t="s">
        <v>594</v>
      </c>
      <c r="N122" s="0" t="s">
        <v>660</v>
      </c>
      <c r="O122" s="0" t="s">
        <v>57</v>
      </c>
      <c r="Q122" s="0" t="s">
        <v>661</v>
      </c>
      <c r="R122" s="0" t="s">
        <v>662</v>
      </c>
      <c r="S122" s="0" t="s">
        <v>663</v>
      </c>
      <c r="T122" s="0" t="s">
        <v>664</v>
      </c>
    </row>
    <row r="123" customFormat="false" ht="15" hidden="false" customHeight="false" outlineLevel="0" collapsed="false">
      <c r="A123" s="0" t="n">
        <v>122</v>
      </c>
      <c r="D123" s="0" t="s">
        <v>665</v>
      </c>
      <c r="E123" s="0" t="s">
        <v>90</v>
      </c>
      <c r="H123" s="0" t="s">
        <v>23</v>
      </c>
      <c r="I123" s="2" t="s">
        <v>24</v>
      </c>
      <c r="J123" s="2" t="s">
        <v>592</v>
      </c>
      <c r="K123" s="0" t="s">
        <v>593</v>
      </c>
      <c r="L123" s="0" t="s">
        <v>666</v>
      </c>
      <c r="M123" s="0" t="s">
        <v>594</v>
      </c>
      <c r="N123" s="0" t="s">
        <v>667</v>
      </c>
      <c r="O123" s="0" t="s">
        <v>37</v>
      </c>
      <c r="P123" s="0" t="s">
        <v>668</v>
      </c>
      <c r="T123" s="0" t="s">
        <v>669</v>
      </c>
    </row>
    <row r="124" customFormat="false" ht="15" hidden="false" customHeight="false" outlineLevel="0" collapsed="false">
      <c r="A124" s="0" t="n">
        <v>123</v>
      </c>
      <c r="D124" s="0" t="s">
        <v>670</v>
      </c>
      <c r="E124" s="0" t="s">
        <v>671</v>
      </c>
      <c r="F124" s="0" t="s">
        <v>672</v>
      </c>
      <c r="H124" s="0" t="s">
        <v>23</v>
      </c>
      <c r="I124" s="2" t="s">
        <v>24</v>
      </c>
      <c r="J124" s="2" t="s">
        <v>592</v>
      </c>
      <c r="K124" s="0" t="s">
        <v>593</v>
      </c>
      <c r="L124" s="0" t="s">
        <v>27</v>
      </c>
      <c r="M124" s="0" t="s">
        <v>594</v>
      </c>
      <c r="N124" s="0" t="s">
        <v>673</v>
      </c>
      <c r="O124" s="0" t="s">
        <v>37</v>
      </c>
      <c r="Q124" s="0" t="s">
        <v>674</v>
      </c>
      <c r="R124" s="0" t="s">
        <v>675</v>
      </c>
      <c r="S124" s="0" t="s">
        <v>676</v>
      </c>
      <c r="T124" s="0" t="s">
        <v>33</v>
      </c>
    </row>
    <row r="125" customFormat="false" ht="15" hidden="false" customHeight="false" outlineLevel="0" collapsed="false">
      <c r="A125" s="0" t="n">
        <v>124</v>
      </c>
      <c r="D125" s="0" t="s">
        <v>677</v>
      </c>
      <c r="E125" s="0" t="s">
        <v>21</v>
      </c>
      <c r="F125" s="0" t="s">
        <v>678</v>
      </c>
      <c r="H125" s="0" t="s">
        <v>23</v>
      </c>
      <c r="I125" s="2" t="s">
        <v>24</v>
      </c>
      <c r="J125" s="2" t="s">
        <v>592</v>
      </c>
      <c r="K125" s="0" t="s">
        <v>593</v>
      </c>
      <c r="L125" s="0" t="s">
        <v>27</v>
      </c>
      <c r="M125" s="0" t="s">
        <v>594</v>
      </c>
      <c r="N125" s="0" t="s">
        <v>679</v>
      </c>
      <c r="O125" s="0" t="s">
        <v>30</v>
      </c>
      <c r="Q125" s="0" t="s">
        <v>680</v>
      </c>
      <c r="R125" s="0" t="s">
        <v>681</v>
      </c>
      <c r="S125" s="0" t="s">
        <v>682</v>
      </c>
      <c r="T125" s="0" t="s">
        <v>33</v>
      </c>
    </row>
    <row r="126" customFormat="false" ht="15" hidden="false" customHeight="false" outlineLevel="0" collapsed="false">
      <c r="A126" s="0" t="n">
        <v>125</v>
      </c>
      <c r="D126" s="0" t="s">
        <v>683</v>
      </c>
      <c r="E126" s="0" t="s">
        <v>684</v>
      </c>
      <c r="H126" s="0" t="s">
        <v>23</v>
      </c>
      <c r="I126" s="2" t="s">
        <v>24</v>
      </c>
      <c r="J126" s="2" t="s">
        <v>592</v>
      </c>
      <c r="K126" s="0" t="s">
        <v>593</v>
      </c>
      <c r="L126" s="0" t="s">
        <v>685</v>
      </c>
      <c r="M126" s="0" t="s">
        <v>594</v>
      </c>
      <c r="N126" s="0" t="s">
        <v>600</v>
      </c>
      <c r="O126" s="0" t="s">
        <v>30</v>
      </c>
      <c r="P126" s="0" t="s">
        <v>601</v>
      </c>
      <c r="T126" s="0" t="s">
        <v>686</v>
      </c>
    </row>
    <row r="127" customFormat="false" ht="15" hidden="false" customHeight="false" outlineLevel="0" collapsed="false">
      <c r="A127" s="0" t="n">
        <v>126</v>
      </c>
      <c r="D127" s="0" t="s">
        <v>687</v>
      </c>
      <c r="E127" s="0" t="s">
        <v>671</v>
      </c>
      <c r="F127" s="0" t="s">
        <v>688</v>
      </c>
      <c r="H127" s="0" t="s">
        <v>23</v>
      </c>
      <c r="I127" s="2" t="s">
        <v>24</v>
      </c>
      <c r="J127" s="2" t="s">
        <v>592</v>
      </c>
      <c r="K127" s="0" t="s">
        <v>593</v>
      </c>
      <c r="L127" s="0" t="s">
        <v>689</v>
      </c>
      <c r="M127" s="0" t="s">
        <v>594</v>
      </c>
      <c r="N127" s="0" t="s">
        <v>690</v>
      </c>
      <c r="O127" s="0" t="s">
        <v>30</v>
      </c>
      <c r="R127" s="0" t="s">
        <v>691</v>
      </c>
      <c r="S127" s="0" t="s">
        <v>692</v>
      </c>
      <c r="T127" s="0" t="s">
        <v>693</v>
      </c>
    </row>
    <row r="128" customFormat="false" ht="15" hidden="false" customHeight="false" outlineLevel="0" collapsed="false">
      <c r="A128" s="0" t="n">
        <v>127</v>
      </c>
      <c r="D128" s="0" t="s">
        <v>694</v>
      </c>
      <c r="E128" s="0" t="s">
        <v>21</v>
      </c>
      <c r="F128" s="0" t="s">
        <v>695</v>
      </c>
      <c r="H128" s="0" t="s">
        <v>23</v>
      </c>
      <c r="I128" s="2" t="s">
        <v>24</v>
      </c>
      <c r="J128" s="2" t="s">
        <v>592</v>
      </c>
      <c r="K128" s="0" t="s">
        <v>593</v>
      </c>
      <c r="L128" s="0" t="s">
        <v>696</v>
      </c>
      <c r="M128" s="0" t="s">
        <v>594</v>
      </c>
      <c r="N128" s="0" t="s">
        <v>697</v>
      </c>
      <c r="O128" s="0" t="s">
        <v>57</v>
      </c>
      <c r="R128" s="0" t="s">
        <v>698</v>
      </c>
      <c r="S128" s="0" t="s">
        <v>699</v>
      </c>
      <c r="T128" s="0" t="s">
        <v>700</v>
      </c>
    </row>
    <row r="129" customFormat="false" ht="15" hidden="false" customHeight="false" outlineLevel="0" collapsed="false">
      <c r="A129" s="0" t="n">
        <v>128</v>
      </c>
      <c r="D129" s="0" t="s">
        <v>701</v>
      </c>
      <c r="E129" s="0" t="s">
        <v>21</v>
      </c>
      <c r="F129" s="0" t="s">
        <v>702</v>
      </c>
      <c r="H129" s="0" t="s">
        <v>23</v>
      </c>
      <c r="I129" s="2" t="s">
        <v>24</v>
      </c>
      <c r="J129" s="2" t="s">
        <v>592</v>
      </c>
      <c r="K129" s="0" t="s">
        <v>593</v>
      </c>
      <c r="L129" s="0" t="s">
        <v>27</v>
      </c>
      <c r="M129" s="0" t="s">
        <v>594</v>
      </c>
      <c r="N129" s="0" t="s">
        <v>703</v>
      </c>
      <c r="O129" s="0" t="s">
        <v>57</v>
      </c>
      <c r="Q129" s="0" t="s">
        <v>704</v>
      </c>
      <c r="R129" s="0" t="s">
        <v>705</v>
      </c>
      <c r="S129" s="0" t="s">
        <v>706</v>
      </c>
      <c r="T129" s="0" t="s">
        <v>33</v>
      </c>
    </row>
    <row r="130" customFormat="false" ht="15" hidden="false" customHeight="false" outlineLevel="0" collapsed="false">
      <c r="A130" s="0" t="n">
        <v>129</v>
      </c>
      <c r="D130" s="0" t="s">
        <v>707</v>
      </c>
      <c r="E130" s="0" t="s">
        <v>21</v>
      </c>
      <c r="F130" s="0" t="s">
        <v>708</v>
      </c>
      <c r="H130" s="0" t="s">
        <v>23</v>
      </c>
      <c r="I130" s="2" t="s">
        <v>24</v>
      </c>
      <c r="J130" s="2" t="s">
        <v>592</v>
      </c>
      <c r="K130" s="0" t="s">
        <v>593</v>
      </c>
      <c r="L130" s="0" t="s">
        <v>27</v>
      </c>
      <c r="M130" s="0" t="s">
        <v>594</v>
      </c>
      <c r="N130" s="0" t="s">
        <v>709</v>
      </c>
      <c r="O130" s="0" t="s">
        <v>57</v>
      </c>
      <c r="Q130" s="0" t="s">
        <v>710</v>
      </c>
      <c r="R130" s="0" t="s">
        <v>711</v>
      </c>
      <c r="S130" s="0" t="s">
        <v>712</v>
      </c>
      <c r="T130" s="0" t="s">
        <v>33</v>
      </c>
    </row>
    <row r="131" customFormat="false" ht="15" hidden="false" customHeight="false" outlineLevel="0" collapsed="false">
      <c r="A131" s="0" t="n">
        <v>130</v>
      </c>
      <c r="D131" s="0" t="s">
        <v>713</v>
      </c>
      <c r="E131" s="0" t="s">
        <v>21</v>
      </c>
      <c r="F131" s="0" t="s">
        <v>714</v>
      </c>
      <c r="H131" s="0" t="s">
        <v>23</v>
      </c>
      <c r="I131" s="2" t="s">
        <v>24</v>
      </c>
      <c r="J131" s="2" t="s">
        <v>592</v>
      </c>
      <c r="K131" s="0" t="s">
        <v>593</v>
      </c>
      <c r="L131" s="0" t="s">
        <v>27</v>
      </c>
      <c r="M131" s="0" t="s">
        <v>594</v>
      </c>
      <c r="N131" s="0" t="s">
        <v>642</v>
      </c>
      <c r="O131" s="0" t="s">
        <v>57</v>
      </c>
      <c r="Q131" s="0" t="s">
        <v>715</v>
      </c>
      <c r="R131" s="0" t="s">
        <v>716</v>
      </c>
      <c r="S131" s="0" t="s">
        <v>717</v>
      </c>
      <c r="T131" s="0" t="s">
        <v>33</v>
      </c>
    </row>
    <row r="132" customFormat="false" ht="15" hidden="false" customHeight="false" outlineLevel="0" collapsed="false">
      <c r="A132" s="0" t="n">
        <v>131</v>
      </c>
      <c r="D132" s="0" t="s">
        <v>718</v>
      </c>
      <c r="E132" s="0" t="s">
        <v>21</v>
      </c>
      <c r="H132" s="0" t="s">
        <v>23</v>
      </c>
      <c r="I132" s="2" t="s">
        <v>24</v>
      </c>
      <c r="J132" s="2" t="s">
        <v>592</v>
      </c>
      <c r="K132" s="0" t="s">
        <v>593</v>
      </c>
      <c r="L132" s="0" t="s">
        <v>35</v>
      </c>
      <c r="M132" s="0" t="s">
        <v>594</v>
      </c>
      <c r="N132" s="0" t="s">
        <v>719</v>
      </c>
      <c r="O132" s="0" t="s">
        <v>37</v>
      </c>
      <c r="R132" s="0" t="s">
        <v>720</v>
      </c>
      <c r="T132" s="0" t="s">
        <v>33</v>
      </c>
    </row>
    <row r="133" customFormat="false" ht="15" hidden="false" customHeight="false" outlineLevel="0" collapsed="false">
      <c r="A133" s="0" t="n">
        <v>132</v>
      </c>
      <c r="D133" s="0" t="s">
        <v>721</v>
      </c>
      <c r="E133" s="0" t="s">
        <v>21</v>
      </c>
      <c r="F133" s="0" t="s">
        <v>722</v>
      </c>
      <c r="H133" s="0" t="s">
        <v>23</v>
      </c>
      <c r="I133" s="2" t="s">
        <v>24</v>
      </c>
      <c r="J133" s="2" t="s">
        <v>592</v>
      </c>
      <c r="K133" s="0" t="s">
        <v>593</v>
      </c>
      <c r="L133" s="0" t="s">
        <v>27</v>
      </c>
      <c r="M133" s="0" t="s">
        <v>594</v>
      </c>
      <c r="N133" s="0" t="s">
        <v>723</v>
      </c>
      <c r="O133" s="0" t="s">
        <v>57</v>
      </c>
      <c r="Q133" s="0" t="s">
        <v>724</v>
      </c>
      <c r="R133" s="0" t="s">
        <v>725</v>
      </c>
      <c r="T133" s="0" t="s">
        <v>33</v>
      </c>
    </row>
    <row r="134" customFormat="false" ht="15" hidden="false" customHeight="false" outlineLevel="0" collapsed="false">
      <c r="A134" s="0" t="n">
        <v>133</v>
      </c>
      <c r="D134" s="0" t="s">
        <v>726</v>
      </c>
      <c r="E134" s="0" t="s">
        <v>21</v>
      </c>
      <c r="F134" s="0" t="s">
        <v>727</v>
      </c>
      <c r="H134" s="0" t="s">
        <v>23</v>
      </c>
      <c r="I134" s="2" t="s">
        <v>24</v>
      </c>
      <c r="J134" s="2" t="s">
        <v>592</v>
      </c>
      <c r="K134" s="0" t="s">
        <v>593</v>
      </c>
      <c r="L134" s="0" t="s">
        <v>728</v>
      </c>
      <c r="M134" s="0" t="s">
        <v>594</v>
      </c>
      <c r="N134" s="0" t="s">
        <v>729</v>
      </c>
      <c r="O134" s="0" t="s">
        <v>57</v>
      </c>
      <c r="R134" s="0" t="s">
        <v>730</v>
      </c>
      <c r="S134" s="0" t="s">
        <v>731</v>
      </c>
      <c r="T134" s="0" t="s">
        <v>732</v>
      </c>
    </row>
    <row r="135" customFormat="false" ht="15" hidden="false" customHeight="false" outlineLevel="0" collapsed="false">
      <c r="A135" s="0" t="n">
        <v>134</v>
      </c>
      <c r="D135" s="0" t="s">
        <v>733</v>
      </c>
      <c r="E135" s="0" t="s">
        <v>21</v>
      </c>
      <c r="F135" s="0" t="s">
        <v>734</v>
      </c>
      <c r="H135" s="0" t="s">
        <v>23</v>
      </c>
      <c r="I135" s="2" t="s">
        <v>24</v>
      </c>
      <c r="J135" s="2" t="s">
        <v>592</v>
      </c>
      <c r="K135" s="0" t="s">
        <v>593</v>
      </c>
      <c r="L135" s="0" t="s">
        <v>27</v>
      </c>
      <c r="M135" s="0" t="s">
        <v>594</v>
      </c>
      <c r="N135" s="0" t="s">
        <v>735</v>
      </c>
      <c r="O135" s="0" t="s">
        <v>57</v>
      </c>
      <c r="Q135" s="0" t="s">
        <v>736</v>
      </c>
      <c r="R135" s="0" t="s">
        <v>737</v>
      </c>
      <c r="S135" s="0" t="s">
        <v>738</v>
      </c>
      <c r="T135" s="0" t="s">
        <v>33</v>
      </c>
    </row>
    <row r="136" customFormat="false" ht="15" hidden="false" customHeight="false" outlineLevel="0" collapsed="false">
      <c r="A136" s="0" t="n">
        <v>135</v>
      </c>
      <c r="D136" s="0" t="s">
        <v>739</v>
      </c>
      <c r="E136" s="0" t="s">
        <v>671</v>
      </c>
      <c r="F136" s="0" t="s">
        <v>740</v>
      </c>
      <c r="H136" s="0" t="s">
        <v>23</v>
      </c>
      <c r="I136" s="2" t="s">
        <v>24</v>
      </c>
      <c r="J136" s="2" t="s">
        <v>592</v>
      </c>
      <c r="K136" s="0" t="s">
        <v>593</v>
      </c>
      <c r="L136" s="0" t="s">
        <v>27</v>
      </c>
      <c r="M136" s="0" t="s">
        <v>594</v>
      </c>
      <c r="N136" s="0" t="s">
        <v>741</v>
      </c>
      <c r="O136" s="0" t="s">
        <v>30</v>
      </c>
      <c r="Q136" s="0" t="s">
        <v>742</v>
      </c>
      <c r="R136" s="0" t="s">
        <v>743</v>
      </c>
      <c r="S136" s="0" t="s">
        <v>744</v>
      </c>
      <c r="T136" s="0" t="s">
        <v>33</v>
      </c>
    </row>
    <row r="137" customFormat="false" ht="15" hidden="false" customHeight="false" outlineLevel="0" collapsed="false">
      <c r="A137" s="0" t="n">
        <v>136</v>
      </c>
      <c r="D137" s="0" t="s">
        <v>745</v>
      </c>
      <c r="E137" s="0" t="s">
        <v>165</v>
      </c>
      <c r="F137" s="0" t="s">
        <v>746</v>
      </c>
      <c r="H137" s="0" t="s">
        <v>23</v>
      </c>
      <c r="I137" s="2" t="s">
        <v>24</v>
      </c>
      <c r="J137" s="2" t="s">
        <v>592</v>
      </c>
      <c r="K137" s="0" t="s">
        <v>593</v>
      </c>
      <c r="L137" s="0" t="s">
        <v>747</v>
      </c>
      <c r="M137" s="0" t="s">
        <v>594</v>
      </c>
      <c r="N137" s="0" t="s">
        <v>748</v>
      </c>
      <c r="O137" s="0" t="s">
        <v>37</v>
      </c>
      <c r="P137" s="0" t="s">
        <v>749</v>
      </c>
      <c r="Q137" s="0" t="s">
        <v>750</v>
      </c>
      <c r="R137" s="0" t="s">
        <v>751</v>
      </c>
      <c r="S137" s="0" t="s">
        <v>752</v>
      </c>
      <c r="T137" s="0" t="s">
        <v>753</v>
      </c>
    </row>
    <row r="138" customFormat="false" ht="15" hidden="false" customHeight="false" outlineLevel="0" collapsed="false">
      <c r="A138" s="0" t="n">
        <v>137</v>
      </c>
      <c r="D138" s="0" t="s">
        <v>754</v>
      </c>
      <c r="E138" s="0" t="s">
        <v>21</v>
      </c>
      <c r="F138" s="0" t="s">
        <v>755</v>
      </c>
      <c r="H138" s="0" t="s">
        <v>23</v>
      </c>
      <c r="I138" s="2" t="s">
        <v>24</v>
      </c>
      <c r="J138" s="2" t="s">
        <v>592</v>
      </c>
      <c r="K138" s="0" t="s">
        <v>593</v>
      </c>
      <c r="L138" s="0" t="s">
        <v>27</v>
      </c>
      <c r="M138" s="0" t="s">
        <v>594</v>
      </c>
      <c r="N138" s="0" t="s">
        <v>115</v>
      </c>
      <c r="O138" s="0" t="s">
        <v>30</v>
      </c>
      <c r="P138" s="0" t="s">
        <v>116</v>
      </c>
      <c r="R138" s="0" t="s">
        <v>756</v>
      </c>
      <c r="S138" s="0" t="s">
        <v>757</v>
      </c>
      <c r="T138" s="0" t="s">
        <v>33</v>
      </c>
    </row>
    <row r="139" customFormat="false" ht="15" hidden="false" customHeight="false" outlineLevel="0" collapsed="false">
      <c r="A139" s="0" t="n">
        <v>138</v>
      </c>
      <c r="D139" s="0" t="s">
        <v>758</v>
      </c>
      <c r="E139" s="0" t="s">
        <v>21</v>
      </c>
      <c r="H139" s="0" t="s">
        <v>23</v>
      </c>
      <c r="I139" s="2" t="s">
        <v>24</v>
      </c>
      <c r="J139" s="2" t="s">
        <v>592</v>
      </c>
      <c r="K139" s="0" t="s">
        <v>593</v>
      </c>
      <c r="L139" s="0" t="s">
        <v>759</v>
      </c>
      <c r="M139" s="0" t="s">
        <v>594</v>
      </c>
      <c r="N139" s="0" t="s">
        <v>760</v>
      </c>
      <c r="O139" s="0" t="s">
        <v>30</v>
      </c>
      <c r="Q139" s="0" t="s">
        <v>761</v>
      </c>
      <c r="R139" s="0" t="s">
        <v>762</v>
      </c>
      <c r="T139" s="0" t="s">
        <v>763</v>
      </c>
    </row>
    <row r="140" customFormat="false" ht="15" hidden="false" customHeight="false" outlineLevel="0" collapsed="false">
      <c r="A140" s="0" t="n">
        <v>139</v>
      </c>
      <c r="D140" s="0" t="s">
        <v>764</v>
      </c>
      <c r="E140" s="0" t="s">
        <v>21</v>
      </c>
      <c r="H140" s="0" t="s">
        <v>23</v>
      </c>
      <c r="I140" s="2" t="s">
        <v>24</v>
      </c>
      <c r="J140" s="2" t="s">
        <v>592</v>
      </c>
      <c r="K140" s="0" t="s">
        <v>593</v>
      </c>
      <c r="L140" s="0" t="s">
        <v>35</v>
      </c>
      <c r="M140" s="0" t="s">
        <v>594</v>
      </c>
      <c r="N140" s="0" t="s">
        <v>765</v>
      </c>
      <c r="O140" s="0" t="s">
        <v>57</v>
      </c>
      <c r="Q140" s="0" t="s">
        <v>766</v>
      </c>
      <c r="R140" s="0" t="s">
        <v>767</v>
      </c>
      <c r="T140" s="0" t="s">
        <v>33</v>
      </c>
    </row>
    <row r="141" customFormat="false" ht="15" hidden="false" customHeight="false" outlineLevel="0" collapsed="false">
      <c r="A141" s="0" t="n">
        <v>140</v>
      </c>
      <c r="D141" s="0" t="s">
        <v>768</v>
      </c>
      <c r="E141" s="0" t="s">
        <v>21</v>
      </c>
      <c r="F141" s="0" t="s">
        <v>769</v>
      </c>
      <c r="H141" s="0" t="s">
        <v>23</v>
      </c>
      <c r="I141" s="2" t="s">
        <v>24</v>
      </c>
      <c r="J141" s="2" t="s">
        <v>592</v>
      </c>
      <c r="K141" s="0" t="s">
        <v>593</v>
      </c>
      <c r="L141" s="0" t="s">
        <v>27</v>
      </c>
      <c r="M141" s="0" t="s">
        <v>594</v>
      </c>
      <c r="N141" s="0" t="s">
        <v>393</v>
      </c>
      <c r="O141" s="0" t="s">
        <v>30</v>
      </c>
      <c r="P141" s="0" t="s">
        <v>394</v>
      </c>
      <c r="R141" s="0" t="s">
        <v>770</v>
      </c>
      <c r="S141" s="0" t="s">
        <v>771</v>
      </c>
      <c r="T141" s="0" t="s">
        <v>33</v>
      </c>
    </row>
    <row r="142" customFormat="false" ht="15" hidden="false" customHeight="false" outlineLevel="0" collapsed="false">
      <c r="A142" s="0" t="n">
        <v>141</v>
      </c>
      <c r="D142" s="0" t="s">
        <v>772</v>
      </c>
      <c r="E142" s="0" t="s">
        <v>684</v>
      </c>
      <c r="H142" s="0" t="s">
        <v>23</v>
      </c>
      <c r="I142" s="2" t="s">
        <v>24</v>
      </c>
      <c r="J142" s="2" t="s">
        <v>592</v>
      </c>
      <c r="K142" s="0" t="s">
        <v>593</v>
      </c>
      <c r="L142" s="0" t="s">
        <v>35</v>
      </c>
      <c r="M142" s="0" t="s">
        <v>594</v>
      </c>
      <c r="N142" s="0" t="s">
        <v>600</v>
      </c>
      <c r="O142" s="0" t="s">
        <v>30</v>
      </c>
      <c r="P142" s="0" t="s">
        <v>601</v>
      </c>
      <c r="T142" s="0" t="s">
        <v>33</v>
      </c>
    </row>
    <row r="143" customFormat="false" ht="15" hidden="false" customHeight="false" outlineLevel="0" collapsed="false">
      <c r="A143" s="0" t="n">
        <v>142</v>
      </c>
      <c r="D143" s="0" t="s">
        <v>773</v>
      </c>
      <c r="E143" s="0" t="s">
        <v>21</v>
      </c>
      <c r="F143" s="0" t="s">
        <v>774</v>
      </c>
      <c r="H143" s="0" t="s">
        <v>23</v>
      </c>
      <c r="I143" s="2" t="s">
        <v>24</v>
      </c>
      <c r="J143" s="2" t="s">
        <v>592</v>
      </c>
      <c r="K143" s="0" t="s">
        <v>593</v>
      </c>
      <c r="L143" s="0" t="s">
        <v>27</v>
      </c>
      <c r="M143" s="0" t="s">
        <v>594</v>
      </c>
      <c r="N143" s="0" t="s">
        <v>775</v>
      </c>
      <c r="O143" s="0" t="s">
        <v>37</v>
      </c>
      <c r="Q143" s="0" t="s">
        <v>776</v>
      </c>
      <c r="R143" s="0" t="s">
        <v>777</v>
      </c>
      <c r="S143" s="0" t="s">
        <v>778</v>
      </c>
      <c r="T143" s="0" t="s">
        <v>33</v>
      </c>
    </row>
    <row r="144" customFormat="false" ht="15" hidden="false" customHeight="false" outlineLevel="0" collapsed="false">
      <c r="A144" s="0" t="n">
        <v>143</v>
      </c>
      <c r="D144" s="0" t="s">
        <v>779</v>
      </c>
      <c r="E144" s="0" t="s">
        <v>780</v>
      </c>
      <c r="H144" s="0" t="s">
        <v>23</v>
      </c>
      <c r="I144" s="2" t="s">
        <v>24</v>
      </c>
      <c r="J144" s="2" t="s">
        <v>592</v>
      </c>
      <c r="K144" s="0" t="s">
        <v>593</v>
      </c>
      <c r="L144" s="0" t="s">
        <v>35</v>
      </c>
      <c r="M144" s="0" t="s">
        <v>594</v>
      </c>
      <c r="N144" s="0" t="s">
        <v>600</v>
      </c>
      <c r="O144" s="0" t="s">
        <v>30</v>
      </c>
      <c r="P144" s="0" t="s">
        <v>601</v>
      </c>
      <c r="T144" s="0" t="s">
        <v>33</v>
      </c>
    </row>
    <row r="145" customFormat="false" ht="15" hidden="false" customHeight="false" outlineLevel="0" collapsed="false">
      <c r="A145" s="0" t="n">
        <v>144</v>
      </c>
      <c r="D145" s="0" t="s">
        <v>781</v>
      </c>
      <c r="E145" s="0" t="s">
        <v>21</v>
      </c>
      <c r="H145" s="0" t="s">
        <v>23</v>
      </c>
      <c r="I145" s="2" t="s">
        <v>24</v>
      </c>
      <c r="J145" s="2" t="s">
        <v>592</v>
      </c>
      <c r="K145" s="0" t="s">
        <v>593</v>
      </c>
      <c r="L145" s="0" t="s">
        <v>35</v>
      </c>
      <c r="M145" s="0" t="s">
        <v>594</v>
      </c>
      <c r="N145" s="0" t="s">
        <v>782</v>
      </c>
      <c r="O145" s="0" t="s">
        <v>57</v>
      </c>
      <c r="R145" s="0" t="s">
        <v>783</v>
      </c>
      <c r="S145" s="0" t="s">
        <v>784</v>
      </c>
      <c r="T145" s="0" t="s">
        <v>33</v>
      </c>
    </row>
    <row r="146" customFormat="false" ht="15" hidden="false" customHeight="false" outlineLevel="0" collapsed="false">
      <c r="A146" s="0" t="n">
        <v>145</v>
      </c>
      <c r="D146" s="0" t="s">
        <v>785</v>
      </c>
      <c r="E146" s="0" t="s">
        <v>21</v>
      </c>
      <c r="H146" s="0" t="s">
        <v>23</v>
      </c>
      <c r="I146" s="2" t="s">
        <v>24</v>
      </c>
      <c r="J146" s="2" t="s">
        <v>592</v>
      </c>
      <c r="K146" s="0" t="s">
        <v>593</v>
      </c>
      <c r="L146" s="0" t="s">
        <v>786</v>
      </c>
      <c r="M146" s="0" t="s">
        <v>594</v>
      </c>
      <c r="N146" s="0" t="s">
        <v>642</v>
      </c>
      <c r="O146" s="0" t="s">
        <v>57</v>
      </c>
      <c r="P146" s="0" t="s">
        <v>640</v>
      </c>
      <c r="Q146" s="0" t="s">
        <v>787</v>
      </c>
      <c r="T146" s="0" t="s">
        <v>788</v>
      </c>
    </row>
    <row r="147" customFormat="false" ht="15" hidden="false" customHeight="false" outlineLevel="0" collapsed="false">
      <c r="A147" s="0" t="n">
        <v>146</v>
      </c>
      <c r="D147" s="0" t="s">
        <v>789</v>
      </c>
      <c r="E147" s="0" t="s">
        <v>21</v>
      </c>
      <c r="F147" s="0" t="s">
        <v>790</v>
      </c>
      <c r="H147" s="0" t="s">
        <v>23</v>
      </c>
      <c r="I147" s="2" t="s">
        <v>24</v>
      </c>
      <c r="J147" s="2" t="s">
        <v>592</v>
      </c>
      <c r="K147" s="0" t="s">
        <v>593</v>
      </c>
      <c r="L147" s="0" t="s">
        <v>27</v>
      </c>
      <c r="M147" s="0" t="s">
        <v>594</v>
      </c>
      <c r="N147" s="0" t="s">
        <v>791</v>
      </c>
      <c r="O147" s="0" t="s">
        <v>37</v>
      </c>
      <c r="R147" s="0" t="s">
        <v>792</v>
      </c>
      <c r="S147" s="0" t="s">
        <v>793</v>
      </c>
      <c r="T147" s="0" t="s">
        <v>33</v>
      </c>
    </row>
    <row r="148" customFormat="false" ht="15" hidden="false" customHeight="false" outlineLevel="0" collapsed="false">
      <c r="A148" s="0" t="n">
        <v>147</v>
      </c>
      <c r="D148" s="0" t="s">
        <v>794</v>
      </c>
      <c r="E148" s="0" t="s">
        <v>90</v>
      </c>
      <c r="F148" s="0" t="s">
        <v>795</v>
      </c>
      <c r="H148" s="0" t="s">
        <v>23</v>
      </c>
      <c r="I148" s="2" t="s">
        <v>24</v>
      </c>
      <c r="J148" s="2" t="s">
        <v>592</v>
      </c>
      <c r="K148" s="0" t="s">
        <v>593</v>
      </c>
      <c r="L148" s="0" t="s">
        <v>796</v>
      </c>
      <c r="M148" s="0" t="s">
        <v>594</v>
      </c>
      <c r="N148" s="0" t="s">
        <v>667</v>
      </c>
      <c r="O148" s="0" t="s">
        <v>37</v>
      </c>
      <c r="P148" s="0" t="s">
        <v>668</v>
      </c>
      <c r="R148" s="0" t="s">
        <v>797</v>
      </c>
      <c r="S148" s="0" t="s">
        <v>798</v>
      </c>
      <c r="T148" s="0" t="s">
        <v>799</v>
      </c>
    </row>
    <row r="149" customFormat="false" ht="15" hidden="false" customHeight="false" outlineLevel="0" collapsed="false">
      <c r="A149" s="0" t="n">
        <v>148</v>
      </c>
      <c r="D149" s="0" t="s">
        <v>800</v>
      </c>
      <c r="E149" s="0" t="s">
        <v>21</v>
      </c>
      <c r="F149" s="0" t="s">
        <v>801</v>
      </c>
      <c r="H149" s="0" t="s">
        <v>23</v>
      </c>
      <c r="I149" s="2" t="s">
        <v>24</v>
      </c>
      <c r="J149" s="2" t="s">
        <v>592</v>
      </c>
      <c r="K149" s="0" t="s">
        <v>802</v>
      </c>
      <c r="L149" s="0" t="s">
        <v>803</v>
      </c>
      <c r="M149" s="0" t="s">
        <v>804</v>
      </c>
      <c r="N149" s="0" t="s">
        <v>805</v>
      </c>
      <c r="O149" s="0" t="s">
        <v>57</v>
      </c>
      <c r="Q149" s="0" t="s">
        <v>806</v>
      </c>
      <c r="R149" s="0" t="s">
        <v>807</v>
      </c>
      <c r="S149" s="0" t="s">
        <v>808</v>
      </c>
      <c r="T149" s="0" t="s">
        <v>809</v>
      </c>
    </row>
    <row r="150" customFormat="false" ht="15" hidden="false" customHeight="false" outlineLevel="0" collapsed="false">
      <c r="A150" s="0" t="n">
        <v>149</v>
      </c>
      <c r="D150" s="0" t="s">
        <v>810</v>
      </c>
      <c r="E150" s="0" t="s">
        <v>21</v>
      </c>
      <c r="F150" s="0" t="s">
        <v>811</v>
      </c>
      <c r="H150" s="0" t="s">
        <v>23</v>
      </c>
      <c r="I150" s="2" t="s">
        <v>24</v>
      </c>
      <c r="J150" s="2" t="s">
        <v>592</v>
      </c>
      <c r="K150" s="0" t="s">
        <v>802</v>
      </c>
      <c r="L150" s="0" t="s">
        <v>27</v>
      </c>
      <c r="M150" s="0" t="s">
        <v>804</v>
      </c>
      <c r="N150" s="0" t="s">
        <v>812</v>
      </c>
      <c r="O150" s="0" t="s">
        <v>57</v>
      </c>
      <c r="Q150" s="0" t="s">
        <v>813</v>
      </c>
      <c r="R150" s="0" t="s">
        <v>814</v>
      </c>
      <c r="S150" s="0" t="s">
        <v>815</v>
      </c>
      <c r="T150" s="0" t="s">
        <v>33</v>
      </c>
    </row>
    <row r="151" customFormat="false" ht="15" hidden="false" customHeight="false" outlineLevel="0" collapsed="false">
      <c r="A151" s="0" t="n">
        <v>150</v>
      </c>
      <c r="D151" s="0" t="s">
        <v>816</v>
      </c>
      <c r="E151" s="0" t="s">
        <v>21</v>
      </c>
      <c r="F151" s="0" t="s">
        <v>817</v>
      </c>
      <c r="H151" s="0" t="s">
        <v>23</v>
      </c>
      <c r="I151" s="2" t="s">
        <v>24</v>
      </c>
      <c r="J151" s="2" t="s">
        <v>592</v>
      </c>
      <c r="K151" s="0" t="s">
        <v>802</v>
      </c>
      <c r="L151" s="0" t="s">
        <v>27</v>
      </c>
      <c r="M151" s="0" t="s">
        <v>804</v>
      </c>
      <c r="N151" s="0" t="s">
        <v>818</v>
      </c>
      <c r="O151" s="0" t="s">
        <v>37</v>
      </c>
      <c r="Q151" s="0" t="s">
        <v>819</v>
      </c>
      <c r="R151" s="0" t="s">
        <v>820</v>
      </c>
      <c r="S151" s="0" t="s">
        <v>821</v>
      </c>
      <c r="T151" s="0" t="s">
        <v>33</v>
      </c>
    </row>
    <row r="152" customFormat="false" ht="15" hidden="false" customHeight="false" outlineLevel="0" collapsed="false">
      <c r="A152" s="0" t="n">
        <v>151</v>
      </c>
      <c r="D152" s="0" t="s">
        <v>822</v>
      </c>
      <c r="E152" s="0" t="s">
        <v>21</v>
      </c>
      <c r="F152" s="0" t="s">
        <v>823</v>
      </c>
      <c r="H152" s="0" t="s">
        <v>23</v>
      </c>
      <c r="I152" s="2" t="s">
        <v>24</v>
      </c>
      <c r="J152" s="2" t="s">
        <v>592</v>
      </c>
      <c r="K152" s="0" t="s">
        <v>802</v>
      </c>
      <c r="L152" s="0" t="s">
        <v>27</v>
      </c>
      <c r="M152" s="0" t="s">
        <v>804</v>
      </c>
      <c r="N152" s="0" t="s">
        <v>186</v>
      </c>
      <c r="O152" s="0" t="s">
        <v>37</v>
      </c>
      <c r="P152" s="0" t="s">
        <v>187</v>
      </c>
      <c r="R152" s="0" t="s">
        <v>824</v>
      </c>
      <c r="S152" s="0" t="s">
        <v>825</v>
      </c>
      <c r="T152" s="0" t="s">
        <v>33</v>
      </c>
    </row>
    <row r="153" customFormat="false" ht="15" hidden="false" customHeight="false" outlineLevel="0" collapsed="false">
      <c r="A153" s="0" t="n">
        <v>152</v>
      </c>
      <c r="D153" s="0" t="s">
        <v>826</v>
      </c>
      <c r="E153" s="0" t="s">
        <v>21</v>
      </c>
      <c r="H153" s="0" t="s">
        <v>23</v>
      </c>
      <c r="I153" s="2" t="s">
        <v>24</v>
      </c>
      <c r="J153" s="2" t="s">
        <v>592</v>
      </c>
      <c r="K153" s="0" t="s">
        <v>802</v>
      </c>
      <c r="L153" s="0" t="s">
        <v>35</v>
      </c>
      <c r="M153" s="0" t="s">
        <v>804</v>
      </c>
      <c r="N153" s="0" t="s">
        <v>812</v>
      </c>
      <c r="O153" s="0" t="s">
        <v>57</v>
      </c>
      <c r="R153" s="0" t="s">
        <v>827</v>
      </c>
      <c r="T153" s="0" t="s">
        <v>33</v>
      </c>
    </row>
    <row r="154" customFormat="false" ht="15" hidden="false" customHeight="false" outlineLevel="0" collapsed="false">
      <c r="A154" s="0" t="n">
        <v>153</v>
      </c>
      <c r="D154" s="0" t="s">
        <v>828</v>
      </c>
      <c r="E154" s="0" t="s">
        <v>21</v>
      </c>
      <c r="H154" s="0" t="s">
        <v>23</v>
      </c>
      <c r="I154" s="2" t="s">
        <v>24</v>
      </c>
      <c r="J154" s="2" t="s">
        <v>592</v>
      </c>
      <c r="K154" s="0" t="s">
        <v>802</v>
      </c>
      <c r="L154" s="0" t="s">
        <v>35</v>
      </c>
      <c r="M154" s="0" t="s">
        <v>804</v>
      </c>
      <c r="N154" s="0" t="s">
        <v>829</v>
      </c>
      <c r="O154" s="0" t="s">
        <v>57</v>
      </c>
      <c r="R154" s="0" t="s">
        <v>830</v>
      </c>
      <c r="T154" s="0" t="s">
        <v>33</v>
      </c>
    </row>
    <row r="155" customFormat="false" ht="15" hidden="false" customHeight="false" outlineLevel="0" collapsed="false">
      <c r="A155" s="0" t="n">
        <v>154</v>
      </c>
      <c r="D155" s="0" t="s">
        <v>831</v>
      </c>
      <c r="E155" s="0" t="s">
        <v>21</v>
      </c>
      <c r="H155" s="0" t="s">
        <v>23</v>
      </c>
      <c r="I155" s="2" t="s">
        <v>24</v>
      </c>
      <c r="J155" s="2" t="s">
        <v>592</v>
      </c>
      <c r="K155" s="0" t="s">
        <v>802</v>
      </c>
      <c r="L155" s="0" t="s">
        <v>35</v>
      </c>
      <c r="M155" s="0" t="s">
        <v>804</v>
      </c>
      <c r="N155" s="0" t="s">
        <v>832</v>
      </c>
      <c r="O155" s="0" t="s">
        <v>37</v>
      </c>
      <c r="Q155" s="0" t="s">
        <v>833</v>
      </c>
      <c r="R155" s="0" t="s">
        <v>834</v>
      </c>
      <c r="T155" s="0" t="s">
        <v>33</v>
      </c>
    </row>
    <row r="156" customFormat="false" ht="15" hidden="false" customHeight="false" outlineLevel="0" collapsed="false">
      <c r="A156" s="0" t="n">
        <v>155</v>
      </c>
      <c r="D156" s="0" t="s">
        <v>835</v>
      </c>
      <c r="E156" s="0" t="s">
        <v>21</v>
      </c>
      <c r="F156" s="0" t="s">
        <v>836</v>
      </c>
      <c r="H156" s="0" t="s">
        <v>23</v>
      </c>
      <c r="I156" s="2" t="s">
        <v>24</v>
      </c>
      <c r="J156" s="2" t="s">
        <v>592</v>
      </c>
      <c r="K156" s="0" t="s">
        <v>837</v>
      </c>
      <c r="L156" s="0" t="s">
        <v>27</v>
      </c>
      <c r="M156" s="0" t="s">
        <v>838</v>
      </c>
      <c r="N156" s="0" t="s">
        <v>839</v>
      </c>
      <c r="O156" s="0" t="s">
        <v>37</v>
      </c>
      <c r="Q156" s="0" t="s">
        <v>840</v>
      </c>
      <c r="R156" s="0" t="s">
        <v>841</v>
      </c>
      <c r="S156" s="0" t="s">
        <v>842</v>
      </c>
      <c r="T156" s="0" t="s">
        <v>33</v>
      </c>
    </row>
    <row r="157" customFormat="false" ht="15" hidden="false" customHeight="false" outlineLevel="0" collapsed="false">
      <c r="A157" s="0" t="n">
        <v>156</v>
      </c>
      <c r="D157" s="0" t="s">
        <v>843</v>
      </c>
      <c r="E157" s="0" t="s">
        <v>21</v>
      </c>
      <c r="H157" s="0" t="s">
        <v>23</v>
      </c>
      <c r="I157" s="2" t="s">
        <v>24</v>
      </c>
      <c r="J157" s="2" t="s">
        <v>592</v>
      </c>
      <c r="K157" s="0" t="s">
        <v>837</v>
      </c>
      <c r="L157" s="0" t="s">
        <v>844</v>
      </c>
      <c r="M157" s="0" t="s">
        <v>838</v>
      </c>
      <c r="N157" s="0" t="s">
        <v>845</v>
      </c>
      <c r="O157" s="0" t="s">
        <v>57</v>
      </c>
      <c r="Q157" s="0" t="s">
        <v>846</v>
      </c>
      <c r="R157" s="0" t="s">
        <v>847</v>
      </c>
      <c r="T157" s="0" t="s">
        <v>33</v>
      </c>
    </row>
    <row r="158" customFormat="false" ht="15" hidden="false" customHeight="false" outlineLevel="0" collapsed="false">
      <c r="A158" s="0" t="n">
        <v>157</v>
      </c>
      <c r="D158" s="0" t="s">
        <v>848</v>
      </c>
      <c r="E158" s="0" t="s">
        <v>21</v>
      </c>
      <c r="F158" s="0" t="s">
        <v>849</v>
      </c>
      <c r="H158" s="0" t="s">
        <v>23</v>
      </c>
      <c r="I158" s="2" t="s">
        <v>24</v>
      </c>
      <c r="J158" s="2" t="s">
        <v>592</v>
      </c>
      <c r="K158" s="0" t="s">
        <v>837</v>
      </c>
      <c r="L158" s="0" t="s">
        <v>27</v>
      </c>
      <c r="M158" s="0" t="s">
        <v>838</v>
      </c>
      <c r="N158" s="0" t="s">
        <v>850</v>
      </c>
      <c r="O158" s="0" t="s">
        <v>37</v>
      </c>
      <c r="Q158" s="0" t="s">
        <v>851</v>
      </c>
      <c r="R158" s="0" t="s">
        <v>852</v>
      </c>
      <c r="S158" s="0" t="s">
        <v>853</v>
      </c>
      <c r="T158" s="0" t="s">
        <v>33</v>
      </c>
    </row>
    <row r="159" customFormat="false" ht="15" hidden="false" customHeight="false" outlineLevel="0" collapsed="false">
      <c r="A159" s="0" t="n">
        <v>158</v>
      </c>
      <c r="D159" s="0" t="s">
        <v>854</v>
      </c>
      <c r="E159" s="0" t="s">
        <v>21</v>
      </c>
      <c r="H159" s="0" t="s">
        <v>23</v>
      </c>
      <c r="I159" s="2" t="s">
        <v>24</v>
      </c>
      <c r="J159" s="2" t="s">
        <v>592</v>
      </c>
      <c r="K159" s="0" t="s">
        <v>837</v>
      </c>
      <c r="L159" s="0" t="s">
        <v>35</v>
      </c>
      <c r="M159" s="0" t="s">
        <v>838</v>
      </c>
      <c r="O159" s="0" t="s">
        <v>57</v>
      </c>
      <c r="Q159" s="0" t="s">
        <v>855</v>
      </c>
      <c r="T159" s="0" t="s">
        <v>33</v>
      </c>
    </row>
    <row r="160" customFormat="false" ht="15" hidden="false" customHeight="false" outlineLevel="0" collapsed="false">
      <c r="A160" s="0" t="n">
        <v>159</v>
      </c>
      <c r="D160" s="0" t="s">
        <v>856</v>
      </c>
      <c r="E160" s="0" t="s">
        <v>21</v>
      </c>
      <c r="F160" s="0" t="s">
        <v>857</v>
      </c>
      <c r="H160" s="0" t="s">
        <v>23</v>
      </c>
      <c r="I160" s="2" t="s">
        <v>24</v>
      </c>
      <c r="J160" s="2" t="s">
        <v>592</v>
      </c>
      <c r="K160" s="0" t="s">
        <v>837</v>
      </c>
      <c r="L160" s="0" t="s">
        <v>27</v>
      </c>
      <c r="M160" s="0" t="s">
        <v>838</v>
      </c>
      <c r="N160" s="0" t="s">
        <v>186</v>
      </c>
      <c r="O160" s="0" t="s">
        <v>37</v>
      </c>
      <c r="P160" s="0" t="s">
        <v>187</v>
      </c>
      <c r="Q160" s="0" t="s">
        <v>858</v>
      </c>
      <c r="R160" s="0" t="s">
        <v>859</v>
      </c>
      <c r="S160" s="0" t="s">
        <v>860</v>
      </c>
      <c r="T160" s="0" t="s">
        <v>33</v>
      </c>
    </row>
    <row r="161" customFormat="false" ht="15" hidden="false" customHeight="false" outlineLevel="0" collapsed="false">
      <c r="A161" s="0" t="n">
        <v>160</v>
      </c>
      <c r="D161" s="0" t="s">
        <v>861</v>
      </c>
      <c r="E161" s="0" t="s">
        <v>165</v>
      </c>
      <c r="F161" s="0" t="s">
        <v>862</v>
      </c>
      <c r="H161" s="0" t="s">
        <v>23</v>
      </c>
      <c r="I161" s="2" t="s">
        <v>24</v>
      </c>
      <c r="J161" s="2" t="s">
        <v>592</v>
      </c>
      <c r="K161" s="0" t="s">
        <v>837</v>
      </c>
      <c r="L161" s="0" t="s">
        <v>863</v>
      </c>
      <c r="M161" s="0" t="s">
        <v>838</v>
      </c>
      <c r="N161" s="0" t="s">
        <v>748</v>
      </c>
      <c r="O161" s="0" t="s">
        <v>37</v>
      </c>
      <c r="P161" s="0" t="s">
        <v>749</v>
      </c>
      <c r="Q161" s="0" t="s">
        <v>864</v>
      </c>
      <c r="R161" s="0" t="s">
        <v>865</v>
      </c>
      <c r="S161" s="0" t="s">
        <v>866</v>
      </c>
      <c r="T161" s="0" t="s">
        <v>867</v>
      </c>
    </row>
    <row r="162" customFormat="false" ht="15" hidden="false" customHeight="false" outlineLevel="0" collapsed="false">
      <c r="A162" s="0" t="n">
        <v>161</v>
      </c>
      <c r="D162" s="0" t="s">
        <v>868</v>
      </c>
      <c r="E162" s="0" t="s">
        <v>21</v>
      </c>
      <c r="F162" s="0" t="s">
        <v>869</v>
      </c>
      <c r="H162" s="0" t="s">
        <v>23</v>
      </c>
      <c r="I162" s="2" t="s">
        <v>24</v>
      </c>
      <c r="J162" s="2" t="s">
        <v>592</v>
      </c>
      <c r="K162" s="0" t="s">
        <v>837</v>
      </c>
      <c r="L162" s="0" t="s">
        <v>27</v>
      </c>
      <c r="M162" s="0" t="s">
        <v>838</v>
      </c>
      <c r="N162" s="0" t="s">
        <v>870</v>
      </c>
      <c r="O162" s="0" t="s">
        <v>57</v>
      </c>
      <c r="R162" s="0" t="s">
        <v>871</v>
      </c>
      <c r="S162" s="0" t="s">
        <v>872</v>
      </c>
      <c r="T162" s="0" t="s">
        <v>33</v>
      </c>
    </row>
    <row r="163" customFormat="false" ht="15" hidden="false" customHeight="false" outlineLevel="0" collapsed="false">
      <c r="A163" s="0" t="n">
        <v>162</v>
      </c>
      <c r="D163" s="0" t="s">
        <v>873</v>
      </c>
      <c r="E163" s="0" t="s">
        <v>21</v>
      </c>
      <c r="F163" s="0" t="s">
        <v>874</v>
      </c>
      <c r="H163" s="0" t="s">
        <v>23</v>
      </c>
      <c r="I163" s="2" t="s">
        <v>24</v>
      </c>
      <c r="J163" s="2" t="s">
        <v>592</v>
      </c>
      <c r="K163" s="0" t="s">
        <v>837</v>
      </c>
      <c r="L163" s="0" t="s">
        <v>27</v>
      </c>
      <c r="M163" s="0" t="s">
        <v>838</v>
      </c>
      <c r="N163" s="0" t="s">
        <v>875</v>
      </c>
      <c r="O163" s="0" t="s">
        <v>37</v>
      </c>
      <c r="R163" s="0" t="s">
        <v>876</v>
      </c>
      <c r="S163" s="0" t="s">
        <v>877</v>
      </c>
      <c r="T163" s="0" t="s">
        <v>33</v>
      </c>
    </row>
    <row r="164" customFormat="false" ht="15" hidden="false" customHeight="false" outlineLevel="0" collapsed="false">
      <c r="A164" s="0" t="n">
        <v>163</v>
      </c>
      <c r="D164" s="0" t="s">
        <v>878</v>
      </c>
      <c r="E164" s="0" t="s">
        <v>21</v>
      </c>
      <c r="F164" s="0" t="s">
        <v>879</v>
      </c>
      <c r="H164" s="0" t="s">
        <v>23</v>
      </c>
      <c r="I164" s="2" t="s">
        <v>24</v>
      </c>
      <c r="J164" s="2" t="s">
        <v>592</v>
      </c>
      <c r="K164" s="0" t="s">
        <v>880</v>
      </c>
      <c r="L164" s="0" t="s">
        <v>27</v>
      </c>
      <c r="M164" s="0" t="s">
        <v>881</v>
      </c>
      <c r="N164" s="0" t="s">
        <v>882</v>
      </c>
      <c r="O164" s="0" t="s">
        <v>30</v>
      </c>
      <c r="Q164" s="0" t="s">
        <v>883</v>
      </c>
      <c r="R164" s="0" t="s">
        <v>884</v>
      </c>
      <c r="S164" s="0" t="s">
        <v>885</v>
      </c>
      <c r="T164" s="0" t="s">
        <v>33</v>
      </c>
    </row>
    <row r="165" customFormat="false" ht="15" hidden="false" customHeight="false" outlineLevel="0" collapsed="false">
      <c r="A165" s="0" t="n">
        <v>164</v>
      </c>
      <c r="D165" s="0" t="s">
        <v>886</v>
      </c>
      <c r="E165" s="0" t="s">
        <v>21</v>
      </c>
      <c r="H165" s="0" t="s">
        <v>23</v>
      </c>
      <c r="I165" s="2" t="s">
        <v>24</v>
      </c>
      <c r="J165" s="2" t="s">
        <v>592</v>
      </c>
      <c r="K165" s="0" t="s">
        <v>880</v>
      </c>
      <c r="L165" s="0" t="s">
        <v>35</v>
      </c>
      <c r="M165" s="0" t="s">
        <v>881</v>
      </c>
      <c r="N165" s="0" t="s">
        <v>561</v>
      </c>
      <c r="O165" s="0" t="s">
        <v>57</v>
      </c>
      <c r="P165" s="0" t="s">
        <v>562</v>
      </c>
      <c r="Q165" s="0" t="s">
        <v>887</v>
      </c>
      <c r="T165" s="0" t="s">
        <v>33</v>
      </c>
    </row>
    <row r="166" customFormat="false" ht="15" hidden="false" customHeight="false" outlineLevel="0" collapsed="false">
      <c r="A166" s="0" t="n">
        <v>165</v>
      </c>
      <c r="D166" s="0" t="s">
        <v>888</v>
      </c>
      <c r="E166" s="0" t="s">
        <v>21</v>
      </c>
      <c r="F166" s="0" t="s">
        <v>889</v>
      </c>
      <c r="H166" s="0" t="s">
        <v>23</v>
      </c>
      <c r="I166" s="2" t="s">
        <v>24</v>
      </c>
      <c r="J166" s="2" t="s">
        <v>592</v>
      </c>
      <c r="K166" s="0" t="s">
        <v>880</v>
      </c>
      <c r="L166" s="0" t="s">
        <v>890</v>
      </c>
      <c r="M166" s="0" t="s">
        <v>881</v>
      </c>
      <c r="N166" s="0" t="s">
        <v>891</v>
      </c>
      <c r="O166" s="0" t="s">
        <v>57</v>
      </c>
      <c r="P166" s="0" t="s">
        <v>892</v>
      </c>
      <c r="R166" s="0" t="s">
        <v>893</v>
      </c>
      <c r="S166" s="0" t="s">
        <v>894</v>
      </c>
      <c r="T166" s="0" t="s">
        <v>33</v>
      </c>
    </row>
    <row r="167" customFormat="false" ht="15" hidden="false" customHeight="false" outlineLevel="0" collapsed="false">
      <c r="A167" s="0" t="n">
        <v>166</v>
      </c>
      <c r="D167" s="0" t="s">
        <v>394</v>
      </c>
      <c r="E167" s="0" t="s">
        <v>21</v>
      </c>
      <c r="F167" s="0" t="s">
        <v>895</v>
      </c>
      <c r="H167" s="0" t="s">
        <v>23</v>
      </c>
      <c r="I167" s="2" t="s">
        <v>24</v>
      </c>
      <c r="J167" s="2" t="s">
        <v>592</v>
      </c>
      <c r="K167" s="0" t="s">
        <v>896</v>
      </c>
      <c r="L167" s="0" t="s">
        <v>27</v>
      </c>
      <c r="M167" s="0" t="s">
        <v>897</v>
      </c>
      <c r="N167" s="0" t="s">
        <v>393</v>
      </c>
      <c r="O167" s="0" t="s">
        <v>30</v>
      </c>
      <c r="Q167" s="0" t="s">
        <v>898</v>
      </c>
      <c r="R167" s="0" t="s">
        <v>899</v>
      </c>
      <c r="S167" s="0" t="s">
        <v>900</v>
      </c>
      <c r="T167" s="0" t="s">
        <v>33</v>
      </c>
    </row>
    <row r="168" customFormat="false" ht="15" hidden="false" customHeight="false" outlineLevel="0" collapsed="false">
      <c r="A168" s="0" t="n">
        <v>167</v>
      </c>
      <c r="D168" s="0" t="s">
        <v>901</v>
      </c>
      <c r="E168" s="0" t="s">
        <v>21</v>
      </c>
      <c r="H168" s="0" t="s">
        <v>23</v>
      </c>
      <c r="I168" s="2" t="s">
        <v>24</v>
      </c>
      <c r="J168" s="2" t="s">
        <v>592</v>
      </c>
      <c r="K168" s="0" t="s">
        <v>896</v>
      </c>
      <c r="L168" s="0" t="s">
        <v>35</v>
      </c>
      <c r="M168" s="0" t="s">
        <v>897</v>
      </c>
      <c r="N168" s="0" t="s">
        <v>902</v>
      </c>
      <c r="O168" s="0" t="s">
        <v>30</v>
      </c>
      <c r="Q168" s="0" t="s">
        <v>903</v>
      </c>
      <c r="R168" s="0" t="s">
        <v>904</v>
      </c>
      <c r="S168" s="0" t="s">
        <v>905</v>
      </c>
      <c r="T168" s="0" t="s">
        <v>33</v>
      </c>
    </row>
    <row r="169" customFormat="false" ht="15" hidden="false" customHeight="false" outlineLevel="0" collapsed="false">
      <c r="A169" s="0" t="n">
        <v>168</v>
      </c>
      <c r="D169" s="0" t="s">
        <v>906</v>
      </c>
      <c r="E169" s="0" t="s">
        <v>21</v>
      </c>
      <c r="F169" s="0" t="s">
        <v>907</v>
      </c>
      <c r="H169" s="0" t="s">
        <v>23</v>
      </c>
      <c r="I169" s="2" t="s">
        <v>24</v>
      </c>
      <c r="J169" s="2" t="s">
        <v>592</v>
      </c>
      <c r="K169" s="0" t="s">
        <v>896</v>
      </c>
      <c r="L169" s="0" t="s">
        <v>27</v>
      </c>
      <c r="M169" s="0" t="s">
        <v>897</v>
      </c>
      <c r="N169" s="0" t="s">
        <v>908</v>
      </c>
      <c r="O169" s="0" t="s">
        <v>30</v>
      </c>
      <c r="Q169" s="0" t="s">
        <v>909</v>
      </c>
      <c r="R169" s="0" t="s">
        <v>910</v>
      </c>
      <c r="S169" s="0" t="s">
        <v>911</v>
      </c>
      <c r="T169" s="0" t="s">
        <v>33</v>
      </c>
    </row>
    <row r="170" customFormat="false" ht="15" hidden="false" customHeight="false" outlineLevel="0" collapsed="false">
      <c r="A170" s="0" t="n">
        <v>169</v>
      </c>
      <c r="D170" s="0" t="s">
        <v>912</v>
      </c>
      <c r="E170" s="0" t="s">
        <v>21</v>
      </c>
      <c r="H170" s="0" t="s">
        <v>23</v>
      </c>
      <c r="I170" s="2" t="s">
        <v>24</v>
      </c>
      <c r="J170" s="2" t="s">
        <v>592</v>
      </c>
      <c r="K170" s="0" t="s">
        <v>896</v>
      </c>
      <c r="L170" s="0" t="s">
        <v>913</v>
      </c>
      <c r="M170" s="0" t="s">
        <v>897</v>
      </c>
      <c r="N170" s="0" t="s">
        <v>914</v>
      </c>
      <c r="O170" s="0" t="s">
        <v>57</v>
      </c>
      <c r="Q170" s="0" t="s">
        <v>915</v>
      </c>
      <c r="T170" s="0" t="s">
        <v>33</v>
      </c>
    </row>
    <row r="171" customFormat="false" ht="15" hidden="false" customHeight="false" outlineLevel="0" collapsed="false">
      <c r="A171" s="0" t="n">
        <v>170</v>
      </c>
      <c r="D171" s="0" t="s">
        <v>916</v>
      </c>
      <c r="E171" s="0" t="s">
        <v>21</v>
      </c>
      <c r="F171" s="0" t="s">
        <v>917</v>
      </c>
      <c r="H171" s="0" t="s">
        <v>23</v>
      </c>
      <c r="I171" s="2" t="s">
        <v>24</v>
      </c>
      <c r="J171" s="2" t="s">
        <v>592</v>
      </c>
      <c r="K171" s="0" t="s">
        <v>896</v>
      </c>
      <c r="L171" s="0" t="s">
        <v>27</v>
      </c>
      <c r="M171" s="0" t="s">
        <v>897</v>
      </c>
      <c r="N171" s="0" t="s">
        <v>918</v>
      </c>
      <c r="O171" s="0" t="s">
        <v>57</v>
      </c>
      <c r="R171" s="0" t="s">
        <v>919</v>
      </c>
      <c r="S171" s="0" t="s">
        <v>920</v>
      </c>
      <c r="T171" s="0" t="s">
        <v>33</v>
      </c>
    </row>
    <row r="172" customFormat="false" ht="15" hidden="false" customHeight="false" outlineLevel="0" collapsed="false">
      <c r="A172" s="0" t="n">
        <v>171</v>
      </c>
      <c r="D172" s="0" t="s">
        <v>921</v>
      </c>
      <c r="E172" s="0" t="s">
        <v>21</v>
      </c>
      <c r="H172" s="0" t="s">
        <v>23</v>
      </c>
      <c r="I172" s="2" t="s">
        <v>24</v>
      </c>
      <c r="J172" s="2" t="s">
        <v>592</v>
      </c>
      <c r="K172" s="0" t="s">
        <v>896</v>
      </c>
      <c r="L172" s="0" t="s">
        <v>922</v>
      </c>
      <c r="M172" s="0" t="s">
        <v>897</v>
      </c>
      <c r="N172" s="0" t="s">
        <v>923</v>
      </c>
      <c r="O172" s="0" t="s">
        <v>30</v>
      </c>
      <c r="T172" s="0" t="s">
        <v>924</v>
      </c>
    </row>
    <row r="173" customFormat="false" ht="15" hidden="false" customHeight="false" outlineLevel="0" collapsed="false">
      <c r="A173" s="0" t="n">
        <v>172</v>
      </c>
      <c r="D173" s="0" t="s">
        <v>925</v>
      </c>
      <c r="E173" s="0" t="s">
        <v>21</v>
      </c>
      <c r="F173" s="0" t="s">
        <v>926</v>
      </c>
      <c r="H173" s="0" t="s">
        <v>23</v>
      </c>
      <c r="I173" s="2" t="s">
        <v>24</v>
      </c>
      <c r="J173" s="2" t="s">
        <v>592</v>
      </c>
      <c r="K173" s="0" t="s">
        <v>896</v>
      </c>
      <c r="L173" s="0" t="s">
        <v>27</v>
      </c>
      <c r="M173" s="0" t="s">
        <v>897</v>
      </c>
      <c r="N173" s="0" t="s">
        <v>927</v>
      </c>
      <c r="O173" s="0" t="s">
        <v>57</v>
      </c>
      <c r="R173" s="0" t="s">
        <v>928</v>
      </c>
      <c r="S173" s="0" t="s">
        <v>929</v>
      </c>
      <c r="T173" s="0" t="s">
        <v>33</v>
      </c>
    </row>
    <row r="174" customFormat="false" ht="15" hidden="false" customHeight="false" outlineLevel="0" collapsed="false">
      <c r="A174" s="0" t="n">
        <v>173</v>
      </c>
      <c r="D174" s="0" t="s">
        <v>930</v>
      </c>
      <c r="E174" s="0" t="s">
        <v>21</v>
      </c>
      <c r="F174" s="0" t="s">
        <v>931</v>
      </c>
      <c r="H174" s="0" t="s">
        <v>23</v>
      </c>
      <c r="I174" s="2" t="s">
        <v>24</v>
      </c>
      <c r="J174" s="2" t="s">
        <v>592</v>
      </c>
      <c r="K174" s="0" t="s">
        <v>896</v>
      </c>
      <c r="L174" s="0" t="s">
        <v>27</v>
      </c>
      <c r="M174" s="0" t="s">
        <v>897</v>
      </c>
      <c r="N174" s="0" t="s">
        <v>932</v>
      </c>
      <c r="O174" s="0" t="s">
        <v>30</v>
      </c>
      <c r="Q174" s="0" t="s">
        <v>933</v>
      </c>
      <c r="T174" s="0" t="s">
        <v>33</v>
      </c>
    </row>
    <row r="175" customFormat="false" ht="15" hidden="false" customHeight="false" outlineLevel="0" collapsed="false">
      <c r="A175" s="0" t="n">
        <v>174</v>
      </c>
      <c r="D175" s="0" t="s">
        <v>934</v>
      </c>
      <c r="E175" s="0" t="s">
        <v>21</v>
      </c>
      <c r="H175" s="0" t="s">
        <v>23</v>
      </c>
      <c r="I175" s="2" t="s">
        <v>24</v>
      </c>
      <c r="J175" s="2" t="s">
        <v>592</v>
      </c>
      <c r="K175" s="0" t="s">
        <v>896</v>
      </c>
      <c r="L175" s="0" t="s">
        <v>35</v>
      </c>
      <c r="M175" s="0" t="s">
        <v>897</v>
      </c>
      <c r="N175" s="0" t="s">
        <v>935</v>
      </c>
      <c r="O175" s="0" t="s">
        <v>57</v>
      </c>
      <c r="Q175" s="0" t="s">
        <v>936</v>
      </c>
      <c r="R175" s="0" t="s">
        <v>937</v>
      </c>
      <c r="T175" s="0" t="s">
        <v>33</v>
      </c>
    </row>
    <row r="176" customFormat="false" ht="15" hidden="false" customHeight="false" outlineLevel="0" collapsed="false">
      <c r="A176" s="0" t="n">
        <v>175</v>
      </c>
      <c r="D176" s="0" t="s">
        <v>938</v>
      </c>
      <c r="E176" s="0" t="s">
        <v>21</v>
      </c>
      <c r="F176" s="0" t="s">
        <v>939</v>
      </c>
      <c r="H176" s="0" t="s">
        <v>23</v>
      </c>
      <c r="I176" s="2" t="s">
        <v>24</v>
      </c>
      <c r="J176" s="2" t="s">
        <v>592</v>
      </c>
      <c r="K176" s="0" t="s">
        <v>896</v>
      </c>
      <c r="L176" s="0" t="s">
        <v>27</v>
      </c>
      <c r="M176" s="0" t="s">
        <v>897</v>
      </c>
      <c r="N176" s="0" t="s">
        <v>940</v>
      </c>
      <c r="O176" s="0" t="s">
        <v>30</v>
      </c>
      <c r="R176" s="0" t="s">
        <v>941</v>
      </c>
      <c r="S176" s="0" t="s">
        <v>942</v>
      </c>
      <c r="T176" s="0" t="s">
        <v>33</v>
      </c>
    </row>
    <row r="177" customFormat="false" ht="15" hidden="false" customHeight="false" outlineLevel="0" collapsed="false">
      <c r="A177" s="0" t="n">
        <v>176</v>
      </c>
      <c r="D177" s="0" t="s">
        <v>943</v>
      </c>
      <c r="E177" s="0" t="s">
        <v>21</v>
      </c>
      <c r="H177" s="0" t="s">
        <v>23</v>
      </c>
      <c r="I177" s="2" t="s">
        <v>24</v>
      </c>
      <c r="J177" s="2" t="s">
        <v>592</v>
      </c>
      <c r="K177" s="0" t="s">
        <v>896</v>
      </c>
      <c r="L177" s="0" t="s">
        <v>35</v>
      </c>
      <c r="M177" s="0" t="s">
        <v>897</v>
      </c>
      <c r="N177" s="0" t="s">
        <v>944</v>
      </c>
      <c r="O177" s="0" t="s">
        <v>57</v>
      </c>
      <c r="P177" s="0" t="s">
        <v>945</v>
      </c>
      <c r="T177" s="0" t="s">
        <v>33</v>
      </c>
    </row>
    <row r="178" customFormat="false" ht="15" hidden="false" customHeight="false" outlineLevel="0" collapsed="false">
      <c r="A178" s="0" t="n">
        <v>177</v>
      </c>
      <c r="D178" s="0" t="s">
        <v>946</v>
      </c>
      <c r="E178" s="0" t="s">
        <v>21</v>
      </c>
      <c r="H178" s="0" t="s">
        <v>23</v>
      </c>
      <c r="I178" s="2" t="s">
        <v>24</v>
      </c>
      <c r="J178" s="2" t="s">
        <v>592</v>
      </c>
      <c r="K178" s="0" t="s">
        <v>896</v>
      </c>
      <c r="L178" s="0" t="s">
        <v>947</v>
      </c>
      <c r="M178" s="0" t="s">
        <v>897</v>
      </c>
      <c r="N178" s="0" t="s">
        <v>948</v>
      </c>
      <c r="O178" s="0" t="s">
        <v>30</v>
      </c>
      <c r="R178" s="0" t="s">
        <v>949</v>
      </c>
      <c r="T178" s="0" t="s">
        <v>33</v>
      </c>
    </row>
    <row r="179" customFormat="false" ht="15" hidden="false" customHeight="false" outlineLevel="0" collapsed="false">
      <c r="A179" s="0" t="n">
        <v>178</v>
      </c>
      <c r="D179" s="0" t="s">
        <v>950</v>
      </c>
      <c r="E179" s="0" t="s">
        <v>21</v>
      </c>
      <c r="H179" s="0" t="s">
        <v>23</v>
      </c>
      <c r="I179" s="2" t="s">
        <v>24</v>
      </c>
      <c r="J179" s="2" t="s">
        <v>592</v>
      </c>
      <c r="K179" s="0" t="s">
        <v>896</v>
      </c>
      <c r="L179" s="0" t="s">
        <v>35</v>
      </c>
      <c r="M179" s="0" t="s">
        <v>897</v>
      </c>
      <c r="N179" s="0" t="s">
        <v>944</v>
      </c>
      <c r="O179" s="0" t="s">
        <v>57</v>
      </c>
      <c r="P179" s="0" t="s">
        <v>945</v>
      </c>
      <c r="T179" s="0" t="s">
        <v>33</v>
      </c>
    </row>
    <row r="180" customFormat="false" ht="15" hidden="false" customHeight="false" outlineLevel="0" collapsed="false">
      <c r="A180" s="0" t="n">
        <v>179</v>
      </c>
      <c r="D180" s="0" t="s">
        <v>951</v>
      </c>
      <c r="E180" s="0" t="s">
        <v>21</v>
      </c>
      <c r="F180" s="0" t="s">
        <v>952</v>
      </c>
      <c r="H180" s="0" t="s">
        <v>23</v>
      </c>
      <c r="I180" s="2" t="s">
        <v>24</v>
      </c>
      <c r="J180" s="2" t="s">
        <v>592</v>
      </c>
      <c r="K180" s="0" t="s">
        <v>896</v>
      </c>
      <c r="L180" s="0" t="s">
        <v>27</v>
      </c>
      <c r="M180" s="0" t="s">
        <v>897</v>
      </c>
      <c r="N180" s="0" t="s">
        <v>953</v>
      </c>
      <c r="O180" s="0" t="s">
        <v>30</v>
      </c>
      <c r="Q180" s="0" t="s">
        <v>954</v>
      </c>
      <c r="R180" s="0" t="s">
        <v>955</v>
      </c>
      <c r="S180" s="0" t="s">
        <v>956</v>
      </c>
      <c r="T180" s="0" t="s">
        <v>33</v>
      </c>
    </row>
    <row r="181" customFormat="false" ht="15" hidden="false" customHeight="false" outlineLevel="0" collapsed="false">
      <c r="A181" s="0" t="n">
        <v>180</v>
      </c>
      <c r="D181" s="0" t="s">
        <v>957</v>
      </c>
      <c r="E181" s="0" t="s">
        <v>21</v>
      </c>
      <c r="H181" s="0" t="s">
        <v>23</v>
      </c>
      <c r="I181" s="2" t="s">
        <v>24</v>
      </c>
      <c r="J181" s="2" t="s">
        <v>592</v>
      </c>
      <c r="K181" s="0" t="s">
        <v>896</v>
      </c>
      <c r="L181" s="0" t="s">
        <v>35</v>
      </c>
      <c r="M181" s="0" t="s">
        <v>897</v>
      </c>
      <c r="N181" s="0" t="s">
        <v>958</v>
      </c>
      <c r="O181" s="0" t="s">
        <v>57</v>
      </c>
      <c r="T181" s="0" t="s">
        <v>33</v>
      </c>
    </row>
    <row r="182" customFormat="false" ht="15" hidden="false" customHeight="false" outlineLevel="0" collapsed="false">
      <c r="A182" s="0" t="n">
        <v>181</v>
      </c>
      <c r="D182" s="0" t="s">
        <v>562</v>
      </c>
      <c r="E182" s="0" t="s">
        <v>21</v>
      </c>
      <c r="F182" s="0" t="s">
        <v>959</v>
      </c>
      <c r="H182" s="0" t="s">
        <v>23</v>
      </c>
      <c r="I182" s="2" t="s">
        <v>24</v>
      </c>
      <c r="J182" s="2" t="s">
        <v>592</v>
      </c>
      <c r="K182" s="0" t="s">
        <v>896</v>
      </c>
      <c r="L182" s="0" t="s">
        <v>27</v>
      </c>
      <c r="M182" s="0" t="s">
        <v>897</v>
      </c>
      <c r="N182" s="0" t="s">
        <v>561</v>
      </c>
      <c r="O182" s="0" t="s">
        <v>57</v>
      </c>
      <c r="Q182" s="0" t="s">
        <v>960</v>
      </c>
      <c r="R182" s="0" t="s">
        <v>961</v>
      </c>
      <c r="T182" s="0" t="s">
        <v>33</v>
      </c>
    </row>
    <row r="183" customFormat="false" ht="15" hidden="false" customHeight="false" outlineLevel="0" collapsed="false">
      <c r="A183" s="0" t="n">
        <v>182</v>
      </c>
      <c r="D183" s="0" t="s">
        <v>116</v>
      </c>
      <c r="E183" s="0" t="s">
        <v>21</v>
      </c>
      <c r="F183" s="0" t="s">
        <v>962</v>
      </c>
      <c r="H183" s="0" t="s">
        <v>23</v>
      </c>
      <c r="I183" s="2" t="s">
        <v>24</v>
      </c>
      <c r="J183" s="2" t="s">
        <v>592</v>
      </c>
      <c r="K183" s="0" t="s">
        <v>896</v>
      </c>
      <c r="L183" s="0" t="s">
        <v>963</v>
      </c>
      <c r="M183" s="0" t="s">
        <v>897</v>
      </c>
      <c r="N183" s="0" t="s">
        <v>115</v>
      </c>
      <c r="O183" s="0" t="s">
        <v>30</v>
      </c>
      <c r="Q183" s="0" t="s">
        <v>964</v>
      </c>
      <c r="R183" s="0" t="s">
        <v>965</v>
      </c>
      <c r="S183" s="0" t="s">
        <v>966</v>
      </c>
      <c r="T183" s="0" t="s">
        <v>33</v>
      </c>
    </row>
    <row r="184" customFormat="false" ht="15" hidden="false" customHeight="false" outlineLevel="0" collapsed="false">
      <c r="A184" s="0" t="n">
        <v>183</v>
      </c>
      <c r="D184" s="0" t="s">
        <v>967</v>
      </c>
      <c r="E184" s="0" t="s">
        <v>21</v>
      </c>
      <c r="H184" s="0" t="s">
        <v>23</v>
      </c>
      <c r="I184" s="2" t="s">
        <v>24</v>
      </c>
      <c r="J184" s="2" t="s">
        <v>592</v>
      </c>
      <c r="K184" s="0" t="s">
        <v>896</v>
      </c>
      <c r="L184" s="0" t="s">
        <v>35</v>
      </c>
      <c r="M184" s="0" t="s">
        <v>897</v>
      </c>
      <c r="N184" s="0" t="s">
        <v>968</v>
      </c>
      <c r="O184" s="0" t="s">
        <v>30</v>
      </c>
      <c r="R184" s="0" t="s">
        <v>969</v>
      </c>
      <c r="T184" s="0" t="s">
        <v>33</v>
      </c>
    </row>
    <row r="185" customFormat="false" ht="15" hidden="false" customHeight="false" outlineLevel="0" collapsed="false">
      <c r="A185" s="0" t="n">
        <v>184</v>
      </c>
      <c r="D185" s="0" t="s">
        <v>187</v>
      </c>
      <c r="E185" s="0" t="s">
        <v>21</v>
      </c>
      <c r="F185" s="0" t="s">
        <v>970</v>
      </c>
      <c r="H185" s="0" t="s">
        <v>23</v>
      </c>
      <c r="I185" s="2" t="s">
        <v>24</v>
      </c>
      <c r="J185" s="2" t="s">
        <v>592</v>
      </c>
      <c r="K185" s="0" t="s">
        <v>896</v>
      </c>
      <c r="L185" s="0" t="s">
        <v>27</v>
      </c>
      <c r="M185" s="0" t="s">
        <v>897</v>
      </c>
      <c r="N185" s="0" t="s">
        <v>186</v>
      </c>
      <c r="O185" s="0" t="s">
        <v>37</v>
      </c>
      <c r="Q185" s="0" t="s">
        <v>971</v>
      </c>
      <c r="R185" s="0" t="s">
        <v>972</v>
      </c>
      <c r="S185" s="0" t="s">
        <v>973</v>
      </c>
      <c r="T185" s="0" t="s">
        <v>33</v>
      </c>
    </row>
    <row r="186" customFormat="false" ht="15" hidden="false" customHeight="false" outlineLevel="0" collapsed="false">
      <c r="A186" s="0" t="n">
        <v>185</v>
      </c>
      <c r="D186" s="0" t="s">
        <v>974</v>
      </c>
      <c r="E186" s="0" t="s">
        <v>21</v>
      </c>
      <c r="F186" s="0" t="s">
        <v>975</v>
      </c>
      <c r="H186" s="0" t="s">
        <v>23</v>
      </c>
      <c r="I186" s="2" t="s">
        <v>24</v>
      </c>
      <c r="J186" s="2" t="s">
        <v>592</v>
      </c>
      <c r="K186" s="0" t="s">
        <v>896</v>
      </c>
      <c r="L186" s="0" t="s">
        <v>27</v>
      </c>
      <c r="M186" s="0" t="s">
        <v>897</v>
      </c>
      <c r="N186" s="0" t="s">
        <v>976</v>
      </c>
      <c r="O186" s="0" t="s">
        <v>37</v>
      </c>
      <c r="R186" s="0" t="s">
        <v>977</v>
      </c>
      <c r="S186" s="0" t="s">
        <v>978</v>
      </c>
      <c r="T186" s="0" t="s">
        <v>33</v>
      </c>
    </row>
    <row r="187" customFormat="false" ht="15" hidden="false" customHeight="false" outlineLevel="0" collapsed="false">
      <c r="A187" s="0" t="n">
        <v>186</v>
      </c>
      <c r="D187" s="0" t="s">
        <v>250</v>
      </c>
      <c r="E187" s="0" t="s">
        <v>21</v>
      </c>
      <c r="F187" s="0" t="s">
        <v>979</v>
      </c>
      <c r="H187" s="0" t="s">
        <v>23</v>
      </c>
      <c r="I187" s="2" t="s">
        <v>24</v>
      </c>
      <c r="J187" s="2" t="s">
        <v>592</v>
      </c>
      <c r="K187" s="0" t="s">
        <v>896</v>
      </c>
      <c r="L187" s="0" t="s">
        <v>27</v>
      </c>
      <c r="M187" s="0" t="s">
        <v>897</v>
      </c>
      <c r="N187" s="0" t="s">
        <v>249</v>
      </c>
      <c r="O187" s="0" t="s">
        <v>37</v>
      </c>
      <c r="Q187" s="0" t="s">
        <v>980</v>
      </c>
      <c r="R187" s="0" t="s">
        <v>981</v>
      </c>
      <c r="S187" s="0" t="s">
        <v>982</v>
      </c>
      <c r="T187" s="0" t="s">
        <v>33</v>
      </c>
    </row>
    <row r="188" customFormat="false" ht="15" hidden="false" customHeight="false" outlineLevel="0" collapsed="false">
      <c r="A188" s="0" t="n">
        <v>187</v>
      </c>
      <c r="D188" s="0" t="s">
        <v>601</v>
      </c>
      <c r="E188" s="0" t="s">
        <v>780</v>
      </c>
      <c r="H188" s="0" t="s">
        <v>23</v>
      </c>
      <c r="I188" s="2" t="s">
        <v>24</v>
      </c>
      <c r="J188" s="2" t="s">
        <v>592</v>
      </c>
      <c r="K188" s="0" t="s">
        <v>896</v>
      </c>
      <c r="L188" s="0" t="s">
        <v>35</v>
      </c>
      <c r="M188" s="0" t="s">
        <v>897</v>
      </c>
      <c r="N188" s="0" t="s">
        <v>600</v>
      </c>
      <c r="O188" s="0" t="s">
        <v>30</v>
      </c>
      <c r="R188" s="0" t="s">
        <v>983</v>
      </c>
      <c r="S188" s="0" t="s">
        <v>984</v>
      </c>
      <c r="T188" s="0" t="s">
        <v>33</v>
      </c>
    </row>
    <row r="189" customFormat="false" ht="15" hidden="false" customHeight="false" outlineLevel="0" collapsed="false">
      <c r="A189" s="0" t="n">
        <v>188</v>
      </c>
      <c r="D189" s="0" t="s">
        <v>668</v>
      </c>
      <c r="E189" s="0" t="s">
        <v>90</v>
      </c>
      <c r="F189" s="0" t="s">
        <v>985</v>
      </c>
      <c r="H189" s="0" t="s">
        <v>23</v>
      </c>
      <c r="I189" s="2" t="s">
        <v>24</v>
      </c>
      <c r="J189" s="2" t="s">
        <v>592</v>
      </c>
      <c r="K189" s="0" t="s">
        <v>896</v>
      </c>
      <c r="L189" s="0" t="s">
        <v>27</v>
      </c>
      <c r="M189" s="0" t="s">
        <v>897</v>
      </c>
      <c r="N189" s="0" t="s">
        <v>667</v>
      </c>
      <c r="O189" s="0" t="s">
        <v>37</v>
      </c>
      <c r="R189" s="0" t="s">
        <v>986</v>
      </c>
      <c r="S189" s="0" t="s">
        <v>987</v>
      </c>
      <c r="T189" s="0" t="s">
        <v>33</v>
      </c>
    </row>
    <row r="190" customFormat="false" ht="15" hidden="false" customHeight="false" outlineLevel="0" collapsed="false">
      <c r="A190" s="0" t="n">
        <v>189</v>
      </c>
      <c r="D190" s="0" t="s">
        <v>749</v>
      </c>
      <c r="E190" s="0" t="s">
        <v>165</v>
      </c>
      <c r="F190" s="0" t="s">
        <v>988</v>
      </c>
      <c r="H190" s="0" t="s">
        <v>23</v>
      </c>
      <c r="I190" s="2" t="s">
        <v>24</v>
      </c>
      <c r="J190" s="2" t="s">
        <v>592</v>
      </c>
      <c r="K190" s="0" t="s">
        <v>896</v>
      </c>
      <c r="L190" s="0" t="s">
        <v>27</v>
      </c>
      <c r="M190" s="0" t="s">
        <v>897</v>
      </c>
      <c r="N190" s="0" t="s">
        <v>748</v>
      </c>
      <c r="O190" s="0" t="s">
        <v>37</v>
      </c>
      <c r="R190" s="0" t="s">
        <v>989</v>
      </c>
      <c r="S190" s="0" t="s">
        <v>990</v>
      </c>
      <c r="T190" s="0" t="s">
        <v>33</v>
      </c>
    </row>
    <row r="191" customFormat="false" ht="15" hidden="false" customHeight="false" outlineLevel="0" collapsed="false">
      <c r="A191" s="0" t="n">
        <v>190</v>
      </c>
      <c r="D191" s="0" t="s">
        <v>991</v>
      </c>
      <c r="E191" s="0" t="s">
        <v>21</v>
      </c>
      <c r="H191" s="0" t="s">
        <v>23</v>
      </c>
      <c r="I191" s="2" t="s">
        <v>24</v>
      </c>
      <c r="J191" s="2" t="s">
        <v>592</v>
      </c>
      <c r="K191" s="0" t="s">
        <v>896</v>
      </c>
      <c r="L191" s="0" t="s">
        <v>35</v>
      </c>
      <c r="M191" s="0" t="s">
        <v>897</v>
      </c>
      <c r="N191" s="0" t="s">
        <v>944</v>
      </c>
      <c r="O191" s="0" t="s">
        <v>57</v>
      </c>
      <c r="P191" s="0" t="s">
        <v>945</v>
      </c>
      <c r="T191" s="0" t="s">
        <v>33</v>
      </c>
    </row>
    <row r="192" customFormat="false" ht="15" hidden="false" customHeight="false" outlineLevel="0" collapsed="false">
      <c r="A192" s="0" t="n">
        <v>191</v>
      </c>
      <c r="D192" s="0" t="s">
        <v>992</v>
      </c>
      <c r="E192" s="0" t="s">
        <v>993</v>
      </c>
      <c r="F192" s="0" t="s">
        <v>994</v>
      </c>
      <c r="H192" s="0" t="s">
        <v>23</v>
      </c>
      <c r="I192" s="2" t="s">
        <v>24</v>
      </c>
      <c r="J192" s="2" t="s">
        <v>592</v>
      </c>
      <c r="K192" s="0" t="s">
        <v>896</v>
      </c>
      <c r="L192" s="0" t="s">
        <v>27</v>
      </c>
      <c r="M192" s="0" t="s">
        <v>897</v>
      </c>
      <c r="N192" s="0" t="s">
        <v>995</v>
      </c>
      <c r="O192" s="0" t="s">
        <v>37</v>
      </c>
      <c r="R192" s="0" t="s">
        <v>996</v>
      </c>
      <c r="S192" s="0" t="s">
        <v>997</v>
      </c>
      <c r="T192" s="0" t="s">
        <v>33</v>
      </c>
    </row>
    <row r="193" customFormat="false" ht="15" hidden="false" customHeight="false" outlineLevel="0" collapsed="false">
      <c r="A193" s="0" t="n">
        <v>192</v>
      </c>
      <c r="D193" s="0" t="s">
        <v>510</v>
      </c>
      <c r="E193" s="0" t="s">
        <v>21</v>
      </c>
      <c r="F193" s="0" t="s">
        <v>998</v>
      </c>
      <c r="H193" s="0" t="s">
        <v>23</v>
      </c>
      <c r="I193" s="2" t="s">
        <v>24</v>
      </c>
      <c r="J193" s="2" t="s">
        <v>592</v>
      </c>
      <c r="K193" s="0" t="s">
        <v>896</v>
      </c>
      <c r="L193" s="0" t="s">
        <v>27</v>
      </c>
      <c r="M193" s="0" t="s">
        <v>897</v>
      </c>
      <c r="N193" s="0" t="s">
        <v>509</v>
      </c>
      <c r="O193" s="0" t="s">
        <v>37</v>
      </c>
      <c r="Q193" s="0" t="s">
        <v>999</v>
      </c>
      <c r="R193" s="0" t="s">
        <v>1000</v>
      </c>
      <c r="S193" s="0" t="s">
        <v>1001</v>
      </c>
      <c r="T193" s="0" t="s">
        <v>33</v>
      </c>
    </row>
    <row r="194" customFormat="false" ht="15" hidden="false" customHeight="false" outlineLevel="0" collapsed="false">
      <c r="A194" s="0" t="n">
        <v>193</v>
      </c>
      <c r="D194" s="0" t="s">
        <v>1002</v>
      </c>
      <c r="E194" s="0" t="s">
        <v>21</v>
      </c>
      <c r="H194" s="0" t="s">
        <v>23</v>
      </c>
      <c r="I194" s="2" t="s">
        <v>24</v>
      </c>
      <c r="J194" s="2" t="s">
        <v>592</v>
      </c>
      <c r="K194" s="0" t="s">
        <v>896</v>
      </c>
      <c r="L194" s="0" t="s">
        <v>35</v>
      </c>
      <c r="M194" s="0" t="s">
        <v>897</v>
      </c>
      <c r="N194" s="0" t="s">
        <v>1003</v>
      </c>
      <c r="O194" s="0" t="s">
        <v>57</v>
      </c>
      <c r="Q194" s="0" t="s">
        <v>1004</v>
      </c>
      <c r="T194" s="0" t="s">
        <v>33</v>
      </c>
    </row>
    <row r="195" customFormat="false" ht="15" hidden="false" customHeight="false" outlineLevel="0" collapsed="false">
      <c r="A195" s="0" t="n">
        <v>194</v>
      </c>
      <c r="D195" s="0" t="s">
        <v>1005</v>
      </c>
      <c r="E195" s="0" t="s">
        <v>21</v>
      </c>
      <c r="F195" s="0" t="s">
        <v>1006</v>
      </c>
      <c r="H195" s="0" t="s">
        <v>23</v>
      </c>
      <c r="I195" s="2" t="s">
        <v>24</v>
      </c>
      <c r="J195" s="2" t="s">
        <v>592</v>
      </c>
      <c r="K195" s="0" t="s">
        <v>896</v>
      </c>
      <c r="L195" s="0" t="s">
        <v>27</v>
      </c>
      <c r="M195" s="0" t="s">
        <v>897</v>
      </c>
      <c r="N195" s="0" t="s">
        <v>1007</v>
      </c>
      <c r="O195" s="0" t="s">
        <v>57</v>
      </c>
      <c r="Q195" s="0" t="s">
        <v>1008</v>
      </c>
      <c r="R195" s="0" t="s">
        <v>1009</v>
      </c>
      <c r="S195" s="0" t="s">
        <v>1010</v>
      </c>
      <c r="T195" s="0" t="s">
        <v>33</v>
      </c>
    </row>
    <row r="196" customFormat="false" ht="15" hidden="false" customHeight="false" outlineLevel="0" collapsed="false">
      <c r="A196" s="0" t="n">
        <v>195</v>
      </c>
      <c r="D196" s="0" t="s">
        <v>1011</v>
      </c>
      <c r="E196" s="0" t="s">
        <v>21</v>
      </c>
      <c r="H196" s="0" t="s">
        <v>23</v>
      </c>
      <c r="I196" s="2" t="s">
        <v>24</v>
      </c>
      <c r="J196" s="2" t="s">
        <v>592</v>
      </c>
      <c r="K196" s="0" t="s">
        <v>896</v>
      </c>
      <c r="L196" s="0" t="s">
        <v>35</v>
      </c>
      <c r="M196" s="0" t="s">
        <v>897</v>
      </c>
      <c r="N196" s="0" t="s">
        <v>1012</v>
      </c>
      <c r="O196" s="0" t="s">
        <v>37</v>
      </c>
      <c r="Q196" s="0" t="s">
        <v>1013</v>
      </c>
      <c r="T196" s="0" t="s">
        <v>33</v>
      </c>
    </row>
    <row r="197" customFormat="false" ht="15" hidden="false" customHeight="false" outlineLevel="0" collapsed="false">
      <c r="A197" s="0" t="n">
        <v>196</v>
      </c>
      <c r="D197" s="0" t="s">
        <v>488</v>
      </c>
      <c r="E197" s="0" t="s">
        <v>484</v>
      </c>
      <c r="F197" s="0" t="s">
        <v>1014</v>
      </c>
      <c r="H197" s="0" t="s">
        <v>23</v>
      </c>
      <c r="I197" s="2" t="s">
        <v>24</v>
      </c>
      <c r="J197" s="2" t="s">
        <v>592</v>
      </c>
      <c r="K197" s="0" t="s">
        <v>896</v>
      </c>
      <c r="L197" s="0" t="s">
        <v>27</v>
      </c>
      <c r="M197" s="0" t="s">
        <v>897</v>
      </c>
      <c r="N197" s="0" t="s">
        <v>487</v>
      </c>
      <c r="O197" s="0" t="s">
        <v>37</v>
      </c>
      <c r="R197" s="0" t="s">
        <v>1015</v>
      </c>
      <c r="T197" s="0" t="s">
        <v>33</v>
      </c>
    </row>
    <row r="198" customFormat="false" ht="15" hidden="false" customHeight="false" outlineLevel="0" collapsed="false">
      <c r="A198" s="0" t="n">
        <v>197</v>
      </c>
      <c r="D198" s="0" t="s">
        <v>1016</v>
      </c>
      <c r="E198" s="0" t="s">
        <v>21</v>
      </c>
      <c r="F198" s="0" t="s">
        <v>1017</v>
      </c>
      <c r="H198" s="0" t="s">
        <v>23</v>
      </c>
      <c r="I198" s="2" t="s">
        <v>24</v>
      </c>
      <c r="J198" s="2" t="s">
        <v>592</v>
      </c>
      <c r="K198" s="0" t="s">
        <v>896</v>
      </c>
      <c r="L198" s="0" t="s">
        <v>27</v>
      </c>
      <c r="M198" s="0" t="s">
        <v>897</v>
      </c>
      <c r="N198" s="0" t="s">
        <v>1018</v>
      </c>
      <c r="O198" s="0" t="s">
        <v>30</v>
      </c>
      <c r="Q198" s="0" t="s">
        <v>1019</v>
      </c>
      <c r="R198" s="0" t="s">
        <v>1020</v>
      </c>
      <c r="S198" s="0" t="s">
        <v>1021</v>
      </c>
      <c r="T198" s="0" t="s">
        <v>33</v>
      </c>
    </row>
    <row r="199" customFormat="false" ht="15" hidden="false" customHeight="false" outlineLevel="0" collapsed="false">
      <c r="A199" s="0" t="n">
        <v>198</v>
      </c>
      <c r="D199" s="0" t="s">
        <v>1022</v>
      </c>
      <c r="E199" s="0" t="s">
        <v>21</v>
      </c>
      <c r="F199" s="0" t="s">
        <v>1023</v>
      </c>
      <c r="H199" s="0" t="s">
        <v>23</v>
      </c>
      <c r="I199" s="2" t="s">
        <v>24</v>
      </c>
      <c r="J199" s="2" t="s">
        <v>592</v>
      </c>
      <c r="K199" s="0" t="s">
        <v>896</v>
      </c>
      <c r="L199" s="0" t="s">
        <v>27</v>
      </c>
      <c r="M199" s="0" t="s">
        <v>897</v>
      </c>
      <c r="N199" s="0" t="s">
        <v>1024</v>
      </c>
      <c r="O199" s="0" t="s">
        <v>37</v>
      </c>
      <c r="R199" s="0" t="s">
        <v>1025</v>
      </c>
      <c r="S199" s="0" t="s">
        <v>1026</v>
      </c>
      <c r="T199" s="0" t="s">
        <v>33</v>
      </c>
    </row>
    <row r="200" customFormat="false" ht="15" hidden="false" customHeight="false" outlineLevel="0" collapsed="false">
      <c r="A200" s="0" t="n">
        <v>199</v>
      </c>
      <c r="D200" s="0" t="s">
        <v>1027</v>
      </c>
      <c r="E200" s="0" t="s">
        <v>21</v>
      </c>
      <c r="F200" s="0" t="s">
        <v>1028</v>
      </c>
      <c r="H200" s="0" t="s">
        <v>23</v>
      </c>
      <c r="I200" s="2" t="s">
        <v>24</v>
      </c>
      <c r="J200" s="2" t="s">
        <v>592</v>
      </c>
      <c r="K200" s="0" t="s">
        <v>896</v>
      </c>
      <c r="L200" s="0" t="s">
        <v>1029</v>
      </c>
      <c r="M200" s="0" t="s">
        <v>897</v>
      </c>
      <c r="N200" s="0" t="s">
        <v>1030</v>
      </c>
      <c r="O200" s="0" t="s">
        <v>37</v>
      </c>
      <c r="R200" s="0" t="s">
        <v>1031</v>
      </c>
      <c r="S200" s="0" t="s">
        <v>1032</v>
      </c>
      <c r="T200" s="0" t="s">
        <v>1033</v>
      </c>
    </row>
    <row r="201" customFormat="false" ht="15" hidden="false" customHeight="false" outlineLevel="0" collapsed="false">
      <c r="A201" s="0" t="n">
        <v>200</v>
      </c>
      <c r="D201" s="0" t="s">
        <v>1034</v>
      </c>
      <c r="E201" s="0" t="s">
        <v>21</v>
      </c>
      <c r="F201" s="0" t="s">
        <v>1035</v>
      </c>
      <c r="H201" s="0" t="s">
        <v>23</v>
      </c>
      <c r="I201" s="2" t="s">
        <v>24</v>
      </c>
      <c r="J201" s="2" t="s">
        <v>592</v>
      </c>
      <c r="K201" s="0" t="s">
        <v>896</v>
      </c>
      <c r="L201" s="0" t="s">
        <v>27</v>
      </c>
      <c r="M201" s="0" t="s">
        <v>897</v>
      </c>
      <c r="N201" s="0" t="s">
        <v>1036</v>
      </c>
      <c r="O201" s="0" t="s">
        <v>30</v>
      </c>
      <c r="Q201" s="0" t="s">
        <v>1037</v>
      </c>
      <c r="S201" s="0" t="s">
        <v>1038</v>
      </c>
      <c r="T201" s="0" t="s">
        <v>33</v>
      </c>
    </row>
    <row r="202" customFormat="false" ht="15" hidden="false" customHeight="false" outlineLevel="0" collapsed="false">
      <c r="A202" s="0" t="n">
        <v>201</v>
      </c>
      <c r="D202" s="0" t="s">
        <v>1039</v>
      </c>
      <c r="E202" s="0" t="s">
        <v>21</v>
      </c>
      <c r="H202" s="0" t="s">
        <v>23</v>
      </c>
      <c r="I202" s="2" t="s">
        <v>24</v>
      </c>
      <c r="J202" s="2" t="s">
        <v>592</v>
      </c>
      <c r="K202" s="0" t="s">
        <v>896</v>
      </c>
      <c r="L202" s="0" t="s">
        <v>35</v>
      </c>
      <c r="M202" s="0" t="s">
        <v>897</v>
      </c>
      <c r="N202" s="0" t="s">
        <v>1040</v>
      </c>
      <c r="O202" s="0" t="s">
        <v>37</v>
      </c>
      <c r="T202" s="0" t="s">
        <v>33</v>
      </c>
    </row>
    <row r="203" customFormat="false" ht="15" hidden="false" customHeight="false" outlineLevel="0" collapsed="false">
      <c r="A203" s="0" t="n">
        <v>202</v>
      </c>
      <c r="D203" s="0" t="s">
        <v>1041</v>
      </c>
      <c r="E203" s="0" t="s">
        <v>21</v>
      </c>
      <c r="F203" s="0" t="s">
        <v>1042</v>
      </c>
      <c r="H203" s="0" t="s">
        <v>23</v>
      </c>
      <c r="I203" s="2" t="s">
        <v>24</v>
      </c>
      <c r="J203" s="2" t="s">
        <v>592</v>
      </c>
      <c r="K203" s="0" t="s">
        <v>896</v>
      </c>
      <c r="L203" s="0" t="s">
        <v>27</v>
      </c>
      <c r="M203" s="0" t="s">
        <v>897</v>
      </c>
      <c r="N203" s="0" t="s">
        <v>1043</v>
      </c>
      <c r="O203" s="0" t="s">
        <v>37</v>
      </c>
      <c r="R203" s="0" t="s">
        <v>1044</v>
      </c>
      <c r="S203" s="0" t="s">
        <v>1045</v>
      </c>
      <c r="T203" s="0" t="s">
        <v>33</v>
      </c>
    </row>
    <row r="204" customFormat="false" ht="15" hidden="false" customHeight="false" outlineLevel="0" collapsed="false">
      <c r="A204" s="0" t="n">
        <v>203</v>
      </c>
      <c r="D204" s="0" t="s">
        <v>892</v>
      </c>
      <c r="E204" s="0" t="s">
        <v>21</v>
      </c>
      <c r="F204" s="0" t="s">
        <v>1046</v>
      </c>
      <c r="H204" s="0" t="s">
        <v>23</v>
      </c>
      <c r="I204" s="2" t="s">
        <v>24</v>
      </c>
      <c r="J204" s="2" t="s">
        <v>592</v>
      </c>
      <c r="K204" s="0" t="s">
        <v>896</v>
      </c>
      <c r="L204" s="0" t="s">
        <v>27</v>
      </c>
      <c r="M204" s="0" t="s">
        <v>897</v>
      </c>
      <c r="N204" s="0" t="s">
        <v>891</v>
      </c>
      <c r="O204" s="0" t="s">
        <v>57</v>
      </c>
      <c r="R204" s="0" t="s">
        <v>1047</v>
      </c>
      <c r="S204" s="0" t="s">
        <v>1048</v>
      </c>
      <c r="T204" s="0" t="s">
        <v>33</v>
      </c>
    </row>
    <row r="205" customFormat="false" ht="15" hidden="false" customHeight="false" outlineLevel="0" collapsed="false">
      <c r="A205" s="0" t="n">
        <v>204</v>
      </c>
      <c r="D205" s="0" t="s">
        <v>1049</v>
      </c>
      <c r="E205" s="0" t="s">
        <v>21</v>
      </c>
      <c r="F205" s="0" t="s">
        <v>1050</v>
      </c>
      <c r="H205" s="0" t="s">
        <v>23</v>
      </c>
      <c r="I205" s="2" t="s">
        <v>24</v>
      </c>
      <c r="J205" s="2" t="s">
        <v>1051</v>
      </c>
      <c r="K205" s="0" t="s">
        <v>1052</v>
      </c>
      <c r="L205" s="0" t="s">
        <v>27</v>
      </c>
      <c r="M205" s="0" t="s">
        <v>1053</v>
      </c>
      <c r="N205" s="0" t="s">
        <v>186</v>
      </c>
      <c r="O205" s="0" t="s">
        <v>37</v>
      </c>
      <c r="P205" s="0" t="s">
        <v>187</v>
      </c>
      <c r="Q205" s="0" t="s">
        <v>1054</v>
      </c>
      <c r="R205" s="0" t="s">
        <v>1055</v>
      </c>
      <c r="S205" s="0" t="s">
        <v>1056</v>
      </c>
      <c r="T205" s="0" t="s">
        <v>33</v>
      </c>
    </row>
    <row r="206" customFormat="false" ht="15" hidden="false" customHeight="false" outlineLevel="0" collapsed="false">
      <c r="A206" s="0" t="n">
        <v>205</v>
      </c>
      <c r="D206" s="0" t="s">
        <v>1057</v>
      </c>
      <c r="E206" s="0" t="s">
        <v>780</v>
      </c>
      <c r="H206" s="0" t="s">
        <v>23</v>
      </c>
      <c r="I206" s="2" t="s">
        <v>24</v>
      </c>
      <c r="J206" s="2" t="s">
        <v>1051</v>
      </c>
      <c r="K206" s="0" t="s">
        <v>1052</v>
      </c>
      <c r="L206" s="0" t="s">
        <v>35</v>
      </c>
      <c r="M206" s="0" t="s">
        <v>1053</v>
      </c>
      <c r="N206" s="0" t="s">
        <v>600</v>
      </c>
      <c r="O206" s="0" t="s">
        <v>30</v>
      </c>
      <c r="P206" s="0" t="s">
        <v>601</v>
      </c>
      <c r="T206" s="0" t="s">
        <v>33</v>
      </c>
    </row>
    <row r="207" customFormat="false" ht="15" hidden="false" customHeight="false" outlineLevel="0" collapsed="false">
      <c r="A207" s="0" t="n">
        <v>206</v>
      </c>
      <c r="D207" s="0" t="s">
        <v>1058</v>
      </c>
      <c r="E207" s="0" t="s">
        <v>21</v>
      </c>
      <c r="F207" s="0" t="s">
        <v>1059</v>
      </c>
      <c r="H207" s="0" t="s">
        <v>23</v>
      </c>
      <c r="I207" s="2" t="s">
        <v>24</v>
      </c>
      <c r="J207" s="2" t="s">
        <v>1051</v>
      </c>
      <c r="K207" s="0" t="s">
        <v>1052</v>
      </c>
      <c r="L207" s="0" t="s">
        <v>27</v>
      </c>
      <c r="M207" s="0" t="s">
        <v>1053</v>
      </c>
      <c r="N207" s="0" t="s">
        <v>1060</v>
      </c>
      <c r="O207" s="0" t="s">
        <v>37</v>
      </c>
      <c r="R207" s="0" t="s">
        <v>1061</v>
      </c>
      <c r="S207" s="0" t="s">
        <v>1062</v>
      </c>
      <c r="T207" s="0" t="s">
        <v>33</v>
      </c>
    </row>
    <row r="208" customFormat="false" ht="15" hidden="false" customHeight="false" outlineLevel="0" collapsed="false">
      <c r="A208" s="0" t="n">
        <v>207</v>
      </c>
      <c r="D208" s="0" t="s">
        <v>1063</v>
      </c>
      <c r="E208" s="0" t="s">
        <v>21</v>
      </c>
      <c r="H208" s="0" t="s">
        <v>23</v>
      </c>
      <c r="I208" s="2" t="s">
        <v>24</v>
      </c>
      <c r="J208" s="2" t="s">
        <v>1051</v>
      </c>
      <c r="K208" s="0" t="s">
        <v>1052</v>
      </c>
      <c r="L208" s="0" t="s">
        <v>35</v>
      </c>
      <c r="M208" s="0" t="s">
        <v>1053</v>
      </c>
      <c r="N208" s="0" t="s">
        <v>1064</v>
      </c>
      <c r="O208" s="0" t="s">
        <v>57</v>
      </c>
      <c r="Q208" s="0" t="s">
        <v>1065</v>
      </c>
      <c r="T208" s="0" t="s">
        <v>33</v>
      </c>
    </row>
    <row r="209" customFormat="false" ht="15" hidden="false" customHeight="false" outlineLevel="0" collapsed="false">
      <c r="A209" s="0" t="n">
        <v>208</v>
      </c>
      <c r="D209" s="0" t="s">
        <v>1066</v>
      </c>
      <c r="E209" s="0" t="s">
        <v>21</v>
      </c>
      <c r="H209" s="0" t="s">
        <v>23</v>
      </c>
      <c r="I209" s="2" t="s">
        <v>24</v>
      </c>
      <c r="J209" s="2" t="s">
        <v>1051</v>
      </c>
      <c r="K209" s="0" t="s">
        <v>1052</v>
      </c>
      <c r="L209" s="0" t="s">
        <v>35</v>
      </c>
      <c r="M209" s="0" t="s">
        <v>1053</v>
      </c>
      <c r="N209" s="0" t="s">
        <v>1067</v>
      </c>
      <c r="O209" s="0" t="s">
        <v>37</v>
      </c>
      <c r="Q209" s="0" t="s">
        <v>1068</v>
      </c>
      <c r="R209" s="0" t="s">
        <v>1069</v>
      </c>
      <c r="S209" s="0" t="s">
        <v>1070</v>
      </c>
      <c r="T209" s="0" t="s">
        <v>33</v>
      </c>
    </row>
    <row r="210" customFormat="false" ht="15" hidden="false" customHeight="false" outlineLevel="0" collapsed="false">
      <c r="A210" s="0" t="n">
        <v>209</v>
      </c>
      <c r="D210" s="0" t="s">
        <v>1071</v>
      </c>
      <c r="E210" s="0" t="s">
        <v>21</v>
      </c>
      <c r="F210" s="0" t="s">
        <v>1072</v>
      </c>
      <c r="H210" s="0" t="s">
        <v>23</v>
      </c>
      <c r="I210" s="2" t="s">
        <v>24</v>
      </c>
      <c r="J210" s="2" t="s">
        <v>1051</v>
      </c>
      <c r="K210" s="0" t="s">
        <v>1052</v>
      </c>
      <c r="L210" s="0" t="s">
        <v>27</v>
      </c>
      <c r="M210" s="0" t="s">
        <v>1053</v>
      </c>
      <c r="N210" s="0" t="s">
        <v>509</v>
      </c>
      <c r="O210" s="0" t="s">
        <v>37</v>
      </c>
      <c r="P210" s="0" t="s">
        <v>510</v>
      </c>
      <c r="R210" s="0" t="s">
        <v>1073</v>
      </c>
      <c r="S210" s="0" t="s">
        <v>1074</v>
      </c>
      <c r="T210" s="0" t="s">
        <v>33</v>
      </c>
    </row>
    <row r="211" customFormat="false" ht="15" hidden="false" customHeight="false" outlineLevel="0" collapsed="false">
      <c r="A211" s="0" t="n">
        <v>210</v>
      </c>
      <c r="D211" s="0" t="s">
        <v>1075</v>
      </c>
      <c r="E211" s="0" t="s">
        <v>21</v>
      </c>
      <c r="F211" s="0" t="s">
        <v>1076</v>
      </c>
      <c r="H211" s="0" t="s">
        <v>23</v>
      </c>
      <c r="I211" s="2" t="s">
        <v>24</v>
      </c>
      <c r="J211" s="2" t="s">
        <v>1051</v>
      </c>
      <c r="K211" s="0" t="s">
        <v>1052</v>
      </c>
      <c r="L211" s="0" t="s">
        <v>1077</v>
      </c>
      <c r="M211" s="0" t="s">
        <v>1053</v>
      </c>
      <c r="N211" s="0" t="s">
        <v>1078</v>
      </c>
      <c r="O211" s="0" t="s">
        <v>30</v>
      </c>
      <c r="R211" s="0" t="s">
        <v>1079</v>
      </c>
      <c r="S211" s="0" t="s">
        <v>1080</v>
      </c>
      <c r="T211" s="0" t="s">
        <v>1081</v>
      </c>
    </row>
    <row r="212" customFormat="false" ht="15" hidden="false" customHeight="false" outlineLevel="0" collapsed="false">
      <c r="A212" s="0" t="n">
        <v>211</v>
      </c>
      <c r="D212" s="0" t="s">
        <v>1082</v>
      </c>
      <c r="E212" s="0" t="s">
        <v>21</v>
      </c>
      <c r="H212" s="0" t="s">
        <v>23</v>
      </c>
      <c r="I212" s="2" t="s">
        <v>24</v>
      </c>
      <c r="J212" s="2" t="s">
        <v>1051</v>
      </c>
      <c r="K212" s="0" t="s">
        <v>1052</v>
      </c>
      <c r="L212" s="0" t="s">
        <v>35</v>
      </c>
      <c r="M212" s="0" t="s">
        <v>1053</v>
      </c>
      <c r="N212" s="0" t="s">
        <v>1083</v>
      </c>
      <c r="O212" s="0" t="s">
        <v>30</v>
      </c>
      <c r="Q212" s="0" t="s">
        <v>1084</v>
      </c>
      <c r="R212" s="0" t="s">
        <v>1085</v>
      </c>
      <c r="S212" s="0" t="s">
        <v>1086</v>
      </c>
      <c r="T212" s="0" t="s">
        <v>33</v>
      </c>
    </row>
    <row r="213" customFormat="false" ht="15" hidden="false" customHeight="false" outlineLevel="0" collapsed="false">
      <c r="A213" s="0" t="n">
        <v>212</v>
      </c>
      <c r="D213" s="0" t="s">
        <v>546</v>
      </c>
      <c r="E213" s="0" t="s">
        <v>21</v>
      </c>
      <c r="F213" s="0" t="s">
        <v>1087</v>
      </c>
      <c r="H213" s="0" t="s">
        <v>23</v>
      </c>
      <c r="I213" s="2" t="s">
        <v>24</v>
      </c>
      <c r="J213" s="2" t="s">
        <v>1051</v>
      </c>
      <c r="K213" s="0" t="s">
        <v>1052</v>
      </c>
      <c r="L213" s="0" t="s">
        <v>27</v>
      </c>
      <c r="M213" s="0" t="s">
        <v>1053</v>
      </c>
      <c r="N213" s="0" t="s">
        <v>545</v>
      </c>
      <c r="O213" s="0" t="s">
        <v>30</v>
      </c>
      <c r="Q213" s="0" t="s">
        <v>1088</v>
      </c>
      <c r="R213" s="0" t="s">
        <v>1089</v>
      </c>
      <c r="S213" s="0" t="s">
        <v>1090</v>
      </c>
      <c r="T213" s="0" t="s">
        <v>33</v>
      </c>
    </row>
    <row r="214" customFormat="false" ht="15" hidden="false" customHeight="false" outlineLevel="0" collapsed="false">
      <c r="A214" s="0" t="n">
        <v>213</v>
      </c>
      <c r="D214" s="0" t="s">
        <v>1091</v>
      </c>
      <c r="E214" s="0" t="s">
        <v>21</v>
      </c>
      <c r="F214" s="0" t="s">
        <v>1092</v>
      </c>
      <c r="H214" s="0" t="s">
        <v>23</v>
      </c>
      <c r="I214" s="2" t="s">
        <v>24</v>
      </c>
      <c r="J214" s="2" t="s">
        <v>1051</v>
      </c>
      <c r="K214" s="0" t="s">
        <v>1052</v>
      </c>
      <c r="L214" s="0" t="s">
        <v>27</v>
      </c>
      <c r="M214" s="0" t="s">
        <v>1053</v>
      </c>
      <c r="N214" s="0" t="s">
        <v>186</v>
      </c>
      <c r="O214" s="0" t="s">
        <v>37</v>
      </c>
      <c r="P214" s="0" t="s">
        <v>187</v>
      </c>
      <c r="Q214" s="0" t="s">
        <v>1093</v>
      </c>
      <c r="R214" s="0" t="s">
        <v>1094</v>
      </c>
      <c r="S214" s="0" t="s">
        <v>1095</v>
      </c>
      <c r="T214" s="0" t="s">
        <v>33</v>
      </c>
    </row>
    <row r="215" customFormat="false" ht="15" hidden="false" customHeight="false" outlineLevel="0" collapsed="false">
      <c r="A215" s="0" t="n">
        <v>214</v>
      </c>
      <c r="D215" s="0" t="s">
        <v>1096</v>
      </c>
      <c r="E215" s="0" t="s">
        <v>21</v>
      </c>
      <c r="F215" s="0" t="s">
        <v>1097</v>
      </c>
      <c r="H215" s="0" t="s">
        <v>23</v>
      </c>
      <c r="I215" s="2" t="s">
        <v>24</v>
      </c>
      <c r="J215" s="2" t="s">
        <v>1051</v>
      </c>
      <c r="K215" s="0" t="s">
        <v>1052</v>
      </c>
      <c r="L215" s="0" t="s">
        <v>27</v>
      </c>
      <c r="M215" s="0" t="s">
        <v>1053</v>
      </c>
      <c r="N215" s="0" t="s">
        <v>1098</v>
      </c>
      <c r="O215" s="0" t="s">
        <v>37</v>
      </c>
      <c r="R215" s="0" t="s">
        <v>1099</v>
      </c>
      <c r="S215" s="0" t="s">
        <v>1100</v>
      </c>
      <c r="T215" s="0" t="s">
        <v>33</v>
      </c>
    </row>
    <row r="216" customFormat="false" ht="15" hidden="false" customHeight="false" outlineLevel="0" collapsed="false">
      <c r="A216" s="0" t="n">
        <v>215</v>
      </c>
      <c r="D216" s="0" t="s">
        <v>1101</v>
      </c>
      <c r="E216" s="0" t="s">
        <v>21</v>
      </c>
      <c r="H216" s="0" t="s">
        <v>23</v>
      </c>
      <c r="I216" s="2" t="s">
        <v>24</v>
      </c>
      <c r="J216" s="2" t="s">
        <v>1051</v>
      </c>
      <c r="K216" s="0" t="s">
        <v>1052</v>
      </c>
      <c r="L216" s="0" t="s">
        <v>35</v>
      </c>
      <c r="M216" s="0" t="s">
        <v>1053</v>
      </c>
      <c r="N216" s="0" t="s">
        <v>1102</v>
      </c>
      <c r="O216" s="0" t="s">
        <v>57</v>
      </c>
      <c r="R216" s="0" t="s">
        <v>1103</v>
      </c>
      <c r="T216" s="0" t="s">
        <v>33</v>
      </c>
    </row>
    <row r="217" customFormat="false" ht="15" hidden="false" customHeight="false" outlineLevel="0" collapsed="false">
      <c r="A217" s="0" t="n">
        <v>216</v>
      </c>
      <c r="D217" s="0" t="s">
        <v>1104</v>
      </c>
      <c r="E217" s="0" t="s">
        <v>165</v>
      </c>
      <c r="F217" s="0" t="s">
        <v>1105</v>
      </c>
      <c r="H217" s="0" t="s">
        <v>23</v>
      </c>
      <c r="I217" s="2" t="s">
        <v>24</v>
      </c>
      <c r="J217" s="2" t="s">
        <v>1051</v>
      </c>
      <c r="K217" s="0" t="s">
        <v>1052</v>
      </c>
      <c r="L217" s="0" t="s">
        <v>1106</v>
      </c>
      <c r="M217" s="0" t="s">
        <v>1053</v>
      </c>
      <c r="N217" s="0" t="s">
        <v>748</v>
      </c>
      <c r="O217" s="0" t="s">
        <v>37</v>
      </c>
      <c r="P217" s="0" t="s">
        <v>749</v>
      </c>
      <c r="Q217" s="0" t="s">
        <v>1107</v>
      </c>
      <c r="R217" s="0" t="s">
        <v>1108</v>
      </c>
      <c r="S217" s="0" t="s">
        <v>1109</v>
      </c>
      <c r="T217" s="0" t="s">
        <v>1110</v>
      </c>
    </row>
    <row r="218" customFormat="false" ht="15" hidden="false" customHeight="false" outlineLevel="0" collapsed="false">
      <c r="A218" s="0" t="n">
        <v>217</v>
      </c>
      <c r="D218" s="0" t="s">
        <v>1111</v>
      </c>
      <c r="E218" s="0" t="s">
        <v>21</v>
      </c>
      <c r="F218" s="0" t="s">
        <v>1112</v>
      </c>
      <c r="H218" s="0" t="s">
        <v>23</v>
      </c>
      <c r="I218" s="2" t="s">
        <v>24</v>
      </c>
      <c r="J218" s="2" t="s">
        <v>1051</v>
      </c>
      <c r="K218" s="0" t="s">
        <v>1052</v>
      </c>
      <c r="L218" s="0" t="s">
        <v>27</v>
      </c>
      <c r="M218" s="0" t="s">
        <v>1053</v>
      </c>
      <c r="N218" s="0" t="s">
        <v>1113</v>
      </c>
      <c r="O218" s="0" t="s">
        <v>37</v>
      </c>
      <c r="R218" s="0" t="s">
        <v>1114</v>
      </c>
      <c r="S218" s="0" t="s">
        <v>1115</v>
      </c>
      <c r="T218" s="0" t="s">
        <v>33</v>
      </c>
    </row>
    <row r="219" customFormat="false" ht="15" hidden="false" customHeight="false" outlineLevel="0" collapsed="false">
      <c r="A219" s="0" t="n">
        <v>218</v>
      </c>
      <c r="D219" s="0" t="s">
        <v>1116</v>
      </c>
      <c r="E219" s="0" t="s">
        <v>21</v>
      </c>
      <c r="F219" s="0" t="s">
        <v>1117</v>
      </c>
      <c r="H219" s="0" t="s">
        <v>23</v>
      </c>
      <c r="I219" s="2" t="s">
        <v>24</v>
      </c>
      <c r="J219" s="2" t="s">
        <v>1051</v>
      </c>
      <c r="K219" s="0" t="s">
        <v>1052</v>
      </c>
      <c r="L219" s="0" t="s">
        <v>27</v>
      </c>
      <c r="M219" s="0" t="s">
        <v>1053</v>
      </c>
      <c r="N219" s="0" t="s">
        <v>509</v>
      </c>
      <c r="O219" s="0" t="s">
        <v>37</v>
      </c>
      <c r="P219" s="0" t="s">
        <v>510</v>
      </c>
      <c r="R219" s="0" t="s">
        <v>1118</v>
      </c>
      <c r="S219" s="0" t="s">
        <v>1119</v>
      </c>
      <c r="T219" s="0" t="s">
        <v>33</v>
      </c>
    </row>
    <row r="220" customFormat="false" ht="15" hidden="false" customHeight="false" outlineLevel="0" collapsed="false">
      <c r="A220" s="0" t="n">
        <v>219</v>
      </c>
      <c r="D220" s="0" t="s">
        <v>1120</v>
      </c>
      <c r="E220" s="0" t="s">
        <v>21</v>
      </c>
      <c r="F220" s="0" t="s">
        <v>1121</v>
      </c>
      <c r="H220" s="0" t="s">
        <v>23</v>
      </c>
      <c r="I220" s="2" t="s">
        <v>24</v>
      </c>
      <c r="J220" s="2" t="s">
        <v>1051</v>
      </c>
      <c r="K220" s="0" t="s">
        <v>1052</v>
      </c>
      <c r="L220" s="0" t="s">
        <v>27</v>
      </c>
      <c r="M220" s="0" t="s">
        <v>1053</v>
      </c>
      <c r="N220" s="0" t="s">
        <v>186</v>
      </c>
      <c r="O220" s="0" t="s">
        <v>37</v>
      </c>
      <c r="P220" s="0" t="s">
        <v>187</v>
      </c>
      <c r="R220" s="0" t="s">
        <v>1122</v>
      </c>
      <c r="S220" s="0" t="s">
        <v>1123</v>
      </c>
      <c r="T220" s="0" t="s">
        <v>33</v>
      </c>
    </row>
    <row r="221" customFormat="false" ht="15" hidden="false" customHeight="false" outlineLevel="0" collapsed="false">
      <c r="A221" s="0" t="n">
        <v>220</v>
      </c>
      <c r="D221" s="0" t="s">
        <v>1124</v>
      </c>
      <c r="E221" s="0" t="s">
        <v>21</v>
      </c>
      <c r="F221" s="0" t="s">
        <v>1125</v>
      </c>
      <c r="H221" s="0" t="s">
        <v>23</v>
      </c>
      <c r="I221" s="2" t="s">
        <v>24</v>
      </c>
      <c r="J221" s="2" t="s">
        <v>1051</v>
      </c>
      <c r="K221" s="0" t="s">
        <v>1052</v>
      </c>
      <c r="L221" s="0" t="s">
        <v>27</v>
      </c>
      <c r="M221" s="0" t="s">
        <v>1053</v>
      </c>
      <c r="N221" s="0" t="s">
        <v>1126</v>
      </c>
      <c r="O221" s="0" t="s">
        <v>57</v>
      </c>
      <c r="R221" s="0" t="s">
        <v>1127</v>
      </c>
      <c r="S221" s="0" t="s">
        <v>1128</v>
      </c>
      <c r="T221" s="0" t="s">
        <v>33</v>
      </c>
    </row>
    <row r="222" customFormat="false" ht="15" hidden="false" customHeight="false" outlineLevel="0" collapsed="false">
      <c r="A222" s="0" t="n">
        <v>221</v>
      </c>
      <c r="D222" s="0" t="s">
        <v>1129</v>
      </c>
      <c r="E222" s="0" t="s">
        <v>21</v>
      </c>
      <c r="F222" s="0" t="s">
        <v>1130</v>
      </c>
      <c r="H222" s="0" t="s">
        <v>23</v>
      </c>
      <c r="I222" s="2" t="s">
        <v>24</v>
      </c>
      <c r="J222" s="2" t="s">
        <v>1051</v>
      </c>
      <c r="K222" s="0" t="s">
        <v>1052</v>
      </c>
      <c r="L222" s="0" t="s">
        <v>1131</v>
      </c>
      <c r="M222" s="0" t="s">
        <v>1053</v>
      </c>
      <c r="N222" s="0" t="s">
        <v>1132</v>
      </c>
      <c r="O222" s="0" t="s">
        <v>57</v>
      </c>
      <c r="R222" s="0" t="s">
        <v>1133</v>
      </c>
      <c r="S222" s="0" t="s">
        <v>1134</v>
      </c>
      <c r="T222" s="0" t="s">
        <v>1135</v>
      </c>
    </row>
    <row r="223" customFormat="false" ht="15" hidden="false" customHeight="false" outlineLevel="0" collapsed="false">
      <c r="A223" s="0" t="n">
        <v>222</v>
      </c>
      <c r="D223" s="0" t="s">
        <v>1136</v>
      </c>
      <c r="E223" s="0" t="s">
        <v>21</v>
      </c>
      <c r="F223" s="0" t="s">
        <v>1137</v>
      </c>
      <c r="H223" s="0" t="s">
        <v>23</v>
      </c>
      <c r="I223" s="2" t="s">
        <v>24</v>
      </c>
      <c r="J223" s="2" t="s">
        <v>1051</v>
      </c>
      <c r="K223" s="0" t="s">
        <v>1052</v>
      </c>
      <c r="L223" s="0" t="s">
        <v>1138</v>
      </c>
      <c r="M223" s="0" t="s">
        <v>1053</v>
      </c>
      <c r="N223" s="0" t="s">
        <v>1139</v>
      </c>
      <c r="O223" s="0" t="s">
        <v>57</v>
      </c>
      <c r="Q223" s="0" t="s">
        <v>1140</v>
      </c>
      <c r="R223" s="0" t="s">
        <v>1141</v>
      </c>
      <c r="S223" s="0" t="s">
        <v>1142</v>
      </c>
      <c r="T223" s="0" t="s">
        <v>1143</v>
      </c>
    </row>
    <row r="224" customFormat="false" ht="15" hidden="false" customHeight="false" outlineLevel="0" collapsed="false">
      <c r="A224" s="0" t="n">
        <v>223</v>
      </c>
      <c r="D224" s="0" t="s">
        <v>1144</v>
      </c>
      <c r="E224" s="0" t="s">
        <v>21</v>
      </c>
      <c r="F224" s="0" t="s">
        <v>1145</v>
      </c>
      <c r="H224" s="0" t="s">
        <v>23</v>
      </c>
      <c r="I224" s="2" t="s">
        <v>24</v>
      </c>
      <c r="J224" s="2" t="s">
        <v>1051</v>
      </c>
      <c r="K224" s="0" t="s">
        <v>1052</v>
      </c>
      <c r="L224" s="0" t="s">
        <v>27</v>
      </c>
      <c r="M224" s="0" t="s">
        <v>1053</v>
      </c>
      <c r="N224" s="0" t="s">
        <v>1146</v>
      </c>
      <c r="O224" s="0" t="s">
        <v>57</v>
      </c>
      <c r="Q224" s="0" t="s">
        <v>1147</v>
      </c>
      <c r="R224" s="0" t="s">
        <v>1148</v>
      </c>
      <c r="S224" s="0" t="s">
        <v>1149</v>
      </c>
      <c r="T224" s="0" t="s">
        <v>33</v>
      </c>
    </row>
    <row r="225" customFormat="false" ht="15" hidden="false" customHeight="false" outlineLevel="0" collapsed="false">
      <c r="A225" s="0" t="n">
        <v>224</v>
      </c>
      <c r="D225" s="0" t="s">
        <v>1150</v>
      </c>
      <c r="E225" s="0" t="s">
        <v>21</v>
      </c>
      <c r="F225" s="0" t="s">
        <v>1151</v>
      </c>
      <c r="H225" s="0" t="s">
        <v>23</v>
      </c>
      <c r="I225" s="2" t="s">
        <v>24</v>
      </c>
      <c r="J225" s="2" t="s">
        <v>1051</v>
      </c>
      <c r="K225" s="0" t="s">
        <v>1052</v>
      </c>
      <c r="L225" s="0" t="s">
        <v>1152</v>
      </c>
      <c r="M225" s="0" t="s">
        <v>1053</v>
      </c>
      <c r="N225" s="0" t="s">
        <v>509</v>
      </c>
      <c r="O225" s="0" t="s">
        <v>37</v>
      </c>
      <c r="P225" s="0" t="s">
        <v>510</v>
      </c>
      <c r="Q225" s="0" t="s">
        <v>1153</v>
      </c>
      <c r="R225" s="0" t="s">
        <v>1154</v>
      </c>
      <c r="S225" s="0" t="s">
        <v>1155</v>
      </c>
      <c r="T225" s="0" t="s">
        <v>1156</v>
      </c>
    </row>
    <row r="226" customFormat="false" ht="15" hidden="false" customHeight="false" outlineLevel="0" collapsed="false">
      <c r="A226" s="0" t="n">
        <v>225</v>
      </c>
      <c r="D226" s="0" t="s">
        <v>1157</v>
      </c>
      <c r="E226" s="0" t="s">
        <v>21</v>
      </c>
      <c r="H226" s="0" t="s">
        <v>23</v>
      </c>
      <c r="I226" s="2" t="s">
        <v>24</v>
      </c>
      <c r="J226" s="2" t="s">
        <v>1051</v>
      </c>
      <c r="K226" s="0" t="s">
        <v>1052</v>
      </c>
      <c r="L226" s="0" t="s">
        <v>35</v>
      </c>
      <c r="M226" s="0" t="s">
        <v>1053</v>
      </c>
      <c r="N226" s="0" t="s">
        <v>1158</v>
      </c>
      <c r="O226" s="0" t="s">
        <v>57</v>
      </c>
      <c r="T226" s="0" t="s">
        <v>33</v>
      </c>
    </row>
    <row r="227" customFormat="false" ht="15" hidden="false" customHeight="false" outlineLevel="0" collapsed="false">
      <c r="A227" s="0" t="n">
        <v>226</v>
      </c>
      <c r="D227" s="0" t="s">
        <v>1159</v>
      </c>
      <c r="E227" s="0" t="s">
        <v>21</v>
      </c>
      <c r="F227" s="0" t="s">
        <v>1160</v>
      </c>
      <c r="H227" s="0" t="s">
        <v>23</v>
      </c>
      <c r="I227" s="2" t="s">
        <v>24</v>
      </c>
      <c r="J227" s="2" t="s">
        <v>1051</v>
      </c>
      <c r="K227" s="0" t="s">
        <v>1052</v>
      </c>
      <c r="L227" s="0" t="s">
        <v>1161</v>
      </c>
      <c r="M227" s="0" t="s">
        <v>1053</v>
      </c>
      <c r="N227" s="0" t="s">
        <v>1162</v>
      </c>
      <c r="O227" s="0" t="s">
        <v>57</v>
      </c>
      <c r="R227" s="0" t="s">
        <v>1163</v>
      </c>
      <c r="S227" s="0" t="s">
        <v>1164</v>
      </c>
      <c r="T227" s="0" t="s">
        <v>1165</v>
      </c>
    </row>
    <row r="228" customFormat="false" ht="15" hidden="false" customHeight="false" outlineLevel="0" collapsed="false">
      <c r="A228" s="0" t="n">
        <v>227</v>
      </c>
      <c r="D228" s="0" t="s">
        <v>1166</v>
      </c>
      <c r="E228" s="0" t="s">
        <v>21</v>
      </c>
      <c r="H228" s="0" t="s">
        <v>23</v>
      </c>
      <c r="I228" s="2" t="s">
        <v>24</v>
      </c>
      <c r="J228" s="2" t="s">
        <v>1051</v>
      </c>
      <c r="K228" s="0" t="s">
        <v>1052</v>
      </c>
      <c r="L228" s="0" t="s">
        <v>35</v>
      </c>
      <c r="M228" s="0" t="s">
        <v>1053</v>
      </c>
      <c r="N228" s="0" t="s">
        <v>1167</v>
      </c>
      <c r="O228" s="0" t="s">
        <v>57</v>
      </c>
      <c r="Q228" s="0" t="s">
        <v>1168</v>
      </c>
      <c r="R228" s="0" t="s">
        <v>1169</v>
      </c>
      <c r="T228" s="0" t="s">
        <v>33</v>
      </c>
    </row>
    <row r="229" customFormat="false" ht="15" hidden="false" customHeight="false" outlineLevel="0" collapsed="false">
      <c r="A229" s="0" t="n">
        <v>228</v>
      </c>
      <c r="D229" s="0" t="s">
        <v>1170</v>
      </c>
      <c r="E229" s="0" t="s">
        <v>21</v>
      </c>
      <c r="F229" s="0" t="s">
        <v>1171</v>
      </c>
      <c r="H229" s="0" t="s">
        <v>23</v>
      </c>
      <c r="I229" s="2" t="s">
        <v>24</v>
      </c>
      <c r="J229" s="2" t="s">
        <v>1051</v>
      </c>
      <c r="K229" s="0" t="s">
        <v>1052</v>
      </c>
      <c r="L229" s="0" t="s">
        <v>27</v>
      </c>
      <c r="M229" s="0" t="s">
        <v>1053</v>
      </c>
      <c r="N229" s="0" t="s">
        <v>115</v>
      </c>
      <c r="O229" s="0" t="s">
        <v>30</v>
      </c>
      <c r="P229" s="0" t="s">
        <v>116</v>
      </c>
      <c r="R229" s="0" t="s">
        <v>1172</v>
      </c>
      <c r="S229" s="0" t="s">
        <v>1173</v>
      </c>
      <c r="T229" s="0" t="s">
        <v>33</v>
      </c>
    </row>
    <row r="230" customFormat="false" ht="15" hidden="false" customHeight="false" outlineLevel="0" collapsed="false">
      <c r="A230" s="0" t="n">
        <v>229</v>
      </c>
      <c r="D230" s="0" t="s">
        <v>1174</v>
      </c>
      <c r="E230" s="0" t="s">
        <v>21</v>
      </c>
      <c r="F230" s="0" t="s">
        <v>1175</v>
      </c>
      <c r="H230" s="0" t="s">
        <v>23</v>
      </c>
      <c r="I230" s="2" t="s">
        <v>24</v>
      </c>
      <c r="J230" s="2" t="s">
        <v>1051</v>
      </c>
      <c r="K230" s="0" t="s">
        <v>1052</v>
      </c>
      <c r="L230" s="0" t="s">
        <v>27</v>
      </c>
      <c r="M230" s="0" t="s">
        <v>1053</v>
      </c>
      <c r="N230" s="0" t="s">
        <v>1176</v>
      </c>
      <c r="O230" s="0" t="s">
        <v>37</v>
      </c>
      <c r="R230" s="0" t="s">
        <v>1177</v>
      </c>
      <c r="S230" s="0" t="s">
        <v>1178</v>
      </c>
      <c r="T230" s="0" t="s">
        <v>33</v>
      </c>
    </row>
    <row r="231" customFormat="false" ht="15" hidden="false" customHeight="false" outlineLevel="0" collapsed="false">
      <c r="A231" s="0" t="n">
        <v>230</v>
      </c>
      <c r="D231" s="0" t="s">
        <v>1179</v>
      </c>
      <c r="E231" s="0" t="s">
        <v>21</v>
      </c>
      <c r="F231" s="0" t="s">
        <v>1180</v>
      </c>
      <c r="H231" s="0" t="s">
        <v>23</v>
      </c>
      <c r="I231" s="2" t="s">
        <v>24</v>
      </c>
      <c r="J231" s="2" t="s">
        <v>1051</v>
      </c>
      <c r="K231" s="0" t="s">
        <v>1052</v>
      </c>
      <c r="L231" s="0" t="s">
        <v>27</v>
      </c>
      <c r="M231" s="0" t="s">
        <v>1053</v>
      </c>
      <c r="N231" s="0" t="s">
        <v>1181</v>
      </c>
      <c r="O231" s="0" t="s">
        <v>57</v>
      </c>
      <c r="Q231" s="0" t="s">
        <v>1182</v>
      </c>
      <c r="R231" s="0" t="s">
        <v>1183</v>
      </c>
      <c r="S231" s="0" t="s">
        <v>1184</v>
      </c>
      <c r="T231" s="0" t="s">
        <v>33</v>
      </c>
    </row>
    <row r="232" customFormat="false" ht="15" hidden="false" customHeight="false" outlineLevel="0" collapsed="false">
      <c r="A232" s="0" t="n">
        <v>231</v>
      </c>
      <c r="D232" s="0" t="s">
        <v>1185</v>
      </c>
      <c r="E232" s="0" t="s">
        <v>21</v>
      </c>
      <c r="F232" s="0" t="s">
        <v>1186</v>
      </c>
      <c r="H232" s="0" t="s">
        <v>23</v>
      </c>
      <c r="I232" s="2" t="s">
        <v>24</v>
      </c>
      <c r="J232" s="2" t="s">
        <v>1051</v>
      </c>
      <c r="K232" s="0" t="s">
        <v>1052</v>
      </c>
      <c r="L232" s="0" t="s">
        <v>27</v>
      </c>
      <c r="M232" s="0" t="s">
        <v>1053</v>
      </c>
      <c r="N232" s="0" t="s">
        <v>1187</v>
      </c>
      <c r="O232" s="0" t="s">
        <v>37</v>
      </c>
      <c r="Q232" s="0" t="s">
        <v>1188</v>
      </c>
      <c r="R232" s="0" t="s">
        <v>1189</v>
      </c>
      <c r="S232" s="0" t="s">
        <v>1190</v>
      </c>
      <c r="T232" s="0" t="s">
        <v>33</v>
      </c>
    </row>
    <row r="233" customFormat="false" ht="15" hidden="false" customHeight="false" outlineLevel="0" collapsed="false">
      <c r="A233" s="0" t="n">
        <v>232</v>
      </c>
      <c r="D233" s="0" t="s">
        <v>1191</v>
      </c>
      <c r="E233" s="0" t="s">
        <v>21</v>
      </c>
      <c r="F233" s="0" t="s">
        <v>1192</v>
      </c>
      <c r="H233" s="0" t="s">
        <v>23</v>
      </c>
      <c r="I233" s="2" t="s">
        <v>24</v>
      </c>
      <c r="J233" s="2" t="s">
        <v>1051</v>
      </c>
      <c r="K233" s="0" t="s">
        <v>1052</v>
      </c>
      <c r="L233" s="0" t="s">
        <v>27</v>
      </c>
      <c r="M233" s="0" t="s">
        <v>1053</v>
      </c>
      <c r="N233" s="0" t="s">
        <v>1193</v>
      </c>
      <c r="O233" s="0" t="s">
        <v>30</v>
      </c>
      <c r="R233" s="0" t="s">
        <v>1194</v>
      </c>
      <c r="S233" s="0" t="s">
        <v>1195</v>
      </c>
      <c r="T233" s="0" t="s">
        <v>33</v>
      </c>
    </row>
    <row r="234" customFormat="false" ht="15" hidden="false" customHeight="false" outlineLevel="0" collapsed="false">
      <c r="A234" s="0" t="n">
        <v>233</v>
      </c>
      <c r="D234" s="0" t="s">
        <v>1196</v>
      </c>
      <c r="E234" s="0" t="s">
        <v>21</v>
      </c>
      <c r="F234" s="0" t="s">
        <v>1197</v>
      </c>
      <c r="H234" s="0" t="s">
        <v>23</v>
      </c>
      <c r="I234" s="2" t="s">
        <v>24</v>
      </c>
      <c r="J234" s="2" t="s">
        <v>1051</v>
      </c>
      <c r="K234" s="0" t="s">
        <v>1052</v>
      </c>
      <c r="L234" s="0" t="s">
        <v>1198</v>
      </c>
      <c r="M234" s="0" t="s">
        <v>1053</v>
      </c>
      <c r="N234" s="0" t="s">
        <v>1199</v>
      </c>
      <c r="O234" s="0" t="s">
        <v>30</v>
      </c>
      <c r="R234" s="0" t="s">
        <v>1200</v>
      </c>
      <c r="S234" s="0" t="s">
        <v>1201</v>
      </c>
      <c r="T234" s="0" t="s">
        <v>1202</v>
      </c>
    </row>
    <row r="235" customFormat="false" ht="15" hidden="false" customHeight="false" outlineLevel="0" collapsed="false">
      <c r="A235" s="0" t="n">
        <v>234</v>
      </c>
      <c r="D235" s="0" t="s">
        <v>1203</v>
      </c>
      <c r="E235" s="0" t="s">
        <v>21</v>
      </c>
      <c r="H235" s="0" t="s">
        <v>23</v>
      </c>
      <c r="I235" s="2" t="s">
        <v>24</v>
      </c>
      <c r="J235" s="2" t="s">
        <v>1051</v>
      </c>
      <c r="K235" s="0" t="s">
        <v>1052</v>
      </c>
      <c r="L235" s="0" t="s">
        <v>35</v>
      </c>
      <c r="M235" s="0" t="s">
        <v>1053</v>
      </c>
      <c r="N235" s="0" t="s">
        <v>1204</v>
      </c>
      <c r="O235" s="0" t="s">
        <v>37</v>
      </c>
      <c r="Q235" s="0" t="s">
        <v>1205</v>
      </c>
      <c r="R235" s="0" t="s">
        <v>1206</v>
      </c>
      <c r="T235" s="0" t="s">
        <v>33</v>
      </c>
    </row>
    <row r="236" customFormat="false" ht="15" hidden="false" customHeight="false" outlineLevel="0" collapsed="false">
      <c r="A236" s="0" t="n">
        <v>235</v>
      </c>
      <c r="D236" s="0" t="s">
        <v>1207</v>
      </c>
      <c r="E236" s="0" t="s">
        <v>21</v>
      </c>
      <c r="F236" s="0" t="s">
        <v>1208</v>
      </c>
      <c r="H236" s="0" t="s">
        <v>23</v>
      </c>
      <c r="I236" s="2" t="s">
        <v>24</v>
      </c>
      <c r="J236" s="2" t="s">
        <v>1051</v>
      </c>
      <c r="K236" s="0" t="s">
        <v>1052</v>
      </c>
      <c r="L236" s="0" t="s">
        <v>27</v>
      </c>
      <c r="M236" s="0" t="s">
        <v>1053</v>
      </c>
      <c r="N236" s="0" t="s">
        <v>186</v>
      </c>
      <c r="O236" s="0" t="s">
        <v>37</v>
      </c>
      <c r="P236" s="0" t="s">
        <v>187</v>
      </c>
      <c r="Q236" s="0" t="s">
        <v>1209</v>
      </c>
      <c r="R236" s="0" t="s">
        <v>1210</v>
      </c>
      <c r="S236" s="0" t="s">
        <v>1211</v>
      </c>
      <c r="T236" s="0" t="s">
        <v>33</v>
      </c>
    </row>
    <row r="237" customFormat="false" ht="15" hidden="false" customHeight="false" outlineLevel="0" collapsed="false">
      <c r="A237" s="0" t="n">
        <v>236</v>
      </c>
      <c r="D237" s="0" t="s">
        <v>1212</v>
      </c>
      <c r="E237" s="0" t="s">
        <v>21</v>
      </c>
      <c r="F237" s="0" t="s">
        <v>1213</v>
      </c>
      <c r="H237" s="0" t="s">
        <v>23</v>
      </c>
      <c r="I237" s="2" t="s">
        <v>24</v>
      </c>
      <c r="J237" s="2" t="s">
        <v>1051</v>
      </c>
      <c r="K237" s="0" t="s">
        <v>1052</v>
      </c>
      <c r="L237" s="0" t="s">
        <v>27</v>
      </c>
      <c r="M237" s="0" t="s">
        <v>1053</v>
      </c>
      <c r="N237" s="0" t="s">
        <v>976</v>
      </c>
      <c r="O237" s="0" t="s">
        <v>37</v>
      </c>
      <c r="P237" s="0" t="s">
        <v>974</v>
      </c>
      <c r="R237" s="0" t="s">
        <v>1214</v>
      </c>
      <c r="S237" s="0" t="s">
        <v>1215</v>
      </c>
      <c r="T237" s="0" t="s">
        <v>33</v>
      </c>
    </row>
    <row r="238" customFormat="false" ht="15" hidden="false" customHeight="false" outlineLevel="0" collapsed="false">
      <c r="A238" s="0" t="n">
        <v>237</v>
      </c>
      <c r="D238" s="0" t="s">
        <v>1216</v>
      </c>
      <c r="E238" s="0" t="s">
        <v>21</v>
      </c>
      <c r="F238" s="0" t="s">
        <v>1217</v>
      </c>
      <c r="H238" s="0" t="s">
        <v>23</v>
      </c>
      <c r="I238" s="2" t="s">
        <v>24</v>
      </c>
      <c r="J238" s="2" t="s">
        <v>1051</v>
      </c>
      <c r="K238" s="0" t="s">
        <v>1052</v>
      </c>
      <c r="L238" s="0" t="s">
        <v>27</v>
      </c>
      <c r="M238" s="0" t="s">
        <v>1053</v>
      </c>
      <c r="N238" s="0" t="s">
        <v>509</v>
      </c>
      <c r="O238" s="0" t="s">
        <v>37</v>
      </c>
      <c r="P238" s="0" t="s">
        <v>510</v>
      </c>
      <c r="Q238" s="0" t="s">
        <v>1218</v>
      </c>
      <c r="R238" s="0" t="s">
        <v>1219</v>
      </c>
      <c r="S238" s="0" t="s">
        <v>1220</v>
      </c>
      <c r="T238" s="0" t="s">
        <v>33</v>
      </c>
    </row>
    <row r="239" customFormat="false" ht="15" hidden="false" customHeight="false" outlineLevel="0" collapsed="false">
      <c r="A239" s="0" t="n">
        <v>238</v>
      </c>
      <c r="D239" s="0" t="s">
        <v>1221</v>
      </c>
      <c r="E239" s="0" t="s">
        <v>484</v>
      </c>
      <c r="F239" s="0" t="s">
        <v>1222</v>
      </c>
      <c r="H239" s="0" t="s">
        <v>23</v>
      </c>
      <c r="I239" s="2" t="s">
        <v>24</v>
      </c>
      <c r="J239" s="2" t="s">
        <v>1051</v>
      </c>
      <c r="K239" s="0" t="s">
        <v>1052</v>
      </c>
      <c r="L239" s="0" t="s">
        <v>27</v>
      </c>
      <c r="M239" s="0" t="s">
        <v>1053</v>
      </c>
      <c r="N239" s="0" t="s">
        <v>487</v>
      </c>
      <c r="O239" s="0" t="s">
        <v>37</v>
      </c>
      <c r="P239" s="0" t="s">
        <v>488</v>
      </c>
      <c r="Q239" s="0" t="s">
        <v>1223</v>
      </c>
      <c r="R239" s="0" t="s">
        <v>1224</v>
      </c>
      <c r="S239" s="0" t="s">
        <v>1225</v>
      </c>
      <c r="T239" s="0" t="s">
        <v>33</v>
      </c>
    </row>
    <row r="240" customFormat="false" ht="15" hidden="false" customHeight="false" outlineLevel="0" collapsed="false">
      <c r="A240" s="0" t="n">
        <v>239</v>
      </c>
      <c r="D240" s="0" t="s">
        <v>1226</v>
      </c>
      <c r="E240" s="0" t="s">
        <v>21</v>
      </c>
      <c r="F240" s="0" t="s">
        <v>1227</v>
      </c>
      <c r="H240" s="0" t="s">
        <v>23</v>
      </c>
      <c r="I240" s="2" t="s">
        <v>24</v>
      </c>
      <c r="J240" s="2" t="s">
        <v>1051</v>
      </c>
      <c r="K240" s="0" t="s">
        <v>1052</v>
      </c>
      <c r="L240" s="0" t="s">
        <v>27</v>
      </c>
      <c r="M240" s="0" t="s">
        <v>1053</v>
      </c>
      <c r="N240" s="0" t="s">
        <v>509</v>
      </c>
      <c r="O240" s="0" t="s">
        <v>37</v>
      </c>
      <c r="P240" s="0" t="s">
        <v>510</v>
      </c>
      <c r="R240" s="0" t="s">
        <v>1228</v>
      </c>
      <c r="S240" s="0" t="s">
        <v>1229</v>
      </c>
      <c r="T240" s="0" t="s">
        <v>33</v>
      </c>
    </row>
    <row r="241" customFormat="false" ht="15" hidden="false" customHeight="false" outlineLevel="0" collapsed="false">
      <c r="A241" s="0" t="n">
        <v>240</v>
      </c>
      <c r="D241" s="0" t="s">
        <v>1230</v>
      </c>
      <c r="E241" s="0" t="s">
        <v>21</v>
      </c>
      <c r="F241" s="0" t="s">
        <v>1231</v>
      </c>
      <c r="H241" s="0" t="s">
        <v>23</v>
      </c>
      <c r="I241" s="2" t="s">
        <v>24</v>
      </c>
      <c r="J241" s="2" t="s">
        <v>1051</v>
      </c>
      <c r="K241" s="0" t="s">
        <v>1052</v>
      </c>
      <c r="L241" s="0" t="s">
        <v>27</v>
      </c>
      <c r="M241" s="0" t="s">
        <v>1053</v>
      </c>
      <c r="N241" s="0" t="s">
        <v>249</v>
      </c>
      <c r="O241" s="0" t="s">
        <v>37</v>
      </c>
      <c r="P241" s="0" t="s">
        <v>250</v>
      </c>
      <c r="Q241" s="0" t="s">
        <v>1232</v>
      </c>
      <c r="R241" s="0" t="s">
        <v>1233</v>
      </c>
      <c r="S241" s="0" t="s">
        <v>1234</v>
      </c>
      <c r="T241" s="0" t="s">
        <v>33</v>
      </c>
    </row>
    <row r="242" customFormat="false" ht="15" hidden="false" customHeight="false" outlineLevel="0" collapsed="false">
      <c r="A242" s="0" t="n">
        <v>241</v>
      </c>
      <c r="D242" s="0" t="s">
        <v>1235</v>
      </c>
      <c r="E242" s="0" t="s">
        <v>21</v>
      </c>
      <c r="F242" s="0" t="s">
        <v>1236</v>
      </c>
      <c r="H242" s="0" t="s">
        <v>23</v>
      </c>
      <c r="I242" s="2" t="s">
        <v>24</v>
      </c>
      <c r="J242" s="2" t="s">
        <v>1051</v>
      </c>
      <c r="K242" s="0" t="s">
        <v>1052</v>
      </c>
      <c r="L242" s="0" t="s">
        <v>27</v>
      </c>
      <c r="M242" s="0" t="s">
        <v>1053</v>
      </c>
      <c r="N242" s="0" t="s">
        <v>1237</v>
      </c>
      <c r="O242" s="0" t="s">
        <v>57</v>
      </c>
      <c r="R242" s="0" t="s">
        <v>1238</v>
      </c>
      <c r="S242" s="0" t="s">
        <v>1239</v>
      </c>
      <c r="T242" s="0" t="s">
        <v>33</v>
      </c>
    </row>
    <row r="243" customFormat="false" ht="15" hidden="false" customHeight="false" outlineLevel="0" collapsed="false">
      <c r="A243" s="0" t="n">
        <v>242</v>
      </c>
      <c r="D243" s="0" t="s">
        <v>1240</v>
      </c>
      <c r="E243" s="0" t="s">
        <v>21</v>
      </c>
      <c r="F243" s="0" t="s">
        <v>1241</v>
      </c>
      <c r="H243" s="0" t="s">
        <v>23</v>
      </c>
      <c r="I243" s="2" t="s">
        <v>24</v>
      </c>
      <c r="J243" s="2" t="s">
        <v>1051</v>
      </c>
      <c r="K243" s="0" t="s">
        <v>1052</v>
      </c>
      <c r="L243" s="0" t="s">
        <v>27</v>
      </c>
      <c r="M243" s="0" t="s">
        <v>1053</v>
      </c>
      <c r="N243" s="0" t="s">
        <v>1242</v>
      </c>
      <c r="O243" s="0" t="s">
        <v>57</v>
      </c>
      <c r="R243" s="0" t="s">
        <v>1243</v>
      </c>
      <c r="S243" s="0" t="s">
        <v>1244</v>
      </c>
      <c r="T243" s="0" t="s">
        <v>33</v>
      </c>
    </row>
    <row r="244" customFormat="false" ht="15" hidden="false" customHeight="false" outlineLevel="0" collapsed="false">
      <c r="A244" s="0" t="n">
        <v>243</v>
      </c>
      <c r="D244" s="0" t="s">
        <v>1245</v>
      </c>
      <c r="E244" s="0" t="s">
        <v>21</v>
      </c>
      <c r="F244" s="0" t="s">
        <v>1246</v>
      </c>
      <c r="H244" s="0" t="s">
        <v>23</v>
      </c>
      <c r="I244" s="2" t="s">
        <v>24</v>
      </c>
      <c r="J244" s="2" t="s">
        <v>1051</v>
      </c>
      <c r="K244" s="0" t="s">
        <v>1052</v>
      </c>
      <c r="L244" s="0" t="s">
        <v>27</v>
      </c>
      <c r="M244" s="0" t="s">
        <v>1053</v>
      </c>
      <c r="N244" s="0" t="s">
        <v>1247</v>
      </c>
      <c r="O244" s="0" t="s">
        <v>37</v>
      </c>
      <c r="Q244" s="0" t="s">
        <v>1248</v>
      </c>
      <c r="R244" s="0" t="s">
        <v>1249</v>
      </c>
      <c r="S244" s="0" t="s">
        <v>1250</v>
      </c>
      <c r="T244" s="0" t="s">
        <v>33</v>
      </c>
    </row>
    <row r="245" customFormat="false" ht="15" hidden="false" customHeight="false" outlineLevel="0" collapsed="false">
      <c r="A245" s="0" t="n">
        <v>244</v>
      </c>
      <c r="D245" s="0" t="s">
        <v>1251</v>
      </c>
      <c r="E245" s="0" t="s">
        <v>165</v>
      </c>
      <c r="H245" s="0" t="s">
        <v>23</v>
      </c>
      <c r="I245" s="2" t="s">
        <v>24</v>
      </c>
      <c r="J245" s="2" t="s">
        <v>1051</v>
      </c>
      <c r="K245" s="0" t="s">
        <v>1052</v>
      </c>
      <c r="L245" s="0" t="s">
        <v>1252</v>
      </c>
      <c r="M245" s="0" t="s">
        <v>1053</v>
      </c>
      <c r="N245" s="0" t="s">
        <v>748</v>
      </c>
      <c r="O245" s="0" t="s">
        <v>37</v>
      </c>
      <c r="P245" s="0" t="s">
        <v>749</v>
      </c>
      <c r="Q245" s="0" t="s">
        <v>1253</v>
      </c>
      <c r="T245" s="0" t="s">
        <v>1254</v>
      </c>
    </row>
    <row r="246" customFormat="false" ht="15" hidden="false" customHeight="false" outlineLevel="0" collapsed="false">
      <c r="A246" s="0" t="n">
        <v>245</v>
      </c>
      <c r="D246" s="0" t="s">
        <v>1255</v>
      </c>
      <c r="E246" s="0" t="s">
        <v>21</v>
      </c>
      <c r="F246" s="0" t="s">
        <v>1256</v>
      </c>
      <c r="H246" s="0" t="s">
        <v>23</v>
      </c>
      <c r="I246" s="2" t="s">
        <v>24</v>
      </c>
      <c r="J246" s="2" t="s">
        <v>1051</v>
      </c>
      <c r="K246" s="0" t="s">
        <v>1052</v>
      </c>
      <c r="L246" s="0" t="s">
        <v>1257</v>
      </c>
      <c r="M246" s="0" t="s">
        <v>1053</v>
      </c>
      <c r="N246" s="0" t="s">
        <v>186</v>
      </c>
      <c r="O246" s="0" t="s">
        <v>37</v>
      </c>
      <c r="P246" s="0" t="s">
        <v>187</v>
      </c>
      <c r="R246" s="0" t="s">
        <v>1258</v>
      </c>
      <c r="S246" s="0" t="s">
        <v>1259</v>
      </c>
      <c r="T246" s="0" t="s">
        <v>1260</v>
      </c>
    </row>
    <row r="247" customFormat="false" ht="15" hidden="false" customHeight="false" outlineLevel="0" collapsed="false">
      <c r="A247" s="0" t="n">
        <v>246</v>
      </c>
      <c r="D247" s="0" t="s">
        <v>1261</v>
      </c>
      <c r="E247" s="0" t="s">
        <v>21</v>
      </c>
      <c r="F247" s="0" t="s">
        <v>1262</v>
      </c>
      <c r="H247" s="0" t="s">
        <v>23</v>
      </c>
      <c r="I247" s="2" t="s">
        <v>24</v>
      </c>
      <c r="J247" s="2" t="s">
        <v>1051</v>
      </c>
      <c r="K247" s="0" t="s">
        <v>1052</v>
      </c>
      <c r="L247" s="0" t="s">
        <v>27</v>
      </c>
      <c r="M247" s="0" t="s">
        <v>1053</v>
      </c>
      <c r="N247" s="0" t="s">
        <v>509</v>
      </c>
      <c r="O247" s="0" t="s">
        <v>37</v>
      </c>
      <c r="P247" s="0" t="s">
        <v>510</v>
      </c>
      <c r="R247" s="0" t="s">
        <v>1263</v>
      </c>
      <c r="S247" s="0" t="s">
        <v>1264</v>
      </c>
      <c r="T247" s="0" t="s">
        <v>33</v>
      </c>
    </row>
    <row r="248" customFormat="false" ht="15" hidden="false" customHeight="false" outlineLevel="0" collapsed="false">
      <c r="A248" s="0" t="n">
        <v>247</v>
      </c>
      <c r="D248" s="0" t="s">
        <v>1265</v>
      </c>
      <c r="E248" s="0" t="s">
        <v>21</v>
      </c>
      <c r="F248" s="0" t="s">
        <v>1266</v>
      </c>
      <c r="H248" s="0" t="s">
        <v>23</v>
      </c>
      <c r="I248" s="2" t="s">
        <v>24</v>
      </c>
      <c r="J248" s="2" t="s">
        <v>1051</v>
      </c>
      <c r="K248" s="0" t="s">
        <v>1052</v>
      </c>
      <c r="L248" s="0" t="s">
        <v>27</v>
      </c>
      <c r="M248" s="0" t="s">
        <v>1053</v>
      </c>
      <c r="N248" s="0" t="s">
        <v>1267</v>
      </c>
      <c r="O248" s="0" t="s">
        <v>37</v>
      </c>
      <c r="R248" s="0" t="s">
        <v>1268</v>
      </c>
      <c r="S248" s="0" t="s">
        <v>1269</v>
      </c>
      <c r="T248" s="0" t="s">
        <v>33</v>
      </c>
    </row>
    <row r="249" customFormat="false" ht="15" hidden="false" customHeight="false" outlineLevel="0" collapsed="false">
      <c r="A249" s="0" t="n">
        <v>248</v>
      </c>
      <c r="D249" s="0" t="s">
        <v>1270</v>
      </c>
      <c r="E249" s="0" t="s">
        <v>21</v>
      </c>
      <c r="F249" s="0" t="s">
        <v>1271</v>
      </c>
      <c r="H249" s="0" t="s">
        <v>23</v>
      </c>
      <c r="I249" s="2" t="s">
        <v>24</v>
      </c>
      <c r="J249" s="2" t="s">
        <v>1051</v>
      </c>
      <c r="K249" s="0" t="s">
        <v>1052</v>
      </c>
      <c r="L249" s="0" t="s">
        <v>27</v>
      </c>
      <c r="M249" s="0" t="s">
        <v>1053</v>
      </c>
      <c r="N249" s="0" t="s">
        <v>1272</v>
      </c>
      <c r="O249" s="0" t="s">
        <v>57</v>
      </c>
      <c r="Q249" s="0" t="s">
        <v>1273</v>
      </c>
      <c r="R249" s="0" t="s">
        <v>1274</v>
      </c>
      <c r="S249" s="0" t="s">
        <v>1275</v>
      </c>
      <c r="T249" s="0" t="s">
        <v>33</v>
      </c>
    </row>
    <row r="250" customFormat="false" ht="15" hidden="false" customHeight="false" outlineLevel="0" collapsed="false">
      <c r="A250" s="0" t="n">
        <v>249</v>
      </c>
      <c r="D250" s="0" t="s">
        <v>1276</v>
      </c>
      <c r="E250" s="0" t="s">
        <v>21</v>
      </c>
      <c r="H250" s="0" t="s">
        <v>23</v>
      </c>
      <c r="I250" s="2" t="s">
        <v>24</v>
      </c>
      <c r="J250" s="2" t="s">
        <v>1051</v>
      </c>
      <c r="K250" s="0" t="s">
        <v>1052</v>
      </c>
      <c r="L250" s="0" t="s">
        <v>35</v>
      </c>
      <c r="M250" s="0" t="s">
        <v>1053</v>
      </c>
      <c r="N250" s="0" t="s">
        <v>600</v>
      </c>
      <c r="O250" s="0" t="s">
        <v>30</v>
      </c>
      <c r="P250" s="0" t="s">
        <v>601</v>
      </c>
      <c r="T250" s="0" t="s">
        <v>33</v>
      </c>
    </row>
    <row r="251" customFormat="false" ht="15" hidden="false" customHeight="false" outlineLevel="0" collapsed="false">
      <c r="A251" s="0" t="n">
        <v>250</v>
      </c>
      <c r="D251" s="0" t="s">
        <v>1277</v>
      </c>
      <c r="E251" s="0" t="s">
        <v>21</v>
      </c>
      <c r="F251" s="0" t="s">
        <v>1278</v>
      </c>
      <c r="H251" s="0" t="s">
        <v>23</v>
      </c>
      <c r="I251" s="2" t="s">
        <v>24</v>
      </c>
      <c r="J251" s="2" t="s">
        <v>1051</v>
      </c>
      <c r="K251" s="0" t="s">
        <v>1052</v>
      </c>
      <c r="L251" s="0" t="s">
        <v>27</v>
      </c>
      <c r="M251" s="0" t="s">
        <v>1053</v>
      </c>
      <c r="N251" s="0" t="s">
        <v>1279</v>
      </c>
      <c r="O251" s="0" t="s">
        <v>30</v>
      </c>
      <c r="Q251" s="0" t="s">
        <v>1280</v>
      </c>
      <c r="R251" s="0" t="s">
        <v>1281</v>
      </c>
      <c r="S251" s="0" t="s">
        <v>1282</v>
      </c>
      <c r="T251" s="0" t="s">
        <v>33</v>
      </c>
    </row>
    <row r="252" customFormat="false" ht="15" hidden="false" customHeight="false" outlineLevel="0" collapsed="false">
      <c r="A252" s="0" t="n">
        <v>251</v>
      </c>
      <c r="D252" s="0" t="s">
        <v>1283</v>
      </c>
      <c r="E252" s="0" t="s">
        <v>780</v>
      </c>
      <c r="H252" s="0" t="s">
        <v>23</v>
      </c>
      <c r="I252" s="2" t="s">
        <v>24</v>
      </c>
      <c r="J252" s="2" t="s">
        <v>1051</v>
      </c>
      <c r="K252" s="0" t="s">
        <v>1052</v>
      </c>
      <c r="L252" s="0" t="s">
        <v>1284</v>
      </c>
      <c r="M252" s="0" t="s">
        <v>1053</v>
      </c>
      <c r="N252" s="0" t="s">
        <v>600</v>
      </c>
      <c r="O252" s="0" t="s">
        <v>30</v>
      </c>
      <c r="P252" s="0" t="s">
        <v>601</v>
      </c>
      <c r="T252" s="0" t="s">
        <v>1285</v>
      </c>
    </row>
    <row r="253" customFormat="false" ht="15" hidden="false" customHeight="false" outlineLevel="0" collapsed="false">
      <c r="A253" s="0" t="n">
        <v>252</v>
      </c>
      <c r="D253" s="0" t="s">
        <v>1286</v>
      </c>
      <c r="E253" s="0" t="s">
        <v>21</v>
      </c>
      <c r="H253" s="0" t="s">
        <v>23</v>
      </c>
      <c r="I253" s="2" t="s">
        <v>24</v>
      </c>
      <c r="J253" s="2" t="s">
        <v>1051</v>
      </c>
      <c r="K253" s="0" t="s">
        <v>1052</v>
      </c>
      <c r="L253" s="0" t="s">
        <v>35</v>
      </c>
      <c r="M253" s="0" t="s">
        <v>1053</v>
      </c>
      <c r="N253" s="0" t="s">
        <v>1287</v>
      </c>
      <c r="O253" s="0" t="s">
        <v>37</v>
      </c>
      <c r="R253" s="0" t="s">
        <v>1288</v>
      </c>
      <c r="T253" s="0" t="s">
        <v>33</v>
      </c>
    </row>
    <row r="254" customFormat="false" ht="15" hidden="false" customHeight="false" outlineLevel="0" collapsed="false">
      <c r="A254" s="0" t="n">
        <v>253</v>
      </c>
      <c r="D254" s="0" t="s">
        <v>1289</v>
      </c>
      <c r="E254" s="0" t="s">
        <v>21</v>
      </c>
      <c r="F254" s="0" t="s">
        <v>1290</v>
      </c>
      <c r="H254" s="0" t="s">
        <v>23</v>
      </c>
      <c r="I254" s="2" t="s">
        <v>24</v>
      </c>
      <c r="J254" s="2" t="s">
        <v>1051</v>
      </c>
      <c r="K254" s="0" t="s">
        <v>1052</v>
      </c>
      <c r="L254" s="0" t="s">
        <v>27</v>
      </c>
      <c r="M254" s="0" t="s">
        <v>1053</v>
      </c>
      <c r="N254" s="0" t="s">
        <v>1291</v>
      </c>
      <c r="O254" s="0" t="s">
        <v>37</v>
      </c>
      <c r="R254" s="0" t="s">
        <v>1292</v>
      </c>
      <c r="S254" s="0" t="s">
        <v>1293</v>
      </c>
      <c r="T254" s="0" t="s">
        <v>33</v>
      </c>
    </row>
    <row r="255" customFormat="false" ht="15" hidden="false" customHeight="false" outlineLevel="0" collapsed="false">
      <c r="A255" s="0" t="n">
        <v>254</v>
      </c>
      <c r="D255" s="0" t="s">
        <v>1294</v>
      </c>
      <c r="E255" s="0" t="s">
        <v>21</v>
      </c>
      <c r="F255" s="0" t="s">
        <v>1295</v>
      </c>
      <c r="H255" s="0" t="s">
        <v>23</v>
      </c>
      <c r="I255" s="2" t="s">
        <v>24</v>
      </c>
      <c r="J255" s="2" t="s">
        <v>1051</v>
      </c>
      <c r="K255" s="0" t="s">
        <v>1052</v>
      </c>
      <c r="L255" s="0" t="s">
        <v>27</v>
      </c>
      <c r="M255" s="0" t="s">
        <v>1053</v>
      </c>
      <c r="N255" s="0" t="s">
        <v>115</v>
      </c>
      <c r="O255" s="0" t="s">
        <v>30</v>
      </c>
      <c r="P255" s="0" t="s">
        <v>116</v>
      </c>
      <c r="Q255" s="0" t="s">
        <v>1296</v>
      </c>
      <c r="R255" s="0" t="s">
        <v>1297</v>
      </c>
      <c r="S255" s="0" t="s">
        <v>1298</v>
      </c>
      <c r="T255" s="0" t="s">
        <v>33</v>
      </c>
    </row>
    <row r="256" customFormat="false" ht="15" hidden="false" customHeight="false" outlineLevel="0" collapsed="false">
      <c r="A256" s="0" t="n">
        <v>255</v>
      </c>
      <c r="D256" s="0" t="s">
        <v>1299</v>
      </c>
      <c r="E256" s="0" t="s">
        <v>21</v>
      </c>
      <c r="H256" s="0" t="s">
        <v>23</v>
      </c>
      <c r="I256" s="2" t="s">
        <v>24</v>
      </c>
      <c r="J256" s="2" t="s">
        <v>1051</v>
      </c>
      <c r="K256" s="0" t="s">
        <v>1052</v>
      </c>
      <c r="L256" s="0" t="s">
        <v>35</v>
      </c>
      <c r="M256" s="0" t="s">
        <v>1053</v>
      </c>
      <c r="N256" s="0" t="s">
        <v>249</v>
      </c>
      <c r="O256" s="0" t="s">
        <v>37</v>
      </c>
      <c r="P256" s="0" t="s">
        <v>250</v>
      </c>
      <c r="Q256" s="0" t="s">
        <v>1300</v>
      </c>
      <c r="R256" s="0" t="s">
        <v>1301</v>
      </c>
      <c r="T256" s="0" t="s">
        <v>33</v>
      </c>
    </row>
    <row r="257" customFormat="false" ht="15" hidden="false" customHeight="false" outlineLevel="0" collapsed="false">
      <c r="A257" s="0" t="n">
        <v>256</v>
      </c>
      <c r="D257" s="0" t="s">
        <v>1302</v>
      </c>
      <c r="E257" s="0" t="s">
        <v>21</v>
      </c>
      <c r="F257" s="0" t="s">
        <v>1303</v>
      </c>
      <c r="H257" s="0" t="s">
        <v>23</v>
      </c>
      <c r="I257" s="2" t="s">
        <v>24</v>
      </c>
      <c r="J257" s="2" t="s">
        <v>1051</v>
      </c>
      <c r="K257" s="0" t="s">
        <v>1052</v>
      </c>
      <c r="L257" s="0" t="s">
        <v>27</v>
      </c>
      <c r="M257" s="0" t="s">
        <v>1053</v>
      </c>
      <c r="N257" s="0" t="s">
        <v>249</v>
      </c>
      <c r="O257" s="0" t="s">
        <v>37</v>
      </c>
      <c r="P257" s="0" t="s">
        <v>250</v>
      </c>
      <c r="R257" s="0" t="s">
        <v>1304</v>
      </c>
      <c r="S257" s="0" t="s">
        <v>1305</v>
      </c>
      <c r="T257" s="0" t="s">
        <v>33</v>
      </c>
    </row>
    <row r="258" customFormat="false" ht="15" hidden="false" customHeight="false" outlineLevel="0" collapsed="false">
      <c r="A258" s="0" t="n">
        <v>257</v>
      </c>
      <c r="D258" s="0" t="s">
        <v>1306</v>
      </c>
      <c r="E258" s="0" t="s">
        <v>21</v>
      </c>
      <c r="F258" s="0" t="s">
        <v>1307</v>
      </c>
      <c r="H258" s="0" t="s">
        <v>23</v>
      </c>
      <c r="I258" s="2" t="s">
        <v>24</v>
      </c>
      <c r="J258" s="2" t="s">
        <v>1051</v>
      </c>
      <c r="K258" s="0" t="s">
        <v>1052</v>
      </c>
      <c r="L258" s="0" t="s">
        <v>27</v>
      </c>
      <c r="M258" s="0" t="s">
        <v>1053</v>
      </c>
      <c r="N258" s="0" t="s">
        <v>1308</v>
      </c>
      <c r="O258" s="0" t="s">
        <v>37</v>
      </c>
      <c r="Q258" s="0" t="s">
        <v>1309</v>
      </c>
      <c r="R258" s="0" t="s">
        <v>1310</v>
      </c>
      <c r="S258" s="0" t="s">
        <v>1311</v>
      </c>
      <c r="T258" s="0" t="s">
        <v>33</v>
      </c>
    </row>
    <row r="259" customFormat="false" ht="15" hidden="false" customHeight="false" outlineLevel="0" collapsed="false">
      <c r="A259" s="0" t="n">
        <v>258</v>
      </c>
      <c r="D259" s="0" t="s">
        <v>1312</v>
      </c>
      <c r="E259" s="0" t="s">
        <v>21</v>
      </c>
      <c r="H259" s="0" t="s">
        <v>23</v>
      </c>
      <c r="I259" s="2" t="s">
        <v>24</v>
      </c>
      <c r="J259" s="2" t="s">
        <v>1051</v>
      </c>
      <c r="K259" s="0" t="s">
        <v>1052</v>
      </c>
      <c r="L259" s="0" t="s">
        <v>35</v>
      </c>
      <c r="M259" s="0" t="s">
        <v>1053</v>
      </c>
      <c r="N259" s="0" t="s">
        <v>115</v>
      </c>
      <c r="O259" s="0" t="s">
        <v>30</v>
      </c>
      <c r="P259" s="0" t="s">
        <v>116</v>
      </c>
      <c r="T259" s="0" t="s">
        <v>33</v>
      </c>
    </row>
    <row r="260" customFormat="false" ht="15" hidden="false" customHeight="false" outlineLevel="0" collapsed="false">
      <c r="A260" s="0" t="n">
        <v>259</v>
      </c>
      <c r="D260" s="0" t="s">
        <v>1313</v>
      </c>
      <c r="E260" s="0" t="s">
        <v>21</v>
      </c>
      <c r="F260" s="0" t="s">
        <v>1314</v>
      </c>
      <c r="H260" s="0" t="s">
        <v>23</v>
      </c>
      <c r="I260" s="2" t="s">
        <v>24</v>
      </c>
      <c r="J260" s="2" t="s">
        <v>1051</v>
      </c>
      <c r="K260" s="0" t="s">
        <v>1052</v>
      </c>
      <c r="L260" s="0" t="s">
        <v>1315</v>
      </c>
      <c r="M260" s="0" t="s">
        <v>1053</v>
      </c>
      <c r="N260" s="0" t="s">
        <v>1316</v>
      </c>
      <c r="O260" s="0" t="s">
        <v>37</v>
      </c>
      <c r="Q260" s="0" t="s">
        <v>1317</v>
      </c>
      <c r="R260" s="0" t="s">
        <v>1318</v>
      </c>
      <c r="S260" s="0" t="s">
        <v>1319</v>
      </c>
      <c r="T260" s="0" t="s">
        <v>1320</v>
      </c>
    </row>
    <row r="261" customFormat="false" ht="15" hidden="false" customHeight="false" outlineLevel="0" collapsed="false">
      <c r="A261" s="0" t="n">
        <v>260</v>
      </c>
      <c r="D261" s="0" t="s">
        <v>1321</v>
      </c>
      <c r="E261" s="0" t="s">
        <v>21</v>
      </c>
      <c r="H261" s="0" t="s">
        <v>23</v>
      </c>
      <c r="I261" s="2" t="s">
        <v>24</v>
      </c>
      <c r="J261" s="2" t="s">
        <v>1051</v>
      </c>
      <c r="K261" s="0" t="s">
        <v>1052</v>
      </c>
      <c r="L261" s="0" t="s">
        <v>35</v>
      </c>
      <c r="M261" s="0" t="s">
        <v>1053</v>
      </c>
      <c r="N261" s="0" t="s">
        <v>249</v>
      </c>
      <c r="O261" s="0" t="s">
        <v>37</v>
      </c>
      <c r="P261" s="0" t="s">
        <v>250</v>
      </c>
      <c r="Q261" s="0" t="s">
        <v>1322</v>
      </c>
      <c r="R261" s="0" t="s">
        <v>1323</v>
      </c>
      <c r="T261" s="0" t="s">
        <v>33</v>
      </c>
    </row>
    <row r="262" customFormat="false" ht="15" hidden="false" customHeight="false" outlineLevel="0" collapsed="false">
      <c r="A262" s="0" t="n">
        <v>261</v>
      </c>
      <c r="D262" s="0" t="s">
        <v>1324</v>
      </c>
      <c r="E262" s="0" t="s">
        <v>21</v>
      </c>
      <c r="F262" s="0" t="s">
        <v>1325</v>
      </c>
      <c r="H262" s="0" t="s">
        <v>23</v>
      </c>
      <c r="I262" s="2" t="s">
        <v>24</v>
      </c>
      <c r="J262" s="2" t="s">
        <v>1051</v>
      </c>
      <c r="K262" s="0" t="s">
        <v>1052</v>
      </c>
      <c r="L262" s="0" t="s">
        <v>27</v>
      </c>
      <c r="M262" s="0" t="s">
        <v>1053</v>
      </c>
      <c r="N262" s="0" t="s">
        <v>1326</v>
      </c>
      <c r="O262" s="0" t="s">
        <v>57</v>
      </c>
      <c r="Q262" s="0" t="s">
        <v>1327</v>
      </c>
      <c r="R262" s="0" t="s">
        <v>1328</v>
      </c>
      <c r="S262" s="0" t="s">
        <v>1329</v>
      </c>
      <c r="T262" s="0" t="s">
        <v>33</v>
      </c>
    </row>
    <row r="263" customFormat="false" ht="15" hidden="false" customHeight="false" outlineLevel="0" collapsed="false">
      <c r="A263" s="0" t="n">
        <v>262</v>
      </c>
      <c r="D263" s="0" t="s">
        <v>1330</v>
      </c>
      <c r="E263" s="0" t="s">
        <v>21</v>
      </c>
      <c r="F263" s="0" t="s">
        <v>1331</v>
      </c>
      <c r="H263" s="0" t="s">
        <v>23</v>
      </c>
      <c r="I263" s="2" t="s">
        <v>24</v>
      </c>
      <c r="J263" s="2" t="s">
        <v>1051</v>
      </c>
      <c r="K263" s="0" t="s">
        <v>1052</v>
      </c>
      <c r="L263" s="0" t="s">
        <v>27</v>
      </c>
      <c r="M263" s="0" t="s">
        <v>1053</v>
      </c>
      <c r="N263" s="0" t="s">
        <v>1332</v>
      </c>
      <c r="O263" s="0" t="s">
        <v>30</v>
      </c>
      <c r="Q263" s="0" t="s">
        <v>1333</v>
      </c>
      <c r="R263" s="0" t="s">
        <v>1334</v>
      </c>
      <c r="S263" s="0" t="s">
        <v>1335</v>
      </c>
      <c r="T263" s="0" t="s">
        <v>33</v>
      </c>
    </row>
    <row r="264" customFormat="false" ht="15" hidden="false" customHeight="false" outlineLevel="0" collapsed="false">
      <c r="A264" s="0" t="n">
        <v>263</v>
      </c>
      <c r="D264" s="0" t="s">
        <v>1336</v>
      </c>
      <c r="E264" s="0" t="s">
        <v>21</v>
      </c>
      <c r="F264" s="0" t="s">
        <v>1337</v>
      </c>
      <c r="H264" s="0" t="s">
        <v>23</v>
      </c>
      <c r="I264" s="2" t="s">
        <v>24</v>
      </c>
      <c r="J264" s="2" t="s">
        <v>1051</v>
      </c>
      <c r="K264" s="0" t="s">
        <v>1052</v>
      </c>
      <c r="L264" s="0" t="s">
        <v>27</v>
      </c>
      <c r="M264" s="0" t="s">
        <v>1053</v>
      </c>
      <c r="N264" s="0" t="s">
        <v>1338</v>
      </c>
      <c r="O264" s="0" t="s">
        <v>30</v>
      </c>
      <c r="Q264" s="0" t="s">
        <v>1339</v>
      </c>
      <c r="R264" s="0" t="s">
        <v>1340</v>
      </c>
      <c r="S264" s="0" t="s">
        <v>1341</v>
      </c>
      <c r="T264" s="0" t="s">
        <v>33</v>
      </c>
    </row>
    <row r="265" customFormat="false" ht="15" hidden="false" customHeight="false" outlineLevel="0" collapsed="false">
      <c r="A265" s="0" t="n">
        <v>264</v>
      </c>
      <c r="D265" s="0" t="s">
        <v>1342</v>
      </c>
      <c r="E265" s="0" t="s">
        <v>21</v>
      </c>
      <c r="F265" s="0" t="s">
        <v>1343</v>
      </c>
      <c r="H265" s="0" t="s">
        <v>23</v>
      </c>
      <c r="I265" s="2" t="s">
        <v>24</v>
      </c>
      <c r="J265" s="2" t="s">
        <v>1051</v>
      </c>
      <c r="K265" s="0" t="s">
        <v>1052</v>
      </c>
      <c r="L265" s="0" t="s">
        <v>27</v>
      </c>
      <c r="M265" s="0" t="s">
        <v>1053</v>
      </c>
      <c r="N265" s="0" t="s">
        <v>509</v>
      </c>
      <c r="O265" s="0" t="s">
        <v>37</v>
      </c>
      <c r="P265" s="0" t="s">
        <v>510</v>
      </c>
      <c r="Q265" s="0" t="s">
        <v>1344</v>
      </c>
      <c r="R265" s="0" t="s">
        <v>1345</v>
      </c>
      <c r="S265" s="0" t="s">
        <v>1346</v>
      </c>
      <c r="T265" s="0" t="s">
        <v>33</v>
      </c>
    </row>
    <row r="266" customFormat="false" ht="15" hidden="false" customHeight="false" outlineLevel="0" collapsed="false">
      <c r="A266" s="0" t="n">
        <v>265</v>
      </c>
      <c r="D266" s="0" t="s">
        <v>1347</v>
      </c>
      <c r="E266" s="0" t="s">
        <v>21</v>
      </c>
      <c r="F266" s="0" t="s">
        <v>1348</v>
      </c>
      <c r="H266" s="0" t="s">
        <v>23</v>
      </c>
      <c r="I266" s="2" t="s">
        <v>24</v>
      </c>
      <c r="J266" s="2" t="s">
        <v>1051</v>
      </c>
      <c r="K266" s="0" t="s">
        <v>1052</v>
      </c>
      <c r="L266" s="0" t="s">
        <v>1349</v>
      </c>
      <c r="M266" s="0" t="s">
        <v>1053</v>
      </c>
      <c r="N266" s="0" t="s">
        <v>393</v>
      </c>
      <c r="O266" s="0" t="s">
        <v>30</v>
      </c>
      <c r="P266" s="0" t="s">
        <v>394</v>
      </c>
      <c r="R266" s="0" t="s">
        <v>1350</v>
      </c>
      <c r="S266" s="0" t="s">
        <v>1351</v>
      </c>
      <c r="T266" s="0" t="s">
        <v>1352</v>
      </c>
    </row>
    <row r="267" customFormat="false" ht="15" hidden="false" customHeight="false" outlineLevel="0" collapsed="false">
      <c r="A267" s="0" t="n">
        <v>266</v>
      </c>
      <c r="D267" s="0" t="s">
        <v>1353</v>
      </c>
      <c r="E267" s="0" t="s">
        <v>21</v>
      </c>
      <c r="F267" s="0" t="s">
        <v>1354</v>
      </c>
      <c r="H267" s="0" t="s">
        <v>23</v>
      </c>
      <c r="I267" s="2" t="s">
        <v>24</v>
      </c>
      <c r="J267" s="2" t="s">
        <v>1051</v>
      </c>
      <c r="K267" s="0" t="s">
        <v>1052</v>
      </c>
      <c r="L267" s="0" t="s">
        <v>27</v>
      </c>
      <c r="M267" s="0" t="s">
        <v>1053</v>
      </c>
      <c r="N267" s="0" t="s">
        <v>1355</v>
      </c>
      <c r="O267" s="0" t="s">
        <v>37</v>
      </c>
      <c r="Q267" s="0" t="s">
        <v>1356</v>
      </c>
      <c r="R267" s="0" t="s">
        <v>1357</v>
      </c>
      <c r="S267" s="0" t="s">
        <v>1358</v>
      </c>
      <c r="T267" s="0" t="s">
        <v>33</v>
      </c>
    </row>
    <row r="268" customFormat="false" ht="15" hidden="false" customHeight="false" outlineLevel="0" collapsed="false">
      <c r="A268" s="0" t="n">
        <v>267</v>
      </c>
      <c r="D268" s="0" t="s">
        <v>1359</v>
      </c>
      <c r="E268" s="0" t="s">
        <v>21</v>
      </c>
      <c r="F268" s="0" t="s">
        <v>1360</v>
      </c>
      <c r="H268" s="0" t="s">
        <v>23</v>
      </c>
      <c r="I268" s="2" t="s">
        <v>24</v>
      </c>
      <c r="J268" s="2" t="s">
        <v>1051</v>
      </c>
      <c r="K268" s="0" t="s">
        <v>1052</v>
      </c>
      <c r="L268" s="0" t="s">
        <v>27</v>
      </c>
      <c r="M268" s="0" t="s">
        <v>1053</v>
      </c>
      <c r="N268" s="0" t="s">
        <v>249</v>
      </c>
      <c r="O268" s="0" t="s">
        <v>37</v>
      </c>
      <c r="P268" s="0" t="s">
        <v>250</v>
      </c>
      <c r="R268" s="0" t="s">
        <v>1361</v>
      </c>
      <c r="S268" s="0" t="s">
        <v>1362</v>
      </c>
      <c r="T268" s="0" t="s">
        <v>33</v>
      </c>
    </row>
    <row r="269" customFormat="false" ht="15" hidden="false" customHeight="false" outlineLevel="0" collapsed="false">
      <c r="A269" s="0" t="n">
        <v>268</v>
      </c>
      <c r="D269" s="0" t="s">
        <v>1363</v>
      </c>
      <c r="E269" s="0" t="s">
        <v>165</v>
      </c>
      <c r="F269" s="0" t="s">
        <v>1364</v>
      </c>
      <c r="H269" s="0" t="s">
        <v>23</v>
      </c>
      <c r="I269" s="2" t="s">
        <v>24</v>
      </c>
      <c r="J269" s="2" t="s">
        <v>1051</v>
      </c>
      <c r="K269" s="0" t="s">
        <v>1052</v>
      </c>
      <c r="L269" s="0" t="s">
        <v>1365</v>
      </c>
      <c r="M269" s="0" t="s">
        <v>1053</v>
      </c>
      <c r="N269" s="0" t="s">
        <v>1366</v>
      </c>
      <c r="O269" s="0" t="s">
        <v>30</v>
      </c>
      <c r="R269" s="0" t="s">
        <v>1367</v>
      </c>
      <c r="S269" s="0" t="s">
        <v>1368</v>
      </c>
      <c r="T269" s="0" t="s">
        <v>1369</v>
      </c>
    </row>
    <row r="270" customFormat="false" ht="15" hidden="false" customHeight="false" outlineLevel="0" collapsed="false">
      <c r="A270" s="0" t="n">
        <v>269</v>
      </c>
      <c r="D270" s="0" t="s">
        <v>1370</v>
      </c>
      <c r="E270" s="0" t="s">
        <v>684</v>
      </c>
      <c r="F270" s="0" t="s">
        <v>1371</v>
      </c>
      <c r="H270" s="0" t="s">
        <v>23</v>
      </c>
      <c r="I270" s="2" t="s">
        <v>24</v>
      </c>
      <c r="J270" s="2" t="s">
        <v>1051</v>
      </c>
      <c r="K270" s="0" t="s">
        <v>1052</v>
      </c>
      <c r="L270" s="0" t="s">
        <v>27</v>
      </c>
      <c r="M270" s="0" t="s">
        <v>1053</v>
      </c>
      <c r="N270" s="0" t="s">
        <v>487</v>
      </c>
      <c r="O270" s="0" t="s">
        <v>37</v>
      </c>
      <c r="P270" s="0" t="s">
        <v>488</v>
      </c>
      <c r="Q270" s="0" t="s">
        <v>1372</v>
      </c>
      <c r="S270" s="0" t="s">
        <v>1373</v>
      </c>
      <c r="T270" s="0" t="s">
        <v>33</v>
      </c>
    </row>
    <row r="271" customFormat="false" ht="15" hidden="false" customHeight="false" outlineLevel="0" collapsed="false">
      <c r="A271" s="0" t="n">
        <v>270</v>
      </c>
      <c r="D271" s="0" t="s">
        <v>1374</v>
      </c>
      <c r="E271" s="0" t="s">
        <v>21</v>
      </c>
      <c r="F271" s="0" t="s">
        <v>1375</v>
      </c>
      <c r="H271" s="0" t="s">
        <v>23</v>
      </c>
      <c r="I271" s="2" t="s">
        <v>24</v>
      </c>
      <c r="J271" s="2" t="s">
        <v>1051</v>
      </c>
      <c r="K271" s="0" t="s">
        <v>1052</v>
      </c>
      <c r="L271" s="0" t="s">
        <v>27</v>
      </c>
      <c r="M271" s="0" t="s">
        <v>1053</v>
      </c>
      <c r="N271" s="0" t="s">
        <v>509</v>
      </c>
      <c r="O271" s="0" t="s">
        <v>37</v>
      </c>
      <c r="P271" s="0" t="s">
        <v>510</v>
      </c>
      <c r="R271" s="0" t="s">
        <v>1376</v>
      </c>
      <c r="S271" s="0" t="s">
        <v>1377</v>
      </c>
      <c r="T271" s="0" t="s">
        <v>33</v>
      </c>
    </row>
    <row r="272" customFormat="false" ht="15" hidden="false" customHeight="false" outlineLevel="0" collapsed="false">
      <c r="A272" s="0" t="n">
        <v>271</v>
      </c>
      <c r="D272" s="0" t="s">
        <v>1378</v>
      </c>
      <c r="E272" s="0" t="s">
        <v>21</v>
      </c>
      <c r="F272" s="0" t="s">
        <v>1379</v>
      </c>
      <c r="H272" s="0" t="s">
        <v>23</v>
      </c>
      <c r="I272" s="2" t="s">
        <v>24</v>
      </c>
      <c r="J272" s="2" t="s">
        <v>1051</v>
      </c>
      <c r="K272" s="0" t="s">
        <v>1052</v>
      </c>
      <c r="L272" s="0" t="s">
        <v>27</v>
      </c>
      <c r="M272" s="0" t="s">
        <v>1053</v>
      </c>
      <c r="N272" s="0" t="s">
        <v>1380</v>
      </c>
      <c r="O272" s="0" t="s">
        <v>37</v>
      </c>
      <c r="Q272" s="0" t="s">
        <v>1381</v>
      </c>
      <c r="R272" s="0" t="s">
        <v>1382</v>
      </c>
      <c r="S272" s="0" t="s">
        <v>1383</v>
      </c>
      <c r="T272" s="0" t="s">
        <v>33</v>
      </c>
    </row>
    <row r="273" customFormat="false" ht="15" hidden="false" customHeight="false" outlineLevel="0" collapsed="false">
      <c r="A273" s="0" t="n">
        <v>272</v>
      </c>
      <c r="D273" s="0" t="s">
        <v>1384</v>
      </c>
      <c r="E273" s="0" t="s">
        <v>21</v>
      </c>
      <c r="F273" s="0" t="s">
        <v>1385</v>
      </c>
      <c r="H273" s="0" t="s">
        <v>23</v>
      </c>
      <c r="I273" s="2" t="s">
        <v>24</v>
      </c>
      <c r="J273" s="2" t="s">
        <v>1051</v>
      </c>
      <c r="K273" s="0" t="s">
        <v>1052</v>
      </c>
      <c r="L273" s="0" t="s">
        <v>27</v>
      </c>
      <c r="M273" s="0" t="s">
        <v>1053</v>
      </c>
      <c r="N273" s="0" t="s">
        <v>186</v>
      </c>
      <c r="O273" s="0" t="s">
        <v>37</v>
      </c>
      <c r="P273" s="0" t="s">
        <v>187</v>
      </c>
      <c r="R273" s="0" t="s">
        <v>1386</v>
      </c>
      <c r="S273" s="0" t="s">
        <v>1387</v>
      </c>
      <c r="T273" s="0" t="s">
        <v>33</v>
      </c>
    </row>
    <row r="274" customFormat="false" ht="15" hidden="false" customHeight="false" outlineLevel="0" collapsed="false">
      <c r="A274" s="0" t="n">
        <v>273</v>
      </c>
      <c r="D274" s="0" t="s">
        <v>1388</v>
      </c>
      <c r="E274" s="0" t="s">
        <v>21</v>
      </c>
      <c r="H274" s="0" t="s">
        <v>23</v>
      </c>
      <c r="I274" s="2" t="s">
        <v>24</v>
      </c>
      <c r="J274" s="2" t="s">
        <v>1051</v>
      </c>
      <c r="K274" s="0" t="s">
        <v>1052</v>
      </c>
      <c r="L274" s="0" t="s">
        <v>35</v>
      </c>
      <c r="M274" s="0" t="s">
        <v>1053</v>
      </c>
      <c r="N274" s="0" t="s">
        <v>1389</v>
      </c>
      <c r="O274" s="0" t="s">
        <v>57</v>
      </c>
      <c r="R274" s="0" t="s">
        <v>1390</v>
      </c>
      <c r="T274" s="0" t="s">
        <v>33</v>
      </c>
    </row>
    <row r="275" customFormat="false" ht="15" hidden="false" customHeight="false" outlineLevel="0" collapsed="false">
      <c r="A275" s="0" t="n">
        <v>274</v>
      </c>
      <c r="D275" s="0" t="s">
        <v>1391</v>
      </c>
      <c r="E275" s="0" t="s">
        <v>21</v>
      </c>
      <c r="F275" s="0" t="s">
        <v>1392</v>
      </c>
      <c r="H275" s="0" t="s">
        <v>23</v>
      </c>
      <c r="I275" s="2" t="s">
        <v>24</v>
      </c>
      <c r="J275" s="2" t="s">
        <v>1051</v>
      </c>
      <c r="K275" s="0" t="s">
        <v>1052</v>
      </c>
      <c r="L275" s="0" t="s">
        <v>27</v>
      </c>
      <c r="M275" s="0" t="s">
        <v>1053</v>
      </c>
      <c r="N275" s="0" t="s">
        <v>509</v>
      </c>
      <c r="O275" s="0" t="s">
        <v>37</v>
      </c>
      <c r="P275" s="0" t="s">
        <v>510</v>
      </c>
      <c r="Q275" s="0" t="s">
        <v>1393</v>
      </c>
      <c r="R275" s="0" t="s">
        <v>1394</v>
      </c>
      <c r="S275" s="0" t="s">
        <v>1395</v>
      </c>
      <c r="T275" s="0" t="s">
        <v>33</v>
      </c>
    </row>
    <row r="276" customFormat="false" ht="15" hidden="false" customHeight="false" outlineLevel="0" collapsed="false">
      <c r="A276" s="0" t="n">
        <v>275</v>
      </c>
      <c r="D276" s="0" t="s">
        <v>1396</v>
      </c>
      <c r="E276" s="0" t="s">
        <v>21</v>
      </c>
      <c r="H276" s="0" t="s">
        <v>23</v>
      </c>
      <c r="I276" s="2" t="s">
        <v>24</v>
      </c>
      <c r="J276" s="2" t="s">
        <v>1051</v>
      </c>
      <c r="K276" s="0" t="s">
        <v>1052</v>
      </c>
      <c r="L276" s="0" t="s">
        <v>35</v>
      </c>
      <c r="M276" s="0" t="s">
        <v>1053</v>
      </c>
      <c r="N276" s="0" t="s">
        <v>561</v>
      </c>
      <c r="O276" s="0" t="s">
        <v>57</v>
      </c>
      <c r="P276" s="0" t="s">
        <v>562</v>
      </c>
      <c r="Q276" s="0" t="s">
        <v>1397</v>
      </c>
      <c r="T276" s="0" t="s">
        <v>33</v>
      </c>
    </row>
    <row r="277" customFormat="false" ht="15" hidden="false" customHeight="false" outlineLevel="0" collapsed="false">
      <c r="A277" s="0" t="n">
        <v>276</v>
      </c>
      <c r="D277" s="0" t="s">
        <v>1398</v>
      </c>
      <c r="E277" s="0" t="s">
        <v>21</v>
      </c>
      <c r="F277" s="0" t="s">
        <v>1399</v>
      </c>
      <c r="H277" s="0" t="s">
        <v>23</v>
      </c>
      <c r="I277" s="2" t="s">
        <v>24</v>
      </c>
      <c r="J277" s="2" t="s">
        <v>1051</v>
      </c>
      <c r="K277" s="0" t="s">
        <v>1052</v>
      </c>
      <c r="L277" s="0" t="s">
        <v>27</v>
      </c>
      <c r="M277" s="0" t="s">
        <v>1053</v>
      </c>
      <c r="N277" s="0" t="s">
        <v>1400</v>
      </c>
      <c r="O277" s="0" t="s">
        <v>57</v>
      </c>
      <c r="Q277" s="0" t="s">
        <v>1401</v>
      </c>
      <c r="R277" s="0" t="s">
        <v>1402</v>
      </c>
      <c r="S277" s="0" t="s">
        <v>1403</v>
      </c>
      <c r="T277" s="0" t="s">
        <v>33</v>
      </c>
    </row>
    <row r="278" customFormat="false" ht="15" hidden="false" customHeight="false" outlineLevel="0" collapsed="false">
      <c r="A278" s="0" t="n">
        <v>277</v>
      </c>
      <c r="D278" s="0" t="s">
        <v>1404</v>
      </c>
      <c r="E278" s="0" t="s">
        <v>21</v>
      </c>
      <c r="F278" s="0" t="s">
        <v>1405</v>
      </c>
      <c r="H278" s="0" t="s">
        <v>23</v>
      </c>
      <c r="I278" s="2" t="s">
        <v>24</v>
      </c>
      <c r="J278" s="2" t="s">
        <v>1051</v>
      </c>
      <c r="K278" s="0" t="s">
        <v>1052</v>
      </c>
      <c r="L278" s="0" t="s">
        <v>27</v>
      </c>
      <c r="M278" s="0" t="s">
        <v>1053</v>
      </c>
      <c r="N278" s="0" t="s">
        <v>1406</v>
      </c>
      <c r="O278" s="0" t="s">
        <v>30</v>
      </c>
      <c r="Q278" s="0" t="s">
        <v>1407</v>
      </c>
      <c r="R278" s="0" t="s">
        <v>1408</v>
      </c>
      <c r="S278" s="0" t="s">
        <v>1409</v>
      </c>
      <c r="T278" s="0" t="s">
        <v>33</v>
      </c>
    </row>
    <row r="279" customFormat="false" ht="15" hidden="false" customHeight="false" outlineLevel="0" collapsed="false">
      <c r="A279" s="0" t="n">
        <v>278</v>
      </c>
      <c r="D279" s="0" t="s">
        <v>1410</v>
      </c>
      <c r="E279" s="0" t="s">
        <v>21</v>
      </c>
      <c r="F279" s="0" t="s">
        <v>1411</v>
      </c>
      <c r="H279" s="0" t="s">
        <v>23</v>
      </c>
      <c r="I279" s="2" t="s">
        <v>24</v>
      </c>
      <c r="J279" s="2" t="s">
        <v>1051</v>
      </c>
      <c r="K279" s="0" t="s">
        <v>1052</v>
      </c>
      <c r="L279" s="0" t="s">
        <v>27</v>
      </c>
      <c r="M279" s="0" t="s">
        <v>1053</v>
      </c>
      <c r="N279" s="0" t="s">
        <v>1412</v>
      </c>
      <c r="O279" s="0" t="s">
        <v>57</v>
      </c>
      <c r="R279" s="0" t="s">
        <v>1413</v>
      </c>
      <c r="S279" s="0" t="s">
        <v>1414</v>
      </c>
      <c r="T279" s="0" t="s">
        <v>33</v>
      </c>
    </row>
    <row r="280" customFormat="false" ht="15" hidden="false" customHeight="false" outlineLevel="0" collapsed="false">
      <c r="A280" s="0" t="n">
        <v>279</v>
      </c>
      <c r="D280" s="0" t="s">
        <v>1415</v>
      </c>
      <c r="E280" s="0" t="s">
        <v>21</v>
      </c>
      <c r="F280" s="0" t="s">
        <v>1416</v>
      </c>
      <c r="H280" s="0" t="s">
        <v>23</v>
      </c>
      <c r="I280" s="2" t="s">
        <v>24</v>
      </c>
      <c r="J280" s="2" t="s">
        <v>1051</v>
      </c>
      <c r="K280" s="0" t="s">
        <v>1052</v>
      </c>
      <c r="L280" s="0" t="s">
        <v>27</v>
      </c>
      <c r="M280" s="0" t="s">
        <v>1053</v>
      </c>
      <c r="N280" s="0" t="s">
        <v>186</v>
      </c>
      <c r="O280" s="0" t="s">
        <v>37</v>
      </c>
      <c r="P280" s="0" t="s">
        <v>187</v>
      </c>
      <c r="Q280" s="0" t="s">
        <v>1417</v>
      </c>
      <c r="R280" s="0" t="s">
        <v>1418</v>
      </c>
      <c r="S280" s="0" t="s">
        <v>1419</v>
      </c>
      <c r="T280" s="0" t="s">
        <v>33</v>
      </c>
    </row>
    <row r="281" customFormat="false" ht="15" hidden="false" customHeight="false" outlineLevel="0" collapsed="false">
      <c r="A281" s="0" t="n">
        <v>280</v>
      </c>
      <c r="D281" s="0" t="s">
        <v>1420</v>
      </c>
      <c r="E281" s="0" t="s">
        <v>780</v>
      </c>
      <c r="H281" s="0" t="s">
        <v>23</v>
      </c>
      <c r="I281" s="2" t="s">
        <v>24</v>
      </c>
      <c r="J281" s="2" t="s">
        <v>1051</v>
      </c>
      <c r="K281" s="0" t="s">
        <v>1052</v>
      </c>
      <c r="L281" s="0" t="s">
        <v>35</v>
      </c>
      <c r="M281" s="0" t="s">
        <v>1053</v>
      </c>
      <c r="N281" s="0" t="s">
        <v>600</v>
      </c>
      <c r="O281" s="0" t="s">
        <v>30</v>
      </c>
      <c r="P281" s="0" t="s">
        <v>601</v>
      </c>
      <c r="T281" s="0" t="s">
        <v>33</v>
      </c>
    </row>
    <row r="282" customFormat="false" ht="15" hidden="false" customHeight="false" outlineLevel="0" collapsed="false">
      <c r="A282" s="0" t="n">
        <v>281</v>
      </c>
      <c r="D282" s="0" t="s">
        <v>1421</v>
      </c>
      <c r="E282" s="0" t="s">
        <v>165</v>
      </c>
      <c r="F282" s="0" t="s">
        <v>1422</v>
      </c>
      <c r="H282" s="0" t="s">
        <v>23</v>
      </c>
      <c r="I282" s="2" t="s">
        <v>24</v>
      </c>
      <c r="J282" s="2" t="s">
        <v>1051</v>
      </c>
      <c r="K282" s="0" t="s">
        <v>1052</v>
      </c>
      <c r="L282" s="0" t="s">
        <v>27</v>
      </c>
      <c r="M282" s="0" t="s">
        <v>1053</v>
      </c>
      <c r="N282" s="0" t="s">
        <v>748</v>
      </c>
      <c r="O282" s="0" t="s">
        <v>37</v>
      </c>
      <c r="P282" s="0" t="s">
        <v>749</v>
      </c>
      <c r="Q282" s="0" t="s">
        <v>1423</v>
      </c>
      <c r="R282" s="0" t="s">
        <v>1424</v>
      </c>
      <c r="S282" s="0" t="s">
        <v>1425</v>
      </c>
      <c r="T282" s="0" t="s">
        <v>33</v>
      </c>
    </row>
    <row r="283" customFormat="false" ht="15" hidden="false" customHeight="false" outlineLevel="0" collapsed="false">
      <c r="A283" s="0" t="n">
        <v>282</v>
      </c>
      <c r="D283" s="0" t="s">
        <v>1426</v>
      </c>
      <c r="E283" s="0" t="s">
        <v>21</v>
      </c>
      <c r="F283" s="0" t="s">
        <v>1427</v>
      </c>
      <c r="H283" s="0" t="s">
        <v>23</v>
      </c>
      <c r="I283" s="2" t="s">
        <v>24</v>
      </c>
      <c r="J283" s="2" t="s">
        <v>1051</v>
      </c>
      <c r="K283" s="0" t="s">
        <v>1052</v>
      </c>
      <c r="L283" s="0" t="s">
        <v>27</v>
      </c>
      <c r="M283" s="0" t="s">
        <v>1053</v>
      </c>
      <c r="N283" s="0" t="s">
        <v>1428</v>
      </c>
      <c r="O283" s="0" t="s">
        <v>57</v>
      </c>
      <c r="R283" s="0" t="s">
        <v>1429</v>
      </c>
      <c r="S283" s="0" t="s">
        <v>1430</v>
      </c>
      <c r="T283" s="0" t="s">
        <v>33</v>
      </c>
    </row>
    <row r="284" customFormat="false" ht="15" hidden="false" customHeight="false" outlineLevel="0" collapsed="false">
      <c r="A284" s="0" t="n">
        <v>283</v>
      </c>
      <c r="D284" s="0" t="s">
        <v>1431</v>
      </c>
      <c r="E284" s="0" t="s">
        <v>21</v>
      </c>
      <c r="H284" s="0" t="s">
        <v>23</v>
      </c>
      <c r="I284" s="2" t="s">
        <v>24</v>
      </c>
      <c r="J284" s="2" t="s">
        <v>1051</v>
      </c>
      <c r="K284" s="0" t="s">
        <v>1052</v>
      </c>
      <c r="L284" s="0" t="s">
        <v>35</v>
      </c>
      <c r="M284" s="0" t="s">
        <v>1053</v>
      </c>
      <c r="N284" s="0" t="s">
        <v>1432</v>
      </c>
      <c r="O284" s="0" t="s">
        <v>30</v>
      </c>
      <c r="R284" s="0" t="s">
        <v>1433</v>
      </c>
      <c r="T284" s="0" t="s">
        <v>33</v>
      </c>
    </row>
    <row r="285" customFormat="false" ht="15" hidden="false" customHeight="false" outlineLevel="0" collapsed="false">
      <c r="A285" s="0" t="n">
        <v>284</v>
      </c>
      <c r="D285" s="0" t="s">
        <v>1434</v>
      </c>
      <c r="E285" s="0" t="s">
        <v>21</v>
      </c>
      <c r="F285" s="0" t="s">
        <v>1435</v>
      </c>
      <c r="H285" s="0" t="s">
        <v>23</v>
      </c>
      <c r="I285" s="2" t="s">
        <v>24</v>
      </c>
      <c r="J285" s="2" t="s">
        <v>1051</v>
      </c>
      <c r="K285" s="0" t="s">
        <v>1052</v>
      </c>
      <c r="L285" s="0" t="s">
        <v>27</v>
      </c>
      <c r="M285" s="0" t="s">
        <v>1053</v>
      </c>
      <c r="N285" s="0" t="s">
        <v>1436</v>
      </c>
      <c r="O285" s="0" t="s">
        <v>37</v>
      </c>
      <c r="R285" s="0" t="s">
        <v>1437</v>
      </c>
      <c r="S285" s="0" t="s">
        <v>1438</v>
      </c>
      <c r="T285" s="0" t="s">
        <v>33</v>
      </c>
    </row>
    <row r="286" customFormat="false" ht="15" hidden="false" customHeight="false" outlineLevel="0" collapsed="false">
      <c r="A286" s="0" t="n">
        <v>285</v>
      </c>
      <c r="D286" s="0" t="s">
        <v>1439</v>
      </c>
      <c r="E286" s="0" t="s">
        <v>21</v>
      </c>
      <c r="F286" s="0" t="s">
        <v>1440</v>
      </c>
      <c r="H286" s="0" t="s">
        <v>23</v>
      </c>
      <c r="I286" s="2" t="s">
        <v>24</v>
      </c>
      <c r="J286" s="2" t="s">
        <v>1051</v>
      </c>
      <c r="K286" s="0" t="s">
        <v>1052</v>
      </c>
      <c r="L286" s="0" t="s">
        <v>27</v>
      </c>
      <c r="M286" s="0" t="s">
        <v>1053</v>
      </c>
      <c r="N286" s="0" t="s">
        <v>1441</v>
      </c>
      <c r="O286" s="0" t="s">
        <v>57</v>
      </c>
      <c r="R286" s="0" t="s">
        <v>1442</v>
      </c>
      <c r="S286" s="0" t="s">
        <v>1443</v>
      </c>
      <c r="T286" s="0" t="s">
        <v>33</v>
      </c>
    </row>
    <row r="287" customFormat="false" ht="15" hidden="false" customHeight="false" outlineLevel="0" collapsed="false">
      <c r="A287" s="0" t="n">
        <v>286</v>
      </c>
      <c r="D287" s="0" t="s">
        <v>1444</v>
      </c>
      <c r="E287" s="0" t="s">
        <v>21</v>
      </c>
      <c r="F287" s="0" t="s">
        <v>1445</v>
      </c>
      <c r="H287" s="0" t="s">
        <v>23</v>
      </c>
      <c r="I287" s="2" t="s">
        <v>24</v>
      </c>
      <c r="J287" s="2" t="s">
        <v>1051</v>
      </c>
      <c r="K287" s="0" t="s">
        <v>1052</v>
      </c>
      <c r="L287" s="0" t="s">
        <v>1446</v>
      </c>
      <c r="M287" s="0" t="s">
        <v>1053</v>
      </c>
      <c r="N287" s="0" t="s">
        <v>1447</v>
      </c>
      <c r="O287" s="0" t="s">
        <v>30</v>
      </c>
      <c r="Q287" s="0" t="s">
        <v>1448</v>
      </c>
      <c r="R287" s="0" t="s">
        <v>1449</v>
      </c>
      <c r="T287" s="0" t="s">
        <v>1450</v>
      </c>
    </row>
    <row r="288" customFormat="false" ht="15" hidden="false" customHeight="false" outlineLevel="0" collapsed="false">
      <c r="A288" s="0" t="n">
        <v>287</v>
      </c>
      <c r="D288" s="0" t="s">
        <v>1451</v>
      </c>
      <c r="E288" s="0" t="s">
        <v>21</v>
      </c>
      <c r="H288" s="0" t="s">
        <v>23</v>
      </c>
      <c r="I288" s="2" t="s">
        <v>24</v>
      </c>
      <c r="J288" s="2" t="s">
        <v>1051</v>
      </c>
      <c r="K288" s="0" t="s">
        <v>1052</v>
      </c>
      <c r="L288" s="0" t="s">
        <v>1452</v>
      </c>
      <c r="M288" s="0" t="s">
        <v>1053</v>
      </c>
      <c r="N288" s="0" t="s">
        <v>600</v>
      </c>
      <c r="O288" s="0" t="s">
        <v>30</v>
      </c>
      <c r="P288" s="0" t="s">
        <v>601</v>
      </c>
      <c r="T288" s="0" t="s">
        <v>1453</v>
      </c>
    </row>
    <row r="289" customFormat="false" ht="15" hidden="false" customHeight="false" outlineLevel="0" collapsed="false">
      <c r="A289" s="0" t="n">
        <v>288</v>
      </c>
      <c r="D289" s="0" t="s">
        <v>1454</v>
      </c>
      <c r="E289" s="0" t="s">
        <v>21</v>
      </c>
      <c r="F289" s="0" t="s">
        <v>1455</v>
      </c>
      <c r="H289" s="0" t="s">
        <v>23</v>
      </c>
      <c r="I289" s="2" t="s">
        <v>24</v>
      </c>
      <c r="J289" s="2" t="s">
        <v>1051</v>
      </c>
      <c r="K289" s="0" t="s">
        <v>1052</v>
      </c>
      <c r="L289" s="0" t="s">
        <v>27</v>
      </c>
      <c r="M289" s="0" t="s">
        <v>1053</v>
      </c>
      <c r="N289" s="0" t="s">
        <v>1456</v>
      </c>
      <c r="O289" s="0" t="s">
        <v>30</v>
      </c>
      <c r="Q289" s="0" t="s">
        <v>1457</v>
      </c>
      <c r="R289" s="0" t="s">
        <v>1458</v>
      </c>
      <c r="S289" s="0" t="s">
        <v>1459</v>
      </c>
      <c r="T289" s="0" t="s">
        <v>33</v>
      </c>
    </row>
    <row r="290" customFormat="false" ht="15" hidden="false" customHeight="false" outlineLevel="0" collapsed="false">
      <c r="A290" s="0" t="n">
        <v>289</v>
      </c>
      <c r="D290" s="0" t="s">
        <v>1460</v>
      </c>
      <c r="E290" s="0" t="s">
        <v>21</v>
      </c>
      <c r="F290" s="0" t="s">
        <v>1461</v>
      </c>
      <c r="H290" s="0" t="s">
        <v>23</v>
      </c>
      <c r="I290" s="2" t="s">
        <v>24</v>
      </c>
      <c r="J290" s="2" t="s">
        <v>1051</v>
      </c>
      <c r="K290" s="0" t="s">
        <v>1052</v>
      </c>
      <c r="L290" s="0" t="s">
        <v>27</v>
      </c>
      <c r="M290" s="0" t="s">
        <v>1053</v>
      </c>
      <c r="N290" s="0" t="s">
        <v>1462</v>
      </c>
      <c r="O290" s="0" t="s">
        <v>30</v>
      </c>
      <c r="Q290" s="0" t="s">
        <v>1463</v>
      </c>
      <c r="R290" s="0" t="s">
        <v>1464</v>
      </c>
      <c r="S290" s="0" t="s">
        <v>1465</v>
      </c>
      <c r="T290" s="0" t="s">
        <v>33</v>
      </c>
    </row>
    <row r="291" customFormat="false" ht="15" hidden="false" customHeight="false" outlineLevel="0" collapsed="false">
      <c r="A291" s="0" t="n">
        <v>290</v>
      </c>
      <c r="D291" s="0" t="s">
        <v>1466</v>
      </c>
      <c r="E291" s="0" t="s">
        <v>165</v>
      </c>
      <c r="F291" s="0" t="s">
        <v>1467</v>
      </c>
      <c r="H291" s="0" t="s">
        <v>23</v>
      </c>
      <c r="I291" s="2" t="s">
        <v>24</v>
      </c>
      <c r="J291" s="2" t="s">
        <v>1051</v>
      </c>
      <c r="K291" s="0" t="s">
        <v>1052</v>
      </c>
      <c r="L291" s="0" t="s">
        <v>1468</v>
      </c>
      <c r="M291" s="0" t="s">
        <v>1053</v>
      </c>
      <c r="N291" s="0" t="s">
        <v>748</v>
      </c>
      <c r="O291" s="0" t="s">
        <v>37</v>
      </c>
      <c r="P291" s="0" t="s">
        <v>749</v>
      </c>
      <c r="R291" s="0" t="s">
        <v>1469</v>
      </c>
      <c r="S291" s="0" t="s">
        <v>1470</v>
      </c>
      <c r="T291" s="0" t="s">
        <v>1471</v>
      </c>
    </row>
    <row r="292" customFormat="false" ht="15" hidden="false" customHeight="false" outlineLevel="0" collapsed="false">
      <c r="A292" s="0" t="n">
        <v>291</v>
      </c>
      <c r="D292" s="0" t="s">
        <v>1472</v>
      </c>
      <c r="E292" s="0" t="s">
        <v>21</v>
      </c>
      <c r="F292" s="0" t="s">
        <v>1473</v>
      </c>
      <c r="H292" s="0" t="s">
        <v>23</v>
      </c>
      <c r="I292" s="2" t="s">
        <v>24</v>
      </c>
      <c r="J292" s="2" t="s">
        <v>1051</v>
      </c>
      <c r="K292" s="0" t="s">
        <v>1052</v>
      </c>
      <c r="L292" s="0" t="s">
        <v>27</v>
      </c>
      <c r="M292" s="0" t="s">
        <v>1053</v>
      </c>
      <c r="N292" s="0" t="s">
        <v>1474</v>
      </c>
      <c r="O292" s="0" t="s">
        <v>37</v>
      </c>
      <c r="Q292" s="0" t="s">
        <v>1475</v>
      </c>
      <c r="R292" s="0" t="s">
        <v>1476</v>
      </c>
      <c r="S292" s="0" t="s">
        <v>1477</v>
      </c>
      <c r="T292" s="0" t="s">
        <v>33</v>
      </c>
    </row>
    <row r="293" customFormat="false" ht="15" hidden="false" customHeight="false" outlineLevel="0" collapsed="false">
      <c r="A293" s="0" t="n">
        <v>292</v>
      </c>
      <c r="D293" s="0" t="s">
        <v>1478</v>
      </c>
      <c r="E293" s="0" t="s">
        <v>21</v>
      </c>
      <c r="F293" s="0" t="s">
        <v>1479</v>
      </c>
      <c r="H293" s="0" t="s">
        <v>23</v>
      </c>
      <c r="I293" s="2" t="s">
        <v>24</v>
      </c>
      <c r="J293" s="2" t="s">
        <v>1051</v>
      </c>
      <c r="K293" s="0" t="s">
        <v>1052</v>
      </c>
      <c r="L293" s="0" t="s">
        <v>27</v>
      </c>
      <c r="M293" s="0" t="s">
        <v>1053</v>
      </c>
      <c r="N293" s="0" t="s">
        <v>1480</v>
      </c>
      <c r="O293" s="0" t="s">
        <v>30</v>
      </c>
      <c r="Q293" s="0" t="s">
        <v>1481</v>
      </c>
      <c r="R293" s="0" t="s">
        <v>1482</v>
      </c>
      <c r="S293" s="0" t="s">
        <v>1483</v>
      </c>
      <c r="T293" s="0" t="s">
        <v>33</v>
      </c>
    </row>
    <row r="294" customFormat="false" ht="15" hidden="false" customHeight="false" outlineLevel="0" collapsed="false">
      <c r="A294" s="0" t="n">
        <v>293</v>
      </c>
      <c r="D294" s="0" t="s">
        <v>1484</v>
      </c>
      <c r="E294" s="0" t="s">
        <v>21</v>
      </c>
      <c r="F294" s="0" t="s">
        <v>1485</v>
      </c>
      <c r="H294" s="0" t="s">
        <v>23</v>
      </c>
      <c r="I294" s="2" t="s">
        <v>24</v>
      </c>
      <c r="J294" s="2" t="s">
        <v>1051</v>
      </c>
      <c r="K294" s="0" t="s">
        <v>1052</v>
      </c>
      <c r="L294" s="0" t="s">
        <v>27</v>
      </c>
      <c r="M294" s="0" t="s">
        <v>1053</v>
      </c>
      <c r="N294" s="0" t="s">
        <v>115</v>
      </c>
      <c r="O294" s="0" t="s">
        <v>30</v>
      </c>
      <c r="P294" s="0" t="s">
        <v>116</v>
      </c>
      <c r="Q294" s="0" t="s">
        <v>1486</v>
      </c>
      <c r="R294" s="0" t="s">
        <v>1487</v>
      </c>
      <c r="S294" s="0" t="s">
        <v>1488</v>
      </c>
      <c r="T294" s="0" t="s">
        <v>33</v>
      </c>
    </row>
    <row r="295" customFormat="false" ht="15" hidden="false" customHeight="false" outlineLevel="0" collapsed="false">
      <c r="A295" s="0" t="n">
        <v>294</v>
      </c>
      <c r="D295" s="0" t="s">
        <v>1489</v>
      </c>
      <c r="E295" s="0" t="s">
        <v>21</v>
      </c>
      <c r="F295" s="0" t="s">
        <v>1490</v>
      </c>
      <c r="H295" s="0" t="s">
        <v>23</v>
      </c>
      <c r="I295" s="2" t="s">
        <v>24</v>
      </c>
      <c r="J295" s="2" t="s">
        <v>1051</v>
      </c>
      <c r="K295" s="0" t="s">
        <v>1052</v>
      </c>
      <c r="L295" s="0" t="s">
        <v>27</v>
      </c>
      <c r="M295" s="0" t="s">
        <v>1053</v>
      </c>
      <c r="N295" s="0" t="s">
        <v>1491</v>
      </c>
      <c r="O295" s="0" t="s">
        <v>37</v>
      </c>
      <c r="R295" s="0" t="s">
        <v>1492</v>
      </c>
      <c r="S295" s="0" t="s">
        <v>1493</v>
      </c>
      <c r="T295" s="0" t="s">
        <v>33</v>
      </c>
    </row>
    <row r="296" customFormat="false" ht="15" hidden="false" customHeight="false" outlineLevel="0" collapsed="false">
      <c r="A296" s="0" t="n">
        <v>295</v>
      </c>
      <c r="D296" s="0" t="s">
        <v>1494</v>
      </c>
      <c r="E296" s="0" t="s">
        <v>21</v>
      </c>
      <c r="H296" s="0" t="s">
        <v>23</v>
      </c>
      <c r="I296" s="2" t="s">
        <v>24</v>
      </c>
      <c r="J296" s="2" t="s">
        <v>1051</v>
      </c>
      <c r="K296" s="0" t="s">
        <v>1052</v>
      </c>
      <c r="L296" s="0" t="s">
        <v>35</v>
      </c>
      <c r="M296" s="0" t="s">
        <v>1053</v>
      </c>
      <c r="N296" s="0" t="s">
        <v>115</v>
      </c>
      <c r="O296" s="0" t="s">
        <v>30</v>
      </c>
      <c r="P296" s="0" t="s">
        <v>116</v>
      </c>
      <c r="R296" s="0" t="s">
        <v>1495</v>
      </c>
      <c r="T296" s="0" t="s">
        <v>33</v>
      </c>
    </row>
    <row r="297" customFormat="false" ht="15" hidden="false" customHeight="false" outlineLevel="0" collapsed="false">
      <c r="A297" s="0" t="n">
        <v>296</v>
      </c>
      <c r="D297" s="0" t="s">
        <v>1496</v>
      </c>
      <c r="E297" s="0" t="s">
        <v>21</v>
      </c>
      <c r="F297" s="0" t="s">
        <v>1497</v>
      </c>
      <c r="H297" s="0" t="s">
        <v>23</v>
      </c>
      <c r="I297" s="2" t="s">
        <v>24</v>
      </c>
      <c r="J297" s="2" t="s">
        <v>1051</v>
      </c>
      <c r="K297" s="0" t="s">
        <v>1052</v>
      </c>
      <c r="L297" s="0" t="s">
        <v>27</v>
      </c>
      <c r="M297" s="0" t="s">
        <v>1053</v>
      </c>
      <c r="N297" s="0" t="s">
        <v>249</v>
      </c>
      <c r="O297" s="0" t="s">
        <v>37</v>
      </c>
      <c r="P297" s="0" t="s">
        <v>250</v>
      </c>
      <c r="R297" s="0" t="s">
        <v>1498</v>
      </c>
      <c r="S297" s="0" t="s">
        <v>1499</v>
      </c>
      <c r="T297" s="0" t="s">
        <v>33</v>
      </c>
    </row>
    <row r="298" customFormat="false" ht="15" hidden="false" customHeight="false" outlineLevel="0" collapsed="false">
      <c r="A298" s="0" t="n">
        <v>297</v>
      </c>
      <c r="D298" s="0" t="s">
        <v>1500</v>
      </c>
      <c r="E298" s="0" t="s">
        <v>21</v>
      </c>
      <c r="F298" s="0" t="s">
        <v>1501</v>
      </c>
      <c r="H298" s="0" t="s">
        <v>23</v>
      </c>
      <c r="I298" s="2" t="s">
        <v>24</v>
      </c>
      <c r="J298" s="2" t="s">
        <v>1051</v>
      </c>
      <c r="K298" s="0" t="s">
        <v>1052</v>
      </c>
      <c r="L298" s="0" t="s">
        <v>27</v>
      </c>
      <c r="M298" s="0" t="s">
        <v>1053</v>
      </c>
      <c r="N298" s="0" t="s">
        <v>1502</v>
      </c>
      <c r="O298" s="0" t="s">
        <v>37</v>
      </c>
      <c r="R298" s="0" t="s">
        <v>1503</v>
      </c>
      <c r="S298" s="0" t="s">
        <v>1504</v>
      </c>
      <c r="T298" s="0" t="s">
        <v>33</v>
      </c>
    </row>
    <row r="299" customFormat="false" ht="15" hidden="false" customHeight="false" outlineLevel="0" collapsed="false">
      <c r="A299" s="0" t="n">
        <v>298</v>
      </c>
      <c r="D299" s="0" t="s">
        <v>1505</v>
      </c>
      <c r="E299" s="0" t="s">
        <v>21</v>
      </c>
      <c r="F299" s="0" t="s">
        <v>1506</v>
      </c>
      <c r="H299" s="0" t="s">
        <v>23</v>
      </c>
      <c r="I299" s="2" t="s">
        <v>24</v>
      </c>
      <c r="J299" s="2" t="s">
        <v>1051</v>
      </c>
      <c r="K299" s="0" t="s">
        <v>1052</v>
      </c>
      <c r="L299" s="0" t="s">
        <v>27</v>
      </c>
      <c r="M299" s="0" t="s">
        <v>1053</v>
      </c>
      <c r="N299" s="0" t="s">
        <v>1507</v>
      </c>
      <c r="O299" s="0" t="s">
        <v>30</v>
      </c>
      <c r="Q299" s="0" t="s">
        <v>1508</v>
      </c>
      <c r="R299" s="0" t="s">
        <v>1509</v>
      </c>
      <c r="S299" s="0" t="s">
        <v>1510</v>
      </c>
      <c r="T299" s="0" t="s">
        <v>33</v>
      </c>
    </row>
    <row r="300" customFormat="false" ht="15" hidden="false" customHeight="false" outlineLevel="0" collapsed="false">
      <c r="A300" s="0" t="n">
        <v>299</v>
      </c>
      <c r="D300" s="0" t="s">
        <v>1511</v>
      </c>
      <c r="E300" s="0" t="s">
        <v>21</v>
      </c>
      <c r="F300" s="0" t="s">
        <v>1512</v>
      </c>
      <c r="H300" s="0" t="s">
        <v>23</v>
      </c>
      <c r="I300" s="2" t="s">
        <v>24</v>
      </c>
      <c r="J300" s="2" t="s">
        <v>1051</v>
      </c>
      <c r="K300" s="0" t="s">
        <v>1052</v>
      </c>
      <c r="L300" s="0" t="s">
        <v>27</v>
      </c>
      <c r="M300" s="0" t="s">
        <v>1053</v>
      </c>
      <c r="N300" s="0" t="s">
        <v>186</v>
      </c>
      <c r="O300" s="0" t="s">
        <v>37</v>
      </c>
      <c r="P300" s="0" t="s">
        <v>187</v>
      </c>
      <c r="R300" s="0" t="s">
        <v>1513</v>
      </c>
      <c r="S300" s="0" t="s">
        <v>1514</v>
      </c>
      <c r="T300" s="0" t="s">
        <v>33</v>
      </c>
    </row>
    <row r="301" customFormat="false" ht="15" hidden="false" customHeight="false" outlineLevel="0" collapsed="false">
      <c r="A301" s="0" t="n">
        <v>300</v>
      </c>
      <c r="D301" s="0" t="s">
        <v>1515</v>
      </c>
      <c r="E301" s="0" t="s">
        <v>21</v>
      </c>
      <c r="F301" s="0" t="s">
        <v>1516</v>
      </c>
      <c r="H301" s="0" t="s">
        <v>23</v>
      </c>
      <c r="I301" s="2" t="s">
        <v>24</v>
      </c>
      <c r="J301" s="2" t="s">
        <v>1051</v>
      </c>
      <c r="K301" s="0" t="s">
        <v>1052</v>
      </c>
      <c r="L301" s="0" t="s">
        <v>27</v>
      </c>
      <c r="M301" s="0" t="s">
        <v>1053</v>
      </c>
      <c r="N301" s="0" t="s">
        <v>1517</v>
      </c>
      <c r="O301" s="0" t="s">
        <v>57</v>
      </c>
      <c r="R301" s="0" t="s">
        <v>1518</v>
      </c>
      <c r="S301" s="0" t="s">
        <v>1519</v>
      </c>
      <c r="T301" s="0" t="s">
        <v>33</v>
      </c>
    </row>
    <row r="302" customFormat="false" ht="15" hidden="false" customHeight="false" outlineLevel="0" collapsed="false">
      <c r="A302" s="0" t="n">
        <v>301</v>
      </c>
      <c r="D302" s="0" t="s">
        <v>1520</v>
      </c>
      <c r="E302" s="0" t="s">
        <v>21</v>
      </c>
      <c r="F302" s="0" t="s">
        <v>1521</v>
      </c>
      <c r="H302" s="0" t="s">
        <v>23</v>
      </c>
      <c r="I302" s="2" t="s">
        <v>24</v>
      </c>
      <c r="J302" s="2" t="s">
        <v>1051</v>
      </c>
      <c r="K302" s="0" t="s">
        <v>1052</v>
      </c>
      <c r="L302" s="0" t="s">
        <v>27</v>
      </c>
      <c r="M302" s="0" t="s">
        <v>1053</v>
      </c>
      <c r="N302" s="0" t="s">
        <v>509</v>
      </c>
      <c r="O302" s="0" t="s">
        <v>37</v>
      </c>
      <c r="P302" s="0" t="s">
        <v>510</v>
      </c>
      <c r="R302" s="0" t="s">
        <v>1522</v>
      </c>
      <c r="S302" s="0" t="s">
        <v>1523</v>
      </c>
      <c r="T302" s="0" t="s">
        <v>33</v>
      </c>
    </row>
    <row r="303" customFormat="false" ht="15" hidden="false" customHeight="false" outlineLevel="0" collapsed="false">
      <c r="A303" s="0" t="n">
        <v>302</v>
      </c>
      <c r="D303" s="0" t="s">
        <v>1524</v>
      </c>
      <c r="E303" s="0" t="s">
        <v>21</v>
      </c>
      <c r="F303" s="0" t="s">
        <v>1525</v>
      </c>
      <c r="H303" s="0" t="s">
        <v>23</v>
      </c>
      <c r="I303" s="2" t="s">
        <v>24</v>
      </c>
      <c r="J303" s="2" t="s">
        <v>1051</v>
      </c>
      <c r="K303" s="0" t="s">
        <v>1052</v>
      </c>
      <c r="L303" s="0" t="s">
        <v>27</v>
      </c>
      <c r="M303" s="0" t="s">
        <v>1053</v>
      </c>
      <c r="N303" s="0" t="s">
        <v>1526</v>
      </c>
      <c r="O303" s="0" t="s">
        <v>30</v>
      </c>
      <c r="R303" s="0" t="s">
        <v>1527</v>
      </c>
      <c r="S303" s="0" t="s">
        <v>1528</v>
      </c>
      <c r="T303" s="0" t="s">
        <v>33</v>
      </c>
    </row>
    <row r="304" customFormat="false" ht="15" hidden="false" customHeight="false" outlineLevel="0" collapsed="false">
      <c r="A304" s="0" t="n">
        <v>303</v>
      </c>
      <c r="D304" s="0" t="s">
        <v>1529</v>
      </c>
      <c r="E304" s="0" t="s">
        <v>165</v>
      </c>
      <c r="F304" s="0" t="s">
        <v>1530</v>
      </c>
      <c r="H304" s="0" t="s">
        <v>23</v>
      </c>
      <c r="I304" s="2" t="s">
        <v>24</v>
      </c>
      <c r="J304" s="2" t="s">
        <v>1051</v>
      </c>
      <c r="K304" s="0" t="s">
        <v>1052</v>
      </c>
      <c r="L304" s="0" t="s">
        <v>1531</v>
      </c>
      <c r="M304" s="0" t="s">
        <v>1053</v>
      </c>
      <c r="N304" s="0" t="s">
        <v>748</v>
      </c>
      <c r="O304" s="0" t="s">
        <v>37</v>
      </c>
      <c r="P304" s="0" t="s">
        <v>749</v>
      </c>
      <c r="Q304" s="0" t="s">
        <v>1532</v>
      </c>
      <c r="R304" s="0" t="s">
        <v>1533</v>
      </c>
      <c r="S304" s="0" t="s">
        <v>1534</v>
      </c>
      <c r="T304" s="0" t="s">
        <v>1535</v>
      </c>
    </row>
    <row r="305" customFormat="false" ht="15" hidden="false" customHeight="false" outlineLevel="0" collapsed="false">
      <c r="A305" s="0" t="n">
        <v>304</v>
      </c>
      <c r="D305" s="0" t="s">
        <v>1536</v>
      </c>
      <c r="E305" s="0" t="s">
        <v>21</v>
      </c>
      <c r="F305" s="0" t="s">
        <v>1537</v>
      </c>
      <c r="H305" s="0" t="s">
        <v>23</v>
      </c>
      <c r="I305" s="2" t="s">
        <v>24</v>
      </c>
      <c r="J305" s="2" t="s">
        <v>1051</v>
      </c>
      <c r="K305" s="0" t="s">
        <v>1052</v>
      </c>
      <c r="L305" s="0" t="s">
        <v>27</v>
      </c>
      <c r="M305" s="0" t="s">
        <v>1053</v>
      </c>
      <c r="N305" s="0" t="s">
        <v>1538</v>
      </c>
      <c r="O305" s="0" t="s">
        <v>57</v>
      </c>
      <c r="S305" s="0" t="s">
        <v>1539</v>
      </c>
      <c r="T305" s="0" t="s">
        <v>33</v>
      </c>
    </row>
    <row r="306" customFormat="false" ht="15" hidden="false" customHeight="false" outlineLevel="0" collapsed="false">
      <c r="A306" s="0" t="n">
        <v>305</v>
      </c>
      <c r="D306" s="0" t="s">
        <v>1540</v>
      </c>
      <c r="E306" s="0" t="s">
        <v>21</v>
      </c>
      <c r="F306" s="0" t="s">
        <v>1541</v>
      </c>
      <c r="H306" s="0" t="s">
        <v>23</v>
      </c>
      <c r="I306" s="2" t="s">
        <v>24</v>
      </c>
      <c r="J306" s="2" t="s">
        <v>1051</v>
      </c>
      <c r="K306" s="0" t="s">
        <v>1052</v>
      </c>
      <c r="L306" s="0" t="s">
        <v>27</v>
      </c>
      <c r="M306" s="0" t="s">
        <v>1053</v>
      </c>
      <c r="N306" s="0" t="s">
        <v>186</v>
      </c>
      <c r="O306" s="0" t="s">
        <v>37</v>
      </c>
      <c r="P306" s="0" t="s">
        <v>187</v>
      </c>
      <c r="Q306" s="0" t="s">
        <v>1542</v>
      </c>
      <c r="R306" s="0" t="s">
        <v>1543</v>
      </c>
      <c r="S306" s="0" t="s">
        <v>1544</v>
      </c>
      <c r="T306" s="0" t="s">
        <v>33</v>
      </c>
    </row>
    <row r="307" customFormat="false" ht="15" hidden="false" customHeight="false" outlineLevel="0" collapsed="false">
      <c r="A307" s="0" t="n">
        <v>306</v>
      </c>
      <c r="D307" s="0" t="s">
        <v>1545</v>
      </c>
      <c r="E307" s="0" t="s">
        <v>21</v>
      </c>
      <c r="F307" s="0" t="s">
        <v>1546</v>
      </c>
      <c r="H307" s="0" t="s">
        <v>23</v>
      </c>
      <c r="I307" s="2" t="s">
        <v>24</v>
      </c>
      <c r="J307" s="2" t="s">
        <v>1051</v>
      </c>
      <c r="K307" s="0" t="s">
        <v>1052</v>
      </c>
      <c r="L307" s="0" t="s">
        <v>1547</v>
      </c>
      <c r="M307" s="0" t="s">
        <v>1053</v>
      </c>
      <c r="N307" s="0" t="s">
        <v>393</v>
      </c>
      <c r="O307" s="0" t="s">
        <v>30</v>
      </c>
      <c r="P307" s="0" t="s">
        <v>394</v>
      </c>
      <c r="Q307" s="0" t="s">
        <v>1548</v>
      </c>
      <c r="R307" s="0" t="s">
        <v>1549</v>
      </c>
      <c r="S307" s="0" t="s">
        <v>1550</v>
      </c>
      <c r="T307" s="0" t="s">
        <v>1551</v>
      </c>
    </row>
    <row r="308" customFormat="false" ht="15" hidden="false" customHeight="false" outlineLevel="0" collapsed="false">
      <c r="A308" s="0" t="n">
        <v>307</v>
      </c>
      <c r="D308" s="0" t="s">
        <v>1552</v>
      </c>
      <c r="E308" s="0" t="s">
        <v>21</v>
      </c>
      <c r="F308" s="0" t="s">
        <v>1553</v>
      </c>
      <c r="H308" s="0" t="s">
        <v>23</v>
      </c>
      <c r="I308" s="2" t="s">
        <v>24</v>
      </c>
      <c r="J308" s="2" t="s">
        <v>1051</v>
      </c>
      <c r="K308" s="0" t="s">
        <v>1052</v>
      </c>
      <c r="L308" s="0" t="s">
        <v>27</v>
      </c>
      <c r="M308" s="0" t="s">
        <v>1053</v>
      </c>
      <c r="N308" s="0" t="s">
        <v>1554</v>
      </c>
      <c r="O308" s="0" t="s">
        <v>37</v>
      </c>
      <c r="R308" s="0" t="s">
        <v>1555</v>
      </c>
      <c r="S308" s="0" t="s">
        <v>1556</v>
      </c>
      <c r="T308" s="0" t="s">
        <v>33</v>
      </c>
    </row>
    <row r="309" customFormat="false" ht="15" hidden="false" customHeight="false" outlineLevel="0" collapsed="false">
      <c r="A309" s="0" t="n">
        <v>308</v>
      </c>
      <c r="D309" s="0" t="s">
        <v>1557</v>
      </c>
      <c r="E309" s="0" t="s">
        <v>21</v>
      </c>
      <c r="H309" s="0" t="s">
        <v>23</v>
      </c>
      <c r="I309" s="2" t="s">
        <v>24</v>
      </c>
      <c r="J309" s="2" t="s">
        <v>1051</v>
      </c>
      <c r="K309" s="0" t="s">
        <v>1052</v>
      </c>
      <c r="L309" s="0" t="s">
        <v>35</v>
      </c>
      <c r="M309" s="0" t="s">
        <v>1053</v>
      </c>
      <c r="N309" s="0" t="s">
        <v>1558</v>
      </c>
      <c r="O309" s="0" t="s">
        <v>37</v>
      </c>
      <c r="Q309" s="0" t="s">
        <v>1559</v>
      </c>
      <c r="R309" s="0" t="s">
        <v>1560</v>
      </c>
      <c r="S309" s="0" t="s">
        <v>1561</v>
      </c>
      <c r="T309" s="0" t="s">
        <v>33</v>
      </c>
    </row>
    <row r="310" customFormat="false" ht="15" hidden="false" customHeight="false" outlineLevel="0" collapsed="false">
      <c r="A310" s="0" t="n">
        <v>309</v>
      </c>
      <c r="D310" s="0" t="s">
        <v>1562</v>
      </c>
      <c r="E310" s="0" t="s">
        <v>21</v>
      </c>
      <c r="F310" s="0" t="s">
        <v>1563</v>
      </c>
      <c r="H310" s="0" t="s">
        <v>23</v>
      </c>
      <c r="I310" s="2" t="s">
        <v>24</v>
      </c>
      <c r="J310" s="2" t="s">
        <v>1051</v>
      </c>
      <c r="K310" s="0" t="s">
        <v>1052</v>
      </c>
      <c r="L310" s="0" t="s">
        <v>27</v>
      </c>
      <c r="M310" s="0" t="s">
        <v>1053</v>
      </c>
      <c r="N310" s="0" t="s">
        <v>1564</v>
      </c>
      <c r="O310" s="0" t="s">
        <v>57</v>
      </c>
      <c r="R310" s="0" t="s">
        <v>1565</v>
      </c>
      <c r="S310" s="0" t="s">
        <v>1566</v>
      </c>
      <c r="T310" s="0" t="s">
        <v>33</v>
      </c>
    </row>
    <row r="311" customFormat="false" ht="15" hidden="false" customHeight="false" outlineLevel="0" collapsed="false">
      <c r="A311" s="0" t="n">
        <v>310</v>
      </c>
      <c r="D311" s="0" t="s">
        <v>1567</v>
      </c>
      <c r="E311" s="0" t="s">
        <v>21</v>
      </c>
      <c r="F311" s="0" t="s">
        <v>1568</v>
      </c>
      <c r="H311" s="0" t="s">
        <v>23</v>
      </c>
      <c r="I311" s="2" t="s">
        <v>24</v>
      </c>
      <c r="J311" s="2" t="s">
        <v>1051</v>
      </c>
      <c r="K311" s="0" t="s">
        <v>1052</v>
      </c>
      <c r="L311" s="0" t="s">
        <v>27</v>
      </c>
      <c r="M311" s="0" t="s">
        <v>1053</v>
      </c>
      <c r="N311" s="0" t="s">
        <v>1569</v>
      </c>
      <c r="O311" s="0" t="s">
        <v>37</v>
      </c>
      <c r="R311" s="0" t="s">
        <v>1570</v>
      </c>
      <c r="S311" s="0" t="s">
        <v>1571</v>
      </c>
      <c r="T311" s="0" t="s">
        <v>33</v>
      </c>
    </row>
    <row r="312" customFormat="false" ht="15" hidden="false" customHeight="false" outlineLevel="0" collapsed="false">
      <c r="A312" s="0" t="n">
        <v>311</v>
      </c>
      <c r="D312" s="0" t="s">
        <v>1572</v>
      </c>
      <c r="E312" s="0" t="s">
        <v>1573</v>
      </c>
      <c r="F312" s="0" t="s">
        <v>1574</v>
      </c>
      <c r="H312" s="0" t="s">
        <v>23</v>
      </c>
      <c r="I312" s="2" t="s">
        <v>24</v>
      </c>
      <c r="J312" s="2" t="s">
        <v>1051</v>
      </c>
      <c r="K312" s="0" t="s">
        <v>1052</v>
      </c>
      <c r="L312" s="0" t="s">
        <v>27</v>
      </c>
      <c r="M312" s="0" t="s">
        <v>1053</v>
      </c>
      <c r="N312" s="0" t="s">
        <v>1575</v>
      </c>
      <c r="O312" s="0" t="s">
        <v>30</v>
      </c>
      <c r="Q312" s="0" t="s">
        <v>1576</v>
      </c>
      <c r="R312" s="0" t="s">
        <v>1577</v>
      </c>
      <c r="S312" s="0" t="s">
        <v>1578</v>
      </c>
      <c r="T312" s="0" t="s">
        <v>33</v>
      </c>
    </row>
    <row r="313" customFormat="false" ht="15" hidden="false" customHeight="false" outlineLevel="0" collapsed="false">
      <c r="A313" s="0" t="n">
        <v>312</v>
      </c>
      <c r="D313" s="0" t="s">
        <v>1579</v>
      </c>
      <c r="E313" s="0" t="s">
        <v>21</v>
      </c>
      <c r="H313" s="0" t="s">
        <v>23</v>
      </c>
      <c r="I313" s="2" t="s">
        <v>24</v>
      </c>
      <c r="J313" s="2" t="s">
        <v>1051</v>
      </c>
      <c r="K313" s="0" t="s">
        <v>1052</v>
      </c>
      <c r="L313" s="0" t="s">
        <v>1580</v>
      </c>
      <c r="M313" s="0" t="s">
        <v>1053</v>
      </c>
      <c r="N313" s="0" t="s">
        <v>1581</v>
      </c>
      <c r="O313" s="0" t="s">
        <v>57</v>
      </c>
      <c r="Q313" s="0" t="s">
        <v>1582</v>
      </c>
      <c r="R313" s="0" t="s">
        <v>1583</v>
      </c>
      <c r="T313" s="0" t="s">
        <v>1584</v>
      </c>
    </row>
    <row r="314" customFormat="false" ht="15" hidden="false" customHeight="false" outlineLevel="0" collapsed="false">
      <c r="A314" s="0" t="n">
        <v>313</v>
      </c>
      <c r="D314" s="0" t="s">
        <v>1585</v>
      </c>
      <c r="E314" s="0" t="s">
        <v>21</v>
      </c>
      <c r="F314" s="0" t="s">
        <v>1586</v>
      </c>
      <c r="H314" s="0" t="s">
        <v>23</v>
      </c>
      <c r="I314" s="2" t="s">
        <v>24</v>
      </c>
      <c r="J314" s="2" t="s">
        <v>1051</v>
      </c>
      <c r="K314" s="0" t="s">
        <v>1052</v>
      </c>
      <c r="L314" s="0" t="s">
        <v>27</v>
      </c>
      <c r="M314" s="0" t="s">
        <v>1053</v>
      </c>
      <c r="N314" s="0" t="s">
        <v>1587</v>
      </c>
      <c r="O314" s="0" t="s">
        <v>37</v>
      </c>
      <c r="Q314" s="0" t="s">
        <v>1588</v>
      </c>
      <c r="R314" s="0" t="s">
        <v>1589</v>
      </c>
      <c r="S314" s="0" t="s">
        <v>1590</v>
      </c>
      <c r="T314" s="0" t="s">
        <v>33</v>
      </c>
    </row>
    <row r="315" customFormat="false" ht="15" hidden="false" customHeight="false" outlineLevel="0" collapsed="false">
      <c r="A315" s="0" t="n">
        <v>314</v>
      </c>
      <c r="D315" s="0" t="s">
        <v>1591</v>
      </c>
      <c r="E315" s="0" t="s">
        <v>21</v>
      </c>
      <c r="F315" s="0" t="s">
        <v>1592</v>
      </c>
      <c r="H315" s="0" t="s">
        <v>23</v>
      </c>
      <c r="I315" s="2" t="s">
        <v>24</v>
      </c>
      <c r="J315" s="2" t="s">
        <v>1051</v>
      </c>
      <c r="K315" s="0" t="s">
        <v>1052</v>
      </c>
      <c r="L315" s="0" t="s">
        <v>27</v>
      </c>
      <c r="M315" s="0" t="s">
        <v>1053</v>
      </c>
      <c r="N315" s="0" t="s">
        <v>1593</v>
      </c>
      <c r="O315" s="0" t="s">
        <v>57</v>
      </c>
      <c r="Q315" s="0" t="s">
        <v>1594</v>
      </c>
      <c r="R315" s="0" t="s">
        <v>1595</v>
      </c>
      <c r="S315" s="0" t="s">
        <v>1596</v>
      </c>
      <c r="T315" s="0" t="s">
        <v>33</v>
      </c>
    </row>
    <row r="316" customFormat="false" ht="15" hidden="false" customHeight="false" outlineLevel="0" collapsed="false">
      <c r="A316" s="0" t="n">
        <v>315</v>
      </c>
      <c r="D316" s="0" t="s">
        <v>1597</v>
      </c>
      <c r="E316" s="0" t="s">
        <v>21</v>
      </c>
      <c r="F316" s="0" t="s">
        <v>1598</v>
      </c>
      <c r="H316" s="0" t="s">
        <v>23</v>
      </c>
      <c r="I316" s="2" t="s">
        <v>24</v>
      </c>
      <c r="J316" s="2" t="s">
        <v>1051</v>
      </c>
      <c r="K316" s="0" t="s">
        <v>1052</v>
      </c>
      <c r="L316" s="0" t="s">
        <v>27</v>
      </c>
      <c r="M316" s="0" t="s">
        <v>1053</v>
      </c>
      <c r="N316" s="0" t="s">
        <v>976</v>
      </c>
      <c r="O316" s="0" t="s">
        <v>37</v>
      </c>
      <c r="P316" s="0" t="s">
        <v>974</v>
      </c>
      <c r="Q316" s="0" t="s">
        <v>1599</v>
      </c>
      <c r="S316" s="0" t="s">
        <v>1600</v>
      </c>
      <c r="T316" s="0" t="s">
        <v>33</v>
      </c>
    </row>
    <row r="317" customFormat="false" ht="15" hidden="false" customHeight="false" outlineLevel="0" collapsed="false">
      <c r="A317" s="0" t="n">
        <v>316</v>
      </c>
      <c r="D317" s="0" t="s">
        <v>1601</v>
      </c>
      <c r="E317" s="0" t="s">
        <v>21</v>
      </c>
      <c r="F317" s="0" t="s">
        <v>1602</v>
      </c>
      <c r="H317" s="0" t="s">
        <v>23</v>
      </c>
      <c r="I317" s="2" t="s">
        <v>24</v>
      </c>
      <c r="J317" s="2" t="s">
        <v>1051</v>
      </c>
      <c r="K317" s="0" t="s">
        <v>1052</v>
      </c>
      <c r="L317" s="0" t="s">
        <v>1603</v>
      </c>
      <c r="M317" s="0" t="s">
        <v>1053</v>
      </c>
      <c r="N317" s="0" t="s">
        <v>1604</v>
      </c>
      <c r="O317" s="0" t="s">
        <v>30</v>
      </c>
      <c r="R317" s="0" t="s">
        <v>1605</v>
      </c>
      <c r="S317" s="0" t="s">
        <v>1606</v>
      </c>
      <c r="T317" s="0" t="s">
        <v>1607</v>
      </c>
    </row>
    <row r="318" customFormat="false" ht="15" hidden="false" customHeight="false" outlineLevel="0" collapsed="false">
      <c r="A318" s="0" t="n">
        <v>317</v>
      </c>
      <c r="D318" s="0" t="s">
        <v>1608</v>
      </c>
      <c r="E318" s="0" t="s">
        <v>780</v>
      </c>
      <c r="H318" s="0" t="s">
        <v>23</v>
      </c>
      <c r="I318" s="2" t="s">
        <v>24</v>
      </c>
      <c r="J318" s="2" t="s">
        <v>1051</v>
      </c>
      <c r="K318" s="0" t="s">
        <v>1052</v>
      </c>
      <c r="L318" s="0" t="s">
        <v>35</v>
      </c>
      <c r="M318" s="0" t="s">
        <v>1053</v>
      </c>
      <c r="N318" s="0" t="s">
        <v>600</v>
      </c>
      <c r="O318" s="0" t="s">
        <v>30</v>
      </c>
      <c r="P318" s="0" t="s">
        <v>601</v>
      </c>
      <c r="T318" s="0" t="s">
        <v>33</v>
      </c>
    </row>
    <row r="319" customFormat="false" ht="15" hidden="false" customHeight="false" outlineLevel="0" collapsed="false">
      <c r="A319" s="0" t="n">
        <v>318</v>
      </c>
      <c r="D319" s="0" t="s">
        <v>1609</v>
      </c>
      <c r="E319" s="0" t="s">
        <v>21</v>
      </c>
      <c r="F319" s="0" t="s">
        <v>1610</v>
      </c>
      <c r="H319" s="0" t="s">
        <v>23</v>
      </c>
      <c r="I319" s="2" t="s">
        <v>24</v>
      </c>
      <c r="J319" s="2" t="s">
        <v>1051</v>
      </c>
      <c r="K319" s="0" t="s">
        <v>1052</v>
      </c>
      <c r="L319" s="0" t="s">
        <v>27</v>
      </c>
      <c r="M319" s="0" t="s">
        <v>1053</v>
      </c>
      <c r="N319" s="0" t="s">
        <v>249</v>
      </c>
      <c r="O319" s="0" t="s">
        <v>37</v>
      </c>
      <c r="P319" s="0" t="s">
        <v>250</v>
      </c>
      <c r="Q319" s="0" t="s">
        <v>1611</v>
      </c>
      <c r="R319" s="0" t="s">
        <v>1612</v>
      </c>
      <c r="S319" s="0" t="s">
        <v>1613</v>
      </c>
      <c r="T319" s="0" t="s">
        <v>33</v>
      </c>
    </row>
    <row r="320" customFormat="false" ht="15" hidden="false" customHeight="false" outlineLevel="0" collapsed="false">
      <c r="A320" s="0" t="n">
        <v>319</v>
      </c>
      <c r="D320" s="0" t="s">
        <v>1614</v>
      </c>
      <c r="E320" s="0" t="s">
        <v>21</v>
      </c>
      <c r="F320" s="0" t="s">
        <v>1615</v>
      </c>
      <c r="H320" s="0" t="s">
        <v>23</v>
      </c>
      <c r="I320" s="2" t="s">
        <v>24</v>
      </c>
      <c r="J320" s="2" t="s">
        <v>1051</v>
      </c>
      <c r="K320" s="0" t="s">
        <v>1052</v>
      </c>
      <c r="L320" s="0" t="s">
        <v>27</v>
      </c>
      <c r="M320" s="0" t="s">
        <v>1053</v>
      </c>
      <c r="N320" s="0" t="s">
        <v>1616</v>
      </c>
      <c r="O320" s="0" t="s">
        <v>37</v>
      </c>
      <c r="Q320" s="0" t="s">
        <v>1617</v>
      </c>
      <c r="R320" s="0" t="s">
        <v>1618</v>
      </c>
      <c r="S320" s="0" t="s">
        <v>1619</v>
      </c>
      <c r="T320" s="0" t="s">
        <v>33</v>
      </c>
    </row>
    <row r="321" customFormat="false" ht="15" hidden="false" customHeight="false" outlineLevel="0" collapsed="false">
      <c r="A321" s="0" t="n">
        <v>320</v>
      </c>
      <c r="D321" s="0" t="s">
        <v>1620</v>
      </c>
      <c r="E321" s="0" t="s">
        <v>21</v>
      </c>
      <c r="H321" s="0" t="s">
        <v>23</v>
      </c>
      <c r="I321" s="2" t="s">
        <v>24</v>
      </c>
      <c r="J321" s="2" t="s">
        <v>1051</v>
      </c>
      <c r="K321" s="0" t="s">
        <v>1052</v>
      </c>
      <c r="L321" s="0" t="s">
        <v>35</v>
      </c>
      <c r="M321" s="0" t="s">
        <v>1053</v>
      </c>
      <c r="N321" s="0" t="s">
        <v>393</v>
      </c>
      <c r="O321" s="0" t="s">
        <v>30</v>
      </c>
      <c r="P321" s="0" t="s">
        <v>394</v>
      </c>
      <c r="T321" s="0" t="s">
        <v>33</v>
      </c>
    </row>
    <row r="322" customFormat="false" ht="15" hidden="false" customHeight="false" outlineLevel="0" collapsed="false">
      <c r="A322" s="0" t="n">
        <v>321</v>
      </c>
      <c r="D322" s="0" t="s">
        <v>1621</v>
      </c>
      <c r="E322" s="0" t="s">
        <v>21</v>
      </c>
      <c r="F322" s="0" t="s">
        <v>1622</v>
      </c>
      <c r="H322" s="0" t="s">
        <v>23</v>
      </c>
      <c r="I322" s="2" t="s">
        <v>24</v>
      </c>
      <c r="J322" s="2" t="s">
        <v>1051</v>
      </c>
      <c r="K322" s="0" t="s">
        <v>1052</v>
      </c>
      <c r="L322" s="0" t="s">
        <v>27</v>
      </c>
      <c r="M322" s="0" t="s">
        <v>1053</v>
      </c>
      <c r="N322" s="0" t="s">
        <v>1623</v>
      </c>
      <c r="O322" s="0" t="s">
        <v>37</v>
      </c>
      <c r="Q322" s="0" t="s">
        <v>1624</v>
      </c>
      <c r="R322" s="0" t="s">
        <v>1625</v>
      </c>
      <c r="S322" s="0" t="s">
        <v>1626</v>
      </c>
      <c r="T322" s="0" t="s">
        <v>33</v>
      </c>
    </row>
    <row r="323" customFormat="false" ht="15" hidden="false" customHeight="false" outlineLevel="0" collapsed="false">
      <c r="A323" s="0" t="n">
        <v>322</v>
      </c>
      <c r="D323" s="0" t="s">
        <v>1627</v>
      </c>
      <c r="E323" s="0" t="s">
        <v>21</v>
      </c>
      <c r="F323" s="0" t="s">
        <v>1628</v>
      </c>
      <c r="H323" s="0" t="s">
        <v>23</v>
      </c>
      <c r="I323" s="2" t="s">
        <v>24</v>
      </c>
      <c r="J323" s="2" t="s">
        <v>1051</v>
      </c>
      <c r="K323" s="0" t="s">
        <v>1052</v>
      </c>
      <c r="L323" s="0" t="s">
        <v>27</v>
      </c>
      <c r="M323" s="0" t="s">
        <v>1053</v>
      </c>
      <c r="N323" s="0" t="s">
        <v>1629</v>
      </c>
      <c r="O323" s="0" t="s">
        <v>30</v>
      </c>
      <c r="R323" s="0" t="s">
        <v>1630</v>
      </c>
      <c r="T323" s="0" t="s">
        <v>33</v>
      </c>
    </row>
    <row r="324" customFormat="false" ht="15" hidden="false" customHeight="false" outlineLevel="0" collapsed="false">
      <c r="A324" s="0" t="n">
        <v>323</v>
      </c>
      <c r="D324" s="0" t="s">
        <v>1631</v>
      </c>
      <c r="E324" s="0" t="s">
        <v>21</v>
      </c>
      <c r="F324" s="0" t="s">
        <v>1632</v>
      </c>
      <c r="H324" s="0" t="s">
        <v>23</v>
      </c>
      <c r="I324" s="2" t="s">
        <v>24</v>
      </c>
      <c r="J324" s="2" t="s">
        <v>1051</v>
      </c>
      <c r="K324" s="0" t="s">
        <v>1052</v>
      </c>
      <c r="L324" s="0" t="s">
        <v>27</v>
      </c>
      <c r="M324" s="0" t="s">
        <v>1053</v>
      </c>
      <c r="N324" s="0" t="s">
        <v>976</v>
      </c>
      <c r="O324" s="0" t="s">
        <v>37</v>
      </c>
      <c r="P324" s="0" t="s">
        <v>974</v>
      </c>
      <c r="Q324" s="0" t="s">
        <v>1633</v>
      </c>
      <c r="R324" s="0" t="s">
        <v>1634</v>
      </c>
      <c r="S324" s="0" t="s">
        <v>1635</v>
      </c>
      <c r="T324" s="0" t="s">
        <v>33</v>
      </c>
    </row>
    <row r="325" customFormat="false" ht="15" hidden="false" customHeight="false" outlineLevel="0" collapsed="false">
      <c r="A325" s="0" t="n">
        <v>324</v>
      </c>
      <c r="D325" s="0" t="s">
        <v>1636</v>
      </c>
      <c r="E325" s="0" t="s">
        <v>21</v>
      </c>
      <c r="F325" s="0" t="s">
        <v>1637</v>
      </c>
      <c r="H325" s="0" t="s">
        <v>23</v>
      </c>
      <c r="I325" s="2" t="s">
        <v>24</v>
      </c>
      <c r="J325" s="2" t="s">
        <v>1051</v>
      </c>
      <c r="K325" s="0" t="s">
        <v>1052</v>
      </c>
      <c r="L325" s="0" t="s">
        <v>27</v>
      </c>
      <c r="M325" s="0" t="s">
        <v>1053</v>
      </c>
      <c r="N325" s="0" t="s">
        <v>509</v>
      </c>
      <c r="O325" s="0" t="s">
        <v>37</v>
      </c>
      <c r="P325" s="0" t="s">
        <v>510</v>
      </c>
      <c r="R325" s="0" t="s">
        <v>1638</v>
      </c>
      <c r="S325" s="0" t="s">
        <v>1639</v>
      </c>
      <c r="T325" s="0" t="s">
        <v>33</v>
      </c>
    </row>
    <row r="326" customFormat="false" ht="15" hidden="false" customHeight="false" outlineLevel="0" collapsed="false">
      <c r="A326" s="0" t="n">
        <v>325</v>
      </c>
      <c r="D326" s="0" t="s">
        <v>1640</v>
      </c>
      <c r="E326" s="0" t="s">
        <v>21</v>
      </c>
      <c r="F326" s="0" t="s">
        <v>1641</v>
      </c>
      <c r="H326" s="0" t="s">
        <v>23</v>
      </c>
      <c r="I326" s="2" t="s">
        <v>24</v>
      </c>
      <c r="J326" s="2" t="s">
        <v>1051</v>
      </c>
      <c r="K326" s="0" t="s">
        <v>1052</v>
      </c>
      <c r="L326" s="0" t="s">
        <v>27</v>
      </c>
      <c r="M326" s="0" t="s">
        <v>1053</v>
      </c>
      <c r="N326" s="0" t="s">
        <v>249</v>
      </c>
      <c r="O326" s="0" t="s">
        <v>37</v>
      </c>
      <c r="P326" s="0" t="s">
        <v>250</v>
      </c>
      <c r="Q326" s="0" t="s">
        <v>1642</v>
      </c>
      <c r="R326" s="0" t="s">
        <v>1643</v>
      </c>
      <c r="S326" s="0" t="s">
        <v>1644</v>
      </c>
      <c r="T326" s="0" t="s">
        <v>33</v>
      </c>
    </row>
    <row r="327" customFormat="false" ht="15" hidden="false" customHeight="false" outlineLevel="0" collapsed="false">
      <c r="A327" s="0" t="n">
        <v>326</v>
      </c>
      <c r="D327" s="0" t="s">
        <v>1645</v>
      </c>
      <c r="E327" s="0" t="s">
        <v>21</v>
      </c>
      <c r="F327" s="0" t="s">
        <v>1646</v>
      </c>
      <c r="H327" s="0" t="s">
        <v>23</v>
      </c>
      <c r="I327" s="2" t="s">
        <v>24</v>
      </c>
      <c r="J327" s="2" t="s">
        <v>1051</v>
      </c>
      <c r="K327" s="0" t="s">
        <v>1052</v>
      </c>
      <c r="L327" s="0" t="s">
        <v>27</v>
      </c>
      <c r="M327" s="0" t="s">
        <v>1053</v>
      </c>
      <c r="N327" s="0" t="s">
        <v>1647</v>
      </c>
      <c r="O327" s="0" t="s">
        <v>30</v>
      </c>
      <c r="R327" s="0" t="s">
        <v>1648</v>
      </c>
      <c r="S327" s="0" t="s">
        <v>1649</v>
      </c>
      <c r="T327" s="0" t="s">
        <v>33</v>
      </c>
    </row>
    <row r="328" customFormat="false" ht="15" hidden="false" customHeight="false" outlineLevel="0" collapsed="false">
      <c r="A328" s="0" t="n">
        <v>327</v>
      </c>
      <c r="D328" s="0" t="s">
        <v>1650</v>
      </c>
      <c r="E328" s="0" t="s">
        <v>21</v>
      </c>
      <c r="F328" s="0" t="s">
        <v>1651</v>
      </c>
      <c r="H328" s="0" t="s">
        <v>23</v>
      </c>
      <c r="I328" s="2" t="s">
        <v>24</v>
      </c>
      <c r="J328" s="2" t="s">
        <v>1051</v>
      </c>
      <c r="K328" s="0" t="s">
        <v>1052</v>
      </c>
      <c r="L328" s="0" t="s">
        <v>27</v>
      </c>
      <c r="M328" s="0" t="s">
        <v>1053</v>
      </c>
      <c r="N328" s="0" t="s">
        <v>186</v>
      </c>
      <c r="O328" s="0" t="s">
        <v>37</v>
      </c>
      <c r="P328" s="0" t="s">
        <v>187</v>
      </c>
      <c r="Q328" s="0" t="s">
        <v>1652</v>
      </c>
      <c r="R328" s="0" t="s">
        <v>1653</v>
      </c>
      <c r="S328" s="0" t="s">
        <v>1654</v>
      </c>
      <c r="T328" s="0" t="s">
        <v>33</v>
      </c>
    </row>
    <row r="329" customFormat="false" ht="15" hidden="false" customHeight="false" outlineLevel="0" collapsed="false">
      <c r="A329" s="0" t="n">
        <v>328</v>
      </c>
      <c r="D329" s="0" t="s">
        <v>1655</v>
      </c>
      <c r="E329" s="0" t="s">
        <v>21</v>
      </c>
      <c r="F329" s="0" t="s">
        <v>1656</v>
      </c>
      <c r="H329" s="0" t="s">
        <v>23</v>
      </c>
      <c r="I329" s="2" t="s">
        <v>24</v>
      </c>
      <c r="J329" s="2" t="s">
        <v>1051</v>
      </c>
      <c r="K329" s="0" t="s">
        <v>1052</v>
      </c>
      <c r="L329" s="0" t="s">
        <v>27</v>
      </c>
      <c r="M329" s="0" t="s">
        <v>1053</v>
      </c>
      <c r="N329" s="0" t="s">
        <v>509</v>
      </c>
      <c r="O329" s="0" t="s">
        <v>37</v>
      </c>
      <c r="P329" s="0" t="s">
        <v>510</v>
      </c>
      <c r="Q329" s="0" t="s">
        <v>1657</v>
      </c>
      <c r="R329" s="0" t="s">
        <v>1658</v>
      </c>
      <c r="S329" s="0" t="s">
        <v>1659</v>
      </c>
      <c r="T329" s="0" t="s">
        <v>33</v>
      </c>
    </row>
    <row r="330" customFormat="false" ht="15" hidden="false" customHeight="false" outlineLevel="0" collapsed="false">
      <c r="A330" s="0" t="n">
        <v>329</v>
      </c>
      <c r="D330" s="0" t="s">
        <v>1660</v>
      </c>
      <c r="E330" s="0" t="s">
        <v>21</v>
      </c>
      <c r="F330" s="0" t="s">
        <v>1661</v>
      </c>
      <c r="H330" s="0" t="s">
        <v>23</v>
      </c>
      <c r="I330" s="2" t="s">
        <v>24</v>
      </c>
      <c r="J330" s="2" t="s">
        <v>1051</v>
      </c>
      <c r="K330" s="0" t="s">
        <v>1052</v>
      </c>
      <c r="L330" s="0" t="s">
        <v>27</v>
      </c>
      <c r="M330" s="0" t="s">
        <v>1053</v>
      </c>
      <c r="N330" s="0" t="s">
        <v>1662</v>
      </c>
      <c r="O330" s="0" t="s">
        <v>57</v>
      </c>
      <c r="Q330" s="0" t="s">
        <v>1663</v>
      </c>
      <c r="R330" s="0" t="s">
        <v>1664</v>
      </c>
      <c r="S330" s="0" t="s">
        <v>1665</v>
      </c>
      <c r="T330" s="0" t="s">
        <v>33</v>
      </c>
    </row>
    <row r="331" customFormat="false" ht="15" hidden="false" customHeight="false" outlineLevel="0" collapsed="false">
      <c r="A331" s="0" t="n">
        <v>330</v>
      </c>
      <c r="D331" s="0" t="s">
        <v>1666</v>
      </c>
      <c r="E331" s="0" t="s">
        <v>21</v>
      </c>
      <c r="F331" s="0" t="s">
        <v>1667</v>
      </c>
      <c r="H331" s="0" t="s">
        <v>23</v>
      </c>
      <c r="I331" s="2" t="s">
        <v>24</v>
      </c>
      <c r="J331" s="2" t="s">
        <v>1051</v>
      </c>
      <c r="K331" s="0" t="s">
        <v>1052</v>
      </c>
      <c r="L331" s="0" t="s">
        <v>27</v>
      </c>
      <c r="M331" s="0" t="s">
        <v>1053</v>
      </c>
      <c r="N331" s="0" t="s">
        <v>1668</v>
      </c>
      <c r="O331" s="0" t="s">
        <v>30</v>
      </c>
      <c r="R331" s="0" t="s">
        <v>1669</v>
      </c>
      <c r="S331" s="0" t="s">
        <v>1670</v>
      </c>
      <c r="T331" s="0" t="s">
        <v>33</v>
      </c>
    </row>
    <row r="332" customFormat="false" ht="15" hidden="false" customHeight="false" outlineLevel="0" collapsed="false">
      <c r="A332" s="0" t="n">
        <v>331</v>
      </c>
      <c r="D332" s="0" t="s">
        <v>1671</v>
      </c>
      <c r="E332" s="0" t="s">
        <v>21</v>
      </c>
      <c r="F332" s="0" t="s">
        <v>1672</v>
      </c>
      <c r="H332" s="0" t="s">
        <v>23</v>
      </c>
      <c r="I332" s="2" t="s">
        <v>24</v>
      </c>
      <c r="J332" s="2" t="s">
        <v>1051</v>
      </c>
      <c r="K332" s="0" t="s">
        <v>1052</v>
      </c>
      <c r="L332" s="0" t="s">
        <v>27</v>
      </c>
      <c r="M332" s="0" t="s">
        <v>1053</v>
      </c>
      <c r="N332" s="0" t="s">
        <v>1673</v>
      </c>
      <c r="O332" s="0" t="s">
        <v>57</v>
      </c>
      <c r="R332" s="0" t="s">
        <v>1674</v>
      </c>
      <c r="S332" s="0" t="s">
        <v>1675</v>
      </c>
      <c r="T332" s="0" t="s">
        <v>33</v>
      </c>
    </row>
    <row r="333" customFormat="false" ht="15" hidden="false" customHeight="false" outlineLevel="0" collapsed="false">
      <c r="A333" s="0" t="n">
        <v>332</v>
      </c>
      <c r="D333" s="0" t="s">
        <v>1676</v>
      </c>
      <c r="E333" s="0" t="s">
        <v>21</v>
      </c>
      <c r="H333" s="0" t="s">
        <v>23</v>
      </c>
      <c r="I333" s="2" t="s">
        <v>24</v>
      </c>
      <c r="J333" s="2" t="s">
        <v>1051</v>
      </c>
      <c r="K333" s="0" t="s">
        <v>1052</v>
      </c>
      <c r="L333" s="0" t="s">
        <v>35</v>
      </c>
      <c r="M333" s="0" t="s">
        <v>1053</v>
      </c>
      <c r="N333" s="0" t="s">
        <v>249</v>
      </c>
      <c r="O333" s="0" t="s">
        <v>37</v>
      </c>
      <c r="P333" s="0" t="s">
        <v>250</v>
      </c>
      <c r="Q333" s="0" t="s">
        <v>1677</v>
      </c>
      <c r="T333" s="0" t="s">
        <v>33</v>
      </c>
    </row>
    <row r="334" customFormat="false" ht="15" hidden="false" customHeight="false" outlineLevel="0" collapsed="false">
      <c r="A334" s="0" t="n">
        <v>333</v>
      </c>
      <c r="D334" s="0" t="s">
        <v>1678</v>
      </c>
      <c r="E334" s="0" t="s">
        <v>21</v>
      </c>
      <c r="H334" s="0" t="s">
        <v>23</v>
      </c>
      <c r="I334" s="2" t="s">
        <v>24</v>
      </c>
      <c r="J334" s="2" t="s">
        <v>1051</v>
      </c>
      <c r="K334" s="0" t="s">
        <v>1052</v>
      </c>
      <c r="L334" s="0" t="s">
        <v>35</v>
      </c>
      <c r="M334" s="0" t="s">
        <v>1053</v>
      </c>
      <c r="N334" s="0" t="s">
        <v>1679</v>
      </c>
      <c r="O334" s="0" t="s">
        <v>57</v>
      </c>
      <c r="R334" s="0" t="s">
        <v>1680</v>
      </c>
      <c r="T334" s="0" t="s">
        <v>33</v>
      </c>
    </row>
    <row r="335" customFormat="false" ht="15" hidden="false" customHeight="false" outlineLevel="0" collapsed="false">
      <c r="A335" s="0" t="n">
        <v>334</v>
      </c>
      <c r="D335" s="0" t="s">
        <v>1681</v>
      </c>
      <c r="E335" s="0" t="s">
        <v>21</v>
      </c>
      <c r="F335" s="0" t="s">
        <v>1682</v>
      </c>
      <c r="H335" s="0" t="s">
        <v>23</v>
      </c>
      <c r="I335" s="2" t="s">
        <v>24</v>
      </c>
      <c r="J335" s="2" t="s">
        <v>1051</v>
      </c>
      <c r="K335" s="0" t="s">
        <v>1052</v>
      </c>
      <c r="L335" s="0" t="s">
        <v>27</v>
      </c>
      <c r="M335" s="0" t="s">
        <v>1053</v>
      </c>
      <c r="N335" s="0" t="s">
        <v>1683</v>
      </c>
      <c r="O335" s="0" t="s">
        <v>57</v>
      </c>
      <c r="Q335" s="0" t="s">
        <v>1684</v>
      </c>
      <c r="R335" s="0" t="s">
        <v>1685</v>
      </c>
      <c r="S335" s="0" t="s">
        <v>1686</v>
      </c>
      <c r="T335" s="0" t="s">
        <v>33</v>
      </c>
    </row>
    <row r="336" customFormat="false" ht="15" hidden="false" customHeight="false" outlineLevel="0" collapsed="false">
      <c r="A336" s="0" t="n">
        <v>335</v>
      </c>
      <c r="D336" s="0" t="s">
        <v>1687</v>
      </c>
      <c r="E336" s="0" t="s">
        <v>21</v>
      </c>
      <c r="H336" s="0" t="s">
        <v>23</v>
      </c>
      <c r="I336" s="2" t="s">
        <v>24</v>
      </c>
      <c r="J336" s="2" t="s">
        <v>1051</v>
      </c>
      <c r="K336" s="0" t="s">
        <v>1052</v>
      </c>
      <c r="L336" s="0" t="s">
        <v>35</v>
      </c>
      <c r="M336" s="0" t="s">
        <v>1053</v>
      </c>
      <c r="N336" s="0" t="s">
        <v>1688</v>
      </c>
      <c r="O336" s="0" t="s">
        <v>37</v>
      </c>
      <c r="R336" s="0" t="s">
        <v>1689</v>
      </c>
      <c r="T336" s="0" t="s">
        <v>33</v>
      </c>
    </row>
    <row r="337" customFormat="false" ht="15" hidden="false" customHeight="false" outlineLevel="0" collapsed="false">
      <c r="A337" s="0" t="n">
        <v>336</v>
      </c>
      <c r="D337" s="0" t="s">
        <v>1690</v>
      </c>
      <c r="E337" s="0" t="s">
        <v>21</v>
      </c>
      <c r="H337" s="0" t="s">
        <v>23</v>
      </c>
      <c r="I337" s="2" t="s">
        <v>24</v>
      </c>
      <c r="J337" s="2" t="s">
        <v>1051</v>
      </c>
      <c r="K337" s="0" t="s">
        <v>1052</v>
      </c>
      <c r="L337" s="0" t="s">
        <v>35</v>
      </c>
      <c r="M337" s="0" t="s">
        <v>1053</v>
      </c>
      <c r="N337" s="0" t="s">
        <v>186</v>
      </c>
      <c r="O337" s="0" t="s">
        <v>37</v>
      </c>
      <c r="P337" s="0" t="s">
        <v>187</v>
      </c>
      <c r="Q337" s="0" t="s">
        <v>1691</v>
      </c>
      <c r="R337" s="0" t="s">
        <v>1692</v>
      </c>
      <c r="T337" s="0" t="s">
        <v>33</v>
      </c>
    </row>
    <row r="338" customFormat="false" ht="15" hidden="false" customHeight="false" outlineLevel="0" collapsed="false">
      <c r="A338" s="0" t="n">
        <v>337</v>
      </c>
      <c r="D338" s="0" t="s">
        <v>1693</v>
      </c>
      <c r="E338" s="0" t="s">
        <v>21</v>
      </c>
      <c r="F338" s="0" t="s">
        <v>1694</v>
      </c>
      <c r="H338" s="0" t="s">
        <v>23</v>
      </c>
      <c r="I338" s="2" t="s">
        <v>24</v>
      </c>
      <c r="J338" s="2" t="s">
        <v>1051</v>
      </c>
      <c r="K338" s="0" t="s">
        <v>1052</v>
      </c>
      <c r="L338" s="0" t="s">
        <v>27</v>
      </c>
      <c r="M338" s="0" t="s">
        <v>1053</v>
      </c>
      <c r="N338" s="0" t="s">
        <v>1695</v>
      </c>
      <c r="O338" s="0" t="s">
        <v>57</v>
      </c>
      <c r="Q338" s="0" t="s">
        <v>1696</v>
      </c>
      <c r="R338" s="0" t="s">
        <v>1697</v>
      </c>
      <c r="S338" s="0" t="s">
        <v>1698</v>
      </c>
      <c r="T338" s="0" t="s">
        <v>33</v>
      </c>
    </row>
    <row r="339" customFormat="false" ht="15" hidden="false" customHeight="false" outlineLevel="0" collapsed="false">
      <c r="A339" s="0" t="n">
        <v>338</v>
      </c>
      <c r="D339" s="0" t="s">
        <v>1699</v>
      </c>
      <c r="E339" s="0" t="s">
        <v>90</v>
      </c>
      <c r="F339" s="0" t="s">
        <v>1700</v>
      </c>
      <c r="H339" s="0" t="s">
        <v>23</v>
      </c>
      <c r="I339" s="2" t="s">
        <v>24</v>
      </c>
      <c r="J339" s="2" t="s">
        <v>1051</v>
      </c>
      <c r="K339" s="0" t="s">
        <v>1052</v>
      </c>
      <c r="L339" s="0" t="s">
        <v>27</v>
      </c>
      <c r="M339" s="0" t="s">
        <v>1053</v>
      </c>
      <c r="N339" s="0" t="s">
        <v>667</v>
      </c>
      <c r="O339" s="0" t="s">
        <v>37</v>
      </c>
      <c r="P339" s="0" t="s">
        <v>668</v>
      </c>
      <c r="R339" s="0" t="s">
        <v>1701</v>
      </c>
      <c r="S339" s="0" t="s">
        <v>1702</v>
      </c>
      <c r="T339" s="0" t="s">
        <v>33</v>
      </c>
    </row>
    <row r="340" customFormat="false" ht="15" hidden="false" customHeight="false" outlineLevel="0" collapsed="false">
      <c r="A340" s="0" t="n">
        <v>339</v>
      </c>
      <c r="D340" s="0" t="s">
        <v>1703</v>
      </c>
      <c r="E340" s="0" t="s">
        <v>780</v>
      </c>
      <c r="H340" s="0" t="s">
        <v>23</v>
      </c>
      <c r="I340" s="2" t="s">
        <v>24</v>
      </c>
      <c r="J340" s="2" t="s">
        <v>1051</v>
      </c>
      <c r="K340" s="0" t="s">
        <v>1052</v>
      </c>
      <c r="L340" s="0" t="s">
        <v>35</v>
      </c>
      <c r="M340" s="0" t="s">
        <v>1053</v>
      </c>
      <c r="N340" s="0" t="s">
        <v>600</v>
      </c>
      <c r="O340" s="0" t="s">
        <v>30</v>
      </c>
      <c r="P340" s="0" t="s">
        <v>601</v>
      </c>
      <c r="T340" s="0" t="s">
        <v>33</v>
      </c>
    </row>
    <row r="341" customFormat="false" ht="15" hidden="false" customHeight="false" outlineLevel="0" collapsed="false">
      <c r="A341" s="0" t="n">
        <v>340</v>
      </c>
      <c r="D341" s="0" t="s">
        <v>1704</v>
      </c>
      <c r="E341" s="0" t="s">
        <v>780</v>
      </c>
      <c r="H341" s="0" t="s">
        <v>23</v>
      </c>
      <c r="I341" s="2" t="s">
        <v>24</v>
      </c>
      <c r="J341" s="2" t="s">
        <v>1051</v>
      </c>
      <c r="K341" s="0" t="s">
        <v>1052</v>
      </c>
      <c r="L341" s="0" t="s">
        <v>1705</v>
      </c>
      <c r="M341" s="0" t="s">
        <v>1053</v>
      </c>
      <c r="N341" s="0" t="s">
        <v>600</v>
      </c>
      <c r="O341" s="0" t="s">
        <v>30</v>
      </c>
      <c r="P341" s="0" t="s">
        <v>601</v>
      </c>
      <c r="Q341" s="0" t="s">
        <v>1706</v>
      </c>
      <c r="T341" s="0" t="s">
        <v>1707</v>
      </c>
    </row>
    <row r="342" customFormat="false" ht="15" hidden="false" customHeight="false" outlineLevel="0" collapsed="false">
      <c r="A342" s="0" t="n">
        <v>341</v>
      </c>
      <c r="D342" s="0" t="s">
        <v>1708</v>
      </c>
      <c r="E342" s="0" t="s">
        <v>21</v>
      </c>
      <c r="F342" s="0" t="s">
        <v>1709</v>
      </c>
      <c r="H342" s="0" t="s">
        <v>23</v>
      </c>
      <c r="I342" s="2" t="s">
        <v>24</v>
      </c>
      <c r="J342" s="2" t="s">
        <v>1051</v>
      </c>
      <c r="K342" s="0" t="s">
        <v>1052</v>
      </c>
      <c r="L342" s="0" t="s">
        <v>27</v>
      </c>
      <c r="M342" s="0" t="s">
        <v>1053</v>
      </c>
      <c r="N342" s="0" t="s">
        <v>1710</v>
      </c>
      <c r="O342" s="0" t="s">
        <v>57</v>
      </c>
      <c r="Q342" s="0" t="s">
        <v>1711</v>
      </c>
      <c r="R342" s="0" t="s">
        <v>1712</v>
      </c>
      <c r="S342" s="0" t="s">
        <v>1713</v>
      </c>
      <c r="T342" s="0" t="s">
        <v>33</v>
      </c>
    </row>
    <row r="343" customFormat="false" ht="15" hidden="false" customHeight="false" outlineLevel="0" collapsed="false">
      <c r="A343" s="0" t="n">
        <v>342</v>
      </c>
      <c r="D343" s="0" t="s">
        <v>1714</v>
      </c>
      <c r="E343" s="0" t="s">
        <v>21</v>
      </c>
      <c r="F343" s="0" t="s">
        <v>1715</v>
      </c>
      <c r="H343" s="0" t="s">
        <v>23</v>
      </c>
      <c r="I343" s="2" t="s">
        <v>24</v>
      </c>
      <c r="J343" s="2" t="s">
        <v>1051</v>
      </c>
      <c r="K343" s="0" t="s">
        <v>1052</v>
      </c>
      <c r="L343" s="0" t="s">
        <v>27</v>
      </c>
      <c r="M343" s="0" t="s">
        <v>1053</v>
      </c>
      <c r="N343" s="0" t="s">
        <v>186</v>
      </c>
      <c r="O343" s="0" t="s">
        <v>37</v>
      </c>
      <c r="P343" s="0" t="s">
        <v>187</v>
      </c>
      <c r="Q343" s="0" t="s">
        <v>1716</v>
      </c>
      <c r="R343" s="0" t="s">
        <v>1717</v>
      </c>
      <c r="S343" s="0" t="s">
        <v>1718</v>
      </c>
      <c r="T343" s="0" t="s">
        <v>33</v>
      </c>
    </row>
    <row r="344" customFormat="false" ht="15" hidden="false" customHeight="false" outlineLevel="0" collapsed="false">
      <c r="A344" s="0" t="n">
        <v>343</v>
      </c>
      <c r="D344" s="0" t="s">
        <v>1719</v>
      </c>
      <c r="E344" s="0" t="s">
        <v>21</v>
      </c>
      <c r="H344" s="0" t="s">
        <v>23</v>
      </c>
      <c r="I344" s="2" t="s">
        <v>24</v>
      </c>
      <c r="J344" s="2" t="s">
        <v>1051</v>
      </c>
      <c r="K344" s="0" t="s">
        <v>1052</v>
      </c>
      <c r="L344" s="0" t="s">
        <v>35</v>
      </c>
      <c r="M344" s="0" t="s">
        <v>1053</v>
      </c>
      <c r="N344" s="0" t="s">
        <v>600</v>
      </c>
      <c r="O344" s="0" t="s">
        <v>30</v>
      </c>
      <c r="P344" s="0" t="s">
        <v>601</v>
      </c>
      <c r="T344" s="0" t="s">
        <v>33</v>
      </c>
    </row>
    <row r="345" customFormat="false" ht="15" hidden="false" customHeight="false" outlineLevel="0" collapsed="false">
      <c r="A345" s="0" t="n">
        <v>344</v>
      </c>
      <c r="D345" s="0" t="s">
        <v>1720</v>
      </c>
      <c r="E345" s="0" t="s">
        <v>21</v>
      </c>
      <c r="F345" s="0" t="s">
        <v>1721</v>
      </c>
      <c r="H345" s="0" t="s">
        <v>23</v>
      </c>
      <c r="I345" s="2" t="s">
        <v>24</v>
      </c>
      <c r="J345" s="2" t="s">
        <v>1051</v>
      </c>
      <c r="K345" s="0" t="s">
        <v>1052</v>
      </c>
      <c r="L345" s="0" t="s">
        <v>27</v>
      </c>
      <c r="M345" s="0" t="s">
        <v>1053</v>
      </c>
      <c r="N345" s="0" t="s">
        <v>729</v>
      </c>
      <c r="O345" s="0" t="s">
        <v>57</v>
      </c>
      <c r="R345" s="0" t="s">
        <v>1722</v>
      </c>
      <c r="S345" s="0" t="s">
        <v>1723</v>
      </c>
      <c r="T345" s="0" t="s">
        <v>33</v>
      </c>
    </row>
    <row r="346" customFormat="false" ht="15" hidden="false" customHeight="false" outlineLevel="0" collapsed="false">
      <c r="A346" s="0" t="n">
        <v>345</v>
      </c>
      <c r="D346" s="0" t="s">
        <v>1724</v>
      </c>
      <c r="E346" s="0" t="s">
        <v>21</v>
      </c>
      <c r="F346" s="0" t="s">
        <v>1725</v>
      </c>
      <c r="H346" s="0" t="s">
        <v>23</v>
      </c>
      <c r="I346" s="2" t="s">
        <v>24</v>
      </c>
      <c r="J346" s="2" t="s">
        <v>1051</v>
      </c>
      <c r="K346" s="0" t="s">
        <v>1052</v>
      </c>
      <c r="L346" s="0" t="s">
        <v>27</v>
      </c>
      <c r="M346" s="0" t="s">
        <v>1053</v>
      </c>
      <c r="N346" s="0" t="s">
        <v>1726</v>
      </c>
      <c r="O346" s="0" t="s">
        <v>57</v>
      </c>
      <c r="Q346" s="0" t="s">
        <v>1727</v>
      </c>
      <c r="S346" s="0" t="s">
        <v>1728</v>
      </c>
      <c r="T346" s="0" t="s">
        <v>33</v>
      </c>
    </row>
    <row r="347" customFormat="false" ht="15" hidden="false" customHeight="false" outlineLevel="0" collapsed="false">
      <c r="A347" s="0" t="n">
        <v>346</v>
      </c>
      <c r="D347" s="0" t="s">
        <v>1729</v>
      </c>
      <c r="E347" s="0" t="s">
        <v>21</v>
      </c>
      <c r="F347" s="0" t="s">
        <v>1730</v>
      </c>
      <c r="H347" s="0" t="s">
        <v>23</v>
      </c>
      <c r="I347" s="2" t="s">
        <v>24</v>
      </c>
      <c r="J347" s="2" t="s">
        <v>1051</v>
      </c>
      <c r="K347" s="0" t="s">
        <v>1052</v>
      </c>
      <c r="L347" s="0" t="s">
        <v>27</v>
      </c>
      <c r="M347" s="0" t="s">
        <v>1053</v>
      </c>
      <c r="N347" s="0" t="s">
        <v>186</v>
      </c>
      <c r="O347" s="0" t="s">
        <v>37</v>
      </c>
      <c r="P347" s="0" t="s">
        <v>187</v>
      </c>
      <c r="R347" s="0" t="s">
        <v>1731</v>
      </c>
      <c r="S347" s="0" t="s">
        <v>1732</v>
      </c>
      <c r="T347" s="0" t="s">
        <v>33</v>
      </c>
    </row>
    <row r="348" customFormat="false" ht="15" hidden="false" customHeight="false" outlineLevel="0" collapsed="false">
      <c r="A348" s="0" t="n">
        <v>347</v>
      </c>
      <c r="D348" s="0" t="s">
        <v>1733</v>
      </c>
      <c r="E348" s="0" t="s">
        <v>780</v>
      </c>
      <c r="H348" s="0" t="s">
        <v>23</v>
      </c>
      <c r="I348" s="2" t="s">
        <v>24</v>
      </c>
      <c r="J348" s="2" t="s">
        <v>1051</v>
      </c>
      <c r="K348" s="0" t="s">
        <v>1052</v>
      </c>
      <c r="L348" s="0" t="s">
        <v>35</v>
      </c>
      <c r="M348" s="0" t="s">
        <v>1053</v>
      </c>
      <c r="N348" s="0" t="s">
        <v>600</v>
      </c>
      <c r="O348" s="0" t="s">
        <v>30</v>
      </c>
      <c r="P348" s="0" t="s">
        <v>601</v>
      </c>
      <c r="T348" s="0" t="s">
        <v>33</v>
      </c>
    </row>
    <row r="349" customFormat="false" ht="15" hidden="false" customHeight="false" outlineLevel="0" collapsed="false">
      <c r="A349" s="0" t="n">
        <v>348</v>
      </c>
      <c r="D349" s="0" t="s">
        <v>1734</v>
      </c>
      <c r="E349" s="0" t="s">
        <v>21</v>
      </c>
      <c r="H349" s="0" t="s">
        <v>23</v>
      </c>
      <c r="I349" s="2" t="s">
        <v>24</v>
      </c>
      <c r="J349" s="2" t="s">
        <v>1051</v>
      </c>
      <c r="K349" s="0" t="s">
        <v>1052</v>
      </c>
      <c r="L349" s="0" t="s">
        <v>35</v>
      </c>
      <c r="M349" s="0" t="s">
        <v>1053</v>
      </c>
      <c r="N349" s="0" t="s">
        <v>600</v>
      </c>
      <c r="O349" s="0" t="s">
        <v>30</v>
      </c>
      <c r="P349" s="0" t="s">
        <v>601</v>
      </c>
      <c r="T349" s="0" t="s">
        <v>33</v>
      </c>
    </row>
    <row r="350" customFormat="false" ht="15" hidden="false" customHeight="false" outlineLevel="0" collapsed="false">
      <c r="A350" s="0" t="n">
        <v>349</v>
      </c>
      <c r="D350" s="0" t="s">
        <v>1735</v>
      </c>
      <c r="E350" s="0" t="s">
        <v>21</v>
      </c>
      <c r="F350" s="0" t="s">
        <v>1736</v>
      </c>
      <c r="H350" s="0" t="s">
        <v>23</v>
      </c>
      <c r="I350" s="2" t="s">
        <v>24</v>
      </c>
      <c r="J350" s="2" t="s">
        <v>1051</v>
      </c>
      <c r="K350" s="0" t="s">
        <v>1052</v>
      </c>
      <c r="L350" s="0" t="s">
        <v>27</v>
      </c>
      <c r="M350" s="0" t="s">
        <v>1053</v>
      </c>
      <c r="N350" s="0" t="s">
        <v>249</v>
      </c>
      <c r="O350" s="0" t="s">
        <v>37</v>
      </c>
      <c r="P350" s="0" t="s">
        <v>250</v>
      </c>
      <c r="Q350" s="0" t="s">
        <v>1737</v>
      </c>
      <c r="R350" s="0" t="s">
        <v>1738</v>
      </c>
      <c r="S350" s="0" t="s">
        <v>1739</v>
      </c>
      <c r="T350" s="0" t="s">
        <v>33</v>
      </c>
    </row>
    <row r="351" customFormat="false" ht="15" hidden="false" customHeight="false" outlineLevel="0" collapsed="false">
      <c r="A351" s="0" t="n">
        <v>350</v>
      </c>
      <c r="D351" s="0" t="s">
        <v>1740</v>
      </c>
      <c r="E351" s="0" t="s">
        <v>21</v>
      </c>
      <c r="F351" s="0" t="s">
        <v>1741</v>
      </c>
      <c r="H351" s="0" t="s">
        <v>23</v>
      </c>
      <c r="I351" s="2" t="s">
        <v>24</v>
      </c>
      <c r="J351" s="2" t="s">
        <v>1051</v>
      </c>
      <c r="K351" s="0" t="s">
        <v>1052</v>
      </c>
      <c r="L351" s="0" t="s">
        <v>27</v>
      </c>
      <c r="M351" s="0" t="s">
        <v>1053</v>
      </c>
      <c r="N351" s="0" t="s">
        <v>1064</v>
      </c>
      <c r="O351" s="0" t="s">
        <v>57</v>
      </c>
      <c r="R351" s="0" t="s">
        <v>1742</v>
      </c>
      <c r="S351" s="0" t="s">
        <v>1743</v>
      </c>
      <c r="T351" s="0" t="s">
        <v>33</v>
      </c>
    </row>
    <row r="352" customFormat="false" ht="15" hidden="false" customHeight="false" outlineLevel="0" collapsed="false">
      <c r="A352" s="0" t="n">
        <v>351</v>
      </c>
      <c r="D352" s="0" t="s">
        <v>1744</v>
      </c>
      <c r="E352" s="0" t="s">
        <v>21</v>
      </c>
      <c r="F352" s="0" t="s">
        <v>1745</v>
      </c>
      <c r="H352" s="0" t="s">
        <v>23</v>
      </c>
      <c r="I352" s="2" t="s">
        <v>24</v>
      </c>
      <c r="J352" s="2" t="s">
        <v>1051</v>
      </c>
      <c r="K352" s="0" t="s">
        <v>1052</v>
      </c>
      <c r="L352" s="0" t="s">
        <v>27</v>
      </c>
      <c r="M352" s="0" t="s">
        <v>1053</v>
      </c>
      <c r="N352" s="0" t="s">
        <v>1746</v>
      </c>
      <c r="O352" s="0" t="s">
        <v>37</v>
      </c>
      <c r="R352" s="0" t="s">
        <v>1747</v>
      </c>
      <c r="S352" s="0" t="s">
        <v>1748</v>
      </c>
      <c r="T352" s="0" t="s">
        <v>33</v>
      </c>
    </row>
    <row r="353" customFormat="false" ht="15" hidden="false" customHeight="false" outlineLevel="0" collapsed="false">
      <c r="A353" s="0" t="n">
        <v>352</v>
      </c>
      <c r="D353" s="0" t="s">
        <v>1749</v>
      </c>
      <c r="E353" s="0" t="s">
        <v>21</v>
      </c>
      <c r="F353" s="0" t="s">
        <v>1750</v>
      </c>
      <c r="H353" s="0" t="s">
        <v>23</v>
      </c>
      <c r="I353" s="2" t="s">
        <v>24</v>
      </c>
      <c r="J353" s="2" t="s">
        <v>1051</v>
      </c>
      <c r="K353" s="0" t="s">
        <v>1052</v>
      </c>
      <c r="L353" s="0" t="s">
        <v>27</v>
      </c>
      <c r="M353" s="0" t="s">
        <v>1053</v>
      </c>
      <c r="N353" s="0" t="s">
        <v>1751</v>
      </c>
      <c r="O353" s="0" t="s">
        <v>30</v>
      </c>
      <c r="R353" s="0" t="s">
        <v>1752</v>
      </c>
      <c r="S353" s="0" t="s">
        <v>1753</v>
      </c>
      <c r="T353" s="0" t="s">
        <v>33</v>
      </c>
    </row>
    <row r="354" customFormat="false" ht="15" hidden="false" customHeight="false" outlineLevel="0" collapsed="false">
      <c r="A354" s="0" t="n">
        <v>353</v>
      </c>
      <c r="D354" s="0" t="s">
        <v>1754</v>
      </c>
      <c r="E354" s="0" t="s">
        <v>21</v>
      </c>
      <c r="F354" s="0" t="s">
        <v>1755</v>
      </c>
      <c r="H354" s="0" t="s">
        <v>23</v>
      </c>
      <c r="I354" s="2" t="s">
        <v>24</v>
      </c>
      <c r="J354" s="2" t="s">
        <v>1051</v>
      </c>
      <c r="K354" s="0" t="s">
        <v>1052</v>
      </c>
      <c r="L354" s="0" t="s">
        <v>27</v>
      </c>
      <c r="M354" s="0" t="s">
        <v>1053</v>
      </c>
      <c r="N354" s="0" t="s">
        <v>186</v>
      </c>
      <c r="O354" s="0" t="s">
        <v>37</v>
      </c>
      <c r="P354" s="0" t="s">
        <v>187</v>
      </c>
      <c r="R354" s="0" t="s">
        <v>1756</v>
      </c>
      <c r="S354" s="0" t="s">
        <v>1757</v>
      </c>
      <c r="T354" s="0" t="s">
        <v>33</v>
      </c>
    </row>
    <row r="355" customFormat="false" ht="15" hidden="false" customHeight="false" outlineLevel="0" collapsed="false">
      <c r="A355" s="0" t="n">
        <v>354</v>
      </c>
      <c r="D355" s="0" t="s">
        <v>1758</v>
      </c>
      <c r="E355" s="0" t="s">
        <v>21</v>
      </c>
      <c r="F355" s="0" t="s">
        <v>1759</v>
      </c>
      <c r="H355" s="0" t="s">
        <v>23</v>
      </c>
      <c r="I355" s="2" t="s">
        <v>24</v>
      </c>
      <c r="J355" s="2" t="s">
        <v>1051</v>
      </c>
      <c r="K355" s="0" t="s">
        <v>1052</v>
      </c>
      <c r="L355" s="0" t="s">
        <v>27</v>
      </c>
      <c r="M355" s="0" t="s">
        <v>1053</v>
      </c>
      <c r="N355" s="0" t="s">
        <v>249</v>
      </c>
      <c r="O355" s="0" t="s">
        <v>37</v>
      </c>
      <c r="P355" s="0" t="s">
        <v>250</v>
      </c>
      <c r="Q355" s="0" t="s">
        <v>1760</v>
      </c>
      <c r="R355" s="0" t="s">
        <v>1761</v>
      </c>
      <c r="S355" s="0" t="s">
        <v>1762</v>
      </c>
      <c r="T355" s="0" t="s">
        <v>33</v>
      </c>
    </row>
    <row r="356" customFormat="false" ht="15" hidden="false" customHeight="false" outlineLevel="0" collapsed="false">
      <c r="A356" s="0" t="n">
        <v>355</v>
      </c>
      <c r="D356" s="0" t="s">
        <v>1763</v>
      </c>
      <c r="E356" s="0" t="s">
        <v>21</v>
      </c>
      <c r="H356" s="0" t="s">
        <v>23</v>
      </c>
      <c r="I356" s="2" t="s">
        <v>24</v>
      </c>
      <c r="J356" s="2" t="s">
        <v>1051</v>
      </c>
      <c r="K356" s="0" t="s">
        <v>1052</v>
      </c>
      <c r="L356" s="0" t="s">
        <v>1764</v>
      </c>
      <c r="M356" s="0" t="s">
        <v>1053</v>
      </c>
      <c r="N356" s="0" t="s">
        <v>600</v>
      </c>
      <c r="O356" s="0" t="s">
        <v>30</v>
      </c>
      <c r="P356" s="0" t="s">
        <v>601</v>
      </c>
      <c r="T356" s="0" t="s">
        <v>1765</v>
      </c>
    </row>
    <row r="357" customFormat="false" ht="15" hidden="false" customHeight="false" outlineLevel="0" collapsed="false">
      <c r="A357" s="0" t="n">
        <v>356</v>
      </c>
      <c r="D357" s="0" t="s">
        <v>1766</v>
      </c>
      <c r="E357" s="0" t="s">
        <v>21</v>
      </c>
      <c r="F357" s="0" t="s">
        <v>1767</v>
      </c>
      <c r="H357" s="0" t="s">
        <v>23</v>
      </c>
      <c r="I357" s="2" t="s">
        <v>24</v>
      </c>
      <c r="J357" s="2" t="s">
        <v>1051</v>
      </c>
      <c r="K357" s="0" t="s">
        <v>1052</v>
      </c>
      <c r="L357" s="0" t="s">
        <v>27</v>
      </c>
      <c r="M357" s="0" t="s">
        <v>1053</v>
      </c>
      <c r="N357" s="0" t="s">
        <v>1768</v>
      </c>
      <c r="O357" s="0" t="s">
        <v>37</v>
      </c>
      <c r="R357" s="0" t="s">
        <v>1769</v>
      </c>
      <c r="S357" s="0" t="s">
        <v>1770</v>
      </c>
      <c r="T357" s="0" t="s">
        <v>33</v>
      </c>
    </row>
    <row r="358" customFormat="false" ht="15" hidden="false" customHeight="false" outlineLevel="0" collapsed="false">
      <c r="A358" s="0" t="n">
        <v>357</v>
      </c>
      <c r="D358" s="0" t="s">
        <v>1771</v>
      </c>
      <c r="E358" s="0" t="s">
        <v>21</v>
      </c>
      <c r="F358" s="0" t="s">
        <v>1772</v>
      </c>
      <c r="H358" s="0" t="s">
        <v>23</v>
      </c>
      <c r="I358" s="2" t="s">
        <v>24</v>
      </c>
      <c r="J358" s="2" t="s">
        <v>1051</v>
      </c>
      <c r="K358" s="0" t="s">
        <v>1052</v>
      </c>
      <c r="L358" s="0" t="s">
        <v>27</v>
      </c>
      <c r="M358" s="0" t="s">
        <v>1053</v>
      </c>
      <c r="N358" s="0" t="s">
        <v>249</v>
      </c>
      <c r="O358" s="0" t="s">
        <v>37</v>
      </c>
      <c r="P358" s="0" t="s">
        <v>250</v>
      </c>
      <c r="Q358" s="0" t="s">
        <v>1773</v>
      </c>
      <c r="R358" s="0" t="s">
        <v>1774</v>
      </c>
      <c r="S358" s="0" t="s">
        <v>1775</v>
      </c>
      <c r="T358" s="0" t="s">
        <v>33</v>
      </c>
    </row>
    <row r="359" customFormat="false" ht="15" hidden="false" customHeight="false" outlineLevel="0" collapsed="false">
      <c r="A359" s="0" t="n">
        <v>358</v>
      </c>
      <c r="D359" s="0" t="s">
        <v>1776</v>
      </c>
      <c r="E359" s="0" t="s">
        <v>684</v>
      </c>
      <c r="F359" s="0" t="s">
        <v>1777</v>
      </c>
      <c r="H359" s="0" t="s">
        <v>23</v>
      </c>
      <c r="I359" s="2" t="s">
        <v>24</v>
      </c>
      <c r="J359" s="2" t="s">
        <v>1051</v>
      </c>
      <c r="K359" s="0" t="s">
        <v>1052</v>
      </c>
      <c r="L359" s="0" t="s">
        <v>27</v>
      </c>
      <c r="M359" s="0" t="s">
        <v>1053</v>
      </c>
      <c r="N359" s="0" t="s">
        <v>1778</v>
      </c>
      <c r="O359" s="0" t="s">
        <v>30</v>
      </c>
      <c r="R359" s="0" t="s">
        <v>1779</v>
      </c>
      <c r="S359" s="0" t="s">
        <v>1780</v>
      </c>
      <c r="T359" s="0" t="s">
        <v>33</v>
      </c>
    </row>
    <row r="360" customFormat="false" ht="15" hidden="false" customHeight="false" outlineLevel="0" collapsed="false">
      <c r="A360" s="0" t="n">
        <v>359</v>
      </c>
      <c r="D360" s="0" t="s">
        <v>1781</v>
      </c>
      <c r="E360" s="0" t="s">
        <v>21</v>
      </c>
      <c r="H360" s="0" t="s">
        <v>23</v>
      </c>
      <c r="I360" s="2" t="s">
        <v>24</v>
      </c>
      <c r="J360" s="2" t="s">
        <v>1051</v>
      </c>
      <c r="K360" s="0" t="s">
        <v>1052</v>
      </c>
      <c r="L360" s="0" t="s">
        <v>35</v>
      </c>
      <c r="M360" s="0" t="s">
        <v>1053</v>
      </c>
      <c r="N360" s="0" t="s">
        <v>1782</v>
      </c>
      <c r="O360" s="0" t="s">
        <v>30</v>
      </c>
      <c r="Q360" s="0" t="s">
        <v>1783</v>
      </c>
      <c r="R360" s="0" t="s">
        <v>1784</v>
      </c>
      <c r="T360" s="0" t="s">
        <v>33</v>
      </c>
    </row>
    <row r="361" customFormat="false" ht="15" hidden="false" customHeight="false" outlineLevel="0" collapsed="false">
      <c r="A361" s="0" t="n">
        <v>360</v>
      </c>
      <c r="D361" s="0" t="s">
        <v>1785</v>
      </c>
      <c r="E361" s="0" t="s">
        <v>21</v>
      </c>
      <c r="F361" s="0" t="s">
        <v>1786</v>
      </c>
      <c r="H361" s="0" t="s">
        <v>23</v>
      </c>
      <c r="I361" s="2" t="s">
        <v>24</v>
      </c>
      <c r="J361" s="2" t="s">
        <v>1051</v>
      </c>
      <c r="K361" s="0" t="s">
        <v>1052</v>
      </c>
      <c r="L361" s="0" t="s">
        <v>27</v>
      </c>
      <c r="M361" s="0" t="s">
        <v>1053</v>
      </c>
      <c r="N361" s="0" t="s">
        <v>186</v>
      </c>
      <c r="O361" s="0" t="s">
        <v>37</v>
      </c>
      <c r="P361" s="0" t="s">
        <v>187</v>
      </c>
      <c r="Q361" s="0" t="s">
        <v>1787</v>
      </c>
      <c r="R361" s="0" t="s">
        <v>1788</v>
      </c>
      <c r="S361" s="0" t="s">
        <v>1789</v>
      </c>
      <c r="T361" s="0" t="s">
        <v>33</v>
      </c>
    </row>
    <row r="362" customFormat="false" ht="15" hidden="false" customHeight="false" outlineLevel="0" collapsed="false">
      <c r="A362" s="0" t="n">
        <v>361</v>
      </c>
      <c r="D362" s="0" t="s">
        <v>1790</v>
      </c>
      <c r="E362" s="0" t="s">
        <v>21</v>
      </c>
      <c r="F362" s="0" t="s">
        <v>1791</v>
      </c>
      <c r="H362" s="0" t="s">
        <v>23</v>
      </c>
      <c r="I362" s="2" t="s">
        <v>24</v>
      </c>
      <c r="J362" s="2" t="s">
        <v>1051</v>
      </c>
      <c r="K362" s="0" t="s">
        <v>1052</v>
      </c>
      <c r="L362" s="0" t="s">
        <v>27</v>
      </c>
      <c r="M362" s="0" t="s">
        <v>1053</v>
      </c>
      <c r="N362" s="0" t="s">
        <v>1792</v>
      </c>
      <c r="O362" s="0" t="s">
        <v>37</v>
      </c>
      <c r="Q362" s="0" t="s">
        <v>1793</v>
      </c>
      <c r="R362" s="0" t="s">
        <v>1794</v>
      </c>
      <c r="S362" s="0" t="s">
        <v>1795</v>
      </c>
      <c r="T362" s="0" t="s">
        <v>33</v>
      </c>
    </row>
    <row r="363" customFormat="false" ht="15" hidden="false" customHeight="false" outlineLevel="0" collapsed="false">
      <c r="A363" s="0" t="n">
        <v>362</v>
      </c>
      <c r="D363" s="0" t="s">
        <v>1796</v>
      </c>
      <c r="E363" s="0" t="s">
        <v>21</v>
      </c>
      <c r="F363" s="0" t="s">
        <v>1797</v>
      </c>
      <c r="H363" s="0" t="s">
        <v>23</v>
      </c>
      <c r="I363" s="2" t="s">
        <v>24</v>
      </c>
      <c r="J363" s="2" t="s">
        <v>1051</v>
      </c>
      <c r="K363" s="0" t="s">
        <v>1052</v>
      </c>
      <c r="L363" s="0" t="s">
        <v>27</v>
      </c>
      <c r="M363" s="0" t="s">
        <v>1053</v>
      </c>
      <c r="N363" s="0" t="s">
        <v>1798</v>
      </c>
      <c r="O363" s="0" t="s">
        <v>30</v>
      </c>
      <c r="R363" s="0" t="s">
        <v>1799</v>
      </c>
      <c r="S363" s="0" t="s">
        <v>1800</v>
      </c>
      <c r="T363" s="0" t="s">
        <v>33</v>
      </c>
    </row>
    <row r="364" customFormat="false" ht="15" hidden="false" customHeight="false" outlineLevel="0" collapsed="false">
      <c r="A364" s="0" t="n">
        <v>363</v>
      </c>
      <c r="D364" s="0" t="s">
        <v>1801</v>
      </c>
      <c r="E364" s="0" t="s">
        <v>21</v>
      </c>
      <c r="H364" s="0" t="s">
        <v>23</v>
      </c>
      <c r="I364" s="2" t="s">
        <v>24</v>
      </c>
      <c r="J364" s="2" t="s">
        <v>1051</v>
      </c>
      <c r="K364" s="0" t="s">
        <v>1052</v>
      </c>
      <c r="L364" s="0" t="s">
        <v>35</v>
      </c>
      <c r="M364" s="0" t="s">
        <v>1053</v>
      </c>
      <c r="N364" s="0" t="s">
        <v>115</v>
      </c>
      <c r="O364" s="0" t="s">
        <v>30</v>
      </c>
      <c r="P364" s="0" t="s">
        <v>116</v>
      </c>
      <c r="Q364" s="0" t="s">
        <v>1802</v>
      </c>
      <c r="T364" s="0" t="s">
        <v>33</v>
      </c>
    </row>
    <row r="365" customFormat="false" ht="15" hidden="false" customHeight="false" outlineLevel="0" collapsed="false">
      <c r="A365" s="0" t="n">
        <v>364</v>
      </c>
      <c r="D365" s="0" t="s">
        <v>1803</v>
      </c>
      <c r="E365" s="0" t="s">
        <v>21</v>
      </c>
      <c r="F365" s="0" t="s">
        <v>1804</v>
      </c>
      <c r="H365" s="0" t="s">
        <v>23</v>
      </c>
      <c r="I365" s="2" t="s">
        <v>24</v>
      </c>
      <c r="J365" s="2" t="s">
        <v>1051</v>
      </c>
      <c r="K365" s="0" t="s">
        <v>1052</v>
      </c>
      <c r="L365" s="0" t="s">
        <v>27</v>
      </c>
      <c r="M365" s="0" t="s">
        <v>1053</v>
      </c>
      <c r="N365" s="0" t="s">
        <v>976</v>
      </c>
      <c r="O365" s="0" t="s">
        <v>37</v>
      </c>
      <c r="P365" s="0" t="s">
        <v>974</v>
      </c>
      <c r="Q365" s="0" t="s">
        <v>1805</v>
      </c>
      <c r="R365" s="0" t="s">
        <v>1806</v>
      </c>
      <c r="S365" s="0" t="s">
        <v>1807</v>
      </c>
      <c r="T365" s="0" t="s">
        <v>33</v>
      </c>
    </row>
    <row r="366" customFormat="false" ht="15" hidden="false" customHeight="false" outlineLevel="0" collapsed="false">
      <c r="A366" s="0" t="n">
        <v>365</v>
      </c>
      <c r="D366" s="0" t="s">
        <v>1808</v>
      </c>
      <c r="E366" s="0" t="s">
        <v>21</v>
      </c>
      <c r="F366" s="0" t="s">
        <v>1809</v>
      </c>
      <c r="H366" s="0" t="s">
        <v>23</v>
      </c>
      <c r="I366" s="2" t="s">
        <v>24</v>
      </c>
      <c r="J366" s="2" t="s">
        <v>1051</v>
      </c>
      <c r="K366" s="0" t="s">
        <v>1052</v>
      </c>
      <c r="L366" s="0" t="s">
        <v>27</v>
      </c>
      <c r="M366" s="0" t="s">
        <v>1053</v>
      </c>
      <c r="N366" s="0" t="s">
        <v>1810</v>
      </c>
      <c r="O366" s="0" t="s">
        <v>37</v>
      </c>
      <c r="Q366" s="0" t="s">
        <v>1811</v>
      </c>
      <c r="R366" s="0" t="s">
        <v>1812</v>
      </c>
      <c r="S366" s="0" t="s">
        <v>1813</v>
      </c>
      <c r="T366" s="0" t="s">
        <v>33</v>
      </c>
    </row>
    <row r="367" customFormat="false" ht="15" hidden="false" customHeight="false" outlineLevel="0" collapsed="false">
      <c r="A367" s="0" t="n">
        <v>366</v>
      </c>
      <c r="D367" s="0" t="s">
        <v>1814</v>
      </c>
      <c r="E367" s="0" t="s">
        <v>21</v>
      </c>
      <c r="F367" s="0" t="s">
        <v>1815</v>
      </c>
      <c r="H367" s="0" t="s">
        <v>23</v>
      </c>
      <c r="I367" s="2" t="s">
        <v>24</v>
      </c>
      <c r="J367" s="2" t="s">
        <v>1051</v>
      </c>
      <c r="K367" s="0" t="s">
        <v>1052</v>
      </c>
      <c r="L367" s="0" t="s">
        <v>27</v>
      </c>
      <c r="M367" s="0" t="s">
        <v>1053</v>
      </c>
      <c r="N367" s="0" t="s">
        <v>249</v>
      </c>
      <c r="O367" s="0" t="s">
        <v>37</v>
      </c>
      <c r="P367" s="0" t="s">
        <v>250</v>
      </c>
      <c r="Q367" s="0" t="s">
        <v>1816</v>
      </c>
      <c r="R367" s="0" t="s">
        <v>1817</v>
      </c>
      <c r="S367" s="0" t="s">
        <v>1818</v>
      </c>
      <c r="T367" s="0" t="s">
        <v>33</v>
      </c>
    </row>
    <row r="368" customFormat="false" ht="15" hidden="false" customHeight="false" outlineLevel="0" collapsed="false">
      <c r="A368" s="0" t="n">
        <v>367</v>
      </c>
      <c r="D368" s="0" t="s">
        <v>1819</v>
      </c>
      <c r="E368" s="0" t="s">
        <v>21</v>
      </c>
      <c r="H368" s="0" t="s">
        <v>23</v>
      </c>
      <c r="I368" s="2" t="s">
        <v>24</v>
      </c>
      <c r="J368" s="2" t="s">
        <v>1051</v>
      </c>
      <c r="K368" s="0" t="s">
        <v>1052</v>
      </c>
      <c r="L368" s="0" t="s">
        <v>35</v>
      </c>
      <c r="M368" s="0" t="s">
        <v>1053</v>
      </c>
      <c r="N368" s="0" t="s">
        <v>1820</v>
      </c>
      <c r="O368" s="0" t="s">
        <v>37</v>
      </c>
      <c r="Q368" s="0" t="s">
        <v>1821</v>
      </c>
      <c r="R368" s="0" t="s">
        <v>1822</v>
      </c>
      <c r="T368" s="0" t="s">
        <v>33</v>
      </c>
    </row>
    <row r="369" customFormat="false" ht="15" hidden="false" customHeight="false" outlineLevel="0" collapsed="false">
      <c r="A369" s="0" t="n">
        <v>368</v>
      </c>
      <c r="D369" s="0" t="s">
        <v>1823</v>
      </c>
      <c r="E369" s="0" t="s">
        <v>21</v>
      </c>
      <c r="H369" s="0" t="s">
        <v>23</v>
      </c>
      <c r="I369" s="2" t="s">
        <v>24</v>
      </c>
      <c r="J369" s="2" t="s">
        <v>1051</v>
      </c>
      <c r="K369" s="0" t="s">
        <v>1052</v>
      </c>
      <c r="L369" s="0" t="s">
        <v>35</v>
      </c>
      <c r="M369" s="0" t="s">
        <v>1053</v>
      </c>
      <c r="N369" s="0" t="s">
        <v>1824</v>
      </c>
      <c r="O369" s="0" t="s">
        <v>37</v>
      </c>
      <c r="Q369" s="0" t="s">
        <v>1825</v>
      </c>
      <c r="R369" s="0" t="s">
        <v>1826</v>
      </c>
      <c r="T369" s="0" t="s">
        <v>33</v>
      </c>
    </row>
    <row r="370" customFormat="false" ht="15" hidden="false" customHeight="false" outlineLevel="0" collapsed="false">
      <c r="A370" s="0" t="n">
        <v>369</v>
      </c>
      <c r="D370" s="0" t="s">
        <v>1827</v>
      </c>
      <c r="E370" s="0" t="s">
        <v>21</v>
      </c>
      <c r="H370" s="0" t="s">
        <v>23</v>
      </c>
      <c r="I370" s="2" t="s">
        <v>24</v>
      </c>
      <c r="J370" s="2" t="s">
        <v>1051</v>
      </c>
      <c r="K370" s="0" t="s">
        <v>1052</v>
      </c>
      <c r="L370" s="0" t="s">
        <v>35</v>
      </c>
      <c r="M370" s="0" t="s">
        <v>1053</v>
      </c>
      <c r="N370" s="0" t="s">
        <v>1828</v>
      </c>
      <c r="O370" s="0" t="s">
        <v>37</v>
      </c>
      <c r="Q370" s="0" t="s">
        <v>1829</v>
      </c>
      <c r="R370" s="0" t="s">
        <v>1830</v>
      </c>
      <c r="T370" s="0" t="s">
        <v>33</v>
      </c>
    </row>
    <row r="371" customFormat="false" ht="15" hidden="false" customHeight="false" outlineLevel="0" collapsed="false">
      <c r="A371" s="0" t="n">
        <v>370</v>
      </c>
      <c r="D371" s="0" t="s">
        <v>1831</v>
      </c>
      <c r="E371" s="0" t="s">
        <v>21</v>
      </c>
      <c r="F371" s="0" t="s">
        <v>1832</v>
      </c>
      <c r="H371" s="0" t="s">
        <v>23</v>
      </c>
      <c r="I371" s="2" t="s">
        <v>24</v>
      </c>
      <c r="J371" s="2" t="s">
        <v>1051</v>
      </c>
      <c r="K371" s="0" t="s">
        <v>1052</v>
      </c>
      <c r="L371" s="0" t="s">
        <v>27</v>
      </c>
      <c r="M371" s="0" t="s">
        <v>1053</v>
      </c>
      <c r="N371" s="0" t="s">
        <v>509</v>
      </c>
      <c r="O371" s="0" t="s">
        <v>37</v>
      </c>
      <c r="P371" s="0" t="s">
        <v>510</v>
      </c>
      <c r="R371" s="0" t="s">
        <v>1833</v>
      </c>
      <c r="S371" s="0" t="s">
        <v>1834</v>
      </c>
      <c r="T371" s="0" t="s">
        <v>33</v>
      </c>
    </row>
    <row r="372" customFormat="false" ht="15" hidden="false" customHeight="false" outlineLevel="0" collapsed="false">
      <c r="A372" s="0" t="n">
        <v>371</v>
      </c>
      <c r="D372" s="0" t="s">
        <v>1835</v>
      </c>
      <c r="E372" s="0" t="s">
        <v>21</v>
      </c>
      <c r="F372" s="0" t="s">
        <v>1836</v>
      </c>
      <c r="H372" s="0" t="s">
        <v>23</v>
      </c>
      <c r="I372" s="2" t="s">
        <v>24</v>
      </c>
      <c r="J372" s="2" t="s">
        <v>1051</v>
      </c>
      <c r="K372" s="0" t="s">
        <v>1052</v>
      </c>
      <c r="L372" s="0" t="s">
        <v>27</v>
      </c>
      <c r="M372" s="0" t="s">
        <v>1053</v>
      </c>
      <c r="N372" s="0" t="s">
        <v>1837</v>
      </c>
      <c r="O372" s="0" t="s">
        <v>30</v>
      </c>
      <c r="R372" s="0" t="s">
        <v>1838</v>
      </c>
      <c r="S372" s="0" t="s">
        <v>1839</v>
      </c>
      <c r="T372" s="0" t="s">
        <v>33</v>
      </c>
    </row>
    <row r="373" customFormat="false" ht="15" hidden="false" customHeight="false" outlineLevel="0" collapsed="false">
      <c r="A373" s="0" t="n">
        <v>372</v>
      </c>
      <c r="D373" s="0" t="s">
        <v>1840</v>
      </c>
      <c r="E373" s="0" t="s">
        <v>21</v>
      </c>
      <c r="H373" s="0" t="s">
        <v>23</v>
      </c>
      <c r="I373" s="2" t="s">
        <v>24</v>
      </c>
      <c r="J373" s="2" t="s">
        <v>1051</v>
      </c>
      <c r="K373" s="0" t="s">
        <v>1052</v>
      </c>
      <c r="L373" s="0" t="s">
        <v>35</v>
      </c>
      <c r="M373" s="0" t="s">
        <v>1053</v>
      </c>
      <c r="N373" s="0" t="s">
        <v>249</v>
      </c>
      <c r="O373" s="0" t="s">
        <v>37</v>
      </c>
      <c r="P373" s="0" t="s">
        <v>250</v>
      </c>
      <c r="R373" s="0" t="s">
        <v>1841</v>
      </c>
      <c r="T373" s="0" t="s">
        <v>33</v>
      </c>
    </row>
    <row r="374" customFormat="false" ht="15" hidden="false" customHeight="false" outlineLevel="0" collapsed="false">
      <c r="A374" s="0" t="n">
        <v>373</v>
      </c>
      <c r="D374" s="0" t="s">
        <v>1842</v>
      </c>
      <c r="E374" s="0" t="s">
        <v>21</v>
      </c>
      <c r="F374" s="0" t="s">
        <v>1843</v>
      </c>
      <c r="H374" s="0" t="s">
        <v>23</v>
      </c>
      <c r="I374" s="2" t="s">
        <v>24</v>
      </c>
      <c r="J374" s="2" t="s">
        <v>1051</v>
      </c>
      <c r="K374" s="0" t="s">
        <v>1052</v>
      </c>
      <c r="L374" s="0" t="s">
        <v>27</v>
      </c>
      <c r="M374" s="0" t="s">
        <v>1053</v>
      </c>
      <c r="N374" s="0" t="s">
        <v>1844</v>
      </c>
      <c r="O374" s="0" t="s">
        <v>57</v>
      </c>
      <c r="R374" s="0" t="s">
        <v>1845</v>
      </c>
      <c r="S374" s="0" t="s">
        <v>1846</v>
      </c>
      <c r="T374" s="0" t="s">
        <v>33</v>
      </c>
    </row>
    <row r="375" customFormat="false" ht="15" hidden="false" customHeight="false" outlineLevel="0" collapsed="false">
      <c r="A375" s="0" t="n">
        <v>374</v>
      </c>
      <c r="D375" s="0" t="s">
        <v>1847</v>
      </c>
      <c r="E375" s="0" t="s">
        <v>21</v>
      </c>
      <c r="F375" s="0" t="s">
        <v>1848</v>
      </c>
      <c r="H375" s="0" t="s">
        <v>23</v>
      </c>
      <c r="I375" s="2" t="s">
        <v>24</v>
      </c>
      <c r="J375" s="2" t="s">
        <v>1051</v>
      </c>
      <c r="K375" s="0" t="s">
        <v>1052</v>
      </c>
      <c r="L375" s="0" t="s">
        <v>27</v>
      </c>
      <c r="M375" s="0" t="s">
        <v>1053</v>
      </c>
      <c r="N375" s="0" t="s">
        <v>1849</v>
      </c>
      <c r="O375" s="0" t="s">
        <v>57</v>
      </c>
      <c r="R375" s="0" t="s">
        <v>1850</v>
      </c>
      <c r="S375" s="0" t="s">
        <v>1851</v>
      </c>
      <c r="T375" s="0" t="s">
        <v>33</v>
      </c>
    </row>
    <row r="376" customFormat="false" ht="15" hidden="false" customHeight="false" outlineLevel="0" collapsed="false">
      <c r="A376" s="0" t="n">
        <v>375</v>
      </c>
      <c r="D376" s="0" t="s">
        <v>1852</v>
      </c>
      <c r="E376" s="0" t="s">
        <v>21</v>
      </c>
      <c r="H376" s="0" t="s">
        <v>23</v>
      </c>
      <c r="I376" s="2" t="s">
        <v>24</v>
      </c>
      <c r="J376" s="2" t="s">
        <v>1051</v>
      </c>
      <c r="K376" s="0" t="s">
        <v>1052</v>
      </c>
      <c r="L376" s="0" t="s">
        <v>35</v>
      </c>
      <c r="M376" s="0" t="s">
        <v>1053</v>
      </c>
      <c r="N376" s="0" t="s">
        <v>891</v>
      </c>
      <c r="O376" s="0" t="s">
        <v>57</v>
      </c>
      <c r="P376" s="0" t="s">
        <v>892</v>
      </c>
      <c r="Q376" s="0" t="s">
        <v>1853</v>
      </c>
      <c r="R376" s="0" t="s">
        <v>1854</v>
      </c>
      <c r="T376" s="0" t="s">
        <v>33</v>
      </c>
    </row>
    <row r="377" customFormat="false" ht="15" hidden="false" customHeight="false" outlineLevel="0" collapsed="false">
      <c r="A377" s="0" t="n">
        <v>376</v>
      </c>
      <c r="D377" s="0" t="s">
        <v>1855</v>
      </c>
      <c r="E377" s="0" t="s">
        <v>21</v>
      </c>
      <c r="F377" s="0" t="s">
        <v>1856</v>
      </c>
      <c r="H377" s="0" t="s">
        <v>23</v>
      </c>
      <c r="I377" s="2" t="s">
        <v>24</v>
      </c>
      <c r="J377" s="2" t="s">
        <v>1051</v>
      </c>
      <c r="K377" s="0" t="s">
        <v>1052</v>
      </c>
      <c r="L377" s="0" t="s">
        <v>27</v>
      </c>
      <c r="M377" s="0" t="s">
        <v>1053</v>
      </c>
      <c r="N377" s="0" t="s">
        <v>1857</v>
      </c>
      <c r="O377" s="0" t="s">
        <v>30</v>
      </c>
      <c r="R377" s="0" t="s">
        <v>1858</v>
      </c>
      <c r="S377" s="0" t="s">
        <v>1859</v>
      </c>
      <c r="T377" s="0" t="s">
        <v>33</v>
      </c>
    </row>
    <row r="378" customFormat="false" ht="15" hidden="false" customHeight="false" outlineLevel="0" collapsed="false">
      <c r="A378" s="0" t="n">
        <v>377</v>
      </c>
      <c r="D378" s="0" t="s">
        <v>1860</v>
      </c>
      <c r="E378" s="0" t="s">
        <v>21</v>
      </c>
      <c r="F378" s="0" t="s">
        <v>1861</v>
      </c>
      <c r="H378" s="0" t="s">
        <v>23</v>
      </c>
      <c r="I378" s="2" t="s">
        <v>24</v>
      </c>
      <c r="J378" s="2" t="s">
        <v>1051</v>
      </c>
      <c r="K378" s="0" t="s">
        <v>1052</v>
      </c>
      <c r="L378" s="0" t="s">
        <v>27</v>
      </c>
      <c r="M378" s="0" t="s">
        <v>1053</v>
      </c>
      <c r="N378" s="0" t="s">
        <v>115</v>
      </c>
      <c r="O378" s="0" t="s">
        <v>30</v>
      </c>
      <c r="P378" s="0" t="s">
        <v>116</v>
      </c>
      <c r="Q378" s="0" t="s">
        <v>1862</v>
      </c>
      <c r="R378" s="0" t="s">
        <v>1863</v>
      </c>
      <c r="S378" s="0" t="s">
        <v>1864</v>
      </c>
      <c r="T378" s="0" t="s">
        <v>33</v>
      </c>
    </row>
    <row r="379" customFormat="false" ht="15" hidden="false" customHeight="false" outlineLevel="0" collapsed="false">
      <c r="A379" s="0" t="n">
        <v>378</v>
      </c>
      <c r="D379" s="0" t="s">
        <v>1865</v>
      </c>
      <c r="E379" s="0" t="s">
        <v>21</v>
      </c>
      <c r="F379" s="0" t="s">
        <v>1866</v>
      </c>
      <c r="H379" s="0" t="s">
        <v>23</v>
      </c>
      <c r="I379" s="2" t="s">
        <v>24</v>
      </c>
      <c r="J379" s="2" t="s">
        <v>1051</v>
      </c>
      <c r="K379" s="0" t="s">
        <v>1052</v>
      </c>
      <c r="L379" s="0" t="s">
        <v>27</v>
      </c>
      <c r="M379" s="0" t="s">
        <v>1053</v>
      </c>
      <c r="N379" s="0" t="s">
        <v>1867</v>
      </c>
      <c r="O379" s="0" t="s">
        <v>37</v>
      </c>
      <c r="R379" s="0" t="s">
        <v>1868</v>
      </c>
      <c r="S379" s="0" t="s">
        <v>1869</v>
      </c>
      <c r="T379" s="0" t="s">
        <v>33</v>
      </c>
    </row>
    <row r="380" customFormat="false" ht="15" hidden="false" customHeight="false" outlineLevel="0" collapsed="false">
      <c r="A380" s="0" t="n">
        <v>379</v>
      </c>
      <c r="D380" s="0" t="s">
        <v>1870</v>
      </c>
      <c r="E380" s="0" t="s">
        <v>21</v>
      </c>
      <c r="H380" s="0" t="s">
        <v>23</v>
      </c>
      <c r="I380" s="2" t="s">
        <v>24</v>
      </c>
      <c r="J380" s="2" t="s">
        <v>1051</v>
      </c>
      <c r="K380" s="0" t="s">
        <v>1052</v>
      </c>
      <c r="L380" s="0" t="s">
        <v>35</v>
      </c>
      <c r="M380" s="0" t="s">
        <v>1053</v>
      </c>
      <c r="N380" s="0" t="s">
        <v>1871</v>
      </c>
      <c r="O380" s="0" t="s">
        <v>57</v>
      </c>
      <c r="R380" s="0" t="s">
        <v>1872</v>
      </c>
      <c r="T380" s="0" t="s">
        <v>33</v>
      </c>
    </row>
    <row r="381" customFormat="false" ht="15" hidden="false" customHeight="false" outlineLevel="0" collapsed="false">
      <c r="A381" s="0" t="n">
        <v>380</v>
      </c>
      <c r="D381" s="0" t="s">
        <v>1873</v>
      </c>
      <c r="E381" s="0" t="s">
        <v>21</v>
      </c>
      <c r="F381" s="0" t="s">
        <v>1874</v>
      </c>
      <c r="H381" s="0" t="s">
        <v>23</v>
      </c>
      <c r="I381" s="2" t="s">
        <v>24</v>
      </c>
      <c r="J381" s="2" t="s">
        <v>1051</v>
      </c>
      <c r="K381" s="0" t="s">
        <v>1052</v>
      </c>
      <c r="L381" s="0" t="s">
        <v>27</v>
      </c>
      <c r="M381" s="0" t="s">
        <v>1053</v>
      </c>
      <c r="N381" s="0" t="s">
        <v>1875</v>
      </c>
      <c r="O381" s="0" t="s">
        <v>37</v>
      </c>
      <c r="R381" s="0" t="s">
        <v>1876</v>
      </c>
      <c r="S381" s="0" t="s">
        <v>1877</v>
      </c>
      <c r="T381" s="0" t="s">
        <v>33</v>
      </c>
    </row>
    <row r="382" customFormat="false" ht="15" hidden="false" customHeight="false" outlineLevel="0" collapsed="false">
      <c r="A382" s="0" t="n">
        <v>381</v>
      </c>
      <c r="D382" s="0" t="s">
        <v>1878</v>
      </c>
      <c r="E382" s="0" t="s">
        <v>21</v>
      </c>
      <c r="F382" s="0" t="s">
        <v>1879</v>
      </c>
      <c r="H382" s="0" t="s">
        <v>23</v>
      </c>
      <c r="I382" s="2" t="s">
        <v>24</v>
      </c>
      <c r="J382" s="2" t="s">
        <v>1051</v>
      </c>
      <c r="K382" s="0" t="s">
        <v>1052</v>
      </c>
      <c r="L382" s="0" t="s">
        <v>27</v>
      </c>
      <c r="M382" s="0" t="s">
        <v>1053</v>
      </c>
      <c r="N382" s="0" t="s">
        <v>1880</v>
      </c>
      <c r="O382" s="0" t="s">
        <v>30</v>
      </c>
      <c r="R382" s="0" t="s">
        <v>1881</v>
      </c>
      <c r="S382" s="0" t="s">
        <v>1882</v>
      </c>
      <c r="T382" s="0" t="s">
        <v>33</v>
      </c>
    </row>
    <row r="383" customFormat="false" ht="15" hidden="false" customHeight="false" outlineLevel="0" collapsed="false">
      <c r="A383" s="0" t="n">
        <v>382</v>
      </c>
      <c r="D383" s="0" t="s">
        <v>1883</v>
      </c>
      <c r="E383" s="0" t="s">
        <v>21</v>
      </c>
      <c r="H383" s="0" t="s">
        <v>23</v>
      </c>
      <c r="I383" s="2" t="s">
        <v>24</v>
      </c>
      <c r="J383" s="2" t="s">
        <v>1051</v>
      </c>
      <c r="K383" s="0" t="s">
        <v>1052</v>
      </c>
      <c r="L383" s="0" t="s">
        <v>35</v>
      </c>
      <c r="M383" s="0" t="s">
        <v>1053</v>
      </c>
      <c r="N383" s="0" t="s">
        <v>1884</v>
      </c>
      <c r="O383" s="0" t="s">
        <v>57</v>
      </c>
      <c r="Q383" s="0" t="s">
        <v>1885</v>
      </c>
      <c r="T383" s="0" t="s">
        <v>33</v>
      </c>
    </row>
    <row r="384" customFormat="false" ht="15" hidden="false" customHeight="false" outlineLevel="0" collapsed="false">
      <c r="A384" s="0" t="n">
        <v>383</v>
      </c>
      <c r="D384" s="0" t="s">
        <v>1886</v>
      </c>
      <c r="E384" s="0" t="s">
        <v>21</v>
      </c>
      <c r="F384" s="0" t="s">
        <v>1887</v>
      </c>
      <c r="H384" s="0" t="s">
        <v>23</v>
      </c>
      <c r="I384" s="2" t="s">
        <v>24</v>
      </c>
      <c r="J384" s="2" t="s">
        <v>1051</v>
      </c>
      <c r="K384" s="0" t="s">
        <v>1052</v>
      </c>
      <c r="L384" s="0" t="s">
        <v>27</v>
      </c>
      <c r="M384" s="0" t="s">
        <v>1053</v>
      </c>
      <c r="N384" s="0" t="s">
        <v>1888</v>
      </c>
      <c r="O384" s="0" t="s">
        <v>37</v>
      </c>
      <c r="Q384" s="0" t="s">
        <v>1889</v>
      </c>
      <c r="R384" s="0" t="s">
        <v>1890</v>
      </c>
      <c r="S384" s="0" t="s">
        <v>1891</v>
      </c>
      <c r="T384" s="0" t="s">
        <v>33</v>
      </c>
    </row>
    <row r="385" customFormat="false" ht="15" hidden="false" customHeight="false" outlineLevel="0" collapsed="false">
      <c r="A385" s="0" t="n">
        <v>384</v>
      </c>
      <c r="D385" s="0" t="s">
        <v>1892</v>
      </c>
      <c r="E385" s="0" t="s">
        <v>21</v>
      </c>
      <c r="F385" s="0" t="s">
        <v>1893</v>
      </c>
      <c r="H385" s="0" t="s">
        <v>23</v>
      </c>
      <c r="I385" s="2" t="s">
        <v>24</v>
      </c>
      <c r="J385" s="2" t="s">
        <v>1051</v>
      </c>
      <c r="K385" s="0" t="s">
        <v>1052</v>
      </c>
      <c r="L385" s="0" t="s">
        <v>27</v>
      </c>
      <c r="M385" s="0" t="s">
        <v>1053</v>
      </c>
      <c r="N385" s="0" t="s">
        <v>1894</v>
      </c>
      <c r="O385" s="0" t="s">
        <v>30</v>
      </c>
      <c r="Q385" s="0" t="s">
        <v>1895</v>
      </c>
      <c r="R385" s="0" t="s">
        <v>1896</v>
      </c>
      <c r="S385" s="0" t="s">
        <v>1897</v>
      </c>
      <c r="T385" s="0" t="s">
        <v>33</v>
      </c>
    </row>
    <row r="386" customFormat="false" ht="15" hidden="false" customHeight="false" outlineLevel="0" collapsed="false">
      <c r="A386" s="0" t="n">
        <v>385</v>
      </c>
      <c r="D386" s="0" t="s">
        <v>1898</v>
      </c>
      <c r="E386" s="0" t="s">
        <v>21</v>
      </c>
      <c r="F386" s="0" t="s">
        <v>1899</v>
      </c>
      <c r="H386" s="0" t="s">
        <v>23</v>
      </c>
      <c r="I386" s="2" t="s">
        <v>24</v>
      </c>
      <c r="J386" s="2" t="s">
        <v>1051</v>
      </c>
      <c r="K386" s="0" t="s">
        <v>1052</v>
      </c>
      <c r="L386" s="0" t="s">
        <v>27</v>
      </c>
      <c r="M386" s="0" t="s">
        <v>1053</v>
      </c>
      <c r="N386" s="0" t="s">
        <v>186</v>
      </c>
      <c r="O386" s="0" t="s">
        <v>37</v>
      </c>
      <c r="P386" s="0" t="s">
        <v>187</v>
      </c>
      <c r="Q386" s="0" t="s">
        <v>1900</v>
      </c>
      <c r="R386" s="0" t="s">
        <v>1901</v>
      </c>
      <c r="S386" s="0" t="s">
        <v>1902</v>
      </c>
      <c r="T386" s="0" t="s">
        <v>33</v>
      </c>
    </row>
    <row r="387" customFormat="false" ht="15" hidden="false" customHeight="false" outlineLevel="0" collapsed="false">
      <c r="A387" s="0" t="n">
        <v>386</v>
      </c>
      <c r="D387" s="0" t="s">
        <v>1903</v>
      </c>
      <c r="E387" s="0" t="s">
        <v>21</v>
      </c>
      <c r="F387" s="0" t="s">
        <v>1904</v>
      </c>
      <c r="H387" s="0" t="s">
        <v>23</v>
      </c>
      <c r="I387" s="2" t="s">
        <v>24</v>
      </c>
      <c r="J387" s="2" t="s">
        <v>1051</v>
      </c>
      <c r="K387" s="0" t="s">
        <v>1052</v>
      </c>
      <c r="L387" s="0" t="s">
        <v>27</v>
      </c>
      <c r="M387" s="0" t="s">
        <v>1053</v>
      </c>
      <c r="N387" s="0" t="s">
        <v>1905</v>
      </c>
      <c r="O387" s="0" t="s">
        <v>37</v>
      </c>
      <c r="Q387" s="0" t="s">
        <v>1906</v>
      </c>
      <c r="R387" s="0" t="s">
        <v>1907</v>
      </c>
      <c r="S387" s="0" t="s">
        <v>1908</v>
      </c>
      <c r="T387" s="0" t="s">
        <v>33</v>
      </c>
    </row>
    <row r="388" customFormat="false" ht="15" hidden="false" customHeight="false" outlineLevel="0" collapsed="false">
      <c r="A388" s="0" t="n">
        <v>387</v>
      </c>
      <c r="D388" s="0" t="s">
        <v>1909</v>
      </c>
      <c r="E388" s="0" t="s">
        <v>21</v>
      </c>
      <c r="H388" s="0" t="s">
        <v>23</v>
      </c>
      <c r="I388" s="2" t="s">
        <v>24</v>
      </c>
      <c r="J388" s="2" t="s">
        <v>1051</v>
      </c>
      <c r="K388" s="0" t="s">
        <v>1052</v>
      </c>
      <c r="L388" s="0" t="s">
        <v>35</v>
      </c>
      <c r="M388" s="0" t="s">
        <v>1053</v>
      </c>
      <c r="N388" s="0" t="s">
        <v>1910</v>
      </c>
      <c r="O388" s="0" t="s">
        <v>57</v>
      </c>
      <c r="Q388" s="0" t="s">
        <v>1911</v>
      </c>
      <c r="T388" s="0" t="s">
        <v>33</v>
      </c>
    </row>
    <row r="389" customFormat="false" ht="15" hidden="false" customHeight="false" outlineLevel="0" collapsed="false">
      <c r="A389" s="0" t="n">
        <v>388</v>
      </c>
      <c r="D389" s="0" t="s">
        <v>1912</v>
      </c>
      <c r="E389" s="0" t="s">
        <v>21</v>
      </c>
      <c r="F389" s="0" t="s">
        <v>1913</v>
      </c>
      <c r="H389" s="0" t="s">
        <v>23</v>
      </c>
      <c r="I389" s="2" t="s">
        <v>24</v>
      </c>
      <c r="J389" s="2" t="s">
        <v>1051</v>
      </c>
      <c r="K389" s="0" t="s">
        <v>1052</v>
      </c>
      <c r="L389" s="0" t="s">
        <v>27</v>
      </c>
      <c r="M389" s="0" t="s">
        <v>1053</v>
      </c>
      <c r="N389" s="0" t="s">
        <v>1914</v>
      </c>
      <c r="O389" s="0" t="s">
        <v>30</v>
      </c>
      <c r="Q389" s="0" t="s">
        <v>1915</v>
      </c>
      <c r="R389" s="0" t="s">
        <v>1916</v>
      </c>
      <c r="S389" s="0" t="s">
        <v>1917</v>
      </c>
      <c r="T389" s="0" t="s">
        <v>33</v>
      </c>
    </row>
    <row r="390" customFormat="false" ht="15" hidden="false" customHeight="false" outlineLevel="0" collapsed="false">
      <c r="A390" s="0" t="n">
        <v>389</v>
      </c>
      <c r="D390" s="0" t="s">
        <v>1918</v>
      </c>
      <c r="E390" s="0" t="s">
        <v>165</v>
      </c>
      <c r="H390" s="0" t="s">
        <v>23</v>
      </c>
      <c r="I390" s="2" t="s">
        <v>24</v>
      </c>
      <c r="J390" s="2" t="s">
        <v>1051</v>
      </c>
      <c r="K390" s="0" t="s">
        <v>1052</v>
      </c>
      <c r="L390" s="0" t="s">
        <v>35</v>
      </c>
      <c r="M390" s="0" t="s">
        <v>1053</v>
      </c>
      <c r="N390" s="0" t="s">
        <v>748</v>
      </c>
      <c r="O390" s="0" t="s">
        <v>37</v>
      </c>
      <c r="P390" s="0" t="s">
        <v>749</v>
      </c>
      <c r="Q390" s="0" t="s">
        <v>1919</v>
      </c>
      <c r="R390" s="0" t="s">
        <v>1920</v>
      </c>
      <c r="T390" s="0" t="s">
        <v>33</v>
      </c>
    </row>
    <row r="391" customFormat="false" ht="15" hidden="false" customHeight="false" outlineLevel="0" collapsed="false">
      <c r="A391" s="0" t="n">
        <v>390</v>
      </c>
      <c r="D391" s="0" t="s">
        <v>1921</v>
      </c>
      <c r="E391" s="0" t="s">
        <v>21</v>
      </c>
      <c r="F391" s="0" t="s">
        <v>1922</v>
      </c>
      <c r="H391" s="0" t="s">
        <v>23</v>
      </c>
      <c r="I391" s="2" t="s">
        <v>24</v>
      </c>
      <c r="J391" s="2" t="s">
        <v>1051</v>
      </c>
      <c r="K391" s="0" t="s">
        <v>1052</v>
      </c>
      <c r="L391" s="0" t="s">
        <v>27</v>
      </c>
      <c r="M391" s="0" t="s">
        <v>1053</v>
      </c>
      <c r="N391" s="0" t="s">
        <v>1923</v>
      </c>
      <c r="O391" s="0" t="s">
        <v>57</v>
      </c>
      <c r="Q391" s="0" t="s">
        <v>1924</v>
      </c>
      <c r="R391" s="0" t="s">
        <v>1925</v>
      </c>
      <c r="S391" s="0" t="s">
        <v>1926</v>
      </c>
      <c r="T391" s="0" t="s">
        <v>33</v>
      </c>
    </row>
    <row r="392" customFormat="false" ht="15" hidden="false" customHeight="false" outlineLevel="0" collapsed="false">
      <c r="A392" s="0" t="n">
        <v>391</v>
      </c>
      <c r="D392" s="0" t="s">
        <v>1927</v>
      </c>
      <c r="E392" s="0" t="s">
        <v>21</v>
      </c>
      <c r="H392" s="0" t="s">
        <v>23</v>
      </c>
      <c r="I392" s="2" t="s">
        <v>24</v>
      </c>
      <c r="J392" s="2" t="s">
        <v>1051</v>
      </c>
      <c r="K392" s="0" t="s">
        <v>1052</v>
      </c>
      <c r="L392" s="0" t="s">
        <v>35</v>
      </c>
      <c r="M392" s="0" t="s">
        <v>1053</v>
      </c>
      <c r="N392" s="0" t="s">
        <v>891</v>
      </c>
      <c r="O392" s="0" t="s">
        <v>57</v>
      </c>
      <c r="P392" s="0" t="s">
        <v>892</v>
      </c>
      <c r="T392" s="0" t="s">
        <v>33</v>
      </c>
    </row>
    <row r="393" customFormat="false" ht="15" hidden="false" customHeight="false" outlineLevel="0" collapsed="false">
      <c r="A393" s="0" t="n">
        <v>392</v>
      </c>
      <c r="D393" s="0" t="s">
        <v>1928</v>
      </c>
      <c r="E393" s="0" t="s">
        <v>21</v>
      </c>
      <c r="H393" s="0" t="s">
        <v>23</v>
      </c>
      <c r="I393" s="2" t="s">
        <v>24</v>
      </c>
      <c r="J393" s="2" t="s">
        <v>1051</v>
      </c>
      <c r="K393" s="0" t="s">
        <v>1052</v>
      </c>
      <c r="L393" s="0" t="s">
        <v>35</v>
      </c>
      <c r="M393" s="0" t="s">
        <v>1053</v>
      </c>
      <c r="N393" s="0" t="s">
        <v>1929</v>
      </c>
      <c r="O393" s="0" t="s">
        <v>57</v>
      </c>
      <c r="Q393" s="0" t="s">
        <v>1930</v>
      </c>
      <c r="R393" s="0" t="s">
        <v>1931</v>
      </c>
      <c r="T393" s="0" t="s">
        <v>33</v>
      </c>
    </row>
    <row r="394" customFormat="false" ht="15" hidden="false" customHeight="false" outlineLevel="0" collapsed="false">
      <c r="A394" s="0" t="n">
        <v>393</v>
      </c>
      <c r="D394" s="0" t="s">
        <v>1932</v>
      </c>
      <c r="E394" s="0" t="s">
        <v>21</v>
      </c>
      <c r="F394" s="0" t="s">
        <v>1933</v>
      </c>
      <c r="H394" s="0" t="s">
        <v>23</v>
      </c>
      <c r="I394" s="2" t="s">
        <v>24</v>
      </c>
      <c r="J394" s="2" t="s">
        <v>1051</v>
      </c>
      <c r="K394" s="0" t="s">
        <v>1052</v>
      </c>
      <c r="L394" s="0" t="s">
        <v>27</v>
      </c>
      <c r="M394" s="0" t="s">
        <v>1053</v>
      </c>
      <c r="N394" s="0" t="s">
        <v>1934</v>
      </c>
      <c r="O394" s="0" t="s">
        <v>37</v>
      </c>
      <c r="Q394" s="0" t="s">
        <v>1935</v>
      </c>
      <c r="R394" s="0" t="s">
        <v>1936</v>
      </c>
      <c r="S394" s="0" t="s">
        <v>1937</v>
      </c>
      <c r="T394" s="0" t="s">
        <v>33</v>
      </c>
    </row>
    <row r="395" customFormat="false" ht="15" hidden="false" customHeight="false" outlineLevel="0" collapsed="false">
      <c r="A395" s="0" t="n">
        <v>394</v>
      </c>
      <c r="D395" s="0" t="s">
        <v>1938</v>
      </c>
      <c r="E395" s="0" t="s">
        <v>21</v>
      </c>
      <c r="H395" s="0" t="s">
        <v>23</v>
      </c>
      <c r="I395" s="2" t="s">
        <v>24</v>
      </c>
      <c r="J395" s="2" t="s">
        <v>1051</v>
      </c>
      <c r="K395" s="0" t="s">
        <v>1052</v>
      </c>
      <c r="L395" s="0" t="s">
        <v>35</v>
      </c>
      <c r="M395" s="0" t="s">
        <v>1053</v>
      </c>
      <c r="N395" s="0" t="s">
        <v>1939</v>
      </c>
      <c r="O395" s="0" t="s">
        <v>57</v>
      </c>
      <c r="T395" s="0" t="s">
        <v>33</v>
      </c>
    </row>
    <row r="396" customFormat="false" ht="15" hidden="false" customHeight="false" outlineLevel="0" collapsed="false">
      <c r="A396" s="0" t="n">
        <v>395</v>
      </c>
      <c r="D396" s="0" t="s">
        <v>1940</v>
      </c>
      <c r="E396" s="0" t="s">
        <v>21</v>
      </c>
      <c r="H396" s="0" t="s">
        <v>23</v>
      </c>
      <c r="I396" s="2" t="s">
        <v>24</v>
      </c>
      <c r="J396" s="2" t="s">
        <v>1051</v>
      </c>
      <c r="K396" s="0" t="s">
        <v>1052</v>
      </c>
      <c r="L396" s="0" t="s">
        <v>35</v>
      </c>
      <c r="M396" s="0" t="s">
        <v>1053</v>
      </c>
      <c r="N396" s="0" t="s">
        <v>1792</v>
      </c>
      <c r="O396" s="0" t="s">
        <v>37</v>
      </c>
      <c r="Q396" s="0" t="s">
        <v>1941</v>
      </c>
      <c r="R396" s="0" t="s">
        <v>1942</v>
      </c>
      <c r="T396" s="0" t="s">
        <v>33</v>
      </c>
    </row>
    <row r="397" customFormat="false" ht="15" hidden="false" customHeight="false" outlineLevel="0" collapsed="false">
      <c r="A397" s="0" t="n">
        <v>396</v>
      </c>
      <c r="D397" s="0" t="s">
        <v>1943</v>
      </c>
      <c r="E397" s="0" t="s">
        <v>484</v>
      </c>
      <c r="H397" s="0" t="s">
        <v>23</v>
      </c>
      <c r="I397" s="2" t="s">
        <v>24</v>
      </c>
      <c r="J397" s="2" t="s">
        <v>1051</v>
      </c>
      <c r="K397" s="0" t="s">
        <v>1052</v>
      </c>
      <c r="L397" s="0" t="s">
        <v>35</v>
      </c>
      <c r="M397" s="0" t="s">
        <v>1053</v>
      </c>
      <c r="N397" s="0" t="s">
        <v>487</v>
      </c>
      <c r="O397" s="0" t="s">
        <v>37</v>
      </c>
      <c r="P397" s="0" t="s">
        <v>488</v>
      </c>
      <c r="Q397" s="0" t="s">
        <v>1944</v>
      </c>
      <c r="T397" s="0" t="s">
        <v>33</v>
      </c>
    </row>
    <row r="398" customFormat="false" ht="15" hidden="false" customHeight="false" outlineLevel="0" collapsed="false">
      <c r="A398" s="0" t="n">
        <v>397</v>
      </c>
      <c r="D398" s="0" t="s">
        <v>1945</v>
      </c>
      <c r="E398" s="0" t="s">
        <v>21</v>
      </c>
      <c r="F398" s="0" t="s">
        <v>1946</v>
      </c>
      <c r="H398" s="0" t="s">
        <v>23</v>
      </c>
      <c r="I398" s="2" t="s">
        <v>24</v>
      </c>
      <c r="J398" s="2" t="s">
        <v>1051</v>
      </c>
      <c r="K398" s="0" t="s">
        <v>1052</v>
      </c>
      <c r="L398" s="0" t="s">
        <v>27</v>
      </c>
      <c r="M398" s="0" t="s">
        <v>1053</v>
      </c>
      <c r="N398" s="0" t="s">
        <v>1947</v>
      </c>
      <c r="O398" s="0" t="s">
        <v>37</v>
      </c>
      <c r="Q398" s="0" t="s">
        <v>1948</v>
      </c>
      <c r="R398" s="0" t="s">
        <v>1949</v>
      </c>
      <c r="S398" s="0" t="s">
        <v>1950</v>
      </c>
      <c r="T398" s="0" t="s">
        <v>33</v>
      </c>
    </row>
    <row r="399" customFormat="false" ht="15" hidden="false" customHeight="false" outlineLevel="0" collapsed="false">
      <c r="A399" s="0" t="n">
        <v>398</v>
      </c>
      <c r="D399" s="0" t="s">
        <v>1951</v>
      </c>
      <c r="E399" s="0" t="s">
        <v>21</v>
      </c>
      <c r="F399" s="0" t="s">
        <v>1952</v>
      </c>
      <c r="H399" s="0" t="s">
        <v>23</v>
      </c>
      <c r="I399" s="2" t="s">
        <v>24</v>
      </c>
      <c r="J399" s="2" t="s">
        <v>1051</v>
      </c>
      <c r="K399" s="0" t="s">
        <v>1052</v>
      </c>
      <c r="L399" s="0" t="s">
        <v>27</v>
      </c>
      <c r="M399" s="0" t="s">
        <v>1053</v>
      </c>
      <c r="N399" s="0" t="s">
        <v>509</v>
      </c>
      <c r="O399" s="0" t="s">
        <v>37</v>
      </c>
      <c r="P399" s="0" t="s">
        <v>510</v>
      </c>
      <c r="R399" s="0" t="s">
        <v>1953</v>
      </c>
      <c r="S399" s="0" t="s">
        <v>1954</v>
      </c>
      <c r="T399" s="0" t="s">
        <v>33</v>
      </c>
    </row>
    <row r="400" customFormat="false" ht="15" hidden="false" customHeight="false" outlineLevel="0" collapsed="false">
      <c r="A400" s="0" t="n">
        <v>399</v>
      </c>
      <c r="D400" s="0" t="s">
        <v>1955</v>
      </c>
      <c r="E400" s="0" t="s">
        <v>21</v>
      </c>
      <c r="H400" s="0" t="s">
        <v>23</v>
      </c>
      <c r="I400" s="2" t="s">
        <v>24</v>
      </c>
      <c r="J400" s="2" t="s">
        <v>1051</v>
      </c>
      <c r="K400" s="0" t="s">
        <v>1052</v>
      </c>
      <c r="L400" s="0" t="s">
        <v>35</v>
      </c>
      <c r="M400" s="0" t="s">
        <v>1053</v>
      </c>
      <c r="N400" s="0" t="s">
        <v>115</v>
      </c>
      <c r="O400" s="0" t="s">
        <v>30</v>
      </c>
      <c r="P400" s="0" t="s">
        <v>116</v>
      </c>
      <c r="Q400" s="0" t="s">
        <v>1956</v>
      </c>
      <c r="T400" s="0" t="s">
        <v>33</v>
      </c>
    </row>
    <row r="401" customFormat="false" ht="15" hidden="false" customHeight="false" outlineLevel="0" collapsed="false">
      <c r="A401" s="0" t="n">
        <v>400</v>
      </c>
      <c r="D401" s="0" t="s">
        <v>1957</v>
      </c>
      <c r="E401" s="0" t="s">
        <v>21</v>
      </c>
      <c r="H401" s="0" t="s">
        <v>23</v>
      </c>
      <c r="I401" s="2" t="s">
        <v>24</v>
      </c>
      <c r="J401" s="2" t="s">
        <v>1051</v>
      </c>
      <c r="K401" s="0" t="s">
        <v>1052</v>
      </c>
      <c r="L401" s="0" t="s">
        <v>35</v>
      </c>
      <c r="M401" s="0" t="s">
        <v>1053</v>
      </c>
      <c r="N401" s="0" t="s">
        <v>561</v>
      </c>
      <c r="O401" s="0" t="s">
        <v>57</v>
      </c>
      <c r="P401" s="0" t="s">
        <v>562</v>
      </c>
      <c r="Q401" s="0" t="s">
        <v>1958</v>
      </c>
      <c r="T401" s="0" t="s">
        <v>33</v>
      </c>
    </row>
    <row r="402" customFormat="false" ht="15" hidden="false" customHeight="false" outlineLevel="0" collapsed="false">
      <c r="A402" s="0" t="n">
        <v>401</v>
      </c>
      <c r="D402" s="0" t="s">
        <v>1959</v>
      </c>
      <c r="E402" s="0" t="s">
        <v>21</v>
      </c>
      <c r="H402" s="0" t="s">
        <v>23</v>
      </c>
      <c r="I402" s="2" t="s">
        <v>24</v>
      </c>
      <c r="J402" s="2" t="s">
        <v>1051</v>
      </c>
      <c r="K402" s="0" t="s">
        <v>1052</v>
      </c>
      <c r="L402" s="0" t="s">
        <v>35</v>
      </c>
      <c r="M402" s="0" t="s">
        <v>1053</v>
      </c>
      <c r="N402" s="0" t="s">
        <v>249</v>
      </c>
      <c r="O402" s="0" t="s">
        <v>37</v>
      </c>
      <c r="P402" s="0" t="s">
        <v>250</v>
      </c>
      <c r="T402" s="0" t="s">
        <v>33</v>
      </c>
    </row>
    <row r="403" customFormat="false" ht="15" hidden="false" customHeight="false" outlineLevel="0" collapsed="false">
      <c r="A403" s="0" t="n">
        <v>402</v>
      </c>
      <c r="D403" s="0" t="s">
        <v>1960</v>
      </c>
      <c r="E403" s="0" t="s">
        <v>21</v>
      </c>
      <c r="H403" s="0" t="s">
        <v>23</v>
      </c>
      <c r="I403" s="2" t="s">
        <v>24</v>
      </c>
      <c r="J403" s="2" t="s">
        <v>1051</v>
      </c>
      <c r="K403" s="0" t="s">
        <v>1052</v>
      </c>
      <c r="L403" s="0" t="s">
        <v>35</v>
      </c>
      <c r="M403" s="0" t="s">
        <v>1053</v>
      </c>
      <c r="N403" s="0" t="s">
        <v>600</v>
      </c>
      <c r="O403" s="0" t="s">
        <v>30</v>
      </c>
      <c r="P403" s="0" t="s">
        <v>601</v>
      </c>
      <c r="T403" s="0" t="s">
        <v>33</v>
      </c>
    </row>
    <row r="404" customFormat="false" ht="15" hidden="false" customHeight="false" outlineLevel="0" collapsed="false">
      <c r="A404" s="0" t="n">
        <v>403</v>
      </c>
      <c r="D404" s="0" t="s">
        <v>1961</v>
      </c>
      <c r="E404" s="0" t="s">
        <v>21</v>
      </c>
      <c r="F404" s="0" t="s">
        <v>1962</v>
      </c>
      <c r="H404" s="0" t="s">
        <v>23</v>
      </c>
      <c r="I404" s="2" t="s">
        <v>24</v>
      </c>
      <c r="J404" s="2" t="s">
        <v>1051</v>
      </c>
      <c r="K404" s="0" t="s">
        <v>1052</v>
      </c>
      <c r="L404" s="0" t="s">
        <v>27</v>
      </c>
      <c r="M404" s="0" t="s">
        <v>1053</v>
      </c>
      <c r="N404" s="0" t="s">
        <v>240</v>
      </c>
      <c r="O404" s="0" t="s">
        <v>37</v>
      </c>
      <c r="R404" s="0" t="s">
        <v>1963</v>
      </c>
      <c r="S404" s="0" t="s">
        <v>1964</v>
      </c>
      <c r="T404" s="0" t="s">
        <v>33</v>
      </c>
    </row>
    <row r="405" customFormat="false" ht="15" hidden="false" customHeight="false" outlineLevel="0" collapsed="false">
      <c r="A405" s="0" t="n">
        <v>404</v>
      </c>
      <c r="D405" s="0" t="s">
        <v>1965</v>
      </c>
      <c r="E405" s="0" t="s">
        <v>21</v>
      </c>
      <c r="F405" s="0" t="s">
        <v>1966</v>
      </c>
      <c r="H405" s="0" t="s">
        <v>23</v>
      </c>
      <c r="I405" s="2" t="s">
        <v>24</v>
      </c>
      <c r="J405" s="2" t="s">
        <v>1051</v>
      </c>
      <c r="K405" s="0" t="s">
        <v>1052</v>
      </c>
      <c r="L405" s="0" t="s">
        <v>27</v>
      </c>
      <c r="M405" s="0" t="s">
        <v>1053</v>
      </c>
      <c r="N405" s="0" t="s">
        <v>1967</v>
      </c>
      <c r="O405" s="0" t="s">
        <v>57</v>
      </c>
      <c r="Q405" s="0" t="s">
        <v>1968</v>
      </c>
      <c r="R405" s="0" t="s">
        <v>1969</v>
      </c>
      <c r="S405" s="0" t="s">
        <v>1970</v>
      </c>
      <c r="T405" s="0" t="s">
        <v>33</v>
      </c>
    </row>
    <row r="406" customFormat="false" ht="15" hidden="false" customHeight="false" outlineLevel="0" collapsed="false">
      <c r="A406" s="0" t="n">
        <v>405</v>
      </c>
      <c r="D406" s="0" t="s">
        <v>1971</v>
      </c>
      <c r="E406" s="0" t="s">
        <v>684</v>
      </c>
      <c r="F406" s="0" t="s">
        <v>1972</v>
      </c>
      <c r="H406" s="0" t="s">
        <v>23</v>
      </c>
      <c r="I406" s="2" t="s">
        <v>24</v>
      </c>
      <c r="J406" s="2" t="s">
        <v>1051</v>
      </c>
      <c r="K406" s="0" t="s">
        <v>1052</v>
      </c>
      <c r="L406" s="0" t="s">
        <v>1973</v>
      </c>
      <c r="M406" s="0" t="s">
        <v>1053</v>
      </c>
      <c r="N406" s="0" t="s">
        <v>1974</v>
      </c>
      <c r="O406" s="0" t="s">
        <v>30</v>
      </c>
      <c r="R406" s="0" t="s">
        <v>1975</v>
      </c>
      <c r="S406" s="0" t="s">
        <v>1976</v>
      </c>
      <c r="T406" s="0" t="s">
        <v>1977</v>
      </c>
    </row>
    <row r="407" customFormat="false" ht="15" hidden="false" customHeight="false" outlineLevel="0" collapsed="false">
      <c r="A407" s="0" t="n">
        <v>406</v>
      </c>
      <c r="D407" s="0" t="s">
        <v>1978</v>
      </c>
      <c r="E407" s="0" t="s">
        <v>21</v>
      </c>
      <c r="F407" s="0" t="s">
        <v>1979</v>
      </c>
      <c r="H407" s="0" t="s">
        <v>23</v>
      </c>
      <c r="I407" s="2" t="s">
        <v>24</v>
      </c>
      <c r="J407" s="2" t="s">
        <v>1051</v>
      </c>
      <c r="K407" s="0" t="s">
        <v>1980</v>
      </c>
      <c r="L407" s="0" t="s">
        <v>27</v>
      </c>
      <c r="M407" s="0" t="s">
        <v>1981</v>
      </c>
      <c r="N407" s="0" t="s">
        <v>1982</v>
      </c>
      <c r="O407" s="0" t="s">
        <v>57</v>
      </c>
      <c r="Q407" s="0" t="s">
        <v>1983</v>
      </c>
      <c r="R407" s="0" t="s">
        <v>1984</v>
      </c>
      <c r="S407" s="0" t="s">
        <v>1985</v>
      </c>
      <c r="T407" s="0" t="s">
        <v>33</v>
      </c>
    </row>
    <row r="408" customFormat="false" ht="15" hidden="false" customHeight="false" outlineLevel="0" collapsed="false">
      <c r="A408" s="0" t="n">
        <v>407</v>
      </c>
      <c r="D408" s="0" t="s">
        <v>1986</v>
      </c>
      <c r="E408" s="0" t="s">
        <v>21</v>
      </c>
      <c r="H408" s="0" t="s">
        <v>23</v>
      </c>
      <c r="I408" s="2" t="s">
        <v>24</v>
      </c>
      <c r="J408" s="2" t="s">
        <v>1051</v>
      </c>
      <c r="K408" s="0" t="s">
        <v>1980</v>
      </c>
      <c r="L408" s="0" t="s">
        <v>35</v>
      </c>
      <c r="M408" s="0" t="s">
        <v>1981</v>
      </c>
      <c r="N408" s="0" t="s">
        <v>1987</v>
      </c>
      <c r="O408" s="0" t="s">
        <v>37</v>
      </c>
      <c r="T408" s="0" t="s">
        <v>33</v>
      </c>
    </row>
    <row r="409" customFormat="false" ht="15" hidden="false" customHeight="false" outlineLevel="0" collapsed="false">
      <c r="A409" s="0" t="n">
        <v>408</v>
      </c>
      <c r="D409" s="0" t="s">
        <v>945</v>
      </c>
      <c r="E409" s="0" t="s">
        <v>21</v>
      </c>
      <c r="F409" s="0" t="s">
        <v>1988</v>
      </c>
      <c r="H409" s="0" t="s">
        <v>23</v>
      </c>
      <c r="I409" s="2" t="s">
        <v>24</v>
      </c>
      <c r="J409" s="2" t="s">
        <v>1051</v>
      </c>
      <c r="K409" s="0" t="s">
        <v>1980</v>
      </c>
      <c r="L409" s="0" t="s">
        <v>27</v>
      </c>
      <c r="M409" s="0" t="s">
        <v>1981</v>
      </c>
      <c r="N409" s="0" t="s">
        <v>944</v>
      </c>
      <c r="O409" s="0" t="s">
        <v>57</v>
      </c>
      <c r="R409" s="0" t="s">
        <v>1989</v>
      </c>
      <c r="T409" s="0" t="s">
        <v>33</v>
      </c>
    </row>
    <row r="410" customFormat="false" ht="15" hidden="false" customHeight="false" outlineLevel="0" collapsed="false">
      <c r="A410" s="0" t="n">
        <v>409</v>
      </c>
      <c r="D410" s="0" t="s">
        <v>1990</v>
      </c>
      <c r="E410" s="0" t="s">
        <v>21</v>
      </c>
      <c r="H410" s="0" t="s">
        <v>23</v>
      </c>
      <c r="I410" s="2" t="s">
        <v>24</v>
      </c>
      <c r="J410" s="2" t="s">
        <v>1051</v>
      </c>
      <c r="K410" s="0" t="s">
        <v>1980</v>
      </c>
      <c r="L410" s="0" t="s">
        <v>35</v>
      </c>
      <c r="M410" s="0" t="s">
        <v>1981</v>
      </c>
      <c r="N410" s="0" t="s">
        <v>1991</v>
      </c>
      <c r="O410" s="0" t="s">
        <v>57</v>
      </c>
      <c r="Q410" s="0" t="s">
        <v>1992</v>
      </c>
      <c r="T410" s="0" t="s">
        <v>33</v>
      </c>
    </row>
    <row r="411" customFormat="false" ht="15" hidden="false" customHeight="false" outlineLevel="0" collapsed="false">
      <c r="A411" s="0" t="n">
        <v>410</v>
      </c>
      <c r="D411" s="0" t="s">
        <v>1993</v>
      </c>
      <c r="E411" s="0" t="s">
        <v>21</v>
      </c>
      <c r="H411" s="0" t="s">
        <v>23</v>
      </c>
      <c r="I411" s="2" t="s">
        <v>24</v>
      </c>
      <c r="J411" s="2" t="s">
        <v>1051</v>
      </c>
      <c r="K411" s="0" t="s">
        <v>1980</v>
      </c>
      <c r="L411" s="0" t="s">
        <v>35</v>
      </c>
      <c r="M411" s="0" t="s">
        <v>1981</v>
      </c>
      <c r="N411" s="0" t="s">
        <v>944</v>
      </c>
      <c r="O411" s="0" t="s">
        <v>57</v>
      </c>
      <c r="P411" s="0" t="s">
        <v>945</v>
      </c>
      <c r="Q411" s="0" t="s">
        <v>1994</v>
      </c>
      <c r="T411" s="0" t="s">
        <v>33</v>
      </c>
    </row>
    <row r="412" customFormat="false" ht="15" hidden="false" customHeight="false" outlineLevel="0" collapsed="false">
      <c r="A412" s="0" t="n">
        <v>411</v>
      </c>
      <c r="D412" s="0" t="s">
        <v>1995</v>
      </c>
      <c r="E412" s="0" t="s">
        <v>21</v>
      </c>
      <c r="H412" s="0" t="s">
        <v>23</v>
      </c>
      <c r="I412" s="2" t="s">
        <v>24</v>
      </c>
      <c r="J412" s="2" t="s">
        <v>1051</v>
      </c>
      <c r="K412" s="0" t="s">
        <v>1980</v>
      </c>
      <c r="L412" s="0" t="s">
        <v>35</v>
      </c>
      <c r="M412" s="0" t="s">
        <v>1981</v>
      </c>
      <c r="N412" s="0" t="s">
        <v>115</v>
      </c>
      <c r="O412" s="0" t="s">
        <v>30</v>
      </c>
      <c r="P412" s="0" t="s">
        <v>116</v>
      </c>
      <c r="Q412" s="0" t="s">
        <v>1996</v>
      </c>
      <c r="T412" s="0" t="s">
        <v>33</v>
      </c>
    </row>
    <row r="413" customFormat="false" ht="15" hidden="false" customHeight="false" outlineLevel="0" collapsed="false">
      <c r="A413" s="0" t="n">
        <v>412</v>
      </c>
      <c r="D413" s="0" t="s">
        <v>1997</v>
      </c>
      <c r="E413" s="0" t="s">
        <v>21</v>
      </c>
      <c r="H413" s="0" t="s">
        <v>23</v>
      </c>
      <c r="I413" s="2" t="s">
        <v>24</v>
      </c>
      <c r="J413" s="2" t="s">
        <v>1051</v>
      </c>
      <c r="K413" s="0" t="s">
        <v>1980</v>
      </c>
      <c r="L413" s="0" t="s">
        <v>35</v>
      </c>
      <c r="M413" s="0" t="s">
        <v>1981</v>
      </c>
      <c r="N413" s="0" t="s">
        <v>944</v>
      </c>
      <c r="O413" s="0" t="s">
        <v>57</v>
      </c>
      <c r="P413" s="0" t="s">
        <v>945</v>
      </c>
      <c r="Q413" s="0" t="s">
        <v>1998</v>
      </c>
      <c r="T413" s="0" t="s">
        <v>33</v>
      </c>
    </row>
    <row r="414" customFormat="false" ht="15" hidden="false" customHeight="false" outlineLevel="0" collapsed="false">
      <c r="A414" s="0" t="n">
        <v>413</v>
      </c>
      <c r="D414" s="0" t="s">
        <v>1999</v>
      </c>
      <c r="E414" s="0" t="s">
        <v>21</v>
      </c>
      <c r="H414" s="0" t="s">
        <v>23</v>
      </c>
      <c r="I414" s="2" t="s">
        <v>24</v>
      </c>
      <c r="J414" s="2" t="s">
        <v>1051</v>
      </c>
      <c r="K414" s="0" t="s">
        <v>1980</v>
      </c>
      <c r="L414" s="0" t="s">
        <v>35</v>
      </c>
      <c r="M414" s="0" t="s">
        <v>1981</v>
      </c>
      <c r="N414" s="0" t="s">
        <v>115</v>
      </c>
      <c r="O414" s="0" t="s">
        <v>30</v>
      </c>
      <c r="P414" s="0" t="s">
        <v>116</v>
      </c>
      <c r="T414" s="0" t="s">
        <v>33</v>
      </c>
    </row>
    <row r="415" customFormat="false" ht="15" hidden="false" customHeight="false" outlineLevel="0" collapsed="false">
      <c r="A415" s="0" t="n">
        <v>414</v>
      </c>
      <c r="D415" s="0" t="s">
        <v>2000</v>
      </c>
      <c r="E415" s="0" t="s">
        <v>21</v>
      </c>
      <c r="H415" s="0" t="s">
        <v>23</v>
      </c>
      <c r="I415" s="2" t="s">
        <v>24</v>
      </c>
      <c r="J415" s="2" t="s">
        <v>1051</v>
      </c>
      <c r="K415" s="0" t="s">
        <v>1980</v>
      </c>
      <c r="L415" s="0" t="s">
        <v>35</v>
      </c>
      <c r="M415" s="0" t="s">
        <v>1981</v>
      </c>
      <c r="N415" s="0" t="s">
        <v>944</v>
      </c>
      <c r="O415" s="0" t="s">
        <v>57</v>
      </c>
      <c r="P415" s="0" t="s">
        <v>945</v>
      </c>
      <c r="Q415" s="0" t="s">
        <v>2001</v>
      </c>
      <c r="T415" s="0" t="s">
        <v>33</v>
      </c>
    </row>
    <row r="416" customFormat="false" ht="15" hidden="false" customHeight="false" outlineLevel="0" collapsed="false">
      <c r="A416" s="0" t="n">
        <v>415</v>
      </c>
      <c r="D416" s="0" t="s">
        <v>2002</v>
      </c>
      <c r="E416" s="0" t="s">
        <v>21</v>
      </c>
      <c r="H416" s="0" t="s">
        <v>23</v>
      </c>
      <c r="I416" s="2" t="s">
        <v>24</v>
      </c>
      <c r="J416" s="2" t="s">
        <v>1051</v>
      </c>
      <c r="K416" s="0" t="s">
        <v>1980</v>
      </c>
      <c r="L416" s="0" t="s">
        <v>35</v>
      </c>
      <c r="M416" s="0" t="s">
        <v>1981</v>
      </c>
      <c r="N416" s="0" t="s">
        <v>944</v>
      </c>
      <c r="O416" s="0" t="s">
        <v>57</v>
      </c>
      <c r="P416" s="0" t="s">
        <v>945</v>
      </c>
      <c r="T416" s="0" t="s">
        <v>33</v>
      </c>
    </row>
    <row r="417" customFormat="false" ht="15" hidden="false" customHeight="false" outlineLevel="0" collapsed="false">
      <c r="A417" s="0" t="n">
        <v>416</v>
      </c>
      <c r="D417" s="0" t="s">
        <v>2003</v>
      </c>
      <c r="E417" s="0" t="s">
        <v>21</v>
      </c>
      <c r="H417" s="0" t="s">
        <v>23</v>
      </c>
      <c r="I417" s="2" t="s">
        <v>24</v>
      </c>
      <c r="J417" s="2" t="s">
        <v>1051</v>
      </c>
      <c r="K417" s="0" t="s">
        <v>1980</v>
      </c>
      <c r="L417" s="0" t="s">
        <v>35</v>
      </c>
      <c r="M417" s="0" t="s">
        <v>1981</v>
      </c>
      <c r="N417" s="0" t="s">
        <v>944</v>
      </c>
      <c r="O417" s="0" t="s">
        <v>57</v>
      </c>
      <c r="P417" s="0" t="s">
        <v>945</v>
      </c>
      <c r="Q417" s="0" t="s">
        <v>2004</v>
      </c>
      <c r="T417" s="0" t="s">
        <v>33</v>
      </c>
    </row>
    <row r="418" customFormat="false" ht="15" hidden="false" customHeight="false" outlineLevel="0" collapsed="false">
      <c r="A418" s="0" t="n">
        <v>417</v>
      </c>
      <c r="D418" s="0" t="s">
        <v>2005</v>
      </c>
      <c r="E418" s="0" t="s">
        <v>21</v>
      </c>
      <c r="H418" s="0" t="s">
        <v>23</v>
      </c>
      <c r="I418" s="2" t="s">
        <v>24</v>
      </c>
      <c r="J418" s="2" t="s">
        <v>1051</v>
      </c>
      <c r="K418" s="0" t="s">
        <v>1980</v>
      </c>
      <c r="L418" s="0" t="s">
        <v>35</v>
      </c>
      <c r="M418" s="0" t="s">
        <v>1981</v>
      </c>
      <c r="N418" s="0" t="s">
        <v>944</v>
      </c>
      <c r="O418" s="0" t="s">
        <v>57</v>
      </c>
      <c r="P418" s="0" t="s">
        <v>945</v>
      </c>
      <c r="Q418" s="0" t="s">
        <v>2006</v>
      </c>
      <c r="T418" s="0" t="s">
        <v>33</v>
      </c>
    </row>
    <row r="419" customFormat="false" ht="15" hidden="false" customHeight="false" outlineLevel="0" collapsed="false">
      <c r="A419" s="0" t="n">
        <v>418</v>
      </c>
      <c r="D419" s="0" t="s">
        <v>2007</v>
      </c>
      <c r="E419" s="0" t="s">
        <v>21</v>
      </c>
      <c r="H419" s="0" t="s">
        <v>23</v>
      </c>
      <c r="I419" s="2" t="s">
        <v>24</v>
      </c>
      <c r="J419" s="2" t="s">
        <v>1051</v>
      </c>
      <c r="K419" s="0" t="s">
        <v>1980</v>
      </c>
      <c r="L419" s="0" t="s">
        <v>35</v>
      </c>
      <c r="M419" s="0" t="s">
        <v>1981</v>
      </c>
      <c r="N419" s="0" t="s">
        <v>944</v>
      </c>
      <c r="O419" s="0" t="s">
        <v>57</v>
      </c>
      <c r="P419" s="0" t="s">
        <v>945</v>
      </c>
      <c r="T419" s="0" t="s">
        <v>33</v>
      </c>
    </row>
    <row r="420" customFormat="false" ht="15" hidden="false" customHeight="false" outlineLevel="0" collapsed="false">
      <c r="A420" s="0" t="n">
        <v>419</v>
      </c>
      <c r="D420" s="0" t="s">
        <v>2008</v>
      </c>
      <c r="E420" s="0" t="s">
        <v>21</v>
      </c>
      <c r="H420" s="0" t="s">
        <v>23</v>
      </c>
      <c r="I420" s="2" t="s">
        <v>24</v>
      </c>
      <c r="J420" s="2" t="s">
        <v>1051</v>
      </c>
      <c r="K420" s="0" t="s">
        <v>1980</v>
      </c>
      <c r="L420" s="0" t="s">
        <v>35</v>
      </c>
      <c r="M420" s="0" t="s">
        <v>1981</v>
      </c>
      <c r="N420" s="0" t="s">
        <v>944</v>
      </c>
      <c r="O420" s="0" t="s">
        <v>57</v>
      </c>
      <c r="P420" s="0" t="s">
        <v>945</v>
      </c>
      <c r="Q420" s="0" t="s">
        <v>2009</v>
      </c>
      <c r="T420" s="0" t="s">
        <v>33</v>
      </c>
    </row>
    <row r="421" customFormat="false" ht="15" hidden="false" customHeight="false" outlineLevel="0" collapsed="false">
      <c r="A421" s="0" t="n">
        <v>420</v>
      </c>
      <c r="D421" s="0" t="s">
        <v>2010</v>
      </c>
      <c r="E421" s="0" t="s">
        <v>21</v>
      </c>
      <c r="H421" s="0" t="s">
        <v>23</v>
      </c>
      <c r="I421" s="2" t="s">
        <v>24</v>
      </c>
      <c r="J421" s="2" t="s">
        <v>1051</v>
      </c>
      <c r="K421" s="0" t="s">
        <v>1980</v>
      </c>
      <c r="L421" s="0" t="s">
        <v>35</v>
      </c>
      <c r="M421" s="0" t="s">
        <v>1981</v>
      </c>
      <c r="N421" s="0" t="s">
        <v>944</v>
      </c>
      <c r="O421" s="0" t="s">
        <v>57</v>
      </c>
      <c r="P421" s="0" t="s">
        <v>945</v>
      </c>
      <c r="Q421" s="0" t="s">
        <v>2011</v>
      </c>
      <c r="T421" s="0" t="s">
        <v>33</v>
      </c>
    </row>
    <row r="422" customFormat="false" ht="15" hidden="false" customHeight="false" outlineLevel="0" collapsed="false">
      <c r="A422" s="0" t="n">
        <v>421</v>
      </c>
      <c r="D422" s="0" t="s">
        <v>2012</v>
      </c>
      <c r="E422" s="0" t="s">
        <v>21</v>
      </c>
      <c r="F422" s="0" t="s">
        <v>2013</v>
      </c>
      <c r="H422" s="0" t="s">
        <v>23</v>
      </c>
      <c r="I422" s="2" t="s">
        <v>24</v>
      </c>
      <c r="J422" s="2" t="s">
        <v>1051</v>
      </c>
      <c r="K422" s="0" t="s">
        <v>1980</v>
      </c>
      <c r="L422" s="0" t="s">
        <v>27</v>
      </c>
      <c r="M422" s="0" t="s">
        <v>1981</v>
      </c>
      <c r="N422" s="0" t="s">
        <v>2014</v>
      </c>
      <c r="O422" s="0" t="s">
        <v>37</v>
      </c>
      <c r="Q422" s="0" t="s">
        <v>2015</v>
      </c>
      <c r="R422" s="0" t="s">
        <v>2016</v>
      </c>
      <c r="S422" s="0" t="s">
        <v>2017</v>
      </c>
      <c r="T422" s="0" t="s">
        <v>33</v>
      </c>
    </row>
    <row r="423" customFormat="false" ht="15" hidden="false" customHeight="false" outlineLevel="0" collapsed="false">
      <c r="A423" s="0" t="n">
        <v>422</v>
      </c>
      <c r="D423" s="0" t="s">
        <v>2018</v>
      </c>
      <c r="E423" s="0" t="s">
        <v>21</v>
      </c>
      <c r="H423" s="0" t="s">
        <v>23</v>
      </c>
      <c r="I423" s="2" t="s">
        <v>24</v>
      </c>
      <c r="J423" s="2" t="s">
        <v>1051</v>
      </c>
      <c r="K423" s="0" t="s">
        <v>1980</v>
      </c>
      <c r="L423" s="0" t="s">
        <v>35</v>
      </c>
      <c r="M423" s="0" t="s">
        <v>1981</v>
      </c>
      <c r="N423" s="0" t="s">
        <v>944</v>
      </c>
      <c r="O423" s="0" t="s">
        <v>57</v>
      </c>
      <c r="P423" s="0" t="s">
        <v>945</v>
      </c>
      <c r="T423" s="0" t="s">
        <v>33</v>
      </c>
    </row>
    <row r="424" customFormat="false" ht="15" hidden="false" customHeight="false" outlineLevel="0" collapsed="false">
      <c r="A424" s="0" t="n">
        <v>423</v>
      </c>
      <c r="D424" s="0" t="s">
        <v>2019</v>
      </c>
      <c r="E424" s="0" t="s">
        <v>21</v>
      </c>
      <c r="H424" s="0" t="s">
        <v>23</v>
      </c>
      <c r="I424" s="2" t="s">
        <v>24</v>
      </c>
      <c r="J424" s="2" t="s">
        <v>1051</v>
      </c>
      <c r="K424" s="0" t="s">
        <v>1980</v>
      </c>
      <c r="L424" s="0" t="s">
        <v>35</v>
      </c>
      <c r="M424" s="0" t="s">
        <v>1981</v>
      </c>
      <c r="N424" s="0" t="s">
        <v>944</v>
      </c>
      <c r="O424" s="0" t="s">
        <v>57</v>
      </c>
      <c r="P424" s="0" t="s">
        <v>945</v>
      </c>
      <c r="Q424" s="0" t="s">
        <v>2020</v>
      </c>
      <c r="T424" s="0" t="s">
        <v>33</v>
      </c>
    </row>
    <row r="425" customFormat="false" ht="15" hidden="false" customHeight="false" outlineLevel="0" collapsed="false">
      <c r="A425" s="0" t="n">
        <v>424</v>
      </c>
      <c r="D425" s="0" t="s">
        <v>2021</v>
      </c>
      <c r="E425" s="0" t="s">
        <v>21</v>
      </c>
      <c r="H425" s="0" t="s">
        <v>23</v>
      </c>
      <c r="I425" s="2" t="s">
        <v>24</v>
      </c>
      <c r="J425" s="2" t="s">
        <v>1051</v>
      </c>
      <c r="K425" s="0" t="s">
        <v>1980</v>
      </c>
      <c r="L425" s="0" t="s">
        <v>35</v>
      </c>
      <c r="M425" s="0" t="s">
        <v>1981</v>
      </c>
      <c r="N425" s="0" t="s">
        <v>891</v>
      </c>
      <c r="O425" s="0" t="s">
        <v>57</v>
      </c>
      <c r="P425" s="0" t="s">
        <v>892</v>
      </c>
      <c r="Q425" s="0" t="s">
        <v>2022</v>
      </c>
      <c r="T425" s="0" t="s">
        <v>33</v>
      </c>
    </row>
    <row r="426" customFormat="false" ht="15" hidden="false" customHeight="false" outlineLevel="0" collapsed="false">
      <c r="A426" s="0" t="n">
        <v>425</v>
      </c>
      <c r="D426" s="0" t="s">
        <v>2023</v>
      </c>
      <c r="E426" s="0" t="s">
        <v>21</v>
      </c>
      <c r="H426" s="0" t="s">
        <v>23</v>
      </c>
      <c r="I426" s="2" t="s">
        <v>24</v>
      </c>
      <c r="J426" s="2" t="s">
        <v>1051</v>
      </c>
      <c r="K426" s="0" t="s">
        <v>1980</v>
      </c>
      <c r="L426" s="0" t="s">
        <v>35</v>
      </c>
      <c r="M426" s="0" t="s">
        <v>1981</v>
      </c>
      <c r="N426" s="0" t="s">
        <v>115</v>
      </c>
      <c r="O426" s="0" t="s">
        <v>30</v>
      </c>
      <c r="P426" s="0" t="s">
        <v>116</v>
      </c>
      <c r="Q426" s="0" t="s">
        <v>2024</v>
      </c>
      <c r="T426" s="0" t="s">
        <v>33</v>
      </c>
    </row>
    <row r="427" customFormat="false" ht="15" hidden="false" customHeight="false" outlineLevel="0" collapsed="false">
      <c r="A427" s="0" t="n">
        <v>426</v>
      </c>
      <c r="D427" s="0" t="s">
        <v>2025</v>
      </c>
      <c r="E427" s="0" t="s">
        <v>21</v>
      </c>
      <c r="H427" s="0" t="s">
        <v>23</v>
      </c>
      <c r="I427" s="2" t="s">
        <v>24</v>
      </c>
      <c r="J427" s="2" t="s">
        <v>1051</v>
      </c>
      <c r="K427" s="0" t="s">
        <v>1980</v>
      </c>
      <c r="L427" s="0" t="s">
        <v>35</v>
      </c>
      <c r="M427" s="0" t="s">
        <v>1981</v>
      </c>
      <c r="N427" s="0" t="s">
        <v>944</v>
      </c>
      <c r="O427" s="0" t="s">
        <v>57</v>
      </c>
      <c r="P427" s="0" t="s">
        <v>945</v>
      </c>
      <c r="Q427" s="0" t="s">
        <v>2026</v>
      </c>
      <c r="T427" s="0" t="s">
        <v>33</v>
      </c>
    </row>
    <row r="428" customFormat="false" ht="15" hidden="false" customHeight="false" outlineLevel="0" collapsed="false">
      <c r="I428" s="2"/>
      <c r="J428" s="2"/>
    </row>
    <row r="429" customFormat="false" ht="15" hidden="false" customHeight="false" outlineLevel="0" collapsed="false">
      <c r="I429" s="2"/>
      <c r="J429" s="2"/>
    </row>
    <row r="430" customFormat="false" ht="15" hidden="false" customHeight="false" outlineLevel="0" collapsed="false">
      <c r="I430" s="2"/>
      <c r="J430" s="2"/>
    </row>
    <row r="431" customFormat="false" ht="15" hidden="false" customHeight="false" outlineLevel="0" collapsed="false">
      <c r="I431" s="2"/>
      <c r="J431" s="2"/>
    </row>
    <row r="432" customFormat="false" ht="15" hidden="false" customHeight="false" outlineLevel="0" collapsed="false">
      <c r="I432" s="2"/>
      <c r="J432" s="2"/>
    </row>
    <row r="433" customFormat="false" ht="15" hidden="false" customHeight="false" outlineLevel="0" collapsed="false">
      <c r="I433" s="2"/>
      <c r="J433" s="2"/>
    </row>
    <row r="434" customFormat="false" ht="15" hidden="false" customHeight="false" outlineLevel="0" collapsed="false">
      <c r="I434" s="2"/>
      <c r="J434" s="2"/>
    </row>
    <row r="435" customFormat="false" ht="15" hidden="false" customHeight="false" outlineLevel="0" collapsed="false">
      <c r="I435" s="2"/>
      <c r="J435" s="2"/>
    </row>
    <row r="436" customFormat="false" ht="15" hidden="false" customHeight="false" outlineLevel="0" collapsed="false">
      <c r="I436" s="2"/>
      <c r="J436" s="2"/>
    </row>
    <row r="437" customFormat="false" ht="15" hidden="false" customHeight="false" outlineLevel="0" collapsed="false">
      <c r="I437" s="2"/>
      <c r="J437" s="2"/>
    </row>
    <row r="438" customFormat="false" ht="15" hidden="false" customHeight="false" outlineLevel="0" collapsed="false">
      <c r="I438" s="2"/>
      <c r="J438" s="2"/>
    </row>
    <row r="439" customFormat="false" ht="15" hidden="false" customHeight="false" outlineLevel="0" collapsed="false">
      <c r="I439" s="2"/>
      <c r="J439" s="2"/>
    </row>
    <row r="440" customFormat="false" ht="15" hidden="false" customHeight="false" outlineLevel="0" collapsed="false">
      <c r="I440" s="2"/>
      <c r="J440" s="2"/>
    </row>
    <row r="441" customFormat="false" ht="15" hidden="false" customHeight="false" outlineLevel="0" collapsed="false">
      <c r="I441" s="2"/>
      <c r="J441" s="2"/>
    </row>
    <row r="442" customFormat="false" ht="15" hidden="false" customHeight="false" outlineLevel="0" collapsed="false">
      <c r="I442" s="2"/>
      <c r="J442" s="2"/>
    </row>
    <row r="443" customFormat="false" ht="15" hidden="false" customHeight="false" outlineLevel="0" collapsed="false">
      <c r="I443" s="2"/>
      <c r="J443" s="2"/>
    </row>
    <row r="444" customFormat="false" ht="15" hidden="false" customHeight="false" outlineLevel="0" collapsed="false">
      <c r="I444" s="2"/>
      <c r="J444" s="2"/>
    </row>
    <row r="445" customFormat="false" ht="15" hidden="false" customHeight="false" outlineLevel="0" collapsed="false">
      <c r="I445" s="2"/>
      <c r="J445" s="2"/>
    </row>
    <row r="446" customFormat="false" ht="15" hidden="false" customHeight="false" outlineLevel="0" collapsed="false">
      <c r="I446" s="2"/>
      <c r="J446" s="2"/>
    </row>
    <row r="447" customFormat="false" ht="15" hidden="false" customHeight="false" outlineLevel="0" collapsed="false">
      <c r="I447" s="2"/>
      <c r="J447" s="2"/>
    </row>
    <row r="448" customFormat="false" ht="15" hidden="false" customHeight="false" outlineLevel="0" collapsed="false">
      <c r="I448" s="2"/>
      <c r="J448" s="2"/>
    </row>
    <row r="449" customFormat="false" ht="15" hidden="false" customHeight="false" outlineLevel="0" collapsed="false">
      <c r="I449" s="2"/>
      <c r="J449" s="2"/>
    </row>
    <row r="450" customFormat="false" ht="15" hidden="false" customHeight="false" outlineLevel="0" collapsed="false">
      <c r="I450" s="2"/>
      <c r="J450" s="2"/>
    </row>
    <row r="451" customFormat="false" ht="15" hidden="false" customHeight="false" outlineLevel="0" collapsed="false">
      <c r="I451" s="2"/>
      <c r="J451" s="2"/>
    </row>
    <row r="452" customFormat="false" ht="15" hidden="false" customHeight="false" outlineLevel="0" collapsed="false">
      <c r="I452" s="2"/>
      <c r="J452" s="2"/>
    </row>
    <row r="453" customFormat="false" ht="15" hidden="false" customHeight="false" outlineLevel="0" collapsed="false">
      <c r="I453" s="2"/>
      <c r="J453" s="2"/>
    </row>
    <row r="454" customFormat="false" ht="15" hidden="false" customHeight="false" outlineLevel="0" collapsed="false">
      <c r="I454" s="2"/>
      <c r="J454" s="2"/>
    </row>
    <row r="455" customFormat="false" ht="15" hidden="false" customHeight="false" outlineLevel="0" collapsed="false">
      <c r="I455" s="2"/>
      <c r="J455" s="2"/>
    </row>
    <row r="456" customFormat="false" ht="15" hidden="false" customHeight="false" outlineLevel="0" collapsed="false">
      <c r="I456" s="2"/>
      <c r="J456" s="2"/>
    </row>
    <row r="457" customFormat="false" ht="15" hidden="false" customHeight="false" outlineLevel="0" collapsed="false">
      <c r="I457" s="2"/>
      <c r="J457" s="2"/>
    </row>
    <row r="458" customFormat="false" ht="15" hidden="false" customHeight="false" outlineLevel="0" collapsed="false">
      <c r="I458" s="2"/>
      <c r="J458" s="2"/>
    </row>
    <row r="459" customFormat="false" ht="15" hidden="false" customHeight="false" outlineLevel="0" collapsed="false">
      <c r="I459" s="2"/>
      <c r="J459" s="2"/>
    </row>
    <row r="460" customFormat="false" ht="15" hidden="false" customHeight="false" outlineLevel="0" collapsed="false">
      <c r="I460" s="2"/>
      <c r="J460" s="2"/>
    </row>
    <row r="461" customFormat="false" ht="15" hidden="false" customHeight="false" outlineLevel="0" collapsed="false">
      <c r="I461" s="2"/>
      <c r="J461" s="2"/>
    </row>
    <row r="462" customFormat="false" ht="15" hidden="false" customHeight="false" outlineLevel="0" collapsed="false">
      <c r="I462" s="2"/>
      <c r="J462" s="2"/>
    </row>
    <row r="463" customFormat="false" ht="15" hidden="false" customHeight="false" outlineLevel="0" collapsed="false">
      <c r="I463" s="2"/>
      <c r="J463" s="2"/>
    </row>
    <row r="464" customFormat="false" ht="15" hidden="false" customHeight="false" outlineLevel="0" collapsed="false">
      <c r="I464" s="2"/>
      <c r="J464" s="2"/>
    </row>
    <row r="465" customFormat="false" ht="15" hidden="false" customHeight="false" outlineLevel="0" collapsed="false">
      <c r="I465" s="2"/>
      <c r="J465" s="2"/>
    </row>
    <row r="466" customFormat="false" ht="15" hidden="false" customHeight="false" outlineLevel="0" collapsed="false">
      <c r="I466" s="2"/>
      <c r="J466" s="2"/>
    </row>
    <row r="467" customFormat="false" ht="15" hidden="false" customHeight="false" outlineLevel="0" collapsed="false">
      <c r="I467" s="2"/>
      <c r="J467" s="2"/>
    </row>
    <row r="468" customFormat="false" ht="15" hidden="false" customHeight="false" outlineLevel="0" collapsed="false">
      <c r="I468" s="2"/>
      <c r="J468" s="2"/>
    </row>
    <row r="469" customFormat="false" ht="15" hidden="false" customHeight="false" outlineLevel="0" collapsed="false">
      <c r="I469" s="2"/>
      <c r="J469" s="2"/>
    </row>
    <row r="470" customFormat="false" ht="15" hidden="false" customHeight="false" outlineLevel="0" collapsed="false">
      <c r="I470" s="2"/>
      <c r="J470" s="2"/>
    </row>
    <row r="471" customFormat="false" ht="15" hidden="false" customHeight="false" outlineLevel="0" collapsed="false">
      <c r="I471" s="2"/>
      <c r="J471" s="2"/>
    </row>
    <row r="472" customFormat="false" ht="15" hidden="false" customHeight="false" outlineLevel="0" collapsed="false">
      <c r="I472" s="2"/>
      <c r="J472" s="2"/>
    </row>
    <row r="473" customFormat="false" ht="15" hidden="false" customHeight="false" outlineLevel="0" collapsed="false">
      <c r="I473" s="2"/>
      <c r="J473" s="2"/>
    </row>
    <row r="474" customFormat="false" ht="15" hidden="false" customHeight="false" outlineLevel="0" collapsed="false">
      <c r="I474" s="2"/>
      <c r="J474" s="2"/>
    </row>
    <row r="475" customFormat="false" ht="15" hidden="false" customHeight="false" outlineLevel="0" collapsed="false">
      <c r="I475" s="2"/>
      <c r="J475" s="2"/>
    </row>
    <row r="476" customFormat="false" ht="15" hidden="false" customHeight="false" outlineLevel="0" collapsed="false">
      <c r="I476" s="2"/>
      <c r="J476" s="2"/>
    </row>
    <row r="477" customFormat="false" ht="15" hidden="false" customHeight="false" outlineLevel="0" collapsed="false">
      <c r="I477" s="2"/>
      <c r="J477" s="2"/>
    </row>
    <row r="478" customFormat="false" ht="15" hidden="false" customHeight="false" outlineLevel="0" collapsed="false">
      <c r="I478" s="2"/>
      <c r="J478" s="2"/>
    </row>
    <row r="479" customFormat="false" ht="15" hidden="false" customHeight="false" outlineLevel="0" collapsed="false">
      <c r="I479" s="2"/>
      <c r="J479" s="2"/>
    </row>
    <row r="480" customFormat="false" ht="15" hidden="false" customHeight="false" outlineLevel="0" collapsed="false">
      <c r="I480" s="2"/>
      <c r="J480" s="2"/>
    </row>
    <row r="481" customFormat="false" ht="15" hidden="false" customHeight="false" outlineLevel="0" collapsed="false">
      <c r="I481" s="2"/>
      <c r="J481" s="2"/>
    </row>
    <row r="482" customFormat="false" ht="15" hidden="false" customHeight="false" outlineLevel="0" collapsed="false">
      <c r="I482" s="2"/>
      <c r="J482" s="2"/>
    </row>
    <row r="483" customFormat="false" ht="15" hidden="false" customHeight="false" outlineLevel="0" collapsed="false">
      <c r="I483" s="2"/>
      <c r="J483" s="2"/>
    </row>
    <row r="484" customFormat="false" ht="15" hidden="false" customHeight="false" outlineLevel="0" collapsed="false">
      <c r="I484" s="2"/>
      <c r="J484" s="2"/>
    </row>
    <row r="485" customFormat="false" ht="15" hidden="false" customHeight="false" outlineLevel="0" collapsed="false">
      <c r="I485" s="2"/>
      <c r="J485" s="2"/>
    </row>
    <row r="486" customFormat="false" ht="15" hidden="false" customHeight="false" outlineLevel="0" collapsed="false">
      <c r="I486" s="2"/>
      <c r="J486" s="2"/>
    </row>
    <row r="487" customFormat="false" ht="15" hidden="false" customHeight="false" outlineLevel="0" collapsed="false">
      <c r="I487" s="2"/>
      <c r="J487" s="2"/>
    </row>
    <row r="488" customFormat="false" ht="15" hidden="false" customHeight="false" outlineLevel="0" collapsed="false">
      <c r="I488" s="2"/>
      <c r="J488" s="2"/>
    </row>
    <row r="489" customFormat="false" ht="15" hidden="false" customHeight="false" outlineLevel="0" collapsed="false">
      <c r="I489" s="2"/>
      <c r="J489" s="2"/>
    </row>
    <row r="490" customFormat="false" ht="15" hidden="false" customHeight="false" outlineLevel="0" collapsed="false">
      <c r="I490" s="2"/>
      <c r="J490" s="2"/>
    </row>
    <row r="491" customFormat="false" ht="15" hidden="false" customHeight="false" outlineLevel="0" collapsed="false">
      <c r="I491" s="2"/>
      <c r="J491" s="2"/>
    </row>
    <row r="492" customFormat="false" ht="15" hidden="false" customHeight="false" outlineLevel="0" collapsed="false">
      <c r="I492" s="2"/>
      <c r="J492" s="2"/>
    </row>
    <row r="493" customFormat="false" ht="15" hidden="false" customHeight="false" outlineLevel="0" collapsed="false">
      <c r="I493" s="2"/>
      <c r="J493" s="2"/>
    </row>
    <row r="494" customFormat="false" ht="15" hidden="false" customHeight="false" outlineLevel="0" collapsed="false">
      <c r="I494" s="2"/>
      <c r="J494" s="2"/>
    </row>
    <row r="495" customFormat="false" ht="15" hidden="false" customHeight="false" outlineLevel="0" collapsed="false">
      <c r="I495" s="2"/>
      <c r="J495" s="2"/>
    </row>
    <row r="496" customFormat="false" ht="15" hidden="false" customHeight="false" outlineLevel="0" collapsed="false">
      <c r="I496" s="2"/>
      <c r="J496" s="2"/>
    </row>
    <row r="497" customFormat="false" ht="15" hidden="false" customHeight="false" outlineLevel="0" collapsed="false">
      <c r="I497" s="2"/>
      <c r="J497" s="2"/>
    </row>
    <row r="498" customFormat="false" ht="15" hidden="false" customHeight="false" outlineLevel="0" collapsed="false">
      <c r="I498" s="2"/>
      <c r="J498" s="2"/>
    </row>
    <row r="499" customFormat="false" ht="15" hidden="false" customHeight="false" outlineLevel="0" collapsed="false">
      <c r="I499" s="2"/>
      <c r="J499" s="2"/>
    </row>
    <row r="500" customFormat="false" ht="15" hidden="false" customHeight="false" outlineLevel="0" collapsed="false">
      <c r="I500" s="2"/>
      <c r="J500" s="2"/>
    </row>
    <row r="501" customFormat="false" ht="15" hidden="false" customHeight="false" outlineLevel="0" collapsed="false">
      <c r="I501" s="2"/>
      <c r="J501" s="2"/>
    </row>
    <row r="502" customFormat="false" ht="15" hidden="false" customHeight="false" outlineLevel="0" collapsed="false">
      <c r="I502" s="2"/>
      <c r="J502" s="2"/>
    </row>
    <row r="503" customFormat="false" ht="15" hidden="false" customHeight="false" outlineLevel="0" collapsed="false">
      <c r="I503" s="2"/>
      <c r="J503" s="2"/>
    </row>
    <row r="504" customFormat="false" ht="15" hidden="false" customHeight="false" outlineLevel="0" collapsed="false">
      <c r="I504" s="2"/>
      <c r="J504" s="2"/>
    </row>
    <row r="505" customFormat="false" ht="15" hidden="false" customHeight="false" outlineLevel="0" collapsed="false">
      <c r="I505" s="2"/>
      <c r="J505" s="2"/>
    </row>
    <row r="506" customFormat="false" ht="15" hidden="false" customHeight="false" outlineLevel="0" collapsed="false">
      <c r="I506" s="2"/>
      <c r="J506" s="2"/>
    </row>
    <row r="507" customFormat="false" ht="15" hidden="false" customHeight="false" outlineLevel="0" collapsed="false">
      <c r="I507" s="2"/>
      <c r="J507" s="2"/>
    </row>
    <row r="508" customFormat="false" ht="15" hidden="false" customHeight="false" outlineLevel="0" collapsed="false">
      <c r="I508" s="2"/>
      <c r="J508" s="2"/>
    </row>
    <row r="509" customFormat="false" ht="15" hidden="false" customHeight="false" outlineLevel="0" collapsed="false">
      <c r="I509" s="2"/>
      <c r="J509" s="2"/>
    </row>
    <row r="510" customFormat="false" ht="15" hidden="false" customHeight="false" outlineLevel="0" collapsed="false">
      <c r="I510" s="2"/>
      <c r="J510" s="2"/>
    </row>
    <row r="511" customFormat="false" ht="15" hidden="false" customHeight="false" outlineLevel="0" collapsed="false">
      <c r="I511" s="2"/>
      <c r="J511" s="2"/>
    </row>
    <row r="512" customFormat="false" ht="15" hidden="false" customHeight="false" outlineLevel="0" collapsed="false">
      <c r="I512" s="2"/>
      <c r="J512" s="2"/>
    </row>
    <row r="513" customFormat="false" ht="15" hidden="false" customHeight="false" outlineLevel="0" collapsed="false">
      <c r="I513" s="2"/>
      <c r="J513" s="2"/>
    </row>
    <row r="514" customFormat="false" ht="15" hidden="false" customHeight="false" outlineLevel="0" collapsed="false">
      <c r="I514" s="2"/>
      <c r="J514" s="2"/>
    </row>
    <row r="515" customFormat="false" ht="15" hidden="false" customHeight="false" outlineLevel="0" collapsed="false">
      <c r="I515" s="2"/>
      <c r="J515" s="2"/>
    </row>
    <row r="516" customFormat="false" ht="15" hidden="false" customHeight="false" outlineLevel="0" collapsed="false">
      <c r="I516" s="2"/>
      <c r="J516" s="2"/>
    </row>
    <row r="517" customFormat="false" ht="15" hidden="false" customHeight="false" outlineLevel="0" collapsed="false">
      <c r="I517" s="2"/>
      <c r="J517" s="2"/>
    </row>
    <row r="518" customFormat="false" ht="15" hidden="false" customHeight="false" outlineLevel="0" collapsed="false">
      <c r="I518" s="2"/>
      <c r="J518" s="2"/>
    </row>
    <row r="519" customFormat="false" ht="15" hidden="false" customHeight="false" outlineLevel="0" collapsed="false">
      <c r="I519" s="2"/>
      <c r="J519" s="2"/>
    </row>
    <row r="520" customFormat="false" ht="15" hidden="false" customHeight="false" outlineLevel="0" collapsed="false">
      <c r="I520" s="2"/>
      <c r="J520" s="2"/>
    </row>
    <row r="521" customFormat="false" ht="15" hidden="false" customHeight="false" outlineLevel="0" collapsed="false">
      <c r="I521" s="2"/>
      <c r="J521" s="2"/>
    </row>
    <row r="522" customFormat="false" ht="15" hidden="false" customHeight="false" outlineLevel="0" collapsed="false">
      <c r="I522" s="2"/>
      <c r="J522" s="2"/>
    </row>
    <row r="523" customFormat="false" ht="15" hidden="false" customHeight="false" outlineLevel="0" collapsed="false">
      <c r="I523" s="2"/>
      <c r="J523" s="2"/>
    </row>
    <row r="524" customFormat="false" ht="15" hidden="false" customHeight="false" outlineLevel="0" collapsed="false">
      <c r="I524" s="2"/>
      <c r="J524" s="2"/>
    </row>
    <row r="525" customFormat="false" ht="15" hidden="false" customHeight="false" outlineLevel="0" collapsed="false">
      <c r="I525" s="2"/>
      <c r="J525" s="2"/>
    </row>
    <row r="526" customFormat="false" ht="15" hidden="false" customHeight="false" outlineLevel="0" collapsed="false">
      <c r="I526" s="2"/>
      <c r="J526" s="2"/>
    </row>
    <row r="527" customFormat="false" ht="15" hidden="false" customHeight="false" outlineLevel="0" collapsed="false">
      <c r="I527" s="2"/>
      <c r="J527" s="2"/>
    </row>
    <row r="528" customFormat="false" ht="15" hidden="false" customHeight="false" outlineLevel="0" collapsed="false">
      <c r="I528" s="2"/>
      <c r="J528" s="2"/>
    </row>
    <row r="529" customFormat="false" ht="15" hidden="false" customHeight="false" outlineLevel="0" collapsed="false">
      <c r="I529" s="2"/>
      <c r="J529" s="2"/>
    </row>
    <row r="530" customFormat="false" ht="15" hidden="false" customHeight="false" outlineLevel="0" collapsed="false">
      <c r="I530" s="2"/>
      <c r="J530" s="2"/>
    </row>
    <row r="531" customFormat="false" ht="15" hidden="false" customHeight="false" outlineLevel="0" collapsed="false">
      <c r="I531" s="2"/>
      <c r="J531" s="2"/>
    </row>
    <row r="532" customFormat="false" ht="15" hidden="false" customHeight="false" outlineLevel="0" collapsed="false">
      <c r="I532" s="2"/>
      <c r="J532" s="2"/>
    </row>
    <row r="533" customFormat="false" ht="15" hidden="false" customHeight="false" outlineLevel="0" collapsed="false">
      <c r="I533" s="2"/>
      <c r="J533" s="2"/>
    </row>
    <row r="534" customFormat="false" ht="15" hidden="false" customHeight="false" outlineLevel="0" collapsed="false">
      <c r="I534" s="2"/>
      <c r="J534" s="2"/>
    </row>
    <row r="535" customFormat="false" ht="15" hidden="false" customHeight="false" outlineLevel="0" collapsed="false">
      <c r="I535" s="2"/>
      <c r="J535" s="2"/>
    </row>
    <row r="536" customFormat="false" ht="15" hidden="false" customHeight="false" outlineLevel="0" collapsed="false">
      <c r="I536" s="2"/>
      <c r="J536" s="2"/>
    </row>
    <row r="537" customFormat="false" ht="15" hidden="false" customHeight="false" outlineLevel="0" collapsed="false">
      <c r="I537" s="2"/>
      <c r="J537" s="2"/>
    </row>
    <row r="538" customFormat="false" ht="15" hidden="false" customHeight="false" outlineLevel="0" collapsed="false">
      <c r="I538" s="2"/>
      <c r="J538" s="2"/>
    </row>
    <row r="539" customFormat="false" ht="15" hidden="false" customHeight="false" outlineLevel="0" collapsed="false">
      <c r="I539" s="2"/>
      <c r="J539" s="2"/>
    </row>
    <row r="540" customFormat="false" ht="15" hidden="false" customHeight="false" outlineLevel="0" collapsed="false">
      <c r="I540" s="2"/>
      <c r="J540" s="2"/>
    </row>
    <row r="541" customFormat="false" ht="15" hidden="false" customHeight="false" outlineLevel="0" collapsed="false">
      <c r="I541" s="2"/>
      <c r="J541" s="2"/>
    </row>
    <row r="542" customFormat="false" ht="15" hidden="false" customHeight="false" outlineLevel="0" collapsed="false">
      <c r="I542" s="2"/>
      <c r="J542" s="2"/>
    </row>
    <row r="543" customFormat="false" ht="15" hidden="false" customHeight="false" outlineLevel="0" collapsed="false">
      <c r="I543" s="2"/>
      <c r="J543" s="2"/>
    </row>
    <row r="544" customFormat="false" ht="15" hidden="false" customHeight="false" outlineLevel="0" collapsed="false">
      <c r="I544" s="2"/>
      <c r="J544" s="2"/>
    </row>
    <row r="545" customFormat="false" ht="15" hidden="false" customHeight="false" outlineLevel="0" collapsed="false">
      <c r="I545" s="2"/>
      <c r="J545" s="2"/>
    </row>
    <row r="546" customFormat="false" ht="15" hidden="false" customHeight="false" outlineLevel="0" collapsed="false">
      <c r="I546" s="2"/>
      <c r="J546" s="2"/>
    </row>
    <row r="547" customFormat="false" ht="15" hidden="false" customHeight="false" outlineLevel="0" collapsed="false">
      <c r="I547" s="2"/>
      <c r="J547" s="2"/>
    </row>
    <row r="548" customFormat="false" ht="15" hidden="false" customHeight="false" outlineLevel="0" collapsed="false">
      <c r="I548" s="2"/>
      <c r="J548" s="2"/>
    </row>
    <row r="549" customFormat="false" ht="15" hidden="false" customHeight="false" outlineLevel="0" collapsed="false">
      <c r="I549" s="2"/>
      <c r="J549" s="2"/>
    </row>
    <row r="550" customFormat="false" ht="15" hidden="false" customHeight="false" outlineLevel="0" collapsed="false">
      <c r="I550" s="2"/>
      <c r="J550" s="2"/>
    </row>
    <row r="551" customFormat="false" ht="15" hidden="false" customHeight="false" outlineLevel="0" collapsed="false">
      <c r="I551" s="2"/>
      <c r="J551" s="2"/>
    </row>
    <row r="552" customFormat="false" ht="15" hidden="false" customHeight="false" outlineLevel="0" collapsed="false">
      <c r="I552" s="2"/>
      <c r="J552" s="2"/>
    </row>
    <row r="553" customFormat="false" ht="15" hidden="false" customHeight="false" outlineLevel="0" collapsed="false">
      <c r="I553" s="2"/>
      <c r="J553" s="2"/>
    </row>
    <row r="554" customFormat="false" ht="15" hidden="false" customHeight="false" outlineLevel="0" collapsed="false">
      <c r="I554" s="2"/>
      <c r="J554" s="2"/>
    </row>
    <row r="555" customFormat="false" ht="15" hidden="false" customHeight="false" outlineLevel="0" collapsed="false">
      <c r="I555" s="2"/>
      <c r="J555" s="2"/>
    </row>
    <row r="556" customFormat="false" ht="15" hidden="false" customHeight="false" outlineLevel="0" collapsed="false">
      <c r="I556" s="2"/>
      <c r="J556" s="2"/>
    </row>
    <row r="557" customFormat="false" ht="15" hidden="false" customHeight="false" outlineLevel="0" collapsed="false">
      <c r="I557" s="2"/>
      <c r="J557" s="2"/>
    </row>
    <row r="558" customFormat="false" ht="15" hidden="false" customHeight="false" outlineLevel="0" collapsed="false">
      <c r="I558" s="2"/>
      <c r="J558" s="2"/>
    </row>
    <row r="559" customFormat="false" ht="15" hidden="false" customHeight="false" outlineLevel="0" collapsed="false">
      <c r="I559" s="2"/>
      <c r="J559" s="2"/>
    </row>
    <row r="560" customFormat="false" ht="15" hidden="false" customHeight="false" outlineLevel="0" collapsed="false">
      <c r="I560" s="2"/>
      <c r="J560" s="2"/>
    </row>
    <row r="561" customFormat="false" ht="15" hidden="false" customHeight="false" outlineLevel="0" collapsed="false">
      <c r="I561" s="2"/>
      <c r="J561" s="2"/>
    </row>
    <row r="562" customFormat="false" ht="15" hidden="false" customHeight="false" outlineLevel="0" collapsed="false">
      <c r="I562" s="2"/>
      <c r="J562" s="2"/>
    </row>
    <row r="563" customFormat="false" ht="15" hidden="false" customHeight="false" outlineLevel="0" collapsed="false">
      <c r="I563" s="2"/>
      <c r="J563" s="2"/>
    </row>
    <row r="564" customFormat="false" ht="15" hidden="false" customHeight="false" outlineLevel="0" collapsed="false">
      <c r="I564" s="2"/>
      <c r="J564" s="2"/>
    </row>
    <row r="565" customFormat="false" ht="15" hidden="false" customHeight="false" outlineLevel="0" collapsed="false">
      <c r="I565" s="2"/>
      <c r="J565" s="2"/>
    </row>
    <row r="566" customFormat="false" ht="15" hidden="false" customHeight="false" outlineLevel="0" collapsed="false">
      <c r="I566" s="2"/>
      <c r="J566" s="2"/>
    </row>
    <row r="567" customFormat="false" ht="15" hidden="false" customHeight="false" outlineLevel="0" collapsed="false">
      <c r="I567" s="2"/>
      <c r="J567" s="2"/>
    </row>
    <row r="568" customFormat="false" ht="15" hidden="false" customHeight="false" outlineLevel="0" collapsed="false">
      <c r="I568" s="2"/>
      <c r="J568" s="2"/>
    </row>
    <row r="569" customFormat="false" ht="15" hidden="false" customHeight="false" outlineLevel="0" collapsed="false">
      <c r="I569" s="2"/>
      <c r="J569" s="2"/>
    </row>
    <row r="570" customFormat="false" ht="15" hidden="false" customHeight="false" outlineLevel="0" collapsed="false">
      <c r="I570" s="2"/>
      <c r="J570" s="2"/>
    </row>
    <row r="571" customFormat="false" ht="15" hidden="false" customHeight="false" outlineLevel="0" collapsed="false">
      <c r="I571" s="2"/>
      <c r="J571" s="2"/>
    </row>
    <row r="572" customFormat="false" ht="15" hidden="false" customHeight="false" outlineLevel="0" collapsed="false">
      <c r="I572" s="2"/>
      <c r="J572" s="2"/>
    </row>
    <row r="573" customFormat="false" ht="15" hidden="false" customHeight="false" outlineLevel="0" collapsed="false">
      <c r="I573" s="2"/>
      <c r="J573" s="2"/>
    </row>
    <row r="574" customFormat="false" ht="15" hidden="false" customHeight="false" outlineLevel="0" collapsed="false">
      <c r="I574" s="2"/>
      <c r="J574" s="2"/>
    </row>
    <row r="575" customFormat="false" ht="15" hidden="false" customHeight="false" outlineLevel="0" collapsed="false">
      <c r="I575" s="2"/>
      <c r="J575" s="2"/>
    </row>
    <row r="576" customFormat="false" ht="15" hidden="false" customHeight="false" outlineLevel="0" collapsed="false">
      <c r="I576" s="2"/>
      <c r="J576" s="2"/>
    </row>
    <row r="577" customFormat="false" ht="15" hidden="false" customHeight="false" outlineLevel="0" collapsed="false">
      <c r="I577" s="2"/>
      <c r="J577" s="2"/>
    </row>
    <row r="578" customFormat="false" ht="15" hidden="false" customHeight="false" outlineLevel="0" collapsed="false">
      <c r="I578" s="2"/>
      <c r="J578" s="2"/>
    </row>
    <row r="579" customFormat="false" ht="15" hidden="false" customHeight="false" outlineLevel="0" collapsed="false">
      <c r="I579" s="2"/>
      <c r="J579" s="2"/>
    </row>
    <row r="580" customFormat="false" ht="15" hidden="false" customHeight="false" outlineLevel="0" collapsed="false">
      <c r="I580" s="2"/>
      <c r="J580" s="2"/>
    </row>
    <row r="581" customFormat="false" ht="15" hidden="false" customHeight="false" outlineLevel="0" collapsed="false">
      <c r="I581" s="2"/>
      <c r="J581" s="2"/>
    </row>
    <row r="582" customFormat="false" ht="15" hidden="false" customHeight="false" outlineLevel="0" collapsed="false">
      <c r="I582" s="2"/>
      <c r="J582" s="2"/>
    </row>
    <row r="583" customFormat="false" ht="15" hidden="false" customHeight="false" outlineLevel="0" collapsed="false">
      <c r="I583" s="2"/>
      <c r="J583" s="2"/>
    </row>
    <row r="584" customFormat="false" ht="15" hidden="false" customHeight="false" outlineLevel="0" collapsed="false">
      <c r="I584" s="2"/>
      <c r="J584" s="2"/>
    </row>
    <row r="585" customFormat="false" ht="15" hidden="false" customHeight="false" outlineLevel="0" collapsed="false">
      <c r="I585" s="2"/>
      <c r="J585" s="2"/>
    </row>
    <row r="586" customFormat="false" ht="15" hidden="false" customHeight="false" outlineLevel="0" collapsed="false">
      <c r="I586" s="2"/>
      <c r="J586" s="2"/>
    </row>
    <row r="587" customFormat="false" ht="15" hidden="false" customHeight="false" outlineLevel="0" collapsed="false">
      <c r="I587" s="2"/>
      <c r="J587" s="2"/>
    </row>
    <row r="588" customFormat="false" ht="15" hidden="false" customHeight="false" outlineLevel="0" collapsed="false">
      <c r="I588" s="2"/>
      <c r="J588" s="2"/>
    </row>
    <row r="589" customFormat="false" ht="15" hidden="false" customHeight="false" outlineLevel="0" collapsed="false">
      <c r="I589" s="2"/>
      <c r="J589" s="2"/>
    </row>
    <row r="590" customFormat="false" ht="15" hidden="false" customHeight="false" outlineLevel="0" collapsed="false">
      <c r="I590" s="2"/>
      <c r="J590" s="2"/>
    </row>
    <row r="591" customFormat="false" ht="15" hidden="false" customHeight="false" outlineLevel="0" collapsed="false">
      <c r="I591" s="2"/>
      <c r="J591" s="2"/>
    </row>
    <row r="592" customFormat="false" ht="15" hidden="false" customHeight="false" outlineLevel="0" collapsed="false">
      <c r="I592" s="2"/>
      <c r="J592" s="2"/>
    </row>
    <row r="593" customFormat="false" ht="15" hidden="false" customHeight="false" outlineLevel="0" collapsed="false">
      <c r="I593" s="2"/>
      <c r="J593" s="2"/>
    </row>
    <row r="594" customFormat="false" ht="15" hidden="false" customHeight="false" outlineLevel="0" collapsed="false">
      <c r="I594" s="2"/>
      <c r="J594" s="2"/>
    </row>
    <row r="595" customFormat="false" ht="15" hidden="false" customHeight="false" outlineLevel="0" collapsed="false">
      <c r="I595" s="2"/>
      <c r="J595" s="2"/>
    </row>
    <row r="596" customFormat="false" ht="15" hidden="false" customHeight="false" outlineLevel="0" collapsed="false">
      <c r="I596" s="2"/>
      <c r="J596" s="2"/>
    </row>
    <row r="597" customFormat="false" ht="15" hidden="false" customHeight="false" outlineLevel="0" collapsed="false">
      <c r="I597" s="2"/>
      <c r="J597" s="2"/>
    </row>
    <row r="598" customFormat="false" ht="15" hidden="false" customHeight="false" outlineLevel="0" collapsed="false">
      <c r="I598" s="2"/>
      <c r="J598" s="2"/>
    </row>
    <row r="599" customFormat="false" ht="15" hidden="false" customHeight="false" outlineLevel="0" collapsed="false">
      <c r="I599" s="2"/>
      <c r="J599" s="2"/>
    </row>
    <row r="600" customFormat="false" ht="15" hidden="false" customHeight="false" outlineLevel="0" collapsed="false">
      <c r="I600" s="2"/>
      <c r="J600" s="2"/>
    </row>
    <row r="601" customFormat="false" ht="15" hidden="false" customHeight="false" outlineLevel="0" collapsed="false">
      <c r="I601" s="2"/>
      <c r="J601" s="2"/>
    </row>
    <row r="602" customFormat="false" ht="15" hidden="false" customHeight="false" outlineLevel="0" collapsed="false">
      <c r="I602" s="2"/>
      <c r="J602" s="2"/>
    </row>
    <row r="603" customFormat="false" ht="15" hidden="false" customHeight="false" outlineLevel="0" collapsed="false">
      <c r="I603" s="2"/>
      <c r="J603" s="2"/>
    </row>
    <row r="604" customFormat="false" ht="15" hidden="false" customHeight="false" outlineLevel="0" collapsed="false">
      <c r="I604" s="2"/>
      <c r="J604" s="2"/>
    </row>
    <row r="605" customFormat="false" ht="15" hidden="false" customHeight="false" outlineLevel="0" collapsed="false">
      <c r="I605" s="2"/>
      <c r="J605" s="2"/>
    </row>
    <row r="606" customFormat="false" ht="15" hidden="false" customHeight="false" outlineLevel="0" collapsed="false">
      <c r="I606" s="2"/>
      <c r="J606" s="2"/>
    </row>
    <row r="607" customFormat="false" ht="15" hidden="false" customHeight="false" outlineLevel="0" collapsed="false">
      <c r="I607" s="2"/>
      <c r="J607" s="2"/>
    </row>
    <row r="608" customFormat="false" ht="15" hidden="false" customHeight="false" outlineLevel="0" collapsed="false">
      <c r="I608" s="2"/>
      <c r="J608" s="2"/>
    </row>
    <row r="609" customFormat="false" ht="15" hidden="false" customHeight="false" outlineLevel="0" collapsed="false">
      <c r="I609" s="2"/>
      <c r="J609" s="2"/>
    </row>
    <row r="610" customFormat="false" ht="15" hidden="false" customHeight="false" outlineLevel="0" collapsed="false">
      <c r="I610" s="2"/>
      <c r="J610" s="2"/>
    </row>
    <row r="611" customFormat="false" ht="15" hidden="false" customHeight="false" outlineLevel="0" collapsed="false">
      <c r="I611" s="2"/>
      <c r="J611" s="2"/>
    </row>
    <row r="612" customFormat="false" ht="15" hidden="false" customHeight="false" outlineLevel="0" collapsed="false">
      <c r="I612" s="2"/>
      <c r="J612" s="2"/>
    </row>
    <row r="613" customFormat="false" ht="15" hidden="false" customHeight="false" outlineLevel="0" collapsed="false">
      <c r="I613" s="2"/>
      <c r="J613" s="2"/>
    </row>
    <row r="614" customFormat="false" ht="15" hidden="false" customHeight="false" outlineLevel="0" collapsed="false">
      <c r="I614" s="2"/>
      <c r="J614" s="2"/>
    </row>
    <row r="615" customFormat="false" ht="15" hidden="false" customHeight="false" outlineLevel="0" collapsed="false">
      <c r="I615" s="2"/>
      <c r="J615" s="2"/>
    </row>
    <row r="616" customFormat="false" ht="15" hidden="false" customHeight="false" outlineLevel="0" collapsed="false">
      <c r="I616" s="2"/>
      <c r="J616" s="2"/>
    </row>
    <row r="617" customFormat="false" ht="15" hidden="false" customHeight="false" outlineLevel="0" collapsed="false">
      <c r="I617" s="2"/>
      <c r="J617" s="2"/>
    </row>
    <row r="618" customFormat="false" ht="15" hidden="false" customHeight="false" outlineLevel="0" collapsed="false">
      <c r="I618" s="2"/>
      <c r="J618" s="2"/>
    </row>
    <row r="619" customFormat="false" ht="15" hidden="false" customHeight="false" outlineLevel="0" collapsed="false">
      <c r="I619" s="2"/>
      <c r="J619" s="2"/>
    </row>
    <row r="620" customFormat="false" ht="15" hidden="false" customHeight="false" outlineLevel="0" collapsed="false">
      <c r="I620" s="2"/>
      <c r="J620" s="2"/>
    </row>
    <row r="621" customFormat="false" ht="15" hidden="false" customHeight="false" outlineLevel="0" collapsed="false">
      <c r="I621" s="2"/>
      <c r="J621" s="2"/>
    </row>
    <row r="622" customFormat="false" ht="15" hidden="false" customHeight="false" outlineLevel="0" collapsed="false">
      <c r="I622" s="2"/>
      <c r="J622" s="2"/>
    </row>
    <row r="623" customFormat="false" ht="15" hidden="false" customHeight="false" outlineLevel="0" collapsed="false">
      <c r="I623" s="2"/>
      <c r="J623" s="2"/>
    </row>
    <row r="624" customFormat="false" ht="15" hidden="false" customHeight="false" outlineLevel="0" collapsed="false">
      <c r="I624" s="2"/>
      <c r="J624" s="2"/>
    </row>
    <row r="625" customFormat="false" ht="15" hidden="false" customHeight="false" outlineLevel="0" collapsed="false">
      <c r="I625" s="2"/>
      <c r="J625" s="2"/>
    </row>
    <row r="626" customFormat="false" ht="15" hidden="false" customHeight="false" outlineLevel="0" collapsed="false">
      <c r="I626" s="2"/>
      <c r="J626" s="2"/>
    </row>
    <row r="627" customFormat="false" ht="15" hidden="false" customHeight="false" outlineLevel="0" collapsed="false">
      <c r="I627" s="2"/>
      <c r="J627" s="2"/>
    </row>
    <row r="628" customFormat="false" ht="15" hidden="false" customHeight="false" outlineLevel="0" collapsed="false">
      <c r="I628" s="2"/>
      <c r="J628" s="2"/>
    </row>
    <row r="629" customFormat="false" ht="15" hidden="false" customHeight="false" outlineLevel="0" collapsed="false">
      <c r="I629" s="2"/>
      <c r="J629" s="2"/>
    </row>
    <row r="630" customFormat="false" ht="15" hidden="false" customHeight="false" outlineLevel="0" collapsed="false">
      <c r="I630" s="2"/>
      <c r="J630" s="2"/>
    </row>
    <row r="631" customFormat="false" ht="15" hidden="false" customHeight="false" outlineLevel="0" collapsed="false">
      <c r="I631" s="2"/>
      <c r="J631" s="2"/>
    </row>
    <row r="632" customFormat="false" ht="15" hidden="false" customHeight="false" outlineLevel="0" collapsed="false">
      <c r="I632" s="2"/>
      <c r="J632" s="2"/>
    </row>
    <row r="633" customFormat="false" ht="15" hidden="false" customHeight="false" outlineLevel="0" collapsed="false">
      <c r="I633" s="2"/>
      <c r="J633" s="2"/>
    </row>
    <row r="634" customFormat="false" ht="15" hidden="false" customHeight="false" outlineLevel="0" collapsed="false">
      <c r="I634" s="2"/>
      <c r="J634" s="2"/>
    </row>
    <row r="635" customFormat="false" ht="15" hidden="false" customHeight="false" outlineLevel="0" collapsed="false">
      <c r="I635" s="2"/>
      <c r="J635" s="2"/>
    </row>
    <row r="636" customFormat="false" ht="15" hidden="false" customHeight="false" outlineLevel="0" collapsed="false">
      <c r="I636" s="2"/>
      <c r="J636" s="2"/>
    </row>
    <row r="637" customFormat="false" ht="15" hidden="false" customHeight="false" outlineLevel="0" collapsed="false">
      <c r="I637" s="2"/>
      <c r="J637" s="2"/>
    </row>
    <row r="638" customFormat="false" ht="15" hidden="false" customHeight="false" outlineLevel="0" collapsed="false">
      <c r="I638" s="2"/>
      <c r="J638" s="2"/>
    </row>
    <row r="639" customFormat="false" ht="15" hidden="false" customHeight="false" outlineLevel="0" collapsed="false">
      <c r="I639" s="2"/>
      <c r="J639" s="2"/>
    </row>
    <row r="640" customFormat="false" ht="15" hidden="false" customHeight="false" outlineLevel="0" collapsed="false">
      <c r="I640" s="2"/>
      <c r="J640" s="2"/>
    </row>
    <row r="641" customFormat="false" ht="15" hidden="false" customHeight="false" outlineLevel="0" collapsed="false">
      <c r="I641" s="2"/>
      <c r="J641" s="2"/>
    </row>
    <row r="642" customFormat="false" ht="15" hidden="false" customHeight="false" outlineLevel="0" collapsed="false">
      <c r="I642" s="2"/>
      <c r="J642" s="2"/>
    </row>
    <row r="643" customFormat="false" ht="15" hidden="false" customHeight="false" outlineLevel="0" collapsed="false">
      <c r="I643" s="2"/>
      <c r="J643" s="2"/>
    </row>
    <row r="644" customFormat="false" ht="15" hidden="false" customHeight="false" outlineLevel="0" collapsed="false">
      <c r="I644" s="2"/>
      <c r="J644" s="2"/>
    </row>
    <row r="645" customFormat="false" ht="15" hidden="false" customHeight="false" outlineLevel="0" collapsed="false">
      <c r="I645" s="2"/>
      <c r="J645" s="2"/>
    </row>
    <row r="646" customFormat="false" ht="15" hidden="false" customHeight="false" outlineLevel="0" collapsed="false">
      <c r="I646" s="2"/>
      <c r="J646" s="2"/>
    </row>
    <row r="647" customFormat="false" ht="15" hidden="false" customHeight="false" outlineLevel="0" collapsed="false">
      <c r="I647" s="2"/>
      <c r="J647" s="2"/>
    </row>
    <row r="648" customFormat="false" ht="15" hidden="false" customHeight="false" outlineLevel="0" collapsed="false">
      <c r="I648" s="2"/>
      <c r="J648" s="2"/>
    </row>
    <row r="649" customFormat="false" ht="15" hidden="false" customHeight="false" outlineLevel="0" collapsed="false">
      <c r="I649" s="2"/>
      <c r="J649" s="2"/>
    </row>
    <row r="650" customFormat="false" ht="15" hidden="false" customHeight="false" outlineLevel="0" collapsed="false">
      <c r="I650" s="2"/>
      <c r="J650" s="2"/>
    </row>
    <row r="651" customFormat="false" ht="15" hidden="false" customHeight="false" outlineLevel="0" collapsed="false">
      <c r="I651" s="2"/>
      <c r="J651" s="2"/>
    </row>
    <row r="652" customFormat="false" ht="15" hidden="false" customHeight="false" outlineLevel="0" collapsed="false">
      <c r="I652" s="2"/>
      <c r="J652" s="2"/>
    </row>
    <row r="653" customFormat="false" ht="15" hidden="false" customHeight="false" outlineLevel="0" collapsed="false">
      <c r="I653" s="2"/>
      <c r="J653" s="2"/>
    </row>
    <row r="654" customFormat="false" ht="15" hidden="false" customHeight="false" outlineLevel="0" collapsed="false">
      <c r="I654" s="2"/>
      <c r="J654" s="2"/>
    </row>
    <row r="655" customFormat="false" ht="15" hidden="false" customHeight="false" outlineLevel="0" collapsed="false">
      <c r="I655" s="2"/>
      <c r="J655" s="2"/>
    </row>
    <row r="656" customFormat="false" ht="15" hidden="false" customHeight="false" outlineLevel="0" collapsed="false">
      <c r="I656" s="2"/>
      <c r="J656" s="2"/>
    </row>
    <row r="657" customFormat="false" ht="15" hidden="false" customHeight="false" outlineLevel="0" collapsed="false">
      <c r="I657" s="2"/>
      <c r="J657" s="2"/>
    </row>
    <row r="658" customFormat="false" ht="15" hidden="false" customHeight="false" outlineLevel="0" collapsed="false">
      <c r="I658" s="2"/>
      <c r="J658" s="2"/>
    </row>
    <row r="659" customFormat="false" ht="15" hidden="false" customHeight="false" outlineLevel="0" collapsed="false">
      <c r="I659" s="2"/>
      <c r="J659" s="2"/>
    </row>
    <row r="660" customFormat="false" ht="15" hidden="false" customHeight="false" outlineLevel="0" collapsed="false">
      <c r="I660" s="2"/>
      <c r="J660" s="2"/>
    </row>
    <row r="661" customFormat="false" ht="15" hidden="false" customHeight="false" outlineLevel="0" collapsed="false">
      <c r="I661" s="2"/>
      <c r="J661" s="2"/>
    </row>
    <row r="662" customFormat="false" ht="15" hidden="false" customHeight="false" outlineLevel="0" collapsed="false">
      <c r="I662" s="2"/>
      <c r="J662" s="2"/>
    </row>
    <row r="663" customFormat="false" ht="15" hidden="false" customHeight="false" outlineLevel="0" collapsed="false">
      <c r="I663" s="2"/>
      <c r="J663" s="2"/>
    </row>
    <row r="664" customFormat="false" ht="15" hidden="false" customHeight="false" outlineLevel="0" collapsed="false">
      <c r="I664" s="2"/>
      <c r="J664" s="2"/>
    </row>
    <row r="665" customFormat="false" ht="15" hidden="false" customHeight="false" outlineLevel="0" collapsed="false">
      <c r="I665" s="2"/>
      <c r="J665" s="2"/>
    </row>
    <row r="666" customFormat="false" ht="15" hidden="false" customHeight="false" outlineLevel="0" collapsed="false">
      <c r="I666" s="2"/>
      <c r="J666" s="2"/>
    </row>
    <row r="667" customFormat="false" ht="15" hidden="false" customHeight="false" outlineLevel="0" collapsed="false">
      <c r="I667" s="2"/>
      <c r="J667" s="2"/>
    </row>
    <row r="668" customFormat="false" ht="15" hidden="false" customHeight="false" outlineLevel="0" collapsed="false">
      <c r="I668" s="2"/>
      <c r="J668" s="2"/>
    </row>
    <row r="669" customFormat="false" ht="15" hidden="false" customHeight="false" outlineLevel="0" collapsed="false">
      <c r="I669" s="2"/>
      <c r="J669" s="2"/>
    </row>
    <row r="670" customFormat="false" ht="15" hidden="false" customHeight="false" outlineLevel="0" collapsed="false">
      <c r="I670" s="2"/>
      <c r="J670" s="2"/>
    </row>
    <row r="671" customFormat="false" ht="15" hidden="false" customHeight="false" outlineLevel="0" collapsed="false">
      <c r="I671" s="2"/>
      <c r="J671" s="2"/>
    </row>
    <row r="672" customFormat="false" ht="15" hidden="false" customHeight="false" outlineLevel="0" collapsed="false">
      <c r="I672" s="2"/>
      <c r="J672" s="2"/>
    </row>
    <row r="673" customFormat="false" ht="15" hidden="false" customHeight="false" outlineLevel="0" collapsed="false">
      <c r="I673" s="2"/>
      <c r="J673" s="2"/>
    </row>
    <row r="674" customFormat="false" ht="15" hidden="false" customHeight="false" outlineLevel="0" collapsed="false">
      <c r="I674" s="2"/>
      <c r="J674" s="2"/>
    </row>
    <row r="675" customFormat="false" ht="15" hidden="false" customHeight="false" outlineLevel="0" collapsed="false">
      <c r="I675" s="2"/>
      <c r="J675" s="2"/>
    </row>
    <row r="676" customFormat="false" ht="15" hidden="false" customHeight="false" outlineLevel="0" collapsed="false">
      <c r="I676" s="2"/>
      <c r="J676" s="2"/>
    </row>
    <row r="677" customFormat="false" ht="15" hidden="false" customHeight="false" outlineLevel="0" collapsed="false">
      <c r="I677" s="2"/>
      <c r="J677" s="2"/>
    </row>
    <row r="678" customFormat="false" ht="15" hidden="false" customHeight="false" outlineLevel="0" collapsed="false">
      <c r="I678" s="2"/>
      <c r="J678" s="2"/>
    </row>
    <row r="679" customFormat="false" ht="15" hidden="false" customHeight="false" outlineLevel="0" collapsed="false">
      <c r="I679" s="2"/>
      <c r="J679" s="2"/>
    </row>
    <row r="680" customFormat="false" ht="15" hidden="false" customHeight="false" outlineLevel="0" collapsed="false">
      <c r="I680" s="2"/>
      <c r="J680" s="2"/>
    </row>
    <row r="681" customFormat="false" ht="15" hidden="false" customHeight="false" outlineLevel="0" collapsed="false">
      <c r="I681" s="2"/>
      <c r="J681" s="2"/>
    </row>
    <row r="682" customFormat="false" ht="15" hidden="false" customHeight="false" outlineLevel="0" collapsed="false">
      <c r="I682" s="2"/>
      <c r="J682" s="2"/>
    </row>
    <row r="683" customFormat="false" ht="15" hidden="false" customHeight="false" outlineLevel="0" collapsed="false">
      <c r="I683" s="2"/>
      <c r="J683" s="2"/>
    </row>
    <row r="684" customFormat="false" ht="15" hidden="false" customHeight="false" outlineLevel="0" collapsed="false">
      <c r="I684" s="2"/>
      <c r="J684" s="2"/>
    </row>
    <row r="685" customFormat="false" ht="15" hidden="false" customHeight="false" outlineLevel="0" collapsed="false">
      <c r="I685" s="2"/>
      <c r="J685" s="2"/>
    </row>
    <row r="686" customFormat="false" ht="15" hidden="false" customHeight="false" outlineLevel="0" collapsed="false">
      <c r="I686" s="2"/>
      <c r="J686" s="2"/>
    </row>
    <row r="687" customFormat="false" ht="15" hidden="false" customHeight="false" outlineLevel="0" collapsed="false">
      <c r="I687" s="2"/>
      <c r="J687" s="2"/>
    </row>
    <row r="688" customFormat="false" ht="15" hidden="false" customHeight="false" outlineLevel="0" collapsed="false">
      <c r="I688" s="2"/>
      <c r="J688" s="2"/>
    </row>
    <row r="689" customFormat="false" ht="15" hidden="false" customHeight="false" outlineLevel="0" collapsed="false">
      <c r="I689" s="2"/>
      <c r="J689" s="2"/>
    </row>
    <row r="690" customFormat="false" ht="15" hidden="false" customHeight="false" outlineLevel="0" collapsed="false">
      <c r="I690" s="2"/>
      <c r="J690" s="2"/>
    </row>
    <row r="691" customFormat="false" ht="15" hidden="false" customHeight="false" outlineLevel="0" collapsed="false">
      <c r="I691" s="2"/>
      <c r="J691" s="2"/>
    </row>
    <row r="692" customFormat="false" ht="15" hidden="false" customHeight="false" outlineLevel="0" collapsed="false">
      <c r="I692" s="2"/>
      <c r="J692" s="2"/>
    </row>
    <row r="693" customFormat="false" ht="15" hidden="false" customHeight="false" outlineLevel="0" collapsed="false">
      <c r="I693" s="2"/>
      <c r="J693" s="2"/>
    </row>
    <row r="694" customFormat="false" ht="15" hidden="false" customHeight="false" outlineLevel="0" collapsed="false">
      <c r="I694" s="2"/>
      <c r="J694" s="2"/>
    </row>
    <row r="695" customFormat="false" ht="15" hidden="false" customHeight="false" outlineLevel="0" collapsed="false">
      <c r="I695" s="2"/>
      <c r="J695" s="2"/>
    </row>
    <row r="696" customFormat="false" ht="15" hidden="false" customHeight="false" outlineLevel="0" collapsed="false">
      <c r="I696" s="2"/>
      <c r="J696" s="2"/>
    </row>
    <row r="697" customFormat="false" ht="15" hidden="false" customHeight="false" outlineLevel="0" collapsed="false">
      <c r="I697" s="2"/>
      <c r="J697" s="2"/>
    </row>
    <row r="698" customFormat="false" ht="15" hidden="false" customHeight="false" outlineLevel="0" collapsed="false">
      <c r="I698" s="2"/>
      <c r="J698" s="2"/>
    </row>
    <row r="699" customFormat="false" ht="15" hidden="false" customHeight="false" outlineLevel="0" collapsed="false">
      <c r="I699" s="2"/>
      <c r="J699" s="2"/>
    </row>
    <row r="700" customFormat="false" ht="15" hidden="false" customHeight="false" outlineLevel="0" collapsed="false">
      <c r="I700" s="2"/>
      <c r="J700" s="2"/>
    </row>
    <row r="701" customFormat="false" ht="15" hidden="false" customHeight="false" outlineLevel="0" collapsed="false">
      <c r="I701" s="2"/>
      <c r="J701" s="2"/>
    </row>
    <row r="702" customFormat="false" ht="15" hidden="false" customHeight="false" outlineLevel="0" collapsed="false">
      <c r="I702" s="2"/>
      <c r="J702" s="2"/>
    </row>
    <row r="703" customFormat="false" ht="15" hidden="false" customHeight="false" outlineLevel="0" collapsed="false">
      <c r="I703" s="2"/>
      <c r="J703" s="2"/>
    </row>
    <row r="704" customFormat="false" ht="15" hidden="false" customHeight="false" outlineLevel="0" collapsed="false">
      <c r="I704" s="2"/>
      <c r="J704" s="2"/>
    </row>
    <row r="705" customFormat="false" ht="15" hidden="false" customHeight="false" outlineLevel="0" collapsed="false">
      <c r="I705" s="2"/>
      <c r="J705" s="2"/>
    </row>
    <row r="706" customFormat="false" ht="15" hidden="false" customHeight="false" outlineLevel="0" collapsed="false">
      <c r="I706" s="2"/>
      <c r="J706" s="2"/>
    </row>
    <row r="707" customFormat="false" ht="15" hidden="false" customHeight="false" outlineLevel="0" collapsed="false">
      <c r="I707" s="2"/>
      <c r="J707" s="2"/>
    </row>
    <row r="708" customFormat="false" ht="15" hidden="false" customHeight="false" outlineLevel="0" collapsed="false">
      <c r="I708" s="2"/>
      <c r="J708" s="2"/>
    </row>
    <row r="709" customFormat="false" ht="15" hidden="false" customHeight="false" outlineLevel="0" collapsed="false">
      <c r="I709" s="2"/>
      <c r="J709" s="2"/>
    </row>
    <row r="710" customFormat="false" ht="15" hidden="false" customHeight="false" outlineLevel="0" collapsed="false">
      <c r="I710" s="2"/>
      <c r="J710" s="2"/>
    </row>
    <row r="711" customFormat="false" ht="15" hidden="false" customHeight="false" outlineLevel="0" collapsed="false">
      <c r="I711" s="2"/>
      <c r="J711" s="2"/>
    </row>
    <row r="712" customFormat="false" ht="15" hidden="false" customHeight="false" outlineLevel="0" collapsed="false">
      <c r="I712" s="2"/>
      <c r="J712" s="2"/>
    </row>
    <row r="713" customFormat="false" ht="15" hidden="false" customHeight="false" outlineLevel="0" collapsed="false">
      <c r="I713" s="2"/>
      <c r="J713" s="2"/>
    </row>
    <row r="714" customFormat="false" ht="15" hidden="false" customHeight="false" outlineLevel="0" collapsed="false">
      <c r="I714" s="2"/>
      <c r="J714" s="2"/>
    </row>
    <row r="715" customFormat="false" ht="15" hidden="false" customHeight="false" outlineLevel="0" collapsed="false">
      <c r="I715" s="2"/>
      <c r="J715" s="2"/>
    </row>
    <row r="716" customFormat="false" ht="15" hidden="false" customHeight="false" outlineLevel="0" collapsed="false">
      <c r="I716" s="2"/>
      <c r="J716" s="2"/>
    </row>
    <row r="717" customFormat="false" ht="15" hidden="false" customHeight="false" outlineLevel="0" collapsed="false">
      <c r="I717" s="2"/>
      <c r="J717" s="2"/>
    </row>
    <row r="718" customFormat="false" ht="15" hidden="false" customHeight="false" outlineLevel="0" collapsed="false">
      <c r="I718" s="2"/>
      <c r="J718" s="2"/>
    </row>
    <row r="719" customFormat="false" ht="15" hidden="false" customHeight="false" outlineLevel="0" collapsed="false">
      <c r="I719" s="2"/>
      <c r="J719" s="2"/>
    </row>
    <row r="720" customFormat="false" ht="15" hidden="false" customHeight="false" outlineLevel="0" collapsed="false">
      <c r="I720" s="2"/>
      <c r="J720" s="2"/>
    </row>
    <row r="721" customFormat="false" ht="15" hidden="false" customHeight="false" outlineLevel="0" collapsed="false">
      <c r="I721" s="2"/>
      <c r="J721" s="2"/>
    </row>
    <row r="722" customFormat="false" ht="15" hidden="false" customHeight="false" outlineLevel="0" collapsed="false">
      <c r="I722" s="2"/>
      <c r="J722" s="2"/>
    </row>
    <row r="723" customFormat="false" ht="15" hidden="false" customHeight="false" outlineLevel="0" collapsed="false">
      <c r="I723" s="2"/>
      <c r="J723" s="2"/>
    </row>
    <row r="724" customFormat="false" ht="15" hidden="false" customHeight="false" outlineLevel="0" collapsed="false">
      <c r="I724" s="2"/>
      <c r="J724" s="2"/>
    </row>
    <row r="725" customFormat="false" ht="15" hidden="false" customHeight="false" outlineLevel="0" collapsed="false">
      <c r="I725" s="2"/>
      <c r="J725" s="2"/>
    </row>
    <row r="726" customFormat="false" ht="15" hidden="false" customHeight="false" outlineLevel="0" collapsed="false">
      <c r="I726" s="2"/>
      <c r="J726" s="2"/>
    </row>
    <row r="727" customFormat="false" ht="15" hidden="false" customHeight="false" outlineLevel="0" collapsed="false">
      <c r="I727" s="2"/>
      <c r="J727" s="2"/>
    </row>
    <row r="728" customFormat="false" ht="15" hidden="false" customHeight="false" outlineLevel="0" collapsed="false">
      <c r="I728" s="2"/>
      <c r="J728" s="2"/>
    </row>
    <row r="729" customFormat="false" ht="15" hidden="false" customHeight="false" outlineLevel="0" collapsed="false">
      <c r="I729" s="2"/>
      <c r="J729" s="2"/>
    </row>
    <row r="730" customFormat="false" ht="15" hidden="false" customHeight="false" outlineLevel="0" collapsed="false">
      <c r="I730" s="2"/>
      <c r="J730" s="2"/>
    </row>
    <row r="731" customFormat="false" ht="15" hidden="false" customHeight="false" outlineLevel="0" collapsed="false">
      <c r="I731" s="2"/>
      <c r="J731" s="2"/>
    </row>
    <row r="732" customFormat="false" ht="15" hidden="false" customHeight="false" outlineLevel="0" collapsed="false">
      <c r="I732" s="2"/>
      <c r="J732" s="2"/>
    </row>
    <row r="733" customFormat="false" ht="15" hidden="false" customHeight="false" outlineLevel="0" collapsed="false">
      <c r="I733" s="2"/>
      <c r="J733" s="2"/>
    </row>
    <row r="734" customFormat="false" ht="15" hidden="false" customHeight="false" outlineLevel="0" collapsed="false">
      <c r="I734" s="2"/>
      <c r="J734" s="2"/>
    </row>
    <row r="735" customFormat="false" ht="15" hidden="false" customHeight="false" outlineLevel="0" collapsed="false">
      <c r="I735" s="2"/>
      <c r="J735" s="2"/>
    </row>
    <row r="736" customFormat="false" ht="15" hidden="false" customHeight="false" outlineLevel="0" collapsed="false">
      <c r="I736" s="2"/>
      <c r="J736" s="2"/>
    </row>
    <row r="737" customFormat="false" ht="15" hidden="false" customHeight="false" outlineLevel="0" collapsed="false">
      <c r="I737" s="2"/>
      <c r="J737" s="2"/>
    </row>
    <row r="738" customFormat="false" ht="15" hidden="false" customHeight="false" outlineLevel="0" collapsed="false">
      <c r="I738" s="2"/>
      <c r="J738" s="2"/>
    </row>
    <row r="739" customFormat="false" ht="15" hidden="false" customHeight="false" outlineLevel="0" collapsed="false">
      <c r="I739" s="2"/>
      <c r="J739" s="2"/>
    </row>
    <row r="740" customFormat="false" ht="15" hidden="false" customHeight="false" outlineLevel="0" collapsed="false">
      <c r="I740" s="2"/>
      <c r="J740" s="2"/>
    </row>
    <row r="741" customFormat="false" ht="15" hidden="false" customHeight="false" outlineLevel="0" collapsed="false">
      <c r="I741" s="2"/>
      <c r="J741" s="2"/>
    </row>
    <row r="742" customFormat="false" ht="15" hidden="false" customHeight="false" outlineLevel="0" collapsed="false">
      <c r="I742" s="2"/>
      <c r="J742" s="2"/>
    </row>
    <row r="743" customFormat="false" ht="15" hidden="false" customHeight="false" outlineLevel="0" collapsed="false">
      <c r="I743" s="2"/>
      <c r="J743" s="2"/>
    </row>
    <row r="744" customFormat="false" ht="15" hidden="false" customHeight="false" outlineLevel="0" collapsed="false">
      <c r="I744" s="2"/>
      <c r="J744" s="2"/>
    </row>
    <row r="745" customFormat="false" ht="15" hidden="false" customHeight="false" outlineLevel="0" collapsed="false">
      <c r="I745" s="2"/>
      <c r="J745" s="2"/>
    </row>
    <row r="746" customFormat="false" ht="15" hidden="false" customHeight="false" outlineLevel="0" collapsed="false">
      <c r="I746" s="2"/>
      <c r="J746" s="2"/>
    </row>
    <row r="747" customFormat="false" ht="15" hidden="false" customHeight="false" outlineLevel="0" collapsed="false">
      <c r="I747" s="2"/>
      <c r="J747" s="2"/>
    </row>
    <row r="748" customFormat="false" ht="15" hidden="false" customHeight="false" outlineLevel="0" collapsed="false">
      <c r="I748" s="2"/>
      <c r="J748" s="2"/>
    </row>
    <row r="749" customFormat="false" ht="15" hidden="false" customHeight="false" outlineLevel="0" collapsed="false">
      <c r="I749" s="2"/>
      <c r="J749" s="2"/>
    </row>
    <row r="750" customFormat="false" ht="15" hidden="false" customHeight="false" outlineLevel="0" collapsed="false">
      <c r="I750" s="2"/>
      <c r="J750" s="2"/>
    </row>
    <row r="751" customFormat="false" ht="15" hidden="false" customHeight="false" outlineLevel="0" collapsed="false">
      <c r="I751" s="2"/>
      <c r="J751" s="2"/>
    </row>
    <row r="752" customFormat="false" ht="15" hidden="false" customHeight="false" outlineLevel="0" collapsed="false">
      <c r="I752" s="2"/>
      <c r="J752" s="2"/>
    </row>
    <row r="753" customFormat="false" ht="15" hidden="false" customHeight="false" outlineLevel="0" collapsed="false">
      <c r="I753" s="2"/>
      <c r="J753" s="2"/>
    </row>
    <row r="754" customFormat="false" ht="15" hidden="false" customHeight="false" outlineLevel="0" collapsed="false">
      <c r="I754" s="2"/>
      <c r="J754" s="2"/>
    </row>
    <row r="755" customFormat="false" ht="15" hidden="false" customHeight="false" outlineLevel="0" collapsed="false">
      <c r="I755" s="2"/>
      <c r="J755" s="2"/>
    </row>
    <row r="756" customFormat="false" ht="15" hidden="false" customHeight="false" outlineLevel="0" collapsed="false">
      <c r="I756" s="2"/>
      <c r="J756" s="2"/>
    </row>
    <row r="757" customFormat="false" ht="15" hidden="false" customHeight="false" outlineLevel="0" collapsed="false">
      <c r="I757" s="2"/>
      <c r="J757" s="2"/>
    </row>
    <row r="758" customFormat="false" ht="15" hidden="false" customHeight="false" outlineLevel="0" collapsed="false">
      <c r="I758" s="2"/>
      <c r="J758" s="2"/>
    </row>
    <row r="759" customFormat="false" ht="15" hidden="false" customHeight="false" outlineLevel="0" collapsed="false">
      <c r="I759" s="2"/>
      <c r="J759" s="2"/>
    </row>
    <row r="760" customFormat="false" ht="15" hidden="false" customHeight="false" outlineLevel="0" collapsed="false">
      <c r="I760" s="2"/>
      <c r="J760" s="2"/>
    </row>
    <row r="761" customFormat="false" ht="15" hidden="false" customHeight="false" outlineLevel="0" collapsed="false">
      <c r="I761" s="2"/>
      <c r="J761" s="2"/>
    </row>
    <row r="762" customFormat="false" ht="15" hidden="false" customHeight="false" outlineLevel="0" collapsed="false">
      <c r="I762" s="2"/>
      <c r="J762" s="2"/>
    </row>
    <row r="763" customFormat="false" ht="15" hidden="false" customHeight="false" outlineLevel="0" collapsed="false">
      <c r="I763" s="2"/>
      <c r="J763" s="2"/>
    </row>
    <row r="764" customFormat="false" ht="15" hidden="false" customHeight="false" outlineLevel="0" collapsed="false">
      <c r="I764" s="2"/>
      <c r="J764" s="2"/>
    </row>
    <row r="765" customFormat="false" ht="15" hidden="false" customHeight="false" outlineLevel="0" collapsed="false">
      <c r="I765" s="2"/>
      <c r="J765" s="2"/>
    </row>
    <row r="766" customFormat="false" ht="15" hidden="false" customHeight="false" outlineLevel="0" collapsed="false">
      <c r="I766" s="2"/>
      <c r="J766" s="2"/>
    </row>
    <row r="767" customFormat="false" ht="15" hidden="false" customHeight="false" outlineLevel="0" collapsed="false">
      <c r="I767" s="2"/>
      <c r="J767" s="2"/>
    </row>
    <row r="768" customFormat="false" ht="15" hidden="false" customHeight="false" outlineLevel="0" collapsed="false">
      <c r="I768" s="2"/>
      <c r="J768" s="2"/>
    </row>
    <row r="769" customFormat="false" ht="15" hidden="false" customHeight="false" outlineLevel="0" collapsed="false">
      <c r="I769" s="2"/>
      <c r="J769" s="2"/>
    </row>
    <row r="770" customFormat="false" ht="15" hidden="false" customHeight="false" outlineLevel="0" collapsed="false">
      <c r="I770" s="2"/>
      <c r="J770" s="2"/>
    </row>
    <row r="771" customFormat="false" ht="15" hidden="false" customHeight="false" outlineLevel="0" collapsed="false">
      <c r="I771" s="2"/>
      <c r="J771" s="2"/>
    </row>
    <row r="772" customFormat="false" ht="15" hidden="false" customHeight="false" outlineLevel="0" collapsed="false">
      <c r="I772" s="2"/>
      <c r="J772" s="2"/>
    </row>
    <row r="773" customFormat="false" ht="15" hidden="false" customHeight="false" outlineLevel="0" collapsed="false">
      <c r="I773" s="2"/>
      <c r="J773" s="2"/>
    </row>
    <row r="774" customFormat="false" ht="15" hidden="false" customHeight="false" outlineLevel="0" collapsed="false">
      <c r="I774" s="2"/>
      <c r="J774" s="2"/>
    </row>
    <row r="775" customFormat="false" ht="15" hidden="false" customHeight="false" outlineLevel="0" collapsed="false">
      <c r="I775" s="2"/>
      <c r="J775" s="2"/>
    </row>
    <row r="776" customFormat="false" ht="15" hidden="false" customHeight="false" outlineLevel="0" collapsed="false">
      <c r="I776" s="2"/>
      <c r="J776" s="2"/>
    </row>
    <row r="777" customFormat="false" ht="15" hidden="false" customHeight="false" outlineLevel="0" collapsed="false">
      <c r="I777" s="2"/>
      <c r="J777" s="2"/>
    </row>
    <row r="778" customFormat="false" ht="15" hidden="false" customHeight="false" outlineLevel="0" collapsed="false">
      <c r="I778" s="2"/>
      <c r="J778" s="2"/>
    </row>
    <row r="779" customFormat="false" ht="15" hidden="false" customHeight="false" outlineLevel="0" collapsed="false">
      <c r="I779" s="2"/>
      <c r="J779" s="2"/>
    </row>
    <row r="780" customFormat="false" ht="15" hidden="false" customHeight="false" outlineLevel="0" collapsed="false">
      <c r="I780" s="2"/>
      <c r="J780" s="2"/>
    </row>
    <row r="781" customFormat="false" ht="15" hidden="false" customHeight="false" outlineLevel="0" collapsed="false">
      <c r="I781" s="2"/>
      <c r="J781" s="2"/>
    </row>
    <row r="782" customFormat="false" ht="15" hidden="false" customHeight="false" outlineLevel="0" collapsed="false">
      <c r="I782" s="2"/>
      <c r="J782" s="2"/>
    </row>
    <row r="783" customFormat="false" ht="15" hidden="false" customHeight="false" outlineLevel="0" collapsed="false">
      <c r="I783" s="2"/>
      <c r="J783" s="2"/>
    </row>
    <row r="784" customFormat="false" ht="15" hidden="false" customHeight="false" outlineLevel="0" collapsed="false">
      <c r="I784" s="2"/>
      <c r="J784" s="2"/>
    </row>
    <row r="785" customFormat="false" ht="15" hidden="false" customHeight="false" outlineLevel="0" collapsed="false">
      <c r="I785" s="2"/>
      <c r="J785" s="2"/>
    </row>
    <row r="786" customFormat="false" ht="15" hidden="false" customHeight="false" outlineLevel="0" collapsed="false">
      <c r="I786" s="2"/>
      <c r="J786" s="2"/>
    </row>
    <row r="787" customFormat="false" ht="15" hidden="false" customHeight="false" outlineLevel="0" collapsed="false">
      <c r="I787" s="2"/>
      <c r="J787" s="2"/>
    </row>
    <row r="788" customFormat="false" ht="15" hidden="false" customHeight="false" outlineLevel="0" collapsed="false">
      <c r="I788" s="2"/>
      <c r="J788" s="2"/>
    </row>
    <row r="789" customFormat="false" ht="15" hidden="false" customHeight="false" outlineLevel="0" collapsed="false">
      <c r="I789" s="2"/>
      <c r="J789" s="2"/>
    </row>
    <row r="790" customFormat="false" ht="15" hidden="false" customHeight="false" outlineLevel="0" collapsed="false">
      <c r="I790" s="2"/>
      <c r="J790" s="2"/>
    </row>
    <row r="791" customFormat="false" ht="15" hidden="false" customHeight="false" outlineLevel="0" collapsed="false">
      <c r="I791" s="2"/>
      <c r="J791" s="2"/>
    </row>
    <row r="792" customFormat="false" ht="15" hidden="false" customHeight="false" outlineLevel="0" collapsed="false">
      <c r="I792" s="2"/>
      <c r="J792" s="2"/>
    </row>
    <row r="793" customFormat="false" ht="15" hidden="false" customHeight="false" outlineLevel="0" collapsed="false">
      <c r="I793" s="2"/>
      <c r="J793" s="2"/>
    </row>
    <row r="794" customFormat="false" ht="15" hidden="false" customHeight="false" outlineLevel="0" collapsed="false">
      <c r="I794" s="2"/>
      <c r="J794" s="2"/>
    </row>
    <row r="795" customFormat="false" ht="15" hidden="false" customHeight="false" outlineLevel="0" collapsed="false">
      <c r="I795" s="2"/>
      <c r="J795" s="2"/>
    </row>
    <row r="796" customFormat="false" ht="15" hidden="false" customHeight="false" outlineLevel="0" collapsed="false">
      <c r="I796" s="2"/>
      <c r="J796" s="2"/>
    </row>
    <row r="797" customFormat="false" ht="15" hidden="false" customHeight="false" outlineLevel="0" collapsed="false">
      <c r="I797" s="2"/>
      <c r="J797" s="2"/>
    </row>
    <row r="798" customFormat="false" ht="15" hidden="false" customHeight="false" outlineLevel="0" collapsed="false">
      <c r="I798" s="2"/>
      <c r="J798" s="2"/>
    </row>
    <row r="799" customFormat="false" ht="15" hidden="false" customHeight="false" outlineLevel="0" collapsed="false">
      <c r="I799" s="2"/>
      <c r="J799" s="2"/>
    </row>
    <row r="800" customFormat="false" ht="15" hidden="false" customHeight="false" outlineLevel="0" collapsed="false">
      <c r="I800" s="2"/>
      <c r="J800" s="2"/>
    </row>
    <row r="801" customFormat="false" ht="15" hidden="false" customHeight="false" outlineLevel="0" collapsed="false">
      <c r="I801" s="2"/>
      <c r="J801" s="2"/>
    </row>
    <row r="802" customFormat="false" ht="15" hidden="false" customHeight="false" outlineLevel="0" collapsed="false">
      <c r="I802" s="2"/>
      <c r="J802" s="2"/>
    </row>
    <row r="803" customFormat="false" ht="15" hidden="false" customHeight="false" outlineLevel="0" collapsed="false">
      <c r="I803" s="2"/>
      <c r="J803" s="2"/>
    </row>
    <row r="804" customFormat="false" ht="15" hidden="false" customHeight="false" outlineLevel="0" collapsed="false">
      <c r="I804" s="2"/>
      <c r="J804" s="2"/>
    </row>
    <row r="805" customFormat="false" ht="15" hidden="false" customHeight="false" outlineLevel="0" collapsed="false">
      <c r="I805" s="2"/>
      <c r="J805" s="2"/>
    </row>
    <row r="806" customFormat="false" ht="15" hidden="false" customHeight="false" outlineLevel="0" collapsed="false">
      <c r="I806" s="2"/>
      <c r="J806" s="2"/>
    </row>
    <row r="807" customFormat="false" ht="15" hidden="false" customHeight="false" outlineLevel="0" collapsed="false">
      <c r="I807" s="2"/>
      <c r="J807" s="2"/>
    </row>
    <row r="808" customFormat="false" ht="15" hidden="false" customHeight="false" outlineLevel="0" collapsed="false">
      <c r="I808" s="2"/>
      <c r="J808" s="2"/>
    </row>
    <row r="809" customFormat="false" ht="15" hidden="false" customHeight="false" outlineLevel="0" collapsed="false">
      <c r="I809" s="2"/>
      <c r="J809" s="2"/>
    </row>
    <row r="810" customFormat="false" ht="15" hidden="false" customHeight="false" outlineLevel="0" collapsed="false">
      <c r="I810" s="2"/>
      <c r="J810" s="2"/>
    </row>
    <row r="811" customFormat="false" ht="15" hidden="false" customHeight="false" outlineLevel="0" collapsed="false">
      <c r="I811" s="2"/>
      <c r="J811" s="2"/>
    </row>
    <row r="812" customFormat="false" ht="15" hidden="false" customHeight="false" outlineLevel="0" collapsed="false">
      <c r="I812" s="2"/>
      <c r="J812" s="2"/>
    </row>
    <row r="813" customFormat="false" ht="15" hidden="false" customHeight="false" outlineLevel="0" collapsed="false">
      <c r="I813" s="2"/>
      <c r="J813" s="2"/>
    </row>
    <row r="814" customFormat="false" ht="15" hidden="false" customHeight="false" outlineLevel="0" collapsed="false">
      <c r="I814" s="2"/>
      <c r="J814" s="2"/>
    </row>
    <row r="815" customFormat="false" ht="15" hidden="false" customHeight="false" outlineLevel="0" collapsed="false">
      <c r="I815" s="2"/>
      <c r="J815" s="2"/>
    </row>
    <row r="816" customFormat="false" ht="15" hidden="false" customHeight="false" outlineLevel="0" collapsed="false">
      <c r="I816" s="2"/>
      <c r="J816" s="2"/>
    </row>
    <row r="817" customFormat="false" ht="15" hidden="false" customHeight="false" outlineLevel="0" collapsed="false">
      <c r="I817" s="2"/>
      <c r="J817" s="2"/>
    </row>
    <row r="818" customFormat="false" ht="15" hidden="false" customHeight="false" outlineLevel="0" collapsed="false">
      <c r="I818" s="2"/>
      <c r="J818" s="2"/>
    </row>
    <row r="819" customFormat="false" ht="15" hidden="false" customHeight="false" outlineLevel="0" collapsed="false">
      <c r="I819" s="2"/>
      <c r="J819" s="2"/>
    </row>
    <row r="820" customFormat="false" ht="15" hidden="false" customHeight="false" outlineLevel="0" collapsed="false">
      <c r="I820" s="2"/>
      <c r="J820" s="2"/>
    </row>
    <row r="821" customFormat="false" ht="15" hidden="false" customHeight="false" outlineLevel="0" collapsed="false">
      <c r="I821" s="2"/>
      <c r="J821" s="2"/>
    </row>
    <row r="822" customFormat="false" ht="15" hidden="false" customHeight="false" outlineLevel="0" collapsed="false">
      <c r="I822" s="2"/>
      <c r="J822" s="2"/>
    </row>
    <row r="823" customFormat="false" ht="15" hidden="false" customHeight="false" outlineLevel="0" collapsed="false">
      <c r="I823" s="2"/>
      <c r="J823" s="2"/>
    </row>
    <row r="824" customFormat="false" ht="15" hidden="false" customHeight="false" outlineLevel="0" collapsed="false">
      <c r="I824" s="2"/>
      <c r="J824" s="2"/>
    </row>
    <row r="825" customFormat="false" ht="15" hidden="false" customHeight="false" outlineLevel="0" collapsed="false">
      <c r="I825" s="2"/>
      <c r="J825" s="2"/>
    </row>
    <row r="826" customFormat="false" ht="15" hidden="false" customHeight="false" outlineLevel="0" collapsed="false">
      <c r="I826" s="2"/>
      <c r="J826" s="2"/>
    </row>
    <row r="827" customFormat="false" ht="15" hidden="false" customHeight="false" outlineLevel="0" collapsed="false">
      <c r="I827" s="2"/>
      <c r="J827" s="2"/>
    </row>
    <row r="828" customFormat="false" ht="15" hidden="false" customHeight="false" outlineLevel="0" collapsed="false">
      <c r="I828" s="2"/>
      <c r="J828" s="2"/>
    </row>
    <row r="829" customFormat="false" ht="15" hidden="false" customHeight="false" outlineLevel="0" collapsed="false">
      <c r="I829" s="2"/>
      <c r="J829" s="2"/>
    </row>
    <row r="830" customFormat="false" ht="15" hidden="false" customHeight="false" outlineLevel="0" collapsed="false">
      <c r="I830" s="2"/>
      <c r="J830" s="2"/>
    </row>
    <row r="831" customFormat="false" ht="15" hidden="false" customHeight="false" outlineLevel="0" collapsed="false">
      <c r="I831" s="2"/>
      <c r="J831" s="2"/>
    </row>
    <row r="832" customFormat="false" ht="15" hidden="false" customHeight="false" outlineLevel="0" collapsed="false">
      <c r="I832" s="2"/>
      <c r="J832" s="2"/>
    </row>
    <row r="833" customFormat="false" ht="15" hidden="false" customHeight="false" outlineLevel="0" collapsed="false">
      <c r="I833" s="2"/>
      <c r="J833" s="2"/>
    </row>
    <row r="834" customFormat="false" ht="15" hidden="false" customHeight="false" outlineLevel="0" collapsed="false">
      <c r="I834" s="2"/>
      <c r="J834" s="2"/>
    </row>
    <row r="835" customFormat="false" ht="15" hidden="false" customHeight="false" outlineLevel="0" collapsed="false">
      <c r="I835" s="2"/>
      <c r="J835" s="2"/>
    </row>
    <row r="836" customFormat="false" ht="15" hidden="false" customHeight="false" outlineLevel="0" collapsed="false">
      <c r="I836" s="2"/>
      <c r="J836" s="2"/>
    </row>
    <row r="837" customFormat="false" ht="15" hidden="false" customHeight="false" outlineLevel="0" collapsed="false">
      <c r="I837" s="2"/>
      <c r="J837" s="2"/>
    </row>
    <row r="838" customFormat="false" ht="15" hidden="false" customHeight="false" outlineLevel="0" collapsed="false">
      <c r="I838" s="2"/>
      <c r="J838" s="2"/>
    </row>
    <row r="839" customFormat="false" ht="15" hidden="false" customHeight="false" outlineLevel="0" collapsed="false">
      <c r="I839" s="2"/>
      <c r="J839" s="2"/>
    </row>
    <row r="840" customFormat="false" ht="15" hidden="false" customHeight="false" outlineLevel="0" collapsed="false">
      <c r="I840" s="2"/>
      <c r="J840" s="2"/>
    </row>
    <row r="841" customFormat="false" ht="15" hidden="false" customHeight="false" outlineLevel="0" collapsed="false">
      <c r="I841" s="2"/>
      <c r="J841" s="2"/>
    </row>
    <row r="842" customFormat="false" ht="15" hidden="false" customHeight="false" outlineLevel="0" collapsed="false">
      <c r="I842" s="2"/>
      <c r="J842" s="2"/>
    </row>
    <row r="843" customFormat="false" ht="15" hidden="false" customHeight="false" outlineLevel="0" collapsed="false">
      <c r="I843" s="2"/>
      <c r="J843" s="2"/>
    </row>
    <row r="844" customFormat="false" ht="15" hidden="false" customHeight="false" outlineLevel="0" collapsed="false">
      <c r="I844" s="2"/>
      <c r="J844" s="2"/>
    </row>
    <row r="845" customFormat="false" ht="15" hidden="false" customHeight="false" outlineLevel="0" collapsed="false">
      <c r="I845" s="2"/>
      <c r="J845" s="2"/>
    </row>
    <row r="846" customFormat="false" ht="15" hidden="false" customHeight="false" outlineLevel="0" collapsed="false">
      <c r="I846" s="2"/>
      <c r="J846" s="2"/>
    </row>
    <row r="847" customFormat="false" ht="15" hidden="false" customHeight="false" outlineLevel="0" collapsed="false">
      <c r="I847" s="2"/>
      <c r="J847" s="2"/>
    </row>
    <row r="848" customFormat="false" ht="15" hidden="false" customHeight="false" outlineLevel="0" collapsed="false">
      <c r="I848" s="2"/>
      <c r="J848" s="2"/>
    </row>
    <row r="849" customFormat="false" ht="15" hidden="false" customHeight="false" outlineLevel="0" collapsed="false">
      <c r="I849" s="2"/>
      <c r="J849" s="2"/>
    </row>
    <row r="850" customFormat="false" ht="15" hidden="false" customHeight="false" outlineLevel="0" collapsed="false">
      <c r="I850" s="2"/>
      <c r="J850" s="2"/>
    </row>
    <row r="851" customFormat="false" ht="15" hidden="false" customHeight="false" outlineLevel="0" collapsed="false">
      <c r="I851" s="2"/>
      <c r="J851" s="2"/>
    </row>
    <row r="852" customFormat="false" ht="15" hidden="false" customHeight="false" outlineLevel="0" collapsed="false">
      <c r="I852" s="2"/>
      <c r="J852" s="2"/>
    </row>
    <row r="853" customFormat="false" ht="15" hidden="false" customHeight="false" outlineLevel="0" collapsed="false">
      <c r="I853" s="2"/>
      <c r="J853" s="2"/>
    </row>
    <row r="854" customFormat="false" ht="15" hidden="false" customHeight="false" outlineLevel="0" collapsed="false">
      <c r="I854" s="2"/>
      <c r="J854" s="2"/>
    </row>
    <row r="855" customFormat="false" ht="15" hidden="false" customHeight="false" outlineLevel="0" collapsed="false">
      <c r="I855" s="2"/>
      <c r="J855" s="2"/>
    </row>
    <row r="856" customFormat="false" ht="15" hidden="false" customHeight="false" outlineLevel="0" collapsed="false">
      <c r="I856" s="2"/>
      <c r="J856" s="2"/>
    </row>
    <row r="857" customFormat="false" ht="15" hidden="false" customHeight="false" outlineLevel="0" collapsed="false">
      <c r="I857" s="2"/>
      <c r="J857" s="2"/>
    </row>
    <row r="858" customFormat="false" ht="15" hidden="false" customHeight="false" outlineLevel="0" collapsed="false">
      <c r="I858" s="2"/>
      <c r="J858" s="2"/>
    </row>
    <row r="859" customFormat="false" ht="15" hidden="false" customHeight="false" outlineLevel="0" collapsed="false">
      <c r="I859" s="2"/>
      <c r="J859" s="2"/>
    </row>
    <row r="860" customFormat="false" ht="15" hidden="false" customHeight="false" outlineLevel="0" collapsed="false">
      <c r="I860" s="2"/>
      <c r="J860" s="2"/>
    </row>
    <row r="861" customFormat="false" ht="15" hidden="false" customHeight="false" outlineLevel="0" collapsed="false">
      <c r="I861" s="2"/>
      <c r="J861" s="2"/>
    </row>
    <row r="862" customFormat="false" ht="15" hidden="false" customHeight="false" outlineLevel="0" collapsed="false">
      <c r="I862" s="2"/>
      <c r="J862" s="2"/>
    </row>
    <row r="863" customFormat="false" ht="15" hidden="false" customHeight="false" outlineLevel="0" collapsed="false">
      <c r="I863" s="2"/>
      <c r="J863" s="2"/>
    </row>
    <row r="864" customFormat="false" ht="15" hidden="false" customHeight="false" outlineLevel="0" collapsed="false">
      <c r="I864" s="2"/>
      <c r="J864" s="2"/>
    </row>
    <row r="865" customFormat="false" ht="15" hidden="false" customHeight="false" outlineLevel="0" collapsed="false">
      <c r="I865" s="2"/>
      <c r="J865" s="2"/>
    </row>
    <row r="866" customFormat="false" ht="15" hidden="false" customHeight="false" outlineLevel="0" collapsed="false">
      <c r="I866" s="2"/>
      <c r="J866" s="2"/>
    </row>
    <row r="867" customFormat="false" ht="15" hidden="false" customHeight="false" outlineLevel="0" collapsed="false">
      <c r="I867" s="2"/>
      <c r="J867" s="2"/>
    </row>
    <row r="868" customFormat="false" ht="15" hidden="false" customHeight="false" outlineLevel="0" collapsed="false">
      <c r="I868" s="2"/>
      <c r="J868" s="2"/>
    </row>
    <row r="869" customFormat="false" ht="15" hidden="false" customHeight="false" outlineLevel="0" collapsed="false">
      <c r="I869" s="2"/>
      <c r="J869" s="2"/>
    </row>
    <row r="870" customFormat="false" ht="15" hidden="false" customHeight="false" outlineLevel="0" collapsed="false">
      <c r="I870" s="2"/>
      <c r="J870" s="2"/>
    </row>
    <row r="871" customFormat="false" ht="15" hidden="false" customHeight="false" outlineLevel="0" collapsed="false">
      <c r="I871" s="2"/>
      <c r="J871" s="2"/>
    </row>
    <row r="872" customFormat="false" ht="15" hidden="false" customHeight="false" outlineLevel="0" collapsed="false">
      <c r="I872" s="2"/>
      <c r="J872" s="2"/>
    </row>
    <row r="873" customFormat="false" ht="15" hidden="false" customHeight="false" outlineLevel="0" collapsed="false">
      <c r="I873" s="2"/>
      <c r="J873" s="2"/>
    </row>
    <row r="874" customFormat="false" ht="15" hidden="false" customHeight="false" outlineLevel="0" collapsed="false">
      <c r="I874" s="2"/>
      <c r="J874" s="2"/>
    </row>
    <row r="875" customFormat="false" ht="15" hidden="false" customHeight="false" outlineLevel="0" collapsed="false">
      <c r="I875" s="2"/>
      <c r="J875" s="2"/>
    </row>
    <row r="876" customFormat="false" ht="15" hidden="false" customHeight="false" outlineLevel="0" collapsed="false">
      <c r="I876" s="2"/>
      <c r="J876" s="2"/>
    </row>
    <row r="877" customFormat="false" ht="15" hidden="false" customHeight="false" outlineLevel="0" collapsed="false">
      <c r="I877" s="2"/>
      <c r="J877" s="2"/>
    </row>
    <row r="878" customFormat="false" ht="15" hidden="false" customHeight="false" outlineLevel="0" collapsed="false">
      <c r="I878" s="2"/>
      <c r="J878" s="2"/>
    </row>
    <row r="879" customFormat="false" ht="15" hidden="false" customHeight="false" outlineLevel="0" collapsed="false">
      <c r="I879" s="2"/>
      <c r="J879" s="2"/>
    </row>
    <row r="880" customFormat="false" ht="15" hidden="false" customHeight="false" outlineLevel="0" collapsed="false">
      <c r="I880" s="2"/>
      <c r="J880" s="2"/>
    </row>
    <row r="881" customFormat="false" ht="15" hidden="false" customHeight="false" outlineLevel="0" collapsed="false">
      <c r="I881" s="2"/>
      <c r="J881" s="2"/>
    </row>
    <row r="882" customFormat="false" ht="15" hidden="false" customHeight="false" outlineLevel="0" collapsed="false">
      <c r="I882" s="2"/>
      <c r="J882" s="2"/>
    </row>
    <row r="883" customFormat="false" ht="15" hidden="false" customHeight="false" outlineLevel="0" collapsed="false">
      <c r="I883" s="2"/>
      <c r="J883" s="2"/>
    </row>
    <row r="884" customFormat="false" ht="15" hidden="false" customHeight="false" outlineLevel="0" collapsed="false">
      <c r="I884" s="2"/>
      <c r="J884" s="2"/>
    </row>
    <row r="885" customFormat="false" ht="15" hidden="false" customHeight="false" outlineLevel="0" collapsed="false">
      <c r="I885" s="2"/>
      <c r="J885" s="2"/>
    </row>
    <row r="886" customFormat="false" ht="15" hidden="false" customHeight="false" outlineLevel="0" collapsed="false">
      <c r="I886" s="2"/>
      <c r="J886" s="2"/>
    </row>
    <row r="887" customFormat="false" ht="15" hidden="false" customHeight="false" outlineLevel="0" collapsed="false">
      <c r="I887" s="2"/>
      <c r="J887" s="2"/>
    </row>
    <row r="888" customFormat="false" ht="15" hidden="false" customHeight="false" outlineLevel="0" collapsed="false">
      <c r="I888" s="2"/>
      <c r="J888" s="2"/>
    </row>
    <row r="889" customFormat="false" ht="15" hidden="false" customHeight="false" outlineLevel="0" collapsed="false">
      <c r="I889" s="2"/>
      <c r="J889" s="2"/>
    </row>
    <row r="890" customFormat="false" ht="15" hidden="false" customHeight="false" outlineLevel="0" collapsed="false">
      <c r="I890" s="2"/>
      <c r="J890" s="2"/>
    </row>
    <row r="891" customFormat="false" ht="15" hidden="false" customHeight="false" outlineLevel="0" collapsed="false">
      <c r="I891" s="2"/>
      <c r="J891" s="2"/>
    </row>
    <row r="892" customFormat="false" ht="15" hidden="false" customHeight="false" outlineLevel="0" collapsed="false">
      <c r="I892" s="2"/>
      <c r="J892" s="2"/>
    </row>
    <row r="893" customFormat="false" ht="15" hidden="false" customHeight="false" outlineLevel="0" collapsed="false">
      <c r="I893" s="2"/>
      <c r="J893" s="2"/>
    </row>
    <row r="894" customFormat="false" ht="15" hidden="false" customHeight="false" outlineLevel="0" collapsed="false">
      <c r="I894" s="2"/>
      <c r="J894" s="2"/>
    </row>
    <row r="895" customFormat="false" ht="15" hidden="false" customHeight="false" outlineLevel="0" collapsed="false">
      <c r="I895" s="2"/>
      <c r="J895" s="2"/>
    </row>
    <row r="896" customFormat="false" ht="15" hidden="false" customHeight="false" outlineLevel="0" collapsed="false">
      <c r="I896" s="2"/>
      <c r="J896" s="2"/>
    </row>
    <row r="897" customFormat="false" ht="15" hidden="false" customHeight="false" outlineLevel="0" collapsed="false">
      <c r="I897" s="2"/>
      <c r="J897" s="2"/>
    </row>
    <row r="898" customFormat="false" ht="15" hidden="false" customHeight="false" outlineLevel="0" collapsed="false">
      <c r="I898" s="2"/>
      <c r="J898" s="2"/>
    </row>
    <row r="899" customFormat="false" ht="15" hidden="false" customHeight="false" outlineLevel="0" collapsed="false">
      <c r="I899" s="2"/>
      <c r="J899" s="2"/>
    </row>
    <row r="900" customFormat="false" ht="15" hidden="false" customHeight="false" outlineLevel="0" collapsed="false">
      <c r="I900" s="2"/>
      <c r="J900" s="2"/>
    </row>
    <row r="901" customFormat="false" ht="15" hidden="false" customHeight="false" outlineLevel="0" collapsed="false">
      <c r="I901" s="2"/>
      <c r="J901" s="2"/>
    </row>
    <row r="902" customFormat="false" ht="15" hidden="false" customHeight="false" outlineLevel="0" collapsed="false">
      <c r="I902" s="2"/>
      <c r="J902" s="2"/>
    </row>
    <row r="903" customFormat="false" ht="15" hidden="false" customHeight="false" outlineLevel="0" collapsed="false">
      <c r="I903" s="2"/>
      <c r="J903" s="2"/>
    </row>
    <row r="904" customFormat="false" ht="15" hidden="false" customHeight="false" outlineLevel="0" collapsed="false">
      <c r="I904" s="2"/>
      <c r="J904" s="2"/>
    </row>
    <row r="905" customFormat="false" ht="15" hidden="false" customHeight="false" outlineLevel="0" collapsed="false">
      <c r="I905" s="2"/>
      <c r="J905" s="2"/>
    </row>
    <row r="906" customFormat="false" ht="15" hidden="false" customHeight="false" outlineLevel="0" collapsed="false">
      <c r="I906" s="2"/>
      <c r="J906" s="2"/>
    </row>
    <row r="907" customFormat="false" ht="15" hidden="false" customHeight="false" outlineLevel="0" collapsed="false">
      <c r="I907" s="2"/>
      <c r="J907" s="2"/>
    </row>
    <row r="908" customFormat="false" ht="15" hidden="false" customHeight="false" outlineLevel="0" collapsed="false">
      <c r="I908" s="2"/>
      <c r="J908" s="2"/>
    </row>
    <row r="909" customFormat="false" ht="15" hidden="false" customHeight="false" outlineLevel="0" collapsed="false">
      <c r="I909" s="2"/>
      <c r="J909" s="2"/>
    </row>
    <row r="910" customFormat="false" ht="15" hidden="false" customHeight="false" outlineLevel="0" collapsed="false">
      <c r="I910" s="2"/>
      <c r="J910" s="2"/>
    </row>
    <row r="911" customFormat="false" ht="15" hidden="false" customHeight="false" outlineLevel="0" collapsed="false">
      <c r="I911" s="2"/>
      <c r="J911" s="2"/>
    </row>
    <row r="912" customFormat="false" ht="15" hidden="false" customHeight="false" outlineLevel="0" collapsed="false">
      <c r="I912" s="2"/>
      <c r="J912" s="2"/>
    </row>
    <row r="913" customFormat="false" ht="15" hidden="false" customHeight="false" outlineLevel="0" collapsed="false">
      <c r="I913" s="2"/>
      <c r="J913" s="2"/>
    </row>
    <row r="914" customFormat="false" ht="15" hidden="false" customHeight="false" outlineLevel="0" collapsed="false">
      <c r="I914" s="2"/>
      <c r="J914" s="2"/>
    </row>
    <row r="915" customFormat="false" ht="15" hidden="false" customHeight="false" outlineLevel="0" collapsed="false">
      <c r="I915" s="2"/>
      <c r="J915" s="2"/>
    </row>
    <row r="916" customFormat="false" ht="15" hidden="false" customHeight="false" outlineLevel="0" collapsed="false">
      <c r="I916" s="2"/>
      <c r="J916" s="2"/>
    </row>
    <row r="917" customFormat="false" ht="15" hidden="false" customHeight="false" outlineLevel="0" collapsed="false">
      <c r="I917" s="2"/>
      <c r="J917" s="2"/>
    </row>
    <row r="918" customFormat="false" ht="15" hidden="false" customHeight="false" outlineLevel="0" collapsed="false">
      <c r="I918" s="2"/>
      <c r="J918" s="2"/>
    </row>
    <row r="919" customFormat="false" ht="15" hidden="false" customHeight="false" outlineLevel="0" collapsed="false">
      <c r="I919" s="2"/>
      <c r="J919" s="2"/>
    </row>
    <row r="920" customFormat="false" ht="15" hidden="false" customHeight="false" outlineLevel="0" collapsed="false">
      <c r="I920" s="2"/>
      <c r="J920" s="2"/>
    </row>
    <row r="921" customFormat="false" ht="15" hidden="false" customHeight="false" outlineLevel="0" collapsed="false">
      <c r="I921" s="2"/>
      <c r="J921" s="2"/>
    </row>
    <row r="922" customFormat="false" ht="15" hidden="false" customHeight="false" outlineLevel="0" collapsed="false">
      <c r="I922" s="2"/>
      <c r="J922" s="2"/>
    </row>
    <row r="923" customFormat="false" ht="15" hidden="false" customHeight="false" outlineLevel="0" collapsed="false">
      <c r="I923" s="2"/>
      <c r="J923" s="2"/>
    </row>
    <row r="924" customFormat="false" ht="15" hidden="false" customHeight="false" outlineLevel="0" collapsed="false">
      <c r="I924" s="2"/>
      <c r="J924" s="2"/>
    </row>
    <row r="925" customFormat="false" ht="15" hidden="false" customHeight="false" outlineLevel="0" collapsed="false">
      <c r="I925" s="2"/>
      <c r="J925" s="2"/>
    </row>
    <row r="926" customFormat="false" ht="15" hidden="false" customHeight="false" outlineLevel="0" collapsed="false">
      <c r="I926" s="2"/>
      <c r="J926" s="2"/>
    </row>
    <row r="927" customFormat="false" ht="15" hidden="false" customHeight="false" outlineLevel="0" collapsed="false">
      <c r="I927" s="2"/>
      <c r="J927" s="2"/>
    </row>
  </sheetData>
  <dataValidations count="2">
    <dataValidation allowBlank="true" errorStyle="stop" operator="between" showDropDown="false" showErrorMessage="false" showInputMessage="false" sqref="I2:I927" type="list">
      <formula1>"Prospecto,Contactado,Reunión,Propuesta,Cliente,No interesado"</formula1>
      <formula2>0</formula2>
    </dataValidation>
    <dataValidation allowBlank="true" errorStyle="stop" operator="between" showDropDown="false" showErrorMessage="false" showInputMessage="false" sqref="J2:J927" type="list">
      <formula1>"Alta,Media,Baja,Por calificar"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5" min="3" style="0" width="40"/>
    <col collapsed="false" customWidth="true" hidden="false" outlineLevel="0" max="7" min="6" style="0" width="14"/>
    <col collapsed="false" customWidth="true" hidden="false" outlineLevel="0" max="8" min="8" style="0" width="12"/>
    <col collapsed="false" customWidth="true" hidden="false" outlineLevel="0" max="9" min="9" style="0" width="40"/>
    <col collapsed="false" customWidth="true" hidden="false" outlineLevel="0" max="10" min="10" style="0" width="12"/>
  </cols>
  <sheetData>
    <row r="1" customFormat="false" ht="28.35" hidden="false" customHeight="false" outlineLevel="0" collapsed="false">
      <c r="A1" s="1" t="s">
        <v>2027</v>
      </c>
      <c r="B1" s="1" t="s">
        <v>2028</v>
      </c>
      <c r="C1" s="1" t="s">
        <v>3</v>
      </c>
      <c r="D1" s="1" t="s">
        <v>2029</v>
      </c>
      <c r="E1" s="1" t="s">
        <v>2030</v>
      </c>
      <c r="F1" s="1" t="s">
        <v>2031</v>
      </c>
      <c r="G1" s="1" t="s">
        <v>2032</v>
      </c>
      <c r="H1" s="1" t="s">
        <v>2033</v>
      </c>
      <c r="I1" s="1" t="s">
        <v>10</v>
      </c>
      <c r="J1" s="1" t="s">
        <v>2034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22"/>
    <col collapsed="false" customWidth="true" hidden="false" outlineLevel="0" max="5" min="3" style="0" width="12"/>
  </cols>
  <sheetData>
    <row r="1" customFormat="false" ht="15" hidden="false" customHeight="false" outlineLevel="0" collapsed="false">
      <c r="A1" s="1" t="s">
        <v>2035</v>
      </c>
      <c r="B1" s="1" t="s">
        <v>4</v>
      </c>
      <c r="C1" s="1" t="s">
        <v>2036</v>
      </c>
      <c r="D1" s="1"/>
      <c r="E1" s="1"/>
    </row>
    <row r="2" customFormat="false" ht="15" hidden="false" customHeight="false" outlineLevel="0" collapsed="false">
      <c r="A2" s="0" t="s">
        <v>23</v>
      </c>
      <c r="B2" s="0" t="s">
        <v>21</v>
      </c>
      <c r="C2" s="0" t="n">
        <f aca="false">COUNTIFS(Contactos!$H:$H,$A2,Contactos!$E:$E,$B2)</f>
        <v>386</v>
      </c>
    </row>
    <row r="3" customFormat="false" ht="15" hidden="false" customHeight="false" outlineLevel="0" collapsed="false">
      <c r="A3" s="0" t="s">
        <v>23</v>
      </c>
      <c r="B3" s="0" t="s">
        <v>165</v>
      </c>
      <c r="C3" s="0" t="n">
        <f aca="false">COUNTIFS(Contactos!$H:$H,$A3,Contactos!$E:$E,$B3)</f>
        <v>11</v>
      </c>
    </row>
    <row r="4" customFormat="false" ht="15" hidden="false" customHeight="false" outlineLevel="0" collapsed="false">
      <c r="A4" s="0" t="s">
        <v>23</v>
      </c>
      <c r="B4" s="0" t="s">
        <v>780</v>
      </c>
      <c r="C4" s="0" t="n">
        <f aca="false">COUNTIFS(Contactos!$H:$H,$A4,Contactos!$E:$E,$B4)</f>
        <v>9</v>
      </c>
    </row>
    <row r="5" customFormat="false" ht="15" hidden="false" customHeight="false" outlineLevel="0" collapsed="false">
      <c r="A5" s="0" t="s">
        <v>23</v>
      </c>
      <c r="B5" s="0" t="s">
        <v>90</v>
      </c>
      <c r="C5" s="0" t="n">
        <f aca="false">COUNTIFS(Contactos!$H:$H,$A5,Contactos!$E:$E,$B5)</f>
        <v>5</v>
      </c>
    </row>
    <row r="6" customFormat="false" ht="15" hidden="false" customHeight="false" outlineLevel="0" collapsed="false">
      <c r="A6" s="0" t="s">
        <v>23</v>
      </c>
      <c r="B6" s="0" t="s">
        <v>484</v>
      </c>
      <c r="C6" s="0" t="n">
        <f aca="false">COUNTIFS(Contactos!$H:$H,$A6,Contactos!$E:$E,$B6)</f>
        <v>5</v>
      </c>
    </row>
    <row r="7" customFormat="false" ht="15" hidden="false" customHeight="false" outlineLevel="0" collapsed="false">
      <c r="A7" s="0" t="s">
        <v>23</v>
      </c>
      <c r="B7" s="0" t="s">
        <v>684</v>
      </c>
      <c r="C7" s="0" t="n">
        <f aca="false">COUNTIFS(Contactos!$H:$H,$A7,Contactos!$E:$E,$B7)</f>
        <v>5</v>
      </c>
    </row>
    <row r="8" customFormat="false" ht="15" hidden="false" customHeight="false" outlineLevel="0" collapsed="false">
      <c r="A8" s="0" t="s">
        <v>23</v>
      </c>
      <c r="B8" s="0" t="s">
        <v>671</v>
      </c>
      <c r="C8" s="0" t="n">
        <f aca="false">COUNTIFS(Contactos!$H:$H,$A8,Contactos!$E:$E,$B8)</f>
        <v>3</v>
      </c>
    </row>
    <row r="9" customFormat="false" ht="15" hidden="false" customHeight="false" outlineLevel="0" collapsed="false">
      <c r="A9" s="0" t="s">
        <v>23</v>
      </c>
      <c r="B9" s="0" t="s">
        <v>993</v>
      </c>
      <c r="C9" s="0" t="n">
        <f aca="false">COUNTIFS(Contactos!$H:$H,$A9,Contactos!$E:$E,$B9)</f>
        <v>1</v>
      </c>
    </row>
    <row r="10" customFormat="false" ht="15" hidden="false" customHeight="false" outlineLevel="0" collapsed="false">
      <c r="A10" s="0" t="s">
        <v>23</v>
      </c>
      <c r="B10" s="0" t="s">
        <v>1573</v>
      </c>
      <c r="C10" s="0" t="n">
        <f aca="false">COUNTIFS(Contactos!$H:$H,$A10,Contactos!$E:$E,$B10)</f>
        <v>1</v>
      </c>
    </row>
    <row r="11" customFormat="false" ht="15" hidden="false" customHeight="false" outlineLevel="0" collapsed="false">
      <c r="A11" s="0" t="s">
        <v>2037</v>
      </c>
      <c r="C11" s="0" t="n">
        <f aca="false">SUM(C2:C10)</f>
        <v>426</v>
      </c>
    </row>
    <row r="13" customFormat="false" ht="15" hidden="false" customHeight="false" outlineLevel="0" collapsed="false">
      <c r="A13" s="3" t="s">
        <v>12</v>
      </c>
      <c r="B13" s="3" t="s">
        <v>25</v>
      </c>
      <c r="C13" s="3" t="s">
        <v>592</v>
      </c>
      <c r="D13" s="3" t="s">
        <v>1051</v>
      </c>
      <c r="E13" s="3" t="s">
        <v>2037</v>
      </c>
    </row>
    <row r="14" customFormat="false" ht="15" hidden="false" customHeight="false" outlineLevel="0" collapsed="false">
      <c r="A14" s="0" t="s">
        <v>28</v>
      </c>
      <c r="B14" s="0" t="n">
        <f aca="false">COUNTIFS(Contactos!$M:$M,$A14,Contactos!$J:$J,B$13)</f>
        <v>16</v>
      </c>
      <c r="C14" s="0" t="n">
        <f aca="false">COUNTIFS(Contactos!$M:$M,$A14,Contactos!$J:$J,C$13)</f>
        <v>0</v>
      </c>
      <c r="D14" s="0" t="n">
        <f aca="false">COUNTIFS(Contactos!$M:$M,$A14,Contactos!$J:$J,D$13)</f>
        <v>0</v>
      </c>
      <c r="E14" s="0" t="n">
        <f aca="false">SUM(B14:D14)</f>
        <v>16</v>
      </c>
    </row>
    <row r="15" customFormat="false" ht="15" hidden="false" customHeight="false" outlineLevel="0" collapsed="false">
      <c r="A15" s="0" t="s">
        <v>109</v>
      </c>
      <c r="B15" s="0" t="n">
        <f aca="false">COUNTIFS(Contactos!$M:$M,$A15,Contactos!$J:$J,B$13)</f>
        <v>56</v>
      </c>
      <c r="C15" s="0" t="n">
        <f aca="false">COUNTIFS(Contactos!$M:$M,$A15,Contactos!$J:$J,C$13)</f>
        <v>0</v>
      </c>
      <c r="D15" s="0" t="n">
        <f aca="false">COUNTIFS(Contactos!$M:$M,$A15,Contactos!$J:$J,D$13)</f>
        <v>0</v>
      </c>
      <c r="E15" s="0" t="n">
        <f aca="false">SUM(B15:D15)</f>
        <v>56</v>
      </c>
    </row>
    <row r="16" customFormat="false" ht="15" hidden="false" customHeight="false" outlineLevel="0" collapsed="false">
      <c r="A16" s="0" t="s">
        <v>392</v>
      </c>
      <c r="B16" s="0" t="n">
        <f aca="false">COUNTIFS(Contactos!$M:$M,$A16,Contactos!$J:$J,B$13)</f>
        <v>24</v>
      </c>
      <c r="C16" s="0" t="n">
        <f aca="false">COUNTIFS(Contactos!$M:$M,$A16,Contactos!$J:$J,C$13)</f>
        <v>0</v>
      </c>
      <c r="D16" s="0" t="n">
        <f aca="false">COUNTIFS(Contactos!$M:$M,$A16,Contactos!$J:$J,D$13)</f>
        <v>0</v>
      </c>
      <c r="E16" s="0" t="n">
        <f aca="false">SUM(B16:D16)</f>
        <v>24</v>
      </c>
    </row>
    <row r="17" customFormat="false" ht="15" hidden="false" customHeight="false" outlineLevel="0" collapsed="false">
      <c r="A17" s="0" t="s">
        <v>522</v>
      </c>
      <c r="B17" s="0" t="n">
        <f aca="false">COUNTIFS(Contactos!$M:$M,$A17,Contactos!$J:$J,B$13)</f>
        <v>12</v>
      </c>
      <c r="C17" s="0" t="n">
        <f aca="false">COUNTIFS(Contactos!$M:$M,$A17,Contactos!$J:$J,C$13)</f>
        <v>0</v>
      </c>
      <c r="D17" s="0" t="n">
        <f aca="false">COUNTIFS(Contactos!$M:$M,$A17,Contactos!$J:$J,D$13)</f>
        <v>0</v>
      </c>
      <c r="E17" s="0" t="n">
        <f aca="false">SUM(B17:D17)</f>
        <v>12</v>
      </c>
    </row>
    <row r="18" customFormat="false" ht="15" hidden="false" customHeight="false" outlineLevel="0" collapsed="false">
      <c r="A18" s="0" t="s">
        <v>594</v>
      </c>
      <c r="B18" s="0" t="n">
        <f aca="false">COUNTIFS(Contactos!$M:$M,$A18,Contactos!$J:$J,B$13)</f>
        <v>0</v>
      </c>
      <c r="C18" s="0" t="n">
        <f aca="false">COUNTIFS(Contactos!$M:$M,$A18,Contactos!$J:$J,C$13)</f>
        <v>39</v>
      </c>
      <c r="D18" s="0" t="n">
        <f aca="false">COUNTIFS(Contactos!$M:$M,$A18,Contactos!$J:$J,D$13)</f>
        <v>0</v>
      </c>
      <c r="E18" s="0" t="n">
        <f aca="false">SUM(B18:D18)</f>
        <v>39</v>
      </c>
    </row>
    <row r="19" customFormat="false" ht="15" hidden="false" customHeight="false" outlineLevel="0" collapsed="false">
      <c r="A19" s="0" t="s">
        <v>804</v>
      </c>
      <c r="B19" s="0" t="n">
        <f aca="false">COUNTIFS(Contactos!$M:$M,$A19,Contactos!$J:$J,B$13)</f>
        <v>0</v>
      </c>
      <c r="C19" s="0" t="n">
        <f aca="false">COUNTIFS(Contactos!$M:$M,$A19,Contactos!$J:$J,C$13)</f>
        <v>7</v>
      </c>
      <c r="D19" s="0" t="n">
        <f aca="false">COUNTIFS(Contactos!$M:$M,$A19,Contactos!$J:$J,D$13)</f>
        <v>0</v>
      </c>
      <c r="E19" s="0" t="n">
        <f aca="false">SUM(B19:D19)</f>
        <v>7</v>
      </c>
    </row>
    <row r="20" customFormat="false" ht="15" hidden="false" customHeight="false" outlineLevel="0" collapsed="false">
      <c r="A20" s="0" t="s">
        <v>838</v>
      </c>
      <c r="B20" s="0" t="n">
        <f aca="false">COUNTIFS(Contactos!$M:$M,$A20,Contactos!$J:$J,B$13)</f>
        <v>0</v>
      </c>
      <c r="C20" s="0" t="n">
        <f aca="false">COUNTIFS(Contactos!$M:$M,$A20,Contactos!$J:$J,C$13)</f>
        <v>8</v>
      </c>
      <c r="D20" s="0" t="n">
        <f aca="false">COUNTIFS(Contactos!$M:$M,$A20,Contactos!$J:$J,D$13)</f>
        <v>0</v>
      </c>
      <c r="E20" s="0" t="n">
        <f aca="false">SUM(B20:D20)</f>
        <v>8</v>
      </c>
    </row>
    <row r="21" customFormat="false" ht="15" hidden="false" customHeight="false" outlineLevel="0" collapsed="false">
      <c r="A21" s="0" t="s">
        <v>881</v>
      </c>
      <c r="B21" s="0" t="n">
        <f aca="false">COUNTIFS(Contactos!$M:$M,$A21,Contactos!$J:$J,B$13)</f>
        <v>0</v>
      </c>
      <c r="C21" s="0" t="n">
        <f aca="false">COUNTIFS(Contactos!$M:$M,$A21,Contactos!$J:$J,C$13)</f>
        <v>3</v>
      </c>
      <c r="D21" s="0" t="n">
        <f aca="false">COUNTIFS(Contactos!$M:$M,$A21,Contactos!$J:$J,D$13)</f>
        <v>0</v>
      </c>
      <c r="E21" s="0" t="n">
        <f aca="false">SUM(B21:D21)</f>
        <v>3</v>
      </c>
    </row>
    <row r="22" customFormat="false" ht="15" hidden="false" customHeight="false" outlineLevel="0" collapsed="false">
      <c r="A22" s="0" t="s">
        <v>897</v>
      </c>
      <c r="B22" s="0" t="n">
        <f aca="false">COUNTIFS(Contactos!$M:$M,$A22,Contactos!$J:$J,B$13)</f>
        <v>0</v>
      </c>
      <c r="C22" s="0" t="n">
        <f aca="false">COUNTIFS(Contactos!$M:$M,$A22,Contactos!$J:$J,C$13)</f>
        <v>38</v>
      </c>
      <c r="D22" s="0" t="n">
        <f aca="false">COUNTIFS(Contactos!$M:$M,$A22,Contactos!$J:$J,D$13)</f>
        <v>0</v>
      </c>
      <c r="E22" s="0" t="n">
        <f aca="false">SUM(B22:D22)</f>
        <v>38</v>
      </c>
    </row>
    <row r="23" customFormat="false" ht="15" hidden="false" customHeight="false" outlineLevel="0" collapsed="false">
      <c r="A23" s="0" t="s">
        <v>1053</v>
      </c>
      <c r="B23" s="0" t="n">
        <f aca="false">COUNTIFS(Contactos!$M:$M,$A23,Contactos!$J:$J,B$13)</f>
        <v>0</v>
      </c>
      <c r="C23" s="0" t="n">
        <f aca="false">COUNTIFS(Contactos!$M:$M,$A23,Contactos!$J:$J,C$13)</f>
        <v>0</v>
      </c>
      <c r="D23" s="0" t="n">
        <f aca="false">COUNTIFS(Contactos!$M:$M,$A23,Contactos!$J:$J,D$13)</f>
        <v>202</v>
      </c>
      <c r="E23" s="0" t="n">
        <f aca="false">SUM(B23:D23)</f>
        <v>202</v>
      </c>
    </row>
    <row r="24" customFormat="false" ht="15" hidden="false" customHeight="false" outlineLevel="0" collapsed="false">
      <c r="A24" s="0" t="s">
        <v>1981</v>
      </c>
      <c r="B24" s="0" t="n">
        <f aca="false">COUNTIFS(Contactos!$M:$M,$A24,Contactos!$J:$J,B$13)</f>
        <v>0</v>
      </c>
      <c r="C24" s="0" t="n">
        <f aca="false">COUNTIFS(Contactos!$M:$M,$A24,Contactos!$J:$J,C$13)</f>
        <v>0</v>
      </c>
      <c r="D24" s="0" t="n">
        <f aca="false">COUNTIFS(Contactos!$M:$M,$A24,Contactos!$J:$J,D$13)</f>
        <v>21</v>
      </c>
      <c r="E24" s="0" t="n">
        <f aca="false">SUM(B24:D24)</f>
        <v>21</v>
      </c>
    </row>
    <row r="25" customFormat="false" ht="15" hidden="false" customHeight="false" outlineLevel="0" collapsed="false">
      <c r="A25" s="0" t="s">
        <v>2037</v>
      </c>
      <c r="B25" s="0" t="n">
        <f aca="false">SUM(B14:B24)</f>
        <v>108</v>
      </c>
      <c r="C25" s="0" t="n">
        <f aca="false">SUM(C14:C24)</f>
        <v>95</v>
      </c>
      <c r="D25" s="0" t="n">
        <f aca="false">SUM(D14:D24)</f>
        <v>223</v>
      </c>
      <c r="E25" s="0" t="n">
        <f aca="false">SUM(E14:E24)</f>
        <v>426</v>
      </c>
    </row>
    <row r="27" customFormat="false" ht="15" hidden="false" customHeight="false" outlineLevel="0" collapsed="false">
      <c r="A27" s="3" t="s">
        <v>2038</v>
      </c>
      <c r="B27" s="3" t="s">
        <v>2036</v>
      </c>
    </row>
    <row r="28" customFormat="false" ht="15" hidden="false" customHeight="false" outlineLevel="0" collapsed="false">
      <c r="A28" s="0" t="s">
        <v>24</v>
      </c>
      <c r="B28" s="0" t="n">
        <f aca="false">COUNTIF(Contactos!$I:$I,A28)</f>
        <v>426</v>
      </c>
    </row>
    <row r="29" customFormat="false" ht="15" hidden="false" customHeight="false" outlineLevel="0" collapsed="false">
      <c r="A29" s="0" t="s">
        <v>2039</v>
      </c>
      <c r="B29" s="0" t="n">
        <f aca="false">COUNTIF(Contactos!$I:$I,A29)</f>
        <v>0</v>
      </c>
    </row>
    <row r="30" customFormat="false" ht="15" hidden="false" customHeight="false" outlineLevel="0" collapsed="false">
      <c r="A30" s="0" t="s">
        <v>2040</v>
      </c>
      <c r="B30" s="0" t="n">
        <f aca="false">COUNTIF(Contactos!$I:$I,A30)</f>
        <v>0</v>
      </c>
    </row>
    <row r="31" customFormat="false" ht="15" hidden="false" customHeight="false" outlineLevel="0" collapsed="false">
      <c r="A31" s="0" t="s">
        <v>2041</v>
      </c>
      <c r="B31" s="0" t="n">
        <f aca="false">COUNTIF(Contactos!$I:$I,A31)</f>
        <v>0</v>
      </c>
    </row>
    <row r="32" customFormat="false" ht="15" hidden="false" customHeight="false" outlineLevel="0" collapsed="false">
      <c r="A32" s="0" t="s">
        <v>2042</v>
      </c>
      <c r="B32" s="0" t="n">
        <f aca="false">COUNTIF(Contactos!$I:$I,A32)</f>
        <v>0</v>
      </c>
    </row>
    <row r="33" customFormat="false" ht="15" hidden="false" customHeight="false" outlineLevel="0" collapsed="false">
      <c r="A33" s="0" t="s">
        <v>2043</v>
      </c>
      <c r="B33" s="0" t="n">
        <f aca="false">COUNTIF(Contactos!$I:$I,A33)</f>
        <v>0</v>
      </c>
    </row>
    <row r="35" customFormat="false" ht="15" hidden="false" customHeight="false" outlineLevel="0" collapsed="false">
      <c r="A35" s="3" t="s">
        <v>2044</v>
      </c>
      <c r="B35" s="3" t="s">
        <v>2036</v>
      </c>
    </row>
    <row r="36" customFormat="false" ht="15" hidden="false" customHeight="false" outlineLevel="0" collapsed="false">
      <c r="A36" s="0" t="s">
        <v>2045</v>
      </c>
      <c r="B36" s="0" t="n">
        <v>426</v>
      </c>
    </row>
    <row r="37" customFormat="false" ht="15" hidden="false" customHeight="false" outlineLevel="0" collapsed="false">
      <c r="A37" s="0" t="s">
        <v>2046</v>
      </c>
      <c r="B37" s="0" t="n">
        <f aca="false">COUNTA(Contactos!$D$2:$D$3000)</f>
        <v>426</v>
      </c>
    </row>
    <row r="38" customFormat="false" ht="15" hidden="false" customHeight="false" outlineLevel="0" collapsed="false">
      <c r="A38" s="0" t="s">
        <v>2047</v>
      </c>
      <c r="B38" s="0" t="n">
        <f aca="false">COUNTIF(Contactos!$E$2:$E$3000,"Argentina")</f>
        <v>386</v>
      </c>
    </row>
    <row r="39" customFormat="false" ht="15" hidden="false" customHeight="false" outlineLevel="0" collapsed="false">
      <c r="A39" s="0" t="s">
        <v>2048</v>
      </c>
      <c r="B39" s="0" t="n">
        <f aca="false">COUNTIF(Contactos!$F$2:$F$3000,"?*")</f>
        <v>289</v>
      </c>
    </row>
    <row r="40" customFormat="false" ht="15" hidden="false" customHeight="false" outlineLevel="0" collapsed="false">
      <c r="A40" s="0" t="s">
        <v>2049</v>
      </c>
      <c r="B40" s="0" t="n">
        <f aca="false">COUNTIF(Contactos!$S$2:$S$3000,"?*")</f>
        <v>285</v>
      </c>
    </row>
    <row r="41" customFormat="false" ht="15" hidden="false" customHeight="false" outlineLevel="0" collapsed="false">
      <c r="A41" s="0" t="s">
        <v>2050</v>
      </c>
      <c r="B41" s="0" t="n">
        <f aca="false">COUNTIF(Contactos!$T$2:$T$3000,"*(ID*")</f>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2"/>
    <col collapsed="false" customWidth="true" hidden="false" outlineLevel="0" max="3" min="3" style="0" width="100"/>
  </cols>
  <sheetData>
    <row r="1" customFormat="false" ht="15" hidden="false" customHeight="false" outlineLevel="0" collapsed="false">
      <c r="A1" s="1" t="s">
        <v>2051</v>
      </c>
      <c r="B1" s="1" t="s">
        <v>4</v>
      </c>
      <c r="C1" s="1" t="s">
        <v>2052</v>
      </c>
    </row>
    <row r="2" customFormat="false" ht="15" hidden="false" customHeight="false" outlineLevel="0" collapsed="false">
      <c r="A2" s="0" t="s">
        <v>2053</v>
      </c>
      <c r="B2" s="0" t="s">
        <v>165</v>
      </c>
      <c r="C2" s="0" t="s">
        <v>2054</v>
      </c>
    </row>
    <row r="3" customFormat="false" ht="15" hidden="false" customHeight="false" outlineLevel="0" collapsed="false">
      <c r="A3" s="0" t="s">
        <v>2055</v>
      </c>
      <c r="B3" s="0" t="s">
        <v>165</v>
      </c>
      <c r="C3" s="0" t="s">
        <v>2056</v>
      </c>
    </row>
    <row r="4" customFormat="false" ht="15" hidden="false" customHeight="false" outlineLevel="0" collapsed="false">
      <c r="A4" s="0" t="s">
        <v>2057</v>
      </c>
      <c r="B4" s="0" t="s">
        <v>684</v>
      </c>
      <c r="C4" s="0" t="s">
        <v>2058</v>
      </c>
    </row>
    <row r="5" customFormat="false" ht="15" hidden="false" customHeight="false" outlineLevel="0" collapsed="false">
      <c r="A5" s="0" t="s">
        <v>2059</v>
      </c>
      <c r="B5" s="0" t="s">
        <v>684</v>
      </c>
      <c r="C5" s="0" t="s">
        <v>2060</v>
      </c>
    </row>
    <row r="6" customFormat="false" ht="15" hidden="false" customHeight="false" outlineLevel="0" collapsed="false">
      <c r="A6" s="0" t="s">
        <v>2061</v>
      </c>
      <c r="B6" s="0" t="s">
        <v>684</v>
      </c>
      <c r="C6" s="0" t="s">
        <v>2062</v>
      </c>
    </row>
    <row r="7" customFormat="false" ht="15" hidden="false" customHeight="false" outlineLevel="0" collapsed="false">
      <c r="A7" s="0" t="s">
        <v>23</v>
      </c>
      <c r="B7" s="0" t="s">
        <v>21</v>
      </c>
      <c r="C7" s="0" t="s">
        <v>2063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2026-10-07T05:38:40Z</dcterms:created>
  <dc:creator>openpyxl</dc:creator>
  <dc:description/>
  <dc:language>en-US</dc:language>
  <cp:lastModifiedBy/>
  <dcterms:modified xsi:type="dcterms:W3CDTF">2026-10-07T05:38:40Z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