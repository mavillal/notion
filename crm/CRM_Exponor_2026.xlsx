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os" sheetId="1" state="visible" r:id="rId3"/>
    <sheet name="Oportunidades" sheetId="2" state="visible" r:id="rId4"/>
    <sheet name="Resumen" sheetId="3" state="visible" r:id="rId5"/>
    <sheet name="Ev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<sst xmlns="http://schemas.openxmlformats.org/spreadsheetml/2006/main" count="14660" uniqueCount="3202">
  <si>
    <t xml:space="preserve">ID</t>
  </si>
  <si>
    <t xml:space="preserve">Nombre</t>
  </si>
  <si>
    <t xml:space="preserve">Cargo</t>
  </si>
  <si>
    <t xml:space="preserve">Empresa</t>
  </si>
  <si>
    <t xml:space="preserve">País</t>
  </si>
  <si>
    <t xml:space="preserve">Email</t>
  </si>
  <si>
    <t xml:space="preserve">LinkedIn</t>
  </si>
  <si>
    <t xml:space="preserve">Origen</t>
  </si>
  <si>
    <t xml:space="preserve">Estado</t>
  </si>
  <si>
    <t xml:space="preserve">Prioridad</t>
  </si>
  <si>
    <t xml:space="preserve">Próxima acción</t>
  </si>
  <si>
    <t xml:space="preserve">Notas</t>
  </si>
  <si>
    <t xml:space="preserve">Segmento SafetyMind</t>
  </si>
  <si>
    <t xml:space="preserve">Stand(s)</t>
  </si>
  <si>
    <t xml:space="preserve">N° stands</t>
  </si>
  <si>
    <t xml:space="preserve">Pabellón país / zona</t>
  </si>
  <si>
    <t xml:space="preserve">Web</t>
  </si>
  <si>
    <t xml:space="preserve">Teléfono(s)</t>
  </si>
  <si>
    <t xml:space="preserve">Cruce otros CRM</t>
  </si>
  <si>
    <t xml:space="preserve">Albemarle</t>
  </si>
  <si>
    <t xml:space="preserve">Chile</t>
  </si>
  <si>
    <t xml:space="preserve">Exponor 2026</t>
  </si>
  <si>
    <t xml:space="preserve">Prospecto</t>
  </si>
  <si>
    <t xml:space="preserve">Alta</t>
  </si>
  <si>
    <t xml:space="preserve">Mapear Gerente SSOMA/HSE y faenas; proponer piloto</t>
  </si>
  <si>
    <t xml:space="preserve">Exponor 2026. Sin contacto publicado.</t>
  </si>
  <si>
    <t xml:space="preserve">Minera (cliente final)</t>
  </si>
  <si>
    <t xml:space="preserve">Exterior B-65</t>
  </si>
  <si>
    <t xml:space="preserve">No</t>
  </si>
  <si>
    <t xml:space="preserve">Antofagasta Minerals</t>
  </si>
  <si>
    <t xml:space="preserve">Exterior C-70 y 71</t>
  </si>
  <si>
    <t xml:space="preserve">BHP</t>
  </si>
  <si>
    <t xml:space="preserve">Exterior C-78-79-80-81 y 82</t>
  </si>
  <si>
    <t xml:space="preserve">Capstone Copper Mantos Blancos</t>
  </si>
  <si>
    <t xml:space="preserve">Exterior B-45</t>
  </si>
  <si>
    <t xml:space="preserve">Cerro Alto Minería</t>
  </si>
  <si>
    <t xml:space="preserve">Oro-1183</t>
  </si>
  <si>
    <t xml:space="preserve">Cía. Minera Cordillera Chile SCM</t>
  </si>
  <si>
    <t xml:space="preserve">Oro-1178</t>
  </si>
  <si>
    <t xml:space="preserve">Codelco</t>
  </si>
  <si>
    <t xml:space="preserve">Exterior B-52</t>
  </si>
  <si>
    <t xml:space="preserve">Compañía Minera CCL</t>
  </si>
  <si>
    <t xml:space="preserve">Litio-945</t>
  </si>
  <si>
    <t xml:space="preserve">EstaremosEnExponor</t>
  </si>
  <si>
    <t xml:space="preserve">Glencore</t>
  </si>
  <si>
    <t xml:space="preserve">Exterior B-37</t>
  </si>
  <si>
    <t xml:space="preserve">Minera El Abra</t>
  </si>
  <si>
    <t xml:space="preserve">Exterior B-51</t>
  </si>
  <si>
    <t xml:space="preserve">Novandina Litio</t>
  </si>
  <si>
    <t xml:space="preserve">Exterior B-36</t>
  </si>
  <si>
    <t xml:space="preserve">Sierra Gorda SCM</t>
  </si>
  <si>
    <t xml:space="preserve">Exterior B-39</t>
  </si>
  <si>
    <t xml:space="preserve">SQM</t>
  </si>
  <si>
    <t xml:space="preserve">Teck Resourses Chile</t>
  </si>
  <si>
    <t xml:space="preserve">Exterior B-053A</t>
  </si>
  <si>
    <t xml:space="preserve">All Drill Chile SpA</t>
  </si>
  <si>
    <t xml:space="preserve">Identificar Gerente HSE/SSOMA en LinkedIn y proponer demo</t>
  </si>
  <si>
    <t xml:space="preserve">Cliente potencial – contratista / operación de alto riesgo</t>
  </si>
  <si>
    <t xml:space="preserve">Oro-1099</t>
  </si>
  <si>
    <t xml:space="preserve">Alo Rental</t>
  </si>
  <si>
    <t xml:space="preserve">Cobalto-1370</t>
  </si>
  <si>
    <t xml:space="preserve">Andamios At-Pac</t>
  </si>
  <si>
    <t xml:space="preserve">Exterior E-140</t>
  </si>
  <si>
    <t xml:space="preserve">BCM Servicios Mineros</t>
  </si>
  <si>
    <t xml:space="preserve">Yodo-706</t>
  </si>
  <si>
    <t xml:space="preserve">Boga Andamios y Servicios SpA</t>
  </si>
  <si>
    <t xml:space="preserve">Oro-1137</t>
  </si>
  <si>
    <t xml:space="preserve">Bus 4x4 Group</t>
  </si>
  <si>
    <t xml:space="preserve">Australia</t>
  </si>
  <si>
    <t xml:space="preserve">Yodo-666</t>
  </si>
  <si>
    <t xml:space="preserve">Buses Hualpén</t>
  </si>
  <si>
    <t xml:space="preserve">Molibdeno-1275</t>
  </si>
  <si>
    <t xml:space="preserve">C&amp;V International</t>
  </si>
  <si>
    <t xml:space="preserve">Perú</t>
  </si>
  <si>
    <t xml:space="preserve">ventas@cvinternational.com.pe</t>
  </si>
  <si>
    <t xml:space="preserve">Exponor 2026. También en CRM Directorio SSO 2026 (ID 18).</t>
  </si>
  <si>
    <t xml:space="preserve">Plata-564A</t>
  </si>
  <si>
    <t xml:space="preserve">www.cvinternational.com.pe</t>
  </si>
  <si>
    <t xml:space="preserve">5156714</t>
  </si>
  <si>
    <t xml:space="preserve">Directorio SSO (ID 18)</t>
  </si>
  <si>
    <t xml:space="preserve">Cas Servicios Industriales</t>
  </si>
  <si>
    <t xml:space="preserve">Litio-963</t>
  </si>
  <si>
    <t xml:space="preserve">Cemtec - Latam Mining Services</t>
  </si>
  <si>
    <t xml:space="preserve">Cobalto-1404</t>
  </si>
  <si>
    <t xml:space="preserve">Christensen</t>
  </si>
  <si>
    <t xml:space="preserve">Exterior D-109</t>
  </si>
  <si>
    <t xml:space="preserve">Complejo Portuario Mejillones</t>
  </si>
  <si>
    <t xml:space="preserve">Yodo-799</t>
  </si>
  <si>
    <t xml:space="preserve">Conciencia Logística</t>
  </si>
  <si>
    <t xml:space="preserve">Molibdeno-1238</t>
  </si>
  <si>
    <t xml:space="preserve">Confipetrol Chile SpA</t>
  </si>
  <si>
    <t xml:space="preserve">Hierro-1478</t>
  </si>
  <si>
    <t xml:space="preserve">Constructora Baical Ltda. - Baical Rental</t>
  </si>
  <si>
    <t xml:space="preserve">Hierro-1488</t>
  </si>
  <si>
    <t xml:space="preserve">Constructora El Sauce S.A</t>
  </si>
  <si>
    <t xml:space="preserve">Exterior C-90</t>
  </si>
  <si>
    <t xml:space="preserve">Constructora VIC</t>
  </si>
  <si>
    <t xml:space="preserve">Molibdeno-1220</t>
  </si>
  <si>
    <t xml:space="preserve">Demolition Plus</t>
  </si>
  <si>
    <t xml:space="preserve">Litio-1005A</t>
  </si>
  <si>
    <t xml:space="preserve">DMI Projects Global Logistics Ltda</t>
  </si>
  <si>
    <t xml:space="preserve">Yodo-738</t>
  </si>
  <si>
    <t xml:space="preserve">DyC Servicios Generales</t>
  </si>
  <si>
    <t xml:space="preserve">Hierro-1497</t>
  </si>
  <si>
    <t xml:space="preserve">Dyno Nobel Explosivos Chile</t>
  </si>
  <si>
    <t xml:space="preserve">Oro-1153</t>
  </si>
  <si>
    <t xml:space="preserve">Echeverría Izquierdo</t>
  </si>
  <si>
    <t xml:space="preserve">Cobalto-1343</t>
  </si>
  <si>
    <t xml:space="preserve">ELB - Transportes El Libertador</t>
  </si>
  <si>
    <t xml:space="preserve">Exterior A-25</t>
  </si>
  <si>
    <t xml:space="preserve">Enaex</t>
  </si>
  <si>
    <t xml:space="preserve">Cobre-181-182-220 y 221</t>
  </si>
  <si>
    <t xml:space="preserve">Famesa Explosivos Chile</t>
  </si>
  <si>
    <t xml:space="preserve">ventas@famesa.com.pe</t>
  </si>
  <si>
    <t xml:space="preserve">Exponor 2026. También en CRM Directorio SSO 2026 (ID 60). También expone en ExpoMina 2026 (ID 19).</t>
  </si>
  <si>
    <t xml:space="preserve">Plata-571 y 573</t>
  </si>
  <si>
    <t xml:space="preserve">www.famesa.com.pe</t>
  </si>
  <si>
    <t xml:space="preserve">6139800</t>
  </si>
  <si>
    <t xml:space="preserve">Directorio SSO (ID 60); ExpoMina (ID 19)</t>
  </si>
  <si>
    <t xml:space="preserve">FCAB</t>
  </si>
  <si>
    <t xml:space="preserve">Exterior B-54</t>
  </si>
  <si>
    <t xml:space="preserve">Ferronor S.A</t>
  </si>
  <si>
    <t xml:space="preserve">Hierro-1452</t>
  </si>
  <si>
    <t xml:space="preserve">FG Logistica SpA</t>
  </si>
  <si>
    <t xml:space="preserve">Cobalto-1393</t>
  </si>
  <si>
    <t xml:space="preserve">Grúas Kunza</t>
  </si>
  <si>
    <t xml:space="preserve">Exterior B-64</t>
  </si>
  <si>
    <t xml:space="preserve">Grupo Eulen Chile</t>
  </si>
  <si>
    <t xml:space="preserve">Plata-322</t>
  </si>
  <si>
    <t xml:space="preserve">HS Rodados Mantenimiento y Servicios SpA</t>
  </si>
  <si>
    <t xml:space="preserve">Oro-1111</t>
  </si>
  <si>
    <t xml:space="preserve">Icil Icafal</t>
  </si>
  <si>
    <t xml:space="preserve">Litio-1009</t>
  </si>
  <si>
    <t xml:space="preserve">Incimmet</t>
  </si>
  <si>
    <t xml:space="preserve">comercial_peru@incimmet.com</t>
  </si>
  <si>
    <t xml:space="preserve">Exponor 2026. También en CRM Directorio SSO 2026 (ID 80).</t>
  </si>
  <si>
    <t xml:space="preserve">Plata-577A</t>
  </si>
  <si>
    <t xml:space="preserve">www.incimmet.com</t>
  </si>
  <si>
    <t xml:space="preserve">963701111</t>
  </si>
  <si>
    <t xml:space="preserve">Directorio SSO (ID 80)</t>
  </si>
  <si>
    <t xml:space="preserve">Independent Drilling Supplies</t>
  </si>
  <si>
    <t xml:space="preserve">Litio-938</t>
  </si>
  <si>
    <t xml:space="preserve">Inppa Servicios Industriales SpA</t>
  </si>
  <si>
    <t xml:space="preserve">Exterior E-137</t>
  </si>
  <si>
    <t xml:space="preserve">Jofre Transporte Logístico</t>
  </si>
  <si>
    <t xml:space="preserve">Litio-912</t>
  </si>
  <si>
    <t xml:space="preserve">Kaltire</t>
  </si>
  <si>
    <t xml:space="preserve">Exterior D-104</t>
  </si>
  <si>
    <t xml:space="preserve">Layher del Pacifico</t>
  </si>
  <si>
    <t xml:space="preserve">Exterior D-107</t>
  </si>
  <si>
    <t xml:space="preserve">LOA Rental SpA</t>
  </si>
  <si>
    <t xml:space="preserve">Exterior A-31</t>
  </si>
  <si>
    <t xml:space="preserve">M4ts Mining Support</t>
  </si>
  <si>
    <t xml:space="preserve">Yodo-777 y 778</t>
  </si>
  <si>
    <t xml:space="preserve">Mammoet Chile</t>
  </si>
  <si>
    <t xml:space="preserve">Cobre-128</t>
  </si>
  <si>
    <t xml:space="preserve">Minabus</t>
  </si>
  <si>
    <t xml:space="preserve">Cobalto-1432</t>
  </si>
  <si>
    <t xml:space="preserve">Moverent</t>
  </si>
  <si>
    <t xml:space="preserve">Molibdeno-1215A</t>
  </si>
  <si>
    <t xml:space="preserve">Orica</t>
  </si>
  <si>
    <t xml:space="preserve">Oro-1174</t>
  </si>
  <si>
    <t xml:space="preserve">Puerto de Antofagasta</t>
  </si>
  <si>
    <t xml:space="preserve">Cobalto-1437 y 1438</t>
  </si>
  <si>
    <t xml:space="preserve">RAM Rental &amp; Quality SpA</t>
  </si>
  <si>
    <t xml:space="preserve">Molibdeno-1246</t>
  </si>
  <si>
    <t xml:space="preserve">RMI Construcción E Ingeniería</t>
  </si>
  <si>
    <t xml:space="preserve">Molibdeno-1316</t>
  </si>
  <si>
    <t xml:space="preserve">Rockblast</t>
  </si>
  <si>
    <t xml:space="preserve">Cobre-225-226-261 y 262</t>
  </si>
  <si>
    <t xml:space="preserve">Rodotrans</t>
  </si>
  <si>
    <t xml:space="preserve">Yodo-763</t>
  </si>
  <si>
    <t xml:space="preserve">Sacyr</t>
  </si>
  <si>
    <t xml:space="preserve">Alemania</t>
  </si>
  <si>
    <t xml:space="preserve">Cobre-95</t>
  </si>
  <si>
    <t xml:space="preserve">Serviall</t>
  </si>
  <si>
    <t xml:space="preserve">Exterior B-50</t>
  </si>
  <si>
    <t xml:space="preserve">Sigdo Koppers</t>
  </si>
  <si>
    <t xml:space="preserve">Exterior C-96</t>
  </si>
  <si>
    <t xml:space="preserve">Sitrans Ltda</t>
  </si>
  <si>
    <t xml:space="preserve">Litio-934</t>
  </si>
  <si>
    <t xml:space="preserve">Smart Rental Equipments SpA</t>
  </si>
  <si>
    <t xml:space="preserve">Exponor 2026. Startup (zona Lanza tu Innovación). Sin contacto publicado.</t>
  </si>
  <si>
    <t xml:space="preserve">Exterior E-152</t>
  </si>
  <si>
    <t xml:space="preserve">Lanza tu Innovación</t>
  </si>
  <si>
    <t xml:space="preserve">Smartlift</t>
  </si>
  <si>
    <t xml:space="preserve">Yodo-641A</t>
  </si>
  <si>
    <t xml:space="preserve">Soletanche Bachy</t>
  </si>
  <si>
    <t xml:space="preserve">Francia</t>
  </si>
  <si>
    <t xml:space="preserve">Cobre-163</t>
  </si>
  <si>
    <t xml:space="preserve">Sotraser S.A</t>
  </si>
  <si>
    <t xml:space="preserve">Exterior B-60A</t>
  </si>
  <si>
    <t xml:space="preserve">South Cranes</t>
  </si>
  <si>
    <t xml:space="preserve">Molibdeno-1211</t>
  </si>
  <si>
    <t xml:space="preserve">Stracon</t>
  </si>
  <si>
    <t xml:space="preserve">info@stracon.com</t>
  </si>
  <si>
    <t xml:space="preserve">Exponor 2026. También en CRM Directorio SSO 2026 (ID 146); contacto heredado = filial Perú.</t>
  </si>
  <si>
    <t xml:space="preserve">Cobalto-1345</t>
  </si>
  <si>
    <t xml:space="preserve">www.stracon.com</t>
  </si>
  <si>
    <t xml:space="preserve">2080230</t>
  </si>
  <si>
    <t xml:space="preserve">Directorio SSO (ID 146)</t>
  </si>
  <si>
    <t xml:space="preserve">Swastic Drilling Co &amp; Maquinet SpA</t>
  </si>
  <si>
    <t xml:space="preserve">Molibdeno-1252 y 1253</t>
  </si>
  <si>
    <t xml:space="preserve">T-Port Logistics</t>
  </si>
  <si>
    <t xml:space="preserve">Exponor 2026. Pyme regional (pabellón AIA). Sin contacto publicado.</t>
  </si>
  <si>
    <t xml:space="preserve">Litio-830 y 831</t>
  </si>
  <si>
    <t xml:space="preserve">AIA-Pyme</t>
  </si>
  <si>
    <t xml:space="preserve">Thiess</t>
  </si>
  <si>
    <t xml:space="preserve">Molibdeno-1318</t>
  </si>
  <si>
    <t xml:space="preserve">TKA Cranes</t>
  </si>
  <si>
    <t xml:space="preserve">Brasil</t>
  </si>
  <si>
    <t xml:space="preserve">Yodo-819</t>
  </si>
  <si>
    <t xml:space="preserve">Todo Izaje S.A. - Bimpac</t>
  </si>
  <si>
    <t xml:space="preserve">Yodo-656 y 685</t>
  </si>
  <si>
    <t xml:space="preserve">Transportes Bello</t>
  </si>
  <si>
    <t xml:space="preserve">Exterior E-141 y 142</t>
  </si>
  <si>
    <t xml:space="preserve">Transportes Santa Eva</t>
  </si>
  <si>
    <t xml:space="preserve">Molibdeno-1214</t>
  </si>
  <si>
    <t xml:space="preserve">Transportes y Servicios Mercosur y Cía. Ltda</t>
  </si>
  <si>
    <t xml:space="preserve">Oro-1195</t>
  </si>
  <si>
    <t xml:space="preserve">Ulog Soluciones Logísticas y Ultramar</t>
  </si>
  <si>
    <t xml:space="preserve">Exterior A-24</t>
  </si>
  <si>
    <t xml:space="preserve">Unidad Construcción y Servicios SpA</t>
  </si>
  <si>
    <t xml:space="preserve">Oro-1138</t>
  </si>
  <si>
    <t xml:space="preserve">Vertex Rental SpA</t>
  </si>
  <si>
    <t xml:space="preserve">Litio-1007</t>
  </si>
  <si>
    <t xml:space="preserve">Vertical Mine Chile SpA</t>
  </si>
  <si>
    <t xml:space="preserve">Plata-435</t>
  </si>
  <si>
    <t xml:space="preserve">Wic Logistics</t>
  </si>
  <si>
    <t xml:space="preserve">Molibdeno-1242</t>
  </si>
  <si>
    <t xml:space="preserve">Rukian Tech</t>
  </si>
  <si>
    <t xml:space="preserve">Mapear oferta: evaluar integración o competencia</t>
  </si>
  <si>
    <t xml:space="preserve">Exponor 2026. Varios stands (mayor inversión). Startup (zona Lanza tu Innovación). Sin contacto publicado.</t>
  </si>
  <si>
    <t xml:space="preserve">Partner tecnológico / competidor</t>
  </si>
  <si>
    <t xml:space="preserve">Litio-919, Exterior E-159</t>
  </si>
  <si>
    <t xml:space="preserve">EstaremosEnExponor, Lanza tu Innovación</t>
  </si>
  <si>
    <t xml:space="preserve">Amperxgroup - Software 4 Tech</t>
  </si>
  <si>
    <t xml:space="preserve">Cobalto-1372</t>
  </si>
  <si>
    <t xml:space="preserve">AMV Latam</t>
  </si>
  <si>
    <t xml:space="preserve">Exterior E-168</t>
  </si>
  <si>
    <t xml:space="preserve">Atacamacopter</t>
  </si>
  <si>
    <t xml:space="preserve">Yodo-788</t>
  </si>
  <si>
    <t xml:space="preserve">Automining</t>
  </si>
  <si>
    <t xml:space="preserve">Litio-896</t>
  </si>
  <si>
    <t xml:space="preserve">Axis Communicationes</t>
  </si>
  <si>
    <t xml:space="preserve">Cobre-184</t>
  </si>
  <si>
    <t xml:space="preserve">Bee3 Mining Tech</t>
  </si>
  <si>
    <t xml:space="preserve">Plata-564</t>
  </si>
  <si>
    <t xml:space="preserve">BQSense SpA</t>
  </si>
  <si>
    <t xml:space="preserve">Exterior E-167</t>
  </si>
  <si>
    <t xml:space="preserve">Buk</t>
  </si>
  <si>
    <t xml:space="preserve">Cobalto-1416</t>
  </si>
  <si>
    <t xml:space="preserve">Changsha Looking Intelligence Technology Co.,Ltd</t>
  </si>
  <si>
    <t xml:space="preserve">China</t>
  </si>
  <si>
    <t xml:space="preserve">Plata-331</t>
  </si>
  <si>
    <t xml:space="preserve">Cloudcsp Soluciones Tecnológicas</t>
  </si>
  <si>
    <t xml:space="preserve">Litio-827</t>
  </si>
  <si>
    <t xml:space="preserve">CMS Condition Monitoring Solutions</t>
  </si>
  <si>
    <t xml:space="preserve">Yodo-765</t>
  </si>
  <si>
    <t xml:space="preserve">Convergint</t>
  </si>
  <si>
    <t xml:space="preserve">Plata-344</t>
  </si>
  <si>
    <t xml:space="preserve">CP Comunicaciones</t>
  </si>
  <si>
    <t xml:space="preserve">Oro-1123</t>
  </si>
  <si>
    <t xml:space="preserve">Datamine</t>
  </si>
  <si>
    <t xml:space="preserve">Yodo-764</t>
  </si>
  <si>
    <t xml:space="preserve">Datascope.io</t>
  </si>
  <si>
    <t xml:space="preserve">Cobalto-1410</t>
  </si>
  <si>
    <t xml:space="preserve">Deep Trekker</t>
  </si>
  <si>
    <t xml:space="preserve">Canadá</t>
  </si>
  <si>
    <t xml:space="preserve">Yodo-730A</t>
  </si>
  <si>
    <t xml:space="preserve">Devcoderx SpA</t>
  </si>
  <si>
    <t xml:space="preserve">Exterior E-150</t>
  </si>
  <si>
    <t xml:space="preserve">DJI Heliboss Chile</t>
  </si>
  <si>
    <t xml:space="preserve">Litio-961</t>
  </si>
  <si>
    <t xml:space="preserve">Electroram Telecomunicaciones</t>
  </si>
  <si>
    <t xml:space="preserve">Exterior D-114</t>
  </si>
  <si>
    <t xml:space="preserve">Engineering Simulation Scientific Software Chile SpA (ESSS Chile)</t>
  </si>
  <si>
    <t xml:space="preserve">Oro-1208</t>
  </si>
  <si>
    <t xml:space="preserve">Entel</t>
  </si>
  <si>
    <t xml:space="preserve">Exponor 2026. También expone en ExpoMina 2026 (ID 42). Sin contacto publicado.</t>
  </si>
  <si>
    <t xml:space="preserve">Oro-1035 - 1036 y 1037</t>
  </si>
  <si>
    <t xml:space="preserve">ExpoMina (ID 42)</t>
  </si>
  <si>
    <t xml:space="preserve">Environmental Monitoring Services SpA (EMS Chile)</t>
  </si>
  <si>
    <t xml:space="preserve">Litio-909</t>
  </si>
  <si>
    <t xml:space="preserve">Fast2 Mine</t>
  </si>
  <si>
    <t xml:space="preserve">Yodo-747</t>
  </si>
  <si>
    <t xml:space="preserve">Fastech Soluciones Tecnológicas Ltda</t>
  </si>
  <si>
    <t xml:space="preserve">Estados Unidos</t>
  </si>
  <si>
    <t xml:space="preserve">Cobre-247</t>
  </si>
  <si>
    <t xml:space="preserve">Fracttal</t>
  </si>
  <si>
    <t xml:space="preserve">Cobalto-1409</t>
  </si>
  <si>
    <t xml:space="preserve">GeologicAI</t>
  </si>
  <si>
    <t xml:space="preserve">Hierro-1486</t>
  </si>
  <si>
    <t xml:space="preserve">Provincia de Ontario</t>
  </si>
  <si>
    <t xml:space="preserve">Geotab</t>
  </si>
  <si>
    <t xml:space="preserve">Yodo-681</t>
  </si>
  <si>
    <t xml:space="preserve">Grupo gtd</t>
  </si>
  <si>
    <t xml:space="preserve">Plata-430</t>
  </si>
  <si>
    <t xml:space="preserve">Gunjop Chile SpA</t>
  </si>
  <si>
    <t xml:space="preserve">Exterior E-165</t>
  </si>
  <si>
    <t xml:space="preserve">Hanwha Vision</t>
  </si>
  <si>
    <t xml:space="preserve">Argentina</t>
  </si>
  <si>
    <t xml:space="preserve">Yodo-639</t>
  </si>
  <si>
    <t xml:space="preserve">Helptech Solutions</t>
  </si>
  <si>
    <t xml:space="preserve">Plata-623A</t>
  </si>
  <si>
    <t xml:space="preserve">Hexagon</t>
  </si>
  <si>
    <t xml:space="preserve">Cobre-80</t>
  </si>
  <si>
    <t xml:space="preserve">Hi Mining</t>
  </si>
  <si>
    <t xml:space="preserve">Exterior E-149</t>
  </si>
  <si>
    <t xml:space="preserve">HiveRadar Inc</t>
  </si>
  <si>
    <t xml:space="preserve">Hierro-1472</t>
  </si>
  <si>
    <t xml:space="preserve">IAP Solutions SpA</t>
  </si>
  <si>
    <t xml:space="preserve">Exterior E-160</t>
  </si>
  <si>
    <t xml:space="preserve">Inbox Technology Chile</t>
  </si>
  <si>
    <t xml:space="preserve">Cobalto-1374</t>
  </si>
  <si>
    <t xml:space="preserve">Infotech Global</t>
  </si>
  <si>
    <t xml:space="preserve">Yodo-637C</t>
  </si>
  <si>
    <t xml:space="preserve">Innervycs</t>
  </si>
  <si>
    <t xml:space="preserve">Litio-911</t>
  </si>
  <si>
    <t xml:space="preserve">Intellegere</t>
  </si>
  <si>
    <t xml:space="preserve">Cobalto-1375</t>
  </si>
  <si>
    <t xml:space="preserve">Isanto Security</t>
  </si>
  <si>
    <t xml:space="preserve">Exterior E-174</t>
  </si>
  <si>
    <t xml:space="preserve">Kizeo</t>
  </si>
  <si>
    <t xml:space="preserve">Yodo-797</t>
  </si>
  <si>
    <t xml:space="preserve">Krux Analytics</t>
  </si>
  <si>
    <t xml:space="preserve">Yodo-730</t>
  </si>
  <si>
    <t xml:space="preserve">Lavor Mining Technology</t>
  </si>
  <si>
    <t xml:space="preserve">Exterior E-153</t>
  </si>
  <si>
    <t xml:space="preserve">Leica Geosystems Part of Hexagon</t>
  </si>
  <si>
    <t xml:space="preserve">Hierro-1465</t>
  </si>
  <si>
    <t xml:space="preserve">Madero Comunicaciones</t>
  </si>
  <si>
    <t xml:space="preserve">Exterior E-144</t>
  </si>
  <si>
    <t xml:space="preserve">Maptek Computación Chile Ltda</t>
  </si>
  <si>
    <t xml:space="preserve">Cobre-213</t>
  </si>
  <si>
    <t xml:space="preserve">Mineria Xr</t>
  </si>
  <si>
    <t xml:space="preserve">MineSense</t>
  </si>
  <si>
    <t xml:space="preserve">Yodo-719</t>
  </si>
  <si>
    <t xml:space="preserve">MKS Soluciones en comunicación</t>
  </si>
  <si>
    <t xml:space="preserve">Exterior E-143</t>
  </si>
  <si>
    <t xml:space="preserve">MotionMetrics</t>
  </si>
  <si>
    <t xml:space="preserve">Yodo-723</t>
  </si>
  <si>
    <t xml:space="preserve">MoviSight</t>
  </si>
  <si>
    <t xml:space="preserve">Cobre-249</t>
  </si>
  <si>
    <t xml:space="preserve">Mundo Telecomunicaciones</t>
  </si>
  <si>
    <t xml:space="preserve">Molibdeno-1303 y 1322</t>
  </si>
  <si>
    <t xml:space="preserve">Neos AI</t>
  </si>
  <si>
    <t xml:space="preserve">Exterior E-164</t>
  </si>
  <si>
    <t xml:space="preserve">Nettz Technology</t>
  </si>
  <si>
    <t xml:space="preserve">Oro-1045</t>
  </si>
  <si>
    <t xml:space="preserve">Neuritiva SpA</t>
  </si>
  <si>
    <t xml:space="preserve">Exterior E-156</t>
  </si>
  <si>
    <t xml:space="preserve">Neuro4B SpA</t>
  </si>
  <si>
    <t xml:space="preserve">Exterior E-162</t>
  </si>
  <si>
    <t xml:space="preserve">PITCREW AI</t>
  </si>
  <si>
    <t xml:space="preserve">Yodo-675</t>
  </si>
  <si>
    <t xml:space="preserve">Pulso SpA</t>
  </si>
  <si>
    <t xml:space="preserve">Exterior E-148</t>
  </si>
  <si>
    <t xml:space="preserve">Resolutions - Soluciones Integrales de Comunicación</t>
  </si>
  <si>
    <t xml:space="preserve">Yodo-705</t>
  </si>
  <si>
    <t xml:space="preserve">Robotia</t>
  </si>
  <si>
    <t xml:space="preserve">Exponor 2026. También expone en ExpoMina 2026 (ID 59). Sin contacto publicado.</t>
  </si>
  <si>
    <t xml:space="preserve">Oro-1127</t>
  </si>
  <si>
    <t xml:space="preserve">www.robotia.cl</t>
  </si>
  <si>
    <t xml:space="preserve">ExpoMina (ID 59)</t>
  </si>
  <si>
    <t xml:space="preserve">SentryApp</t>
  </si>
  <si>
    <t xml:space="preserve">Exterior E-169</t>
  </si>
  <si>
    <t xml:space="preserve">Sick Chile</t>
  </si>
  <si>
    <t xml:space="preserve">Cobre-75</t>
  </si>
  <si>
    <t xml:space="preserve">SINGULARISVR</t>
  </si>
  <si>
    <t xml:space="preserve">Oro-1121</t>
  </si>
  <si>
    <t xml:space="preserve">Sitrack Chile</t>
  </si>
  <si>
    <t xml:space="preserve">Hierro-1460</t>
  </si>
  <si>
    <t xml:space="preserve">Skkynet</t>
  </si>
  <si>
    <t xml:space="preserve">Hierro-1470</t>
  </si>
  <si>
    <t xml:space="preserve">SkyGeo</t>
  </si>
  <si>
    <t xml:space="preserve">Países Bajos</t>
  </si>
  <si>
    <t xml:space="preserve">Cobre-130A</t>
  </si>
  <si>
    <t xml:space="preserve">Smart Compliance Analytics</t>
  </si>
  <si>
    <t xml:space="preserve">Hierro-1457</t>
  </si>
  <si>
    <t xml:space="preserve">Sonda</t>
  </si>
  <si>
    <t xml:space="preserve">Molibdeno-1281</t>
  </si>
  <si>
    <t xml:space="preserve">SpartanLync</t>
  </si>
  <si>
    <t xml:space="preserve">Hierro-1487</t>
  </si>
  <si>
    <t xml:space="preserve">Tecwise Innovación Digital</t>
  </si>
  <si>
    <t xml:space="preserve">Molibdeno-1226</t>
  </si>
  <si>
    <t xml:space="preserve">Teltronic</t>
  </si>
  <si>
    <t xml:space="preserve">España</t>
  </si>
  <si>
    <t xml:space="preserve">Cobre-190</t>
  </si>
  <si>
    <t xml:space="preserve">Timining</t>
  </si>
  <si>
    <t xml:space="preserve">Oro-1209</t>
  </si>
  <si>
    <t xml:space="preserve">Tivit Almaviva Group</t>
  </si>
  <si>
    <t xml:space="preserve">Cobalto-1420</t>
  </si>
  <si>
    <t xml:space="preserve">Tomos</t>
  </si>
  <si>
    <t xml:space="preserve">Exterior E-158</t>
  </si>
  <si>
    <t xml:space="preserve">Trivick Technologies</t>
  </si>
  <si>
    <t xml:space="preserve">Yodo-756</t>
  </si>
  <si>
    <t xml:space="preserve">Tscom</t>
  </si>
  <si>
    <t xml:space="preserve">Oro-1056</t>
  </si>
  <si>
    <t xml:space="preserve">Unmanned Aerial Services Inc</t>
  </si>
  <si>
    <t xml:space="preserve">Yodo-713</t>
  </si>
  <si>
    <t xml:space="preserve">VERIDAPT</t>
  </si>
  <si>
    <t xml:space="preserve">Yodo-679</t>
  </si>
  <si>
    <t xml:space="preserve">Virtek Vision International Inc</t>
  </si>
  <si>
    <t xml:space="preserve">Yodo-729</t>
  </si>
  <si>
    <t xml:space="preserve">Warriors Innova SpA</t>
  </si>
  <si>
    <t xml:space="preserve">Exterior E-175</t>
  </si>
  <si>
    <t xml:space="preserve">Webfleet</t>
  </si>
  <si>
    <t xml:space="preserve">Litio-940</t>
  </si>
  <si>
    <t xml:space="preserve">WINGTRA</t>
  </si>
  <si>
    <t xml:space="preserve">Suiza</t>
  </si>
  <si>
    <t xml:space="preserve">Yodo-686</t>
  </si>
  <si>
    <t xml:space="preserve">Wisetrack</t>
  </si>
  <si>
    <t xml:space="preserve">info.peru@wisetrackcorp.com</t>
  </si>
  <si>
    <t xml:space="preserve">Exponor 2026. También en CRM Directorio SSO 2026 (ID 183); contacto heredado = filial Perú. También expone en ExpoMina 2026 (ID 64).</t>
  </si>
  <si>
    <t xml:space="preserve">Plata-487</t>
  </si>
  <si>
    <t xml:space="preserve">www.wisetrackcorp.com</t>
  </si>
  <si>
    <t xml:space="preserve">(01) 6282611</t>
  </si>
  <si>
    <t xml:space="preserve">Directorio SSO (ID 183); ExpoMina (ID 64)</t>
  </si>
  <si>
    <t xml:space="preserve">Yokogawa America Do Sul Chile</t>
  </si>
  <si>
    <t xml:space="preserve">Exponor 2026. Pabellón de Energía. Sin contacto publicado.</t>
  </si>
  <si>
    <t xml:space="preserve">Litio-1023</t>
  </si>
  <si>
    <t xml:space="preserve">Energía</t>
  </si>
  <si>
    <t xml:space="preserve">Yoy Simulators</t>
  </si>
  <si>
    <t xml:space="preserve">Molibdeno-1277</t>
  </si>
  <si>
    <t xml:space="preserve">ZigoMin Online</t>
  </si>
  <si>
    <t xml:space="preserve">Exterior E-155</t>
  </si>
  <si>
    <t xml:space="preserve">Zizcar CO2 Management System</t>
  </si>
  <si>
    <t xml:space="preserve">Litio-949</t>
  </si>
  <si>
    <t xml:space="preserve">Zizcar SpA</t>
  </si>
  <si>
    <t xml:space="preserve">Exterior E-166</t>
  </si>
  <si>
    <t xml:space="preserve">Zuvar Control</t>
  </si>
  <si>
    <t xml:space="preserve">Exterior E-172</t>
  </si>
  <si>
    <t xml:space="preserve">Advanced Mining Technology Center (AMTC) Universidad De Chile</t>
  </si>
  <si>
    <t xml:space="preserve">Explorar alianza comercial / reventa a sus clientes</t>
  </si>
  <si>
    <t xml:space="preserve">Canal / aliado – consultoría SST</t>
  </si>
  <si>
    <t xml:space="preserve">Litio-883</t>
  </si>
  <si>
    <t xml:space="preserve">ALS Inspection Chile</t>
  </si>
  <si>
    <t xml:space="preserve">Yodo-678</t>
  </si>
  <si>
    <t xml:space="preserve">Arcadis</t>
  </si>
  <si>
    <t xml:space="preserve">digitalmedia@arcadis.com</t>
  </si>
  <si>
    <t xml:space="preserve">Exponor 2026. También en CRM Directorio SSO 2026 (ID 187); contacto heredado = filial Perú.</t>
  </si>
  <si>
    <t xml:space="preserve">Cobre-129</t>
  </si>
  <si>
    <t xml:space="preserve">www.arcadis.com</t>
  </si>
  <si>
    <t xml:space="preserve">Directorio SSO (ID 187)</t>
  </si>
  <si>
    <t xml:space="preserve">Asesorias Kenosis SpA</t>
  </si>
  <si>
    <t xml:space="preserve">Litio-844</t>
  </si>
  <si>
    <t xml:space="preserve">BBA</t>
  </si>
  <si>
    <t xml:space="preserve">Yodo-716</t>
  </si>
  <si>
    <t xml:space="preserve">BCH Consulting Chile SpA</t>
  </si>
  <si>
    <t xml:space="preserve">Oro-1102</t>
  </si>
  <si>
    <t xml:space="preserve">BRM Consultores</t>
  </si>
  <si>
    <t xml:space="preserve">Yodo-785</t>
  </si>
  <si>
    <t xml:space="preserve">Bureau Veritas</t>
  </si>
  <si>
    <t xml:space="preserve">ventasbv.pe@bureauveritas.com</t>
  </si>
  <si>
    <t xml:space="preserve">Exponor 2026. También en CRM Directorio SSO 2026 (ID 190); contacto heredado = filial Perú.</t>
  </si>
  <si>
    <t xml:space="preserve">Litio-867 y 869</t>
  </si>
  <si>
    <t xml:space="preserve">www.bureauveritas.pe</t>
  </si>
  <si>
    <t xml:space="preserve">924074292</t>
  </si>
  <si>
    <t xml:space="preserve">Directorio SSO (ID 190)</t>
  </si>
  <si>
    <t xml:space="preserve">Capelec Capacitaciones &amp; Ingeniería Electrica</t>
  </si>
  <si>
    <t xml:space="preserve">Litio-894</t>
  </si>
  <si>
    <t xml:space="preserve">Cefomin</t>
  </si>
  <si>
    <t xml:space="preserve">Exterior C-83</t>
  </si>
  <si>
    <t xml:space="preserve">Centro de Innovación UC Anacleto Anfelini</t>
  </si>
  <si>
    <t xml:space="preserve">Exterior E-147</t>
  </si>
  <si>
    <t xml:space="preserve">CGP Consulting</t>
  </si>
  <si>
    <t xml:space="preserve">Cobalto-1344</t>
  </si>
  <si>
    <t xml:space="preserve">Copper Capacitación</t>
  </si>
  <si>
    <t xml:space="preserve">Oro-1192</t>
  </si>
  <si>
    <t xml:space="preserve">Dank Consultores</t>
  </si>
  <si>
    <t xml:space="preserve">Yodo-654 y 655</t>
  </si>
  <si>
    <t xml:space="preserve">Dictuc</t>
  </si>
  <si>
    <t xml:space="preserve">Litio-850</t>
  </si>
  <si>
    <t xml:space="preserve">DZF Certifica SpA</t>
  </si>
  <si>
    <t xml:space="preserve">Molibdeno-1299</t>
  </si>
  <si>
    <t xml:space="preserve">Fid Seguros</t>
  </si>
  <si>
    <t xml:space="preserve">Cobalto-1376</t>
  </si>
  <si>
    <t xml:space="preserve">Fulcro: Centro Chilevalora</t>
  </si>
  <si>
    <t xml:space="preserve">Litio-862</t>
  </si>
  <si>
    <t xml:space="preserve">Hazard Control</t>
  </si>
  <si>
    <t xml:space="preserve">Oro-1105</t>
  </si>
  <si>
    <t xml:space="preserve">Idiem</t>
  </si>
  <si>
    <t xml:space="preserve">Litio-884 y 886</t>
  </si>
  <si>
    <t xml:space="preserve">Inerco</t>
  </si>
  <si>
    <t xml:space="preserve">Cobre-192</t>
  </si>
  <si>
    <t xml:space="preserve">Ingeniería en Evolución</t>
  </si>
  <si>
    <t xml:space="preserve">Oro-1108</t>
  </si>
  <si>
    <t xml:space="preserve">Isotempo Consulting &amp; Solutions</t>
  </si>
  <si>
    <t xml:space="preserve">Litio-914</t>
  </si>
  <si>
    <t xml:space="preserve">Lean Institute Chile</t>
  </si>
  <si>
    <t xml:space="preserve">Molibdeno-1243</t>
  </si>
  <si>
    <t xml:space="preserve">M-Risk</t>
  </si>
  <si>
    <t xml:space="preserve">Oro-1182</t>
  </si>
  <si>
    <t xml:space="preserve">Otic CCHC</t>
  </si>
  <si>
    <t xml:space="preserve">Molibdeno-1294</t>
  </si>
  <si>
    <t xml:space="preserve">Petra Academy OTEC Ltda</t>
  </si>
  <si>
    <t xml:space="preserve">Oro-1120</t>
  </si>
  <si>
    <t xml:space="preserve">PQC Consultores</t>
  </si>
  <si>
    <t xml:space="preserve">Litio-866</t>
  </si>
  <si>
    <t xml:space="preserve">Rina Consulting SpA</t>
  </si>
  <si>
    <t xml:space="preserve">Italia</t>
  </si>
  <si>
    <t xml:space="preserve">Cobre-133B</t>
  </si>
  <si>
    <t xml:space="preserve">Rocktrain SpA</t>
  </si>
  <si>
    <t xml:space="preserve">Plata-624</t>
  </si>
  <si>
    <t xml:space="preserve">Solutiva Consultores</t>
  </si>
  <si>
    <t xml:space="preserve">Litio-837</t>
  </si>
  <si>
    <t xml:space="preserve">Universidad Católica de la Santísima Concepción-UCSC</t>
  </si>
  <si>
    <t xml:space="preserve">Exterior E-145</t>
  </si>
  <si>
    <t xml:space="preserve">Universidad Católica del Norte</t>
  </si>
  <si>
    <t xml:space="preserve">Cobalto-1406 y 1407</t>
  </si>
  <si>
    <t xml:space="preserve">Universidad de Antofagasta</t>
  </si>
  <si>
    <t xml:space="preserve">Litio-1010</t>
  </si>
  <si>
    <t xml:space="preserve">Universidad de las Américas</t>
  </si>
  <si>
    <t xml:space="preserve">Cobalto-1360</t>
  </si>
  <si>
    <t xml:space="preserve">Universidad Mayor</t>
  </si>
  <si>
    <t xml:space="preserve">Oro-1187</t>
  </si>
  <si>
    <t xml:space="preserve">Veritas Corredores de Seguros</t>
  </si>
  <si>
    <t xml:space="preserve">Molibdeno-1287</t>
  </si>
  <si>
    <t xml:space="preserve">XP Onboarding &amp; Training</t>
  </si>
  <si>
    <t xml:space="preserve">Cobalto-1373</t>
  </si>
  <si>
    <t xml:space="preserve">Atlas Copco</t>
  </si>
  <si>
    <t xml:space="preserve">Suecia</t>
  </si>
  <si>
    <t xml:space="preserve">compresores.peru@pe.atlascopco.com</t>
  </si>
  <si>
    <t xml:space="preserve">Media</t>
  </si>
  <si>
    <t xml:space="preserve">Explorar integración con flota/equipos (visión + telemetría)</t>
  </si>
  <si>
    <t xml:space="preserve">Exponor 2026. Varios stands (mayor inversión). También en CRM Directorio SSO 2026 (ID 534); contacto heredado = filial Perú.</t>
  </si>
  <si>
    <t xml:space="preserve">Partner OEM – equipos mineros</t>
  </si>
  <si>
    <t xml:space="preserve">Oro-1055, Cobre-115</t>
  </si>
  <si>
    <t xml:space="preserve">www.atlascopco.com.pe</t>
  </si>
  <si>
    <t xml:space="preserve">080077877</t>
  </si>
  <si>
    <t xml:space="preserve">Directorio SSO (ID 534)</t>
  </si>
  <si>
    <t xml:space="preserve">Boart Longyear</t>
  </si>
  <si>
    <t xml:space="preserve">info@boartlongyear.com</t>
  </si>
  <si>
    <t xml:space="preserve">Exponor 2026. También en CRM Directorio SSO 2026 (ID 16); contacto heredado = filial Perú. También expone en ExpoMina 2026 (ID 86).</t>
  </si>
  <si>
    <t xml:space="preserve">Cobre-212</t>
  </si>
  <si>
    <t xml:space="preserve">www.boartlongyear.com</t>
  </si>
  <si>
    <t xml:space="preserve">2034200</t>
  </si>
  <si>
    <t xml:space="preserve">Directorio SSO (ID 16); ExpoMina (ID 86)</t>
  </si>
  <si>
    <t xml:space="preserve">CAEX Latin America SpA</t>
  </si>
  <si>
    <t xml:space="preserve">Molibdeno-1258</t>
  </si>
  <si>
    <t xml:space="preserve">China Railway Construction Heavy Industry Corporation Limited</t>
  </si>
  <si>
    <t xml:space="preserve">Plata-440</t>
  </si>
  <si>
    <t xml:space="preserve">Combilift</t>
  </si>
  <si>
    <t xml:space="preserve">Exponor 2026. También expone en ExpoMina 2026 (ID 371). Sin contacto publicado.</t>
  </si>
  <si>
    <t xml:space="preserve">Cobalto-1367</t>
  </si>
  <si>
    <t xml:space="preserve">https://combilift.com/</t>
  </si>
  <si>
    <t xml:space="preserve">ExpoMina (ID 371)</t>
  </si>
  <si>
    <t xml:space="preserve">Cummins Chile</t>
  </si>
  <si>
    <t xml:space="preserve">Oro-1058 y 1093</t>
  </si>
  <si>
    <t xml:space="preserve">Detroit</t>
  </si>
  <si>
    <t xml:space="preserve">Exterior B-53</t>
  </si>
  <si>
    <t xml:space="preserve">Epiroc Cono Sur</t>
  </si>
  <si>
    <t xml:space="preserve">Exterior A-002, 003 y 004</t>
  </si>
  <si>
    <t xml:space="preserve">Faymonville</t>
  </si>
  <si>
    <t xml:space="preserve">Bélgica</t>
  </si>
  <si>
    <t xml:space="preserve">Cobre-145</t>
  </si>
  <si>
    <t xml:space="preserve">Goldhofer</t>
  </si>
  <si>
    <t xml:space="preserve">Cobre-44</t>
  </si>
  <si>
    <t xml:space="preserve">Heli Forklift Chile SpA</t>
  </si>
  <si>
    <t xml:space="preserve">Exterior E-129 y 130</t>
  </si>
  <si>
    <t xml:space="preserve">Herrenknecht</t>
  </si>
  <si>
    <t xml:space="preserve">Cobre-53</t>
  </si>
  <si>
    <t xml:space="preserve">Hunan Sunward Mining And Rock Excavation Equipment Co.,Ltd</t>
  </si>
  <si>
    <t xml:space="preserve">Plata-452</t>
  </si>
  <si>
    <t xml:space="preserve">Jac Forklift</t>
  </si>
  <si>
    <t xml:space="preserve">Litio-1013 y 1014</t>
  </si>
  <si>
    <t xml:space="preserve">JCB</t>
  </si>
  <si>
    <t xml:space="preserve">Reino Unido</t>
  </si>
  <si>
    <t xml:space="preserve">Hierro-1482</t>
  </si>
  <si>
    <t xml:space="preserve">Jikai Equipment Manufacturing Co., Ltd</t>
  </si>
  <si>
    <t xml:space="preserve">Plata-362</t>
  </si>
  <si>
    <t xml:space="preserve">Liebherr</t>
  </si>
  <si>
    <t xml:space="preserve">Exterior D-111-112 y 113</t>
  </si>
  <si>
    <t xml:space="preserve">MAN y Volkswagen Camiones</t>
  </si>
  <si>
    <t xml:space="preserve">Exterior B-61 y 62</t>
  </si>
  <si>
    <t xml:space="preserve">Metso</t>
  </si>
  <si>
    <t xml:space="preserve">Finlandia</t>
  </si>
  <si>
    <t xml:space="preserve">Exponor 2026. También expone en ExpoMina 2026 (ID 93). Sin contacto publicado.</t>
  </si>
  <si>
    <t xml:space="preserve">Cobre-100</t>
  </si>
  <si>
    <t xml:space="preserve">https://www.metso.com/pe/</t>
  </si>
  <si>
    <t xml:space="preserve">ExpoMina (ID 93)</t>
  </si>
  <si>
    <t xml:space="preserve">MI-Jack</t>
  </si>
  <si>
    <t xml:space="preserve">Exponor 2026. También expone en ExpoMina 2026 (ID 686). Sin contacto publicado.</t>
  </si>
  <si>
    <t xml:space="preserve">Molibdeno-1219</t>
  </si>
  <si>
    <t xml:space="preserve">www.mi-jack.com</t>
  </si>
  <si>
    <t xml:space="preserve">ExpoMina (ID 686)</t>
  </si>
  <si>
    <t xml:space="preserve">Michelin</t>
  </si>
  <si>
    <t xml:space="preserve">Cobre-163A y 164</t>
  </si>
  <si>
    <t xml:space="preserve">Mitsubushi Motors</t>
  </si>
  <si>
    <t xml:space="preserve">Molibdeno-1300-1301 y 1302</t>
  </si>
  <si>
    <t xml:space="preserve">Sany Transmission Division</t>
  </si>
  <si>
    <t xml:space="preserve">Plata-388</t>
  </si>
  <si>
    <t xml:space="preserve">Shaanxi Komatsu Spare Parts Sales Co. Ltd</t>
  </si>
  <si>
    <t xml:space="preserve">Plata-400</t>
  </si>
  <si>
    <t xml:space="preserve">Shandong Linglong Tyre Co., Ltd</t>
  </si>
  <si>
    <t xml:space="preserve">Exterior A-7</t>
  </si>
  <si>
    <t xml:space="preserve">TAKRAF Group</t>
  </si>
  <si>
    <t xml:space="preserve">Cobre-7</t>
  </si>
  <si>
    <t xml:space="preserve">TOMRA Mining</t>
  </si>
  <si>
    <t xml:space="preserve">Cobre-55</t>
  </si>
  <si>
    <t xml:space="preserve">Toyota</t>
  </si>
  <si>
    <t xml:space="preserve">Exponor 2026. También en CRM Directorio SSO 2026 (ID 665); contacto heredado = filial Perú. También expone en ExpoMina 2026 (ID 265).</t>
  </si>
  <si>
    <t xml:space="preserve">Exterior A-26</t>
  </si>
  <si>
    <t xml:space="preserve">www.toyotaperu.com.pe</t>
  </si>
  <si>
    <t xml:space="preserve">6111000 / 080000669 / 6168600</t>
  </si>
  <si>
    <t xml:space="preserve">Directorio SSO (ID 665); ExpoMina (ID 265)</t>
  </si>
  <si>
    <t xml:space="preserve">Wabtec Digital Mine-Industrea Chile</t>
  </si>
  <si>
    <t xml:space="preserve">Cobalto-1358</t>
  </si>
  <si>
    <t xml:space="preserve">XCMG Chile</t>
  </si>
  <si>
    <t xml:space="preserve">Exponor 2026. También expone en ExpoMina 2026 (ID 89). Sin contacto publicado.</t>
  </si>
  <si>
    <t xml:space="preserve">Exterior E-138 y 139</t>
  </si>
  <si>
    <t xml:space="preserve">www.xcmg.pe</t>
  </si>
  <si>
    <t xml:space="preserve">ExpoMina (ID 89)</t>
  </si>
  <si>
    <t xml:space="preserve">3M</t>
  </si>
  <si>
    <t xml:space="preserve">Evaluar como canal de distribución hacia minería/industria</t>
  </si>
  <si>
    <t xml:space="preserve">Canal / distribuidor EPP</t>
  </si>
  <si>
    <t xml:space="preserve">Exterior B-40</t>
  </si>
  <si>
    <t xml:space="preserve">Alcosafe</t>
  </si>
  <si>
    <t xml:space="preserve">Oro-1071 y 1073</t>
  </si>
  <si>
    <t xml:space="preserve">Bata Industrial</t>
  </si>
  <si>
    <t xml:space="preserve">Plata-336</t>
  </si>
  <si>
    <t xml:space="preserve">Bolle Safety</t>
  </si>
  <si>
    <t xml:space="preserve">Cobalto-1391</t>
  </si>
  <si>
    <t xml:space="preserve">Boyuan Safety Chile</t>
  </si>
  <si>
    <t xml:space="preserve">Plata-296</t>
  </si>
  <si>
    <t xml:space="preserve">Comercial Texmundo S.A</t>
  </si>
  <si>
    <t xml:space="preserve">Oro-1119</t>
  </si>
  <si>
    <t xml:space="preserve">Confecciones Butka Ltda</t>
  </si>
  <si>
    <t xml:space="preserve">Molibdeno-1250 y 1251</t>
  </si>
  <si>
    <t xml:space="preserve">Delta Plus - AIR</t>
  </si>
  <si>
    <t xml:space="preserve">Molibdeno-1216</t>
  </si>
  <si>
    <t xml:space="preserve">Drager Chile Ltda</t>
  </si>
  <si>
    <t xml:space="preserve">Cobre-266</t>
  </si>
  <si>
    <t xml:space="preserve">Fábrica de Confecciones Donnely</t>
  </si>
  <si>
    <t xml:space="preserve">Plata-608</t>
  </si>
  <si>
    <t xml:space="preserve">Grupo Maritex</t>
  </si>
  <si>
    <t xml:space="preserve">Plata-377 y 428</t>
  </si>
  <si>
    <t xml:space="preserve">HD Safety RX</t>
  </si>
  <si>
    <t xml:space="preserve">Hierro-1466</t>
  </si>
  <si>
    <t xml:space="preserve">Iron Safety</t>
  </si>
  <si>
    <t xml:space="preserve">Cobre-73</t>
  </si>
  <si>
    <t xml:space="preserve">Jayson - Grupo Texsa</t>
  </si>
  <si>
    <t xml:space="preserve">Plata-545</t>
  </si>
  <si>
    <t xml:space="preserve">MSA Chile</t>
  </si>
  <si>
    <t xml:space="preserve">info.pe@msasafety.com</t>
  </si>
  <si>
    <t xml:space="preserve">Exponor 2026. También en CRM Directorio SSO 2026 (ID 349); contacto heredado = filial Perú.</t>
  </si>
  <si>
    <t xml:space="preserve">Cobre-280</t>
  </si>
  <si>
    <t xml:space="preserve">www.pemsasafety.com</t>
  </si>
  <si>
    <t xml:space="preserve">6180900</t>
  </si>
  <si>
    <t xml:space="preserve">Directorio SSO (ID 349)</t>
  </si>
  <si>
    <t xml:space="preserve">Vicsa Safety</t>
  </si>
  <si>
    <t xml:space="preserve">ventas@vicsasafety.com.pe</t>
  </si>
  <si>
    <t xml:space="preserve">Exponor 2026. También en CRM Directorio SSO 2026 (ID 463); contacto heredado = filial Perú. También expone en ExpoMina 2026 (ID 103).</t>
  </si>
  <si>
    <t xml:space="preserve">Plata-546-547-599 y 600</t>
  </si>
  <si>
    <t xml:space="preserve">www.steelproperu.com</t>
  </si>
  <si>
    <t xml:space="preserve">7157200 / 960840890</t>
  </si>
  <si>
    <t xml:space="preserve">Directorio SSO (ID 463); ExpoMina (ID 103)</t>
  </si>
  <si>
    <t xml:space="preserve">Working Apparel</t>
  </si>
  <si>
    <t xml:space="preserve">Litio-996 - 998 y 999</t>
  </si>
  <si>
    <t xml:space="preserve">Calestarq Seguridad Vial SpA</t>
  </si>
  <si>
    <t xml:space="preserve">Evaluar co-venta o integración de soluciones</t>
  </si>
  <si>
    <t xml:space="preserve">Aliado complementario – seguridad</t>
  </si>
  <si>
    <t xml:space="preserve">Molibdeno-1309</t>
  </si>
  <si>
    <t xml:space="preserve">Diproseg</t>
  </si>
  <si>
    <t xml:space="preserve">Plata-335</t>
  </si>
  <si>
    <t xml:space="preserve">Diseño y protección contra incendios</t>
  </si>
  <si>
    <t xml:space="preserve">Exterior E-116</t>
  </si>
  <si>
    <t xml:space="preserve">Epol Seguridad Vial</t>
  </si>
  <si>
    <t xml:space="preserve">Litio-832</t>
  </si>
  <si>
    <t xml:space="preserve">Firefly AB</t>
  </si>
  <si>
    <t xml:space="preserve">Molibdeno-1257</t>
  </si>
  <si>
    <t xml:space="preserve">Green &amp; Safe</t>
  </si>
  <si>
    <t xml:space="preserve">Cobre-172</t>
  </si>
  <si>
    <t xml:space="preserve">GT Fire</t>
  </si>
  <si>
    <t xml:space="preserve">Exterior A-22</t>
  </si>
  <si>
    <t xml:space="preserve">Iflutech</t>
  </si>
  <si>
    <t xml:space="preserve">ventas@iflutech.com</t>
  </si>
  <si>
    <t xml:space="preserve">Exponor 2026. También en CRM Directorio SSO 2026 (ID 336); contacto heredado = filial Perú. También expone en ExpoMina 2026 (ID 121).</t>
  </si>
  <si>
    <t xml:space="preserve">Plata-340</t>
  </si>
  <si>
    <t xml:space="preserve">www.iflutech.com</t>
  </si>
  <si>
    <t xml:space="preserve">5482323 / 987223441</t>
  </si>
  <si>
    <t xml:space="preserve">Directorio SSO (ID 336); ExpoMina (ID 121)</t>
  </si>
  <si>
    <t xml:space="preserve">Minearc Systems</t>
  </si>
  <si>
    <t xml:space="preserve">roberto.breyer@minearcusa.com</t>
  </si>
  <si>
    <t xml:space="preserve">Exponor 2026. También en CRM Directorio SSO 2026 (ID 347); contacto heredado = filial Perú. También expone en ExpoMina 2026 (ID 124).</t>
  </si>
  <si>
    <t xml:space="preserve">Cobalto-1353</t>
  </si>
  <si>
    <t xml:space="preserve">www.minearc.com</t>
  </si>
  <si>
    <t xml:space="preserve">(+51) 947992239</t>
  </si>
  <si>
    <t xml:space="preserve">Directorio SSO (ID 347); ExpoMina (ID 124)</t>
  </si>
  <si>
    <t xml:space="preserve">Norseg</t>
  </si>
  <si>
    <t xml:space="preserve">Plata-374</t>
  </si>
  <si>
    <t xml:space="preserve">Odis Seguridad</t>
  </si>
  <si>
    <t xml:space="preserve">Plata-535</t>
  </si>
  <si>
    <t xml:space="preserve">Prosegur</t>
  </si>
  <si>
    <t xml:space="preserve">Cobre-260</t>
  </si>
  <si>
    <t xml:space="preserve">Safe Gauge</t>
  </si>
  <si>
    <t xml:space="preserve">Yodo-631</t>
  </si>
  <si>
    <t xml:space="preserve">Safe-T-Products</t>
  </si>
  <si>
    <t xml:space="preserve">Yodo-677</t>
  </si>
  <si>
    <t xml:space="preserve">Safem</t>
  </si>
  <si>
    <t xml:space="preserve">Molibdeno-1232</t>
  </si>
  <si>
    <t xml:space="preserve">Safeme Ltda</t>
  </si>
  <si>
    <t xml:space="preserve">Molibdeno-1276</t>
  </si>
  <si>
    <t xml:space="preserve">Safesmart Access</t>
  </si>
  <si>
    <t xml:space="preserve">Exterior A-27</t>
  </si>
  <si>
    <t xml:space="preserve">Segurycel</t>
  </si>
  <si>
    <t xml:space="preserve">Exterior A-19</t>
  </si>
  <si>
    <t xml:space="preserve">Segusa Chile SpA</t>
  </si>
  <si>
    <t xml:space="preserve">Plata-618</t>
  </si>
  <si>
    <t xml:space="preserve">Tecnisec</t>
  </si>
  <si>
    <t xml:space="preserve">Oro-1156</t>
  </si>
  <si>
    <t xml:space="preserve">Gustavo Martínez</t>
  </si>
  <si>
    <t xml:space="preserve">Vixora</t>
  </si>
  <si>
    <t xml:space="preserve">vixora@vixora.com</t>
  </si>
  <si>
    <t xml:space="preserve">Exponor 2026. También en CRM Directorio SSO 2026 (ID 274); contacto heredado = filial Perú.</t>
  </si>
  <si>
    <t xml:space="preserve">Cobalto-1383</t>
  </si>
  <si>
    <t xml:space="preserve">www.vixora.com</t>
  </si>
  <si>
    <t xml:space="preserve">(+51) 968975716 / (+51) 949063307</t>
  </si>
  <si>
    <t xml:space="preserve">Directorio SSO (ID 274)</t>
  </si>
  <si>
    <t xml:space="preserve">Brain Treatment Center Chile</t>
  </si>
  <si>
    <t xml:space="preserve">Evaluar alianza en salud ocupacional / fatiga</t>
  </si>
  <si>
    <t xml:space="preserve">Aliado complementario – salud</t>
  </si>
  <si>
    <t xml:space="preserve">Plata-484</t>
  </si>
  <si>
    <t xml:space="preserve">Cardio Preparado</t>
  </si>
  <si>
    <t xml:space="preserve">Oro-1191</t>
  </si>
  <si>
    <t xml:space="preserve">Clínica Altos del Desierto</t>
  </si>
  <si>
    <t xml:space="preserve">Oro-1096</t>
  </si>
  <si>
    <t xml:space="preserve">Clinica Bupa Antofagasta</t>
  </si>
  <si>
    <t xml:space="preserve">Cobalto-1443</t>
  </si>
  <si>
    <t xml:space="preserve">Preomed</t>
  </si>
  <si>
    <t xml:space="preserve">Litio-1004</t>
  </si>
  <si>
    <t xml:space="preserve">Preomed Salud Centro Medico Laboral</t>
  </si>
  <si>
    <t xml:space="preserve">Snaqui - Saludable y Sostenible</t>
  </si>
  <si>
    <t xml:space="preserve">Cobalto-1444</t>
  </si>
  <si>
    <t xml:space="preserve">Abimaq</t>
  </si>
  <si>
    <t xml:space="preserve">Networking institucional; identificar contacto de pabellón</t>
  </si>
  <si>
    <t xml:space="preserve">Institución / gremio / pabellón país</t>
  </si>
  <si>
    <t xml:space="preserve">Yodo-775 y 776</t>
  </si>
  <si>
    <t xml:space="preserve">ADIMRA</t>
  </si>
  <si>
    <t xml:space="preserve">Yodo-636B</t>
  </si>
  <si>
    <t xml:space="preserve">Advantage Austria</t>
  </si>
  <si>
    <t xml:space="preserve">Cobre-69</t>
  </si>
  <si>
    <t xml:space="preserve">AHK Chile</t>
  </si>
  <si>
    <t xml:space="preserve">Cobre-47 - 49</t>
  </si>
  <si>
    <t xml:space="preserve">AIE</t>
  </si>
  <si>
    <t xml:space="preserve">Litio-993</t>
  </si>
  <si>
    <t xml:space="preserve">Aprimin</t>
  </si>
  <si>
    <t xml:space="preserve">Oro-1167 y 1168</t>
  </si>
  <si>
    <t xml:space="preserve">Asia Consulting_Servicio al Expositores</t>
  </si>
  <si>
    <t xml:space="preserve">Plata-494</t>
  </si>
  <si>
    <t xml:space="preserve">Asociación Consejo de Pueblos Atacameños (CPA)</t>
  </si>
  <si>
    <t xml:space="preserve">Hierro-1494</t>
  </si>
  <si>
    <t xml:space="preserve">Austmine</t>
  </si>
  <si>
    <t xml:space="preserve">Yodo-669-670-671 y 672</t>
  </si>
  <si>
    <t xml:space="preserve">AWEX</t>
  </si>
  <si>
    <t xml:space="preserve">Cobre-143</t>
  </si>
  <si>
    <t xml:space="preserve">British Chilean Chamber of Commerce</t>
  </si>
  <si>
    <t xml:space="preserve">Hierro-1483</t>
  </si>
  <si>
    <t xml:space="preserve">British Embassy in Chile</t>
  </si>
  <si>
    <t xml:space="preserve">Hierro-1473</t>
  </si>
  <si>
    <t xml:space="preserve">Cámara Chileno Finlandesa de Comercio</t>
  </si>
  <si>
    <t xml:space="preserve">Cobre-99</t>
  </si>
  <si>
    <t xml:space="preserve">Cámara Chileno Suiza de Comercio</t>
  </si>
  <si>
    <t xml:space="preserve">Cámara de Comercio Peruano-Chilena</t>
  </si>
  <si>
    <t xml:space="preserve">Plata-562</t>
  </si>
  <si>
    <t xml:space="preserve">Colegio Técnico Industrial Don Bosco</t>
  </si>
  <si>
    <t xml:space="preserve">Plata-525</t>
  </si>
  <si>
    <t xml:space="preserve">Corporación Cluster Minero Región Antofagasta</t>
  </si>
  <si>
    <t xml:space="preserve">Molibdeno-1274</t>
  </si>
  <si>
    <t xml:space="preserve">Corporación Proloa</t>
  </si>
  <si>
    <t xml:space="preserve">Yodo-760</t>
  </si>
  <si>
    <t xml:space="preserve">Delegación Presidencial Regional de Antofagasta</t>
  </si>
  <si>
    <t xml:space="preserve">Oro-1047</t>
  </si>
  <si>
    <t xml:space="preserve">Editorial Norpress SpA</t>
  </si>
  <si>
    <t xml:space="preserve">Cobre-197</t>
  </si>
  <si>
    <t xml:space="preserve">El Mercurio</t>
  </si>
  <si>
    <t xml:space="preserve">Litio-889</t>
  </si>
  <si>
    <t xml:space="preserve">El Mercurio de Antofagasta</t>
  </si>
  <si>
    <t xml:space="preserve">Plata-294</t>
  </si>
  <si>
    <t xml:space="preserve">Embajada de Finlandia</t>
  </si>
  <si>
    <t xml:space="preserve">Embajada de Hungría en Santiago</t>
  </si>
  <si>
    <t xml:space="preserve">Cobre-123</t>
  </si>
  <si>
    <t xml:space="preserve">Embajada de Suecia en Chile</t>
  </si>
  <si>
    <t xml:space="preserve">Cobre-113</t>
  </si>
  <si>
    <t xml:space="preserve">Expomin 2027</t>
  </si>
  <si>
    <t xml:space="preserve">Litio-900</t>
  </si>
  <si>
    <t xml:space="preserve">Fuerza Aérea de Chile - Dirección Espacial</t>
  </si>
  <si>
    <t xml:space="preserve">Yodo-779</t>
  </si>
  <si>
    <t xml:space="preserve">Fundación ProSALTA</t>
  </si>
  <si>
    <t xml:space="preserve">Yodo-635B</t>
  </si>
  <si>
    <t xml:space="preserve">Gobierno de Ontario, Canadá</t>
  </si>
  <si>
    <t xml:space="preserve">Hierro-1487A</t>
  </si>
  <si>
    <t xml:space="preserve">Gobierno Regional de Antofagasta</t>
  </si>
  <si>
    <t xml:space="preserve">Molibdeno-1340</t>
  </si>
  <si>
    <t xml:space="preserve">I. Municipalidad de Antofagasta</t>
  </si>
  <si>
    <t xml:space="preserve">Oro-1194</t>
  </si>
  <si>
    <t xml:space="preserve">ICEX</t>
  </si>
  <si>
    <t xml:space="preserve">Cobre-191</t>
  </si>
  <si>
    <t xml:space="preserve">Instituto de Ingenieros de Minas del Perú - IIMP</t>
  </si>
  <si>
    <t xml:space="preserve">Yodo-640</t>
  </si>
  <si>
    <t xml:space="preserve">Invest Quebec International</t>
  </si>
  <si>
    <t xml:space="preserve">ITA - Agencia Italiana para el Comercio Exterior</t>
  </si>
  <si>
    <t xml:space="preserve">Cobre-132</t>
  </si>
  <si>
    <t xml:space="preserve">Japan External Trade Organization</t>
  </si>
  <si>
    <t xml:space="preserve">Litio-898A</t>
  </si>
  <si>
    <t xml:space="preserve">La Cámara de Comercio e Industria Franco Chilena</t>
  </si>
  <si>
    <t xml:space="preserve">Cobre-166 y 167</t>
  </si>
  <si>
    <t xml:space="preserve">Liceo Industrial Eulogio Gordo Moneo</t>
  </si>
  <si>
    <t xml:space="preserve">Cobalto-1421</t>
  </si>
  <si>
    <t xml:space="preserve">Medio Minería Chilena</t>
  </si>
  <si>
    <t xml:space="preserve">Oro-1155 y 1176</t>
  </si>
  <si>
    <t xml:space="preserve">Meeting Point Kallman Worldwide</t>
  </si>
  <si>
    <t xml:space="preserve">Cobre-255</t>
  </si>
  <si>
    <t xml:space="preserve">Messe Franfkurt Argentina</t>
  </si>
  <si>
    <t xml:space="preserve">Yodo-636</t>
  </si>
  <si>
    <t xml:space="preserve">Minegroup Congresos Mineros</t>
  </si>
  <si>
    <t xml:space="preserve">Yodo-798</t>
  </si>
  <si>
    <t xml:space="preserve">MSTA Canadá</t>
  </si>
  <si>
    <t xml:space="preserve">Yodo-721 y 722</t>
  </si>
  <si>
    <t xml:space="preserve">Multimedios Producciones SpA</t>
  </si>
  <si>
    <t xml:space="preserve">Cobalto-1403</t>
  </si>
  <si>
    <t xml:space="preserve">Municipalidad de Ollague</t>
  </si>
  <si>
    <t xml:space="preserve">Molibdeno-1331</t>
  </si>
  <si>
    <t xml:space="preserve">Netherlands Lounge</t>
  </si>
  <si>
    <t xml:space="preserve">Cobre-131C</t>
  </si>
  <si>
    <t xml:space="preserve">Opportunities New Brunswick</t>
  </si>
  <si>
    <t xml:space="preserve">Yodo-735</t>
  </si>
  <si>
    <t xml:space="preserve">Polska Agencja Inwestycji I Handlu Spolka Akcyjna, Agencia en Chile</t>
  </si>
  <si>
    <t xml:space="preserve">Polonia</t>
  </si>
  <si>
    <t xml:space="preserve">Cobre-186</t>
  </si>
  <si>
    <t xml:space="preserve">Prochile Antofagasta</t>
  </si>
  <si>
    <t xml:space="preserve">Yodo-754-755-756-757-758-785-786-787 y 788</t>
  </si>
  <si>
    <t xml:space="preserve">PromArgentina</t>
  </si>
  <si>
    <t xml:space="preserve">Yodo-637</t>
  </si>
  <si>
    <t xml:space="preserve">PromPerú</t>
  </si>
  <si>
    <t xml:space="preserve">Plata-582</t>
  </si>
  <si>
    <t xml:space="preserve">Radio Antofagasta</t>
  </si>
  <si>
    <t xml:space="preserve">Exterior E-144B</t>
  </si>
  <si>
    <t xml:space="preserve">Región de los Ríos</t>
  </si>
  <si>
    <t xml:space="preserve">Molibdeno-1334 y 1335</t>
  </si>
  <si>
    <t xml:space="preserve">Reporte Minero</t>
  </si>
  <si>
    <t xml:space="preserve">Exterior C-75A</t>
  </si>
  <si>
    <t xml:space="preserve">Revista Minera Crisol</t>
  </si>
  <si>
    <t xml:space="preserve">Molibdeno-1268</t>
  </si>
  <si>
    <t xml:space="preserve">Revista Nueva Minera y Energía</t>
  </si>
  <si>
    <t xml:space="preserve">Cobre-152</t>
  </si>
  <si>
    <t xml:space="preserve">Servicio al Expositor-Asia Consulting</t>
  </si>
  <si>
    <t xml:space="preserve">Plata-495</t>
  </si>
  <si>
    <t xml:space="preserve">Trade and Investment Queensland</t>
  </si>
  <si>
    <t xml:space="preserve">Yodo-667 y 668</t>
  </si>
  <si>
    <t xml:space="preserve">Unión Europea</t>
  </si>
  <si>
    <t xml:space="preserve">Cobre-081, 082, 083, 108, 109 y 110</t>
  </si>
  <si>
    <t xml:space="preserve">Banco Estado</t>
  </si>
  <si>
    <t xml:space="preserve">Baja</t>
  </si>
  <si>
    <t xml:space="preserve">Nutrir con contenido; sin acción comercial inmediata</t>
  </si>
  <si>
    <t xml:space="preserve">Exponor 2026. Varios stands (mayor inversión). Sin contacto publicado.</t>
  </si>
  <si>
    <t xml:space="preserve">Proveedor industrial (equipos/insumos)</t>
  </si>
  <si>
    <t xml:space="preserve">Molibdeno-1223, Cobre-17B</t>
  </si>
  <si>
    <t xml:space="preserve">Duhomec SpA</t>
  </si>
  <si>
    <t xml:space="preserve">Oro-1134, Exterior E-171</t>
  </si>
  <si>
    <t xml:space="preserve">IMAQSA</t>
  </si>
  <si>
    <t xml:space="preserve">Hierro-1505, Molibdeno-1328</t>
  </si>
  <si>
    <t xml:space="preserve">Pureli</t>
  </si>
  <si>
    <t xml:space="preserve">Litio-845, Exterior E-170</t>
  </si>
  <si>
    <t xml:space="preserve">3HZ Solar</t>
  </si>
  <si>
    <t xml:space="preserve">Plata-394</t>
  </si>
  <si>
    <t xml:space="preserve">3T Maquinarias</t>
  </si>
  <si>
    <t xml:space="preserve">Cobre-26</t>
  </si>
  <si>
    <t xml:space="preserve">4-D Ag World</t>
  </si>
  <si>
    <t xml:space="preserve">Cobre-241</t>
  </si>
  <si>
    <t xml:space="preserve">A Marshall Moffat</t>
  </si>
  <si>
    <t xml:space="preserve">Molibdeno-1312</t>
  </si>
  <si>
    <t xml:space="preserve">A&amp;B Electrónica Industrial</t>
  </si>
  <si>
    <t xml:space="preserve">Oro-1131</t>
  </si>
  <si>
    <t xml:space="preserve">AABRA Mineral Processing Technology</t>
  </si>
  <si>
    <t xml:space="preserve">Yodo-676</t>
  </si>
  <si>
    <t xml:space="preserve">Aati Cathode Co., Ltd</t>
  </si>
  <si>
    <t xml:space="preserve">Plata-508</t>
  </si>
  <si>
    <t xml:space="preserve">Abastible</t>
  </si>
  <si>
    <t xml:space="preserve">Litio-1030 y 1031</t>
  </si>
  <si>
    <t xml:space="preserve">ABB S.A</t>
  </si>
  <si>
    <t xml:space="preserve">contact.center@pe.abb.com</t>
  </si>
  <si>
    <t xml:space="preserve">Exponor 2026. También en CRM Directorio SSO 2026 (ID 512); contacto heredado = filial Perú.</t>
  </si>
  <si>
    <t xml:space="preserve">www.new.abb.com/south-america</t>
  </si>
  <si>
    <t xml:space="preserve">4155100</t>
  </si>
  <si>
    <t xml:space="preserve">Directorio SSO (ID 512)</t>
  </si>
  <si>
    <t xml:space="preserve">ABC Composites EIRL</t>
  </si>
  <si>
    <t xml:space="preserve">Perú (por validar)</t>
  </si>
  <si>
    <t xml:space="preserve">Exponor 2026. País inferido; validar. Sin contacto publicado.</t>
  </si>
  <si>
    <t xml:space="preserve">Litio-942</t>
  </si>
  <si>
    <t xml:space="preserve">ABCDUST</t>
  </si>
  <si>
    <t xml:space="preserve">Yodo-680</t>
  </si>
  <si>
    <t xml:space="preserve">ABS Sfere SRL</t>
  </si>
  <si>
    <t xml:space="preserve">Cobre-135A</t>
  </si>
  <si>
    <t xml:space="preserve">Accionet</t>
  </si>
  <si>
    <t xml:space="preserve">Molibdeno-1259</t>
  </si>
  <si>
    <t xml:space="preserve">Accor</t>
  </si>
  <si>
    <t xml:space="preserve">Cobre-167A</t>
  </si>
  <si>
    <t xml:space="preserve">Accuaproduct</t>
  </si>
  <si>
    <t xml:space="preserve">ventas@accuaproduct.com</t>
  </si>
  <si>
    <t xml:space="preserve">Exponor 2026. También en CRM Directorio SSO 2026 (ID 515). También expone en ExpoMina 2026 (ID 153).</t>
  </si>
  <si>
    <t xml:space="preserve">Plata-563</t>
  </si>
  <si>
    <t xml:space="preserve">www.accuaproduct.com</t>
  </si>
  <si>
    <t xml:space="preserve">4361400</t>
  </si>
  <si>
    <t xml:space="preserve">Directorio SSO (ID 515); ExpoMina (ID 153)</t>
  </si>
  <si>
    <t xml:space="preserve">Acer Sp. z o.o</t>
  </si>
  <si>
    <t xml:space="preserve">Cobre-186A</t>
  </si>
  <si>
    <t xml:space="preserve">Acoforja</t>
  </si>
  <si>
    <t xml:space="preserve">Yodo-813</t>
  </si>
  <si>
    <t xml:space="preserve">Acsa Mining</t>
  </si>
  <si>
    <t xml:space="preserve">Exterior B-67 y 68</t>
  </si>
  <si>
    <t xml:space="preserve">ADCleantech</t>
  </si>
  <si>
    <t xml:space="preserve">Oro-1122</t>
  </si>
  <si>
    <t xml:space="preserve">Aderco International S.A</t>
  </si>
  <si>
    <t xml:space="preserve">Yodo-687</t>
  </si>
  <si>
    <t xml:space="preserve">Adler Steel Chile</t>
  </si>
  <si>
    <t xml:space="preserve">Cobalto-1430</t>
  </si>
  <si>
    <t xml:space="preserve">AES Chile</t>
  </si>
  <si>
    <t xml:space="preserve">Litio-978</t>
  </si>
  <si>
    <t xml:space="preserve">Aggreko</t>
  </si>
  <si>
    <t xml:space="preserve">Hierro-1481</t>
  </si>
  <si>
    <t xml:space="preserve">Agro Arcadia SpA</t>
  </si>
  <si>
    <t xml:space="preserve">Exterior E-177</t>
  </si>
  <si>
    <t xml:space="preserve">Agroandina - Trans Flex</t>
  </si>
  <si>
    <t xml:space="preserve">Plata-607</t>
  </si>
  <si>
    <t xml:space="preserve">AGS Soluciones</t>
  </si>
  <si>
    <t xml:space="preserve">Litio-926</t>
  </si>
  <si>
    <t xml:space="preserve">Aimix Group Co., Ltd</t>
  </si>
  <si>
    <t xml:space="preserve">Exponor 2026. También expone en ExpoMina 2026 (ID 291). Sin contacto publicado.</t>
  </si>
  <si>
    <t xml:space="preserve">Plata-304</t>
  </si>
  <si>
    <t xml:space="preserve">www.aimix-group.com</t>
  </si>
  <si>
    <t xml:space="preserve">ExpoMina (ID 291)</t>
  </si>
  <si>
    <t xml:space="preserve">Al Exito SpA</t>
  </si>
  <si>
    <t xml:space="preserve">Litio-950</t>
  </si>
  <si>
    <t xml:space="preserve">Albarrie Canada Ltd</t>
  </si>
  <si>
    <t xml:space="preserve">Hierro-1470A</t>
  </si>
  <si>
    <t xml:space="preserve">ALETEK</t>
  </si>
  <si>
    <t xml:space="preserve">Yodo-673 y 674</t>
  </si>
  <si>
    <t xml:space="preserve">Alfa Laval</t>
  </si>
  <si>
    <t xml:space="preserve">Cobre-111 y 112</t>
  </si>
  <si>
    <t xml:space="preserve">Alfa people</t>
  </si>
  <si>
    <t xml:space="preserve">Cobalto-1413</t>
  </si>
  <si>
    <t xml:space="preserve">Alfamine</t>
  </si>
  <si>
    <t xml:space="preserve">Cobre-87</t>
  </si>
  <si>
    <t xml:space="preserve">Alianza</t>
  </si>
  <si>
    <t xml:space="preserve">Oro-1041</t>
  </si>
  <si>
    <t xml:space="preserve">Allied Machine &amp; Engineering</t>
  </si>
  <si>
    <t xml:space="preserve">Cobre-279</t>
  </si>
  <si>
    <t xml:space="preserve">Alma</t>
  </si>
  <si>
    <t xml:space="preserve">Oro-1128</t>
  </si>
  <si>
    <t xml:space="preserve">Almanorte SpA</t>
  </si>
  <si>
    <t xml:space="preserve">Hierro-1454</t>
  </si>
  <si>
    <t xml:space="preserve">Almar Water Servicios Latam</t>
  </si>
  <si>
    <t xml:space="preserve">Litio-846</t>
  </si>
  <si>
    <t xml:space="preserve">Altapro</t>
  </si>
  <si>
    <t xml:space="preserve">Oro-1069</t>
  </si>
  <si>
    <t xml:space="preserve">American Air</t>
  </si>
  <si>
    <t xml:space="preserve">Cobre-208</t>
  </si>
  <si>
    <t xml:space="preserve">American Parts SpA</t>
  </si>
  <si>
    <t xml:space="preserve">Exterior B-46</t>
  </si>
  <si>
    <t xml:space="preserve">Americorp Group</t>
  </si>
  <si>
    <t xml:space="preserve">Plata-563A</t>
  </si>
  <si>
    <t xml:space="preserve">AMR Pro</t>
  </si>
  <si>
    <t xml:space="preserve">Cobalto-1408</t>
  </si>
  <si>
    <t xml:space="preserve">AMSE</t>
  </si>
  <si>
    <t xml:space="preserve">Litio-975</t>
  </si>
  <si>
    <t xml:space="preserve">AMSEC SpA</t>
  </si>
  <si>
    <t xml:space="preserve">Cobalto-1394 y 1395</t>
  </si>
  <si>
    <t xml:space="preserve">ANAM</t>
  </si>
  <si>
    <t xml:space="preserve">Oro-1202</t>
  </si>
  <si>
    <t xml:space="preserve">Andeslevers SpA</t>
  </si>
  <si>
    <t xml:space="preserve">Oro-1106</t>
  </si>
  <si>
    <t xml:space="preserve">Anhui Ningguo Ninghu Steel Ball Co., Ltd</t>
  </si>
  <si>
    <t xml:space="preserve">Hierro-1498</t>
  </si>
  <si>
    <t xml:space="preserve">Anhui Tianrun Chemicals Co., Ltd</t>
  </si>
  <si>
    <t xml:space="preserve">Plata-324</t>
  </si>
  <si>
    <t xml:space="preserve">Anphoterol® - Pronect</t>
  </si>
  <si>
    <t xml:space="preserve">Cobre-223</t>
  </si>
  <si>
    <t xml:space="preserve">Anshan Anzhong Mining Machinery Co., Ltd</t>
  </si>
  <si>
    <t xml:space="preserve">Exponor 2026. También expone en ExpoMina 2026 (ID 307). Sin contacto publicado.</t>
  </si>
  <si>
    <t xml:space="preserve">Plata-448</t>
  </si>
  <si>
    <t xml:space="preserve">www.screensaz.com</t>
  </si>
  <si>
    <t xml:space="preserve">ExpoMina (ID 307)</t>
  </si>
  <si>
    <t xml:space="preserve">Anshan Gangfeng Fan Co., Ltd</t>
  </si>
  <si>
    <t xml:space="preserve">Plata-369</t>
  </si>
  <si>
    <t xml:space="preserve">Antares Acoplamentos</t>
  </si>
  <si>
    <t xml:space="preserve">Yodo-810</t>
  </si>
  <si>
    <t xml:space="preserve">Apro</t>
  </si>
  <si>
    <t xml:space="preserve">Plata-488</t>
  </si>
  <si>
    <t xml:space="preserve">Aramine</t>
  </si>
  <si>
    <t xml:space="preserve">Cobre-164A</t>
  </si>
  <si>
    <t xml:space="preserve">Araya y Cía. Ltda</t>
  </si>
  <si>
    <t xml:space="preserve">Oro-1091</t>
  </si>
  <si>
    <t xml:space="preserve">Arb Conveyors Limited</t>
  </si>
  <si>
    <t xml:space="preserve">Plata-490</t>
  </si>
  <si>
    <t xml:space="preserve">Arcotex</t>
  </si>
  <si>
    <t xml:space="preserve">Oro-1179</t>
  </si>
  <si>
    <t xml:space="preserve">Aros del Pacífico SpA</t>
  </si>
  <si>
    <t xml:space="preserve">Exponor 2026. También expone en ExpoMina 2026 (ID 159). Sin contacto publicado.</t>
  </si>
  <si>
    <t xml:space="preserve">Cobre-242</t>
  </si>
  <si>
    <t xml:space="preserve">www.aros.com.pe</t>
  </si>
  <si>
    <t xml:space="preserve">ExpoMina (ID 159)</t>
  </si>
  <si>
    <t xml:space="preserve">Arquimed</t>
  </si>
  <si>
    <t xml:space="preserve">Litio-904</t>
  </si>
  <si>
    <t xml:space="preserve">Arval Chile</t>
  </si>
  <si>
    <t xml:space="preserve">Cobre-162</t>
  </si>
  <si>
    <t xml:space="preserve">Asahi/America, Inc</t>
  </si>
  <si>
    <t xml:space="preserve">Cobre-272</t>
  </si>
  <si>
    <t xml:space="preserve">Ascorp</t>
  </si>
  <si>
    <t xml:space="preserve">Exterior C-95</t>
  </si>
  <si>
    <t xml:space="preserve">ASGCO "Complete Conveyor Solutions"</t>
  </si>
  <si>
    <t xml:space="preserve">Cobre-258</t>
  </si>
  <si>
    <t xml:space="preserve">Aspen SpA</t>
  </si>
  <si>
    <t xml:space="preserve">Oro-1088</t>
  </si>
  <si>
    <t xml:space="preserve">Asset Advisors Chile</t>
  </si>
  <si>
    <t xml:space="preserve">Molibdeno-1240</t>
  </si>
  <si>
    <t xml:space="preserve">AST Industrial Bolting Tools</t>
  </si>
  <si>
    <t xml:space="preserve">Cobre-120</t>
  </si>
  <si>
    <t xml:space="preserve">Astay Systems</t>
  </si>
  <si>
    <t xml:space="preserve">Plata-559</t>
  </si>
  <si>
    <t xml:space="preserve">Asus</t>
  </si>
  <si>
    <t xml:space="preserve">Molibdeno-1233</t>
  </si>
  <si>
    <t xml:space="preserve">Atecmin</t>
  </si>
  <si>
    <t xml:space="preserve">Yodo-742</t>
  </si>
  <si>
    <t xml:space="preserve">AU-Prospect Drilling Tools. Ltd</t>
  </si>
  <si>
    <t xml:space="preserve">Oro-1169</t>
  </si>
  <si>
    <t xml:space="preserve">AUMUND Group</t>
  </si>
  <si>
    <t xml:space="preserve">Cobre-91</t>
  </si>
  <si>
    <t xml:space="preserve">Austin Power</t>
  </si>
  <si>
    <t xml:space="preserve">Cobre-269A</t>
  </si>
  <si>
    <t xml:space="preserve">Austral Chemicals</t>
  </si>
  <si>
    <t xml:space="preserve">Cobre-168</t>
  </si>
  <si>
    <t xml:space="preserve">Automatic Systems</t>
  </si>
  <si>
    <t xml:space="preserve">Cobre-144B</t>
  </si>
  <si>
    <t xml:space="preserve">Avantec</t>
  </si>
  <si>
    <t xml:space="preserve">Plata-489</t>
  </si>
  <si>
    <t xml:space="preserve">Axinntus</t>
  </si>
  <si>
    <t xml:space="preserve">Yodo-643</t>
  </si>
  <si>
    <t xml:space="preserve">AYT</t>
  </si>
  <si>
    <t xml:space="preserve">Plata-370</t>
  </si>
  <si>
    <t xml:space="preserve">AZ Armaturen</t>
  </si>
  <si>
    <t xml:space="preserve">Yodo-814</t>
  </si>
  <si>
    <t xml:space="preserve">Bahco</t>
  </si>
  <si>
    <t xml:space="preserve">Hierro-1502</t>
  </si>
  <si>
    <t xml:space="preserve">Bailac</t>
  </si>
  <si>
    <t xml:space="preserve">Exterior A-14</t>
  </si>
  <si>
    <t xml:space="preserve">Baker Hughes</t>
  </si>
  <si>
    <t xml:space="preserve">Cobre-206</t>
  </si>
  <si>
    <t xml:space="preserve">Baoji Tianlian Huitong Composite Material Co., Ltd</t>
  </si>
  <si>
    <t xml:space="preserve">Plata-612A</t>
  </si>
  <si>
    <t xml:space="preserve">Baoke Machinery Co., Ltd</t>
  </si>
  <si>
    <t xml:space="preserve">Exponor 2026. También expone en ExpoMina 2026 (ID 321). Sin contacto publicado.</t>
  </si>
  <si>
    <t xml:space="preserve">Plata-332</t>
  </si>
  <si>
    <t xml:space="preserve">www.baokeconveyor.com</t>
  </si>
  <si>
    <t xml:space="preserve">ExpoMina (ID 321)</t>
  </si>
  <si>
    <t xml:space="preserve">BASANI</t>
  </si>
  <si>
    <t xml:space="preserve">Yodo-637A</t>
  </si>
  <si>
    <t xml:space="preserve">Be Energy Chile SpA</t>
  </si>
  <si>
    <t xml:space="preserve">Exterior D-105</t>
  </si>
  <si>
    <t xml:space="preserve">Becker Mining Systems</t>
  </si>
  <si>
    <t xml:space="preserve">Cobre-5</t>
  </si>
  <si>
    <t xml:space="preserve">Beijing Denfosn International Trade Co.,ltd</t>
  </si>
  <si>
    <t xml:space="preserve">Plata-410</t>
  </si>
  <si>
    <t xml:space="preserve">Beijing Screen Technology Co., Ltd</t>
  </si>
  <si>
    <t xml:space="preserve">Plata-348</t>
  </si>
  <si>
    <t xml:space="preserve">Bekaert Ropes Chile S.A</t>
  </si>
  <si>
    <t xml:space="preserve">Oro-1210</t>
  </si>
  <si>
    <t xml:space="preserve">Belray</t>
  </si>
  <si>
    <t xml:space="preserve">Yodo-658</t>
  </si>
  <si>
    <t xml:space="preserve">Bender</t>
  </si>
  <si>
    <t xml:space="preserve">Cobre-35</t>
  </si>
  <si>
    <t xml:space="preserve">Bertotto, Boglione S.A</t>
  </si>
  <si>
    <t xml:space="preserve">Yodo-635</t>
  </si>
  <si>
    <t xml:space="preserve">Betek</t>
  </si>
  <si>
    <t xml:space="preserve">Cobre-85</t>
  </si>
  <si>
    <t xml:space="preserve">BGL</t>
  </si>
  <si>
    <t xml:space="preserve">Yodo-816</t>
  </si>
  <si>
    <t xml:space="preserve">Bgrimm Technology Group</t>
  </si>
  <si>
    <t xml:space="preserve">Litio-852</t>
  </si>
  <si>
    <t xml:space="preserve">Bind-X | Geoentorno</t>
  </si>
  <si>
    <t xml:space="preserve">Cobre-41</t>
  </si>
  <si>
    <t xml:space="preserve">Biosano</t>
  </si>
  <si>
    <t xml:space="preserve">Yodo-754</t>
  </si>
  <si>
    <t xml:space="preserve">BIRIKIM A.S</t>
  </si>
  <si>
    <t xml:space="preserve">Cobre-13</t>
  </si>
  <si>
    <t xml:space="preserve">Bisa Ingeniería</t>
  </si>
  <si>
    <t xml:space="preserve">Molibdeno-1241</t>
  </si>
  <si>
    <t xml:space="preserve">Bitumix S.A</t>
  </si>
  <si>
    <t xml:space="preserve">Oro-1136</t>
  </si>
  <si>
    <t xml:space="preserve">Bizevol</t>
  </si>
  <si>
    <t xml:space="preserve">Cobalto-1435</t>
  </si>
  <si>
    <t xml:space="preserve">Black Cat Wear Parts</t>
  </si>
  <si>
    <t xml:space="preserve">Yodo-628</t>
  </si>
  <si>
    <t xml:space="preserve">Blumaq</t>
  </si>
  <si>
    <t xml:space="preserve">Cobre-188 y 189</t>
  </si>
  <si>
    <t xml:space="preserve">Boiler Comp S.A</t>
  </si>
  <si>
    <t xml:space="preserve">Yodo-792</t>
  </si>
  <si>
    <t xml:space="preserve">Bombas de Pozo</t>
  </si>
  <si>
    <t xml:space="preserve">Yodo-804</t>
  </si>
  <si>
    <t xml:space="preserve">Bosch Chile</t>
  </si>
  <si>
    <t xml:space="preserve">Cobre-65</t>
  </si>
  <si>
    <t xml:space="preserve">Bosch Rexroth Chile</t>
  </si>
  <si>
    <t xml:space="preserve">Exponor 2026. También expone en ExpoMina 2026 (ID 337). Sin contacto publicado.</t>
  </si>
  <si>
    <t xml:space="preserve">Cobre-30</t>
  </si>
  <si>
    <t xml:space="preserve">https://www.boschrexroth.com/es/pe/</t>
  </si>
  <si>
    <t xml:space="preserve">ExpoMina (ID 337)</t>
  </si>
  <si>
    <t xml:space="preserve">Box Solution SpA</t>
  </si>
  <si>
    <t xml:space="preserve">Exterior C-84</t>
  </si>
  <si>
    <t xml:space="preserve">Bracamonte Arquitectura Permisos Sectoriales</t>
  </si>
  <si>
    <t xml:space="preserve">Litio-918</t>
  </si>
  <si>
    <t xml:space="preserve">Brastorno</t>
  </si>
  <si>
    <t xml:space="preserve">Yodo-809</t>
  </si>
  <si>
    <t xml:space="preserve">Bray Controls S.A</t>
  </si>
  <si>
    <t xml:space="preserve">Cobre-276</t>
  </si>
  <si>
    <t xml:space="preserve">BRG Mancais</t>
  </si>
  <si>
    <t xml:space="preserve">Yodo-817</t>
  </si>
  <si>
    <t xml:space="preserve">Bronor</t>
  </si>
  <si>
    <t xml:space="preserve">Litio-965</t>
  </si>
  <si>
    <t xml:space="preserve">Buck y Buck</t>
  </si>
  <si>
    <t xml:space="preserve">Oro-1103</t>
  </si>
  <si>
    <t xml:space="preserve">Buron SpA</t>
  </si>
  <si>
    <t xml:space="preserve">Oro-1130</t>
  </si>
  <si>
    <t xml:space="preserve">Busanc</t>
  </si>
  <si>
    <t xml:space="preserve">Plata-283-285 y 287</t>
  </si>
  <si>
    <t xml:space="preserve">Butti SRL</t>
  </si>
  <si>
    <t xml:space="preserve">Cobre-134</t>
  </si>
  <si>
    <t xml:space="preserve">BVC-Group GmbH</t>
  </si>
  <si>
    <t xml:space="preserve">Yodo-652</t>
  </si>
  <si>
    <t xml:space="preserve">ByP Iluminación</t>
  </si>
  <si>
    <t xml:space="preserve">Exterior B-63</t>
  </si>
  <si>
    <t xml:space="preserve">CAB Systems</t>
  </si>
  <si>
    <t xml:space="preserve">Oro-1147</t>
  </si>
  <si>
    <t xml:space="preserve">Cace Ltda</t>
  </si>
  <si>
    <t xml:space="preserve">Litio-835</t>
  </si>
  <si>
    <t xml:space="preserve">Cadsyst Technology For Industry</t>
  </si>
  <si>
    <t xml:space="preserve">Hierro-1468</t>
  </si>
  <si>
    <t xml:space="preserve">Calimport</t>
  </si>
  <si>
    <t xml:space="preserve">Exterior E-128</t>
  </si>
  <si>
    <t xml:space="preserve">Caren SpA</t>
  </si>
  <si>
    <t xml:space="preserve">Molibdeno-1247</t>
  </si>
  <si>
    <t xml:space="preserve">Carretones Daniel Brito</t>
  </si>
  <si>
    <t xml:space="preserve">Yodo-635A</t>
  </si>
  <si>
    <t xml:space="preserve">Carval Ltda</t>
  </si>
  <si>
    <t xml:space="preserve">Litio-828</t>
  </si>
  <si>
    <t xml:space="preserve">Cascadia</t>
  </si>
  <si>
    <t xml:space="preserve">Yodo-724</t>
  </si>
  <si>
    <t xml:space="preserve">Casia</t>
  </si>
  <si>
    <t xml:space="preserve">Cobre-115A</t>
  </si>
  <si>
    <t xml:space="preserve">Casinos River</t>
  </si>
  <si>
    <t xml:space="preserve">Oro-1162</t>
  </si>
  <si>
    <t xml:space="preserve">Cathaya International (Hongkong)</t>
  </si>
  <si>
    <t xml:space="preserve">Litio-841</t>
  </si>
  <si>
    <t xml:space="preserve">Caudalex SpA</t>
  </si>
  <si>
    <t xml:space="preserve">Oro-1109</t>
  </si>
  <si>
    <t xml:space="preserve">Caxtor</t>
  </si>
  <si>
    <t xml:space="preserve">Cobalto-1400</t>
  </si>
  <si>
    <t xml:space="preserve">CBB</t>
  </si>
  <si>
    <t xml:space="preserve">Oro-1164 y 1166</t>
  </si>
  <si>
    <t xml:space="preserve">CBI Chile Ltda</t>
  </si>
  <si>
    <t xml:space="preserve">Molibdeno-1261</t>
  </si>
  <si>
    <t xml:space="preserve">CE+T Power</t>
  </si>
  <si>
    <t xml:space="preserve">Cobre-144A</t>
  </si>
  <si>
    <t xml:space="preserve">CEIM</t>
  </si>
  <si>
    <t xml:space="preserve">Yodo-644-645-646-692-694 y 695</t>
  </si>
  <si>
    <t xml:space="preserve">Champion Door SEGSAL</t>
  </si>
  <si>
    <t xml:space="preserve">Cobre-103</t>
  </si>
  <si>
    <t xml:space="preserve">Changsha DTH Drill Construction Machinery Co,. Ltd</t>
  </si>
  <si>
    <t xml:space="preserve">Exponor 2026. También expone en ExpoMina 2026 (ID 355). Sin contacto publicado.</t>
  </si>
  <si>
    <t xml:space="preserve">Oro-1160</t>
  </si>
  <si>
    <t xml:space="preserve">www.csdrill.com/</t>
  </si>
  <si>
    <t xml:space="preserve">ExpoMina (ID 355)</t>
  </si>
  <si>
    <t xml:space="preserve">Changsha Tianhe Drilling Tools And Machinery Co., Ltd</t>
  </si>
  <si>
    <t xml:space="preserve">Plata-504</t>
  </si>
  <si>
    <t xml:space="preserve">Changsha Top Diesel Injection Co., Ltd</t>
  </si>
  <si>
    <t xml:space="preserve">Plata-463</t>
  </si>
  <si>
    <t xml:space="preserve">Chemline Plastics Ltd</t>
  </si>
  <si>
    <t xml:space="preserve">Hierro-1484</t>
  </si>
  <si>
    <t xml:space="preserve">China Drilling Geological Equipment Ltd</t>
  </si>
  <si>
    <t xml:space="preserve">Exponor 2026. También expone en ExpoMina 2026 (ID 360). Sin contacto publicado.</t>
  </si>
  <si>
    <t xml:space="preserve">Plata-404</t>
  </si>
  <si>
    <t xml:space="preserve">www.chinadrillingbits.com</t>
  </si>
  <si>
    <t xml:space="preserve">ExpoMina (ID 360)</t>
  </si>
  <si>
    <t xml:space="preserve">Choquenet</t>
  </si>
  <si>
    <t xml:space="preserve">Cobre-162A</t>
  </si>
  <si>
    <t xml:space="preserve">Cía. Confiabilidad</t>
  </si>
  <si>
    <t xml:space="preserve">Cobre-201</t>
  </si>
  <si>
    <t xml:space="preserve">Cibrugg Ltda</t>
  </si>
  <si>
    <t xml:space="preserve">Cobalto-1426</t>
  </si>
  <si>
    <t xml:space="preserve">Cigei</t>
  </si>
  <si>
    <t xml:space="preserve">Plata-565</t>
  </si>
  <si>
    <t xml:space="preserve">Cimac Wheel Industries Co., Ltd</t>
  </si>
  <si>
    <t xml:space="preserve">Plata-544B</t>
  </si>
  <si>
    <t xml:space="preserve">Cinnda</t>
  </si>
  <si>
    <t xml:space="preserve">Yodo-757</t>
  </si>
  <si>
    <t xml:space="preserve">Cintac</t>
  </si>
  <si>
    <t xml:space="preserve">Litio-887</t>
  </si>
  <si>
    <t xml:space="preserve">Citic Heavy Industries Co., Ltd</t>
  </si>
  <si>
    <t xml:space="preserve">Plata-395</t>
  </si>
  <si>
    <t xml:space="preserve">CJ Motors</t>
  </si>
  <si>
    <t xml:space="preserve">Hierro-1492</t>
  </si>
  <si>
    <t xml:space="preserve">CJM Mys SpA</t>
  </si>
  <si>
    <t xml:space="preserve">Litio-929</t>
  </si>
  <si>
    <t xml:space="preserve">CK Parts SpA</t>
  </si>
  <si>
    <t xml:space="preserve">Litio-833 y 834</t>
  </si>
  <si>
    <t xml:space="preserve">Cleanova / Micronics</t>
  </si>
  <si>
    <t xml:space="preserve">Molibdeno-1319</t>
  </si>
  <si>
    <t xml:space="preserve">Clik Asia Limited</t>
  </si>
  <si>
    <t xml:space="preserve">Exponor 2026. También expone en ExpoMina 2026 (ID 369). Sin contacto publicado.</t>
  </si>
  <si>
    <t xml:space="preserve">Plata-476</t>
  </si>
  <si>
    <t xml:space="preserve">www.cliktracks.com</t>
  </si>
  <si>
    <t xml:space="preserve">ExpoMina (ID 369)</t>
  </si>
  <si>
    <t xml:space="preserve">Climastock</t>
  </si>
  <si>
    <t xml:space="preserve">Oro-1039</t>
  </si>
  <si>
    <t xml:space="preserve">CML</t>
  </si>
  <si>
    <t xml:space="preserve">Yodo-761</t>
  </si>
  <si>
    <t xml:space="preserve">CMS Cepcor Chile SpA</t>
  </si>
  <si>
    <t xml:space="preserve">Exponor 2026. También expone en ExpoMina 2026 (ID 370). Sin contacto publicado.</t>
  </si>
  <si>
    <t xml:space="preserve">Yodo-626</t>
  </si>
  <si>
    <t xml:space="preserve">https://www.cmscepcor.com/</t>
  </si>
  <si>
    <t xml:space="preserve">ExpoMina (ID 370)</t>
  </si>
  <si>
    <t xml:space="preserve">CMSERVICES Ingeniería y Servicios</t>
  </si>
  <si>
    <t xml:space="preserve">Cobre-267</t>
  </si>
  <si>
    <t xml:space="preserve">Codelpa Chile</t>
  </si>
  <si>
    <t xml:space="preserve">Exponor 2026. También expone en ExpoMina 2026 (ID 171). Sin contacto publicado.</t>
  </si>
  <si>
    <t xml:space="preserve">Molibdeno-1254</t>
  </si>
  <si>
    <t xml:space="preserve">www.codelpa.cl/peru</t>
  </si>
  <si>
    <t xml:space="preserve">ExpoMina (ID 171)</t>
  </si>
  <si>
    <t xml:space="preserve">Codifil</t>
  </si>
  <si>
    <t xml:space="preserve">Plata-625</t>
  </si>
  <si>
    <t xml:space="preserve">Colbún S.A</t>
  </si>
  <si>
    <t xml:space="preserve">Exterior A-32</t>
  </si>
  <si>
    <t xml:space="preserve">Colvin y Cía. Ltda</t>
  </si>
  <si>
    <t xml:space="preserve">Molibdeno-1338</t>
  </si>
  <si>
    <t xml:space="preserve">Comeco</t>
  </si>
  <si>
    <t xml:space="preserve">Cobalto-1387</t>
  </si>
  <si>
    <t xml:space="preserve">Comercial Acuario</t>
  </si>
  <si>
    <t xml:space="preserve">Molibdeno-1213</t>
  </si>
  <si>
    <t xml:space="preserve">Comercial de Aceros JG SpA</t>
  </si>
  <si>
    <t xml:space="preserve">Hierro-1467</t>
  </si>
  <si>
    <t xml:space="preserve">Comercial Euroscan Chile Ltda</t>
  </si>
  <si>
    <t xml:space="preserve">Molibdeno-1317</t>
  </si>
  <si>
    <t xml:space="preserve">Comercial Lagos e Hijos Ltda</t>
  </si>
  <si>
    <t xml:space="preserve">Cobalto-1377</t>
  </si>
  <si>
    <t xml:space="preserve">Comercial Pau</t>
  </si>
  <si>
    <t xml:space="preserve">Comercial Química Massó</t>
  </si>
  <si>
    <t xml:space="preserve">Exponor 2026. También expone en ExpoMina 2026 (ID 376). Sin contacto publicado.</t>
  </si>
  <si>
    <t xml:space="preserve">Plata-527</t>
  </si>
  <si>
    <t xml:space="preserve">https://trs.cqmasso.com/en/conozca-trs</t>
  </si>
  <si>
    <t xml:space="preserve">ExpoMina (ID 376)</t>
  </si>
  <si>
    <t xml:space="preserve">Comercializadora de Productos Industriales K2 Limitada</t>
  </si>
  <si>
    <t xml:space="preserve">Cobre-178</t>
  </si>
  <si>
    <t xml:space="preserve">Comind</t>
  </si>
  <si>
    <t xml:space="preserve">Oro-1075</t>
  </si>
  <si>
    <t xml:space="preserve">Commit Works</t>
  </si>
  <si>
    <t xml:space="preserve">Yodo-663</t>
  </si>
  <si>
    <t xml:space="preserve">Compacta Iluminación</t>
  </si>
  <si>
    <t xml:space="preserve">Yodo-767</t>
  </si>
  <si>
    <t xml:space="preserve">Compensus Sp z o.o</t>
  </si>
  <si>
    <t xml:space="preserve">Cobre-187B</t>
  </si>
  <si>
    <t xml:space="preserve">Comulsa</t>
  </si>
  <si>
    <t xml:space="preserve">Plata-318 y 373</t>
  </si>
  <si>
    <t xml:space="preserve">Conductix-Wampfler</t>
  </si>
  <si>
    <t xml:space="preserve">Cobre-239</t>
  </si>
  <si>
    <t xml:space="preserve">Condumex Cables</t>
  </si>
  <si>
    <t xml:space="preserve">Oro-1145 y 1186</t>
  </si>
  <si>
    <t xml:space="preserve">Conexled</t>
  </si>
  <si>
    <t xml:space="preserve">Yodo-812</t>
  </si>
  <si>
    <t xml:space="preserve">Consorcio Geohidráulica</t>
  </si>
  <si>
    <t xml:space="preserve">Exponor 2026. También expone en ExpoMina 2026 (ID 176). Sin contacto publicado.</t>
  </si>
  <si>
    <t xml:space="preserve">Plata-565A</t>
  </si>
  <si>
    <t xml:space="preserve">https://geohidraulica.com/</t>
  </si>
  <si>
    <t xml:space="preserve">ExpoMina (ID 176)</t>
  </si>
  <si>
    <t xml:space="preserve">Conveyor Belt Technologies Hellas Mike</t>
  </si>
  <si>
    <t xml:space="preserve">Molibdeno-1295</t>
  </si>
  <si>
    <t xml:space="preserve">Copa-Data</t>
  </si>
  <si>
    <t xml:space="preserve">Litio-1026</t>
  </si>
  <si>
    <t xml:space="preserve">Copec</t>
  </si>
  <si>
    <t xml:space="preserve">Litio-987 y 988</t>
  </si>
  <si>
    <t xml:space="preserve">Coprelec</t>
  </si>
  <si>
    <t xml:space="preserve">Molibdeno-1227</t>
  </si>
  <si>
    <t xml:space="preserve">Core Tech</t>
  </si>
  <si>
    <t xml:space="preserve">Exponor 2026. También expone en ExpoMina 2026 (ID 177). Sin contacto publicado.</t>
  </si>
  <si>
    <t xml:space="preserve">Plata-566</t>
  </si>
  <si>
    <t xml:space="preserve">www.coretech.com.pe</t>
  </si>
  <si>
    <t xml:space="preserve">ExpoMina (ID 177)</t>
  </si>
  <si>
    <t xml:space="preserve">Corlog</t>
  </si>
  <si>
    <t xml:space="preserve">Cortec Corporation - Patiño y Compañía</t>
  </si>
  <si>
    <t xml:space="preserve">Molibdeno-1315</t>
  </si>
  <si>
    <t xml:space="preserve">Cosesa - Correas y Servicios S.A</t>
  </si>
  <si>
    <t xml:space="preserve">Cobre-116</t>
  </si>
  <si>
    <t xml:space="preserve">COVISA</t>
  </si>
  <si>
    <t xml:space="preserve">Cobre-10</t>
  </si>
  <si>
    <t xml:space="preserve">CPI</t>
  </si>
  <si>
    <t xml:space="preserve">Cobalto-1380</t>
  </si>
  <si>
    <t xml:space="preserve">CPS Conveyors SpA</t>
  </si>
  <si>
    <t xml:space="preserve">Exterior D-108</t>
  </si>
  <si>
    <t xml:space="preserve">Cronostec Chile SpA</t>
  </si>
  <si>
    <t xml:space="preserve">Exponor 2026. También expone en ExpoMina 2026 (ID 404). Sin contacto publicado.</t>
  </si>
  <si>
    <t xml:space="preserve">Cobalto-1415</t>
  </si>
  <si>
    <t xml:space="preserve">https://cronostec.pe/</t>
  </si>
  <si>
    <t xml:space="preserve">ExpoMina (ID 404)</t>
  </si>
  <si>
    <t xml:space="preserve">Crosspipe Systems</t>
  </si>
  <si>
    <t xml:space="preserve">Plata-338</t>
  </si>
  <si>
    <t xml:space="preserve">CRT Chile SpA</t>
  </si>
  <si>
    <t xml:space="preserve">Litio-891</t>
  </si>
  <si>
    <t xml:space="preserve">CSL Silicones Inc</t>
  </si>
  <si>
    <t xml:space="preserve">Hierro-1471</t>
  </si>
  <si>
    <t xml:space="preserve">CST Group</t>
  </si>
  <si>
    <t xml:space="preserve">Yodo-642</t>
  </si>
  <si>
    <t xml:space="preserve">CYM Chile</t>
  </si>
  <si>
    <t xml:space="preserve">Oro-1060</t>
  </si>
  <si>
    <t xml:space="preserve">Dalian Shangfeng Flotation Reagents Co., Ltd</t>
  </si>
  <si>
    <t xml:space="preserve">Exponor 2026. También expone en ExpoMina 2026 (ID 409). Sin contacto publicado.</t>
  </si>
  <si>
    <t xml:space="preserve">Plata-453</t>
  </si>
  <si>
    <t xml:space="preserve">www.daliansfxk.com</t>
  </si>
  <si>
    <t xml:space="preserve">ExpoMina (ID 409)</t>
  </si>
  <si>
    <t xml:space="preserve">Dandong Dongfang Measurement &amp; Control Technology Co., Ltd</t>
  </si>
  <si>
    <t xml:space="preserve">Exponor 2026. También expone en ExpoMina 2026 (ID 410). Sin contacto publicado.</t>
  </si>
  <si>
    <t xml:space="preserve">Plata-493</t>
  </si>
  <si>
    <t xml:space="preserve">www.dfmc.cc</t>
  </si>
  <si>
    <t xml:space="preserve">ExpoMina (ID 410)</t>
  </si>
  <si>
    <t xml:space="preserve">Danfoss</t>
  </si>
  <si>
    <t xml:space="preserve">Cobre-20</t>
  </si>
  <si>
    <t xml:space="preserve">Danus Conexiones SpA</t>
  </si>
  <si>
    <t xml:space="preserve">Yodo-630</t>
  </si>
  <si>
    <t xml:space="preserve">Datasur.com</t>
  </si>
  <si>
    <t xml:space="preserve">Plata-526</t>
  </si>
  <si>
    <t xml:space="preserve">David Brown Santasalo</t>
  </si>
  <si>
    <t xml:space="preserve">Litio-933</t>
  </si>
  <si>
    <t xml:space="preserve">DELLNER BUBENZER</t>
  </si>
  <si>
    <t xml:space="preserve">Exponor 2026. También expone en ExpoMina 2026 (ID 412). Sin contacto publicado.</t>
  </si>
  <si>
    <t xml:space="preserve">Cobre-37</t>
  </si>
  <si>
    <t xml:space="preserve">www.dellnerbubenzer.com</t>
  </si>
  <si>
    <t xml:space="preserve">ExpoMina (ID 412)</t>
  </si>
  <si>
    <t xml:space="preserve">Delpa</t>
  </si>
  <si>
    <t xml:space="preserve">Cobalto-1414</t>
  </si>
  <si>
    <t xml:space="preserve">DESIMAT | WAGO</t>
  </si>
  <si>
    <t xml:space="preserve">Cobre-78 y 79</t>
  </si>
  <si>
    <t xml:space="preserve">Desolenator</t>
  </si>
  <si>
    <t xml:space="preserve">Cobre-129A</t>
  </si>
  <si>
    <t xml:space="preserve">Despegar.com Chile SpA</t>
  </si>
  <si>
    <t xml:space="preserve">Yodo-703</t>
  </si>
  <si>
    <t xml:space="preserve">DHL Express</t>
  </si>
  <si>
    <t xml:space="preserve">Exponor 2026. También expone en ExpoMina 2026 (ID 419). Sin contacto publicado.</t>
  </si>
  <si>
    <t xml:space="preserve">Hierro-1461</t>
  </si>
  <si>
    <t xml:space="preserve">https://www.dhl.com/pe-es/home.html</t>
  </si>
  <si>
    <t xml:space="preserve">ExpoMina (ID 419)</t>
  </si>
  <si>
    <t xml:space="preserve">Diemme Filtration</t>
  </si>
  <si>
    <t xml:space="preserve">Cobre-176</t>
  </si>
  <si>
    <t xml:space="preserve">Diemme Soil Washing SRL</t>
  </si>
  <si>
    <t xml:space="preserve">Cobre-133A</t>
  </si>
  <si>
    <t xml:space="preserve">Dipromet</t>
  </si>
  <si>
    <t xml:space="preserve">Oro-1074</t>
  </si>
  <si>
    <t xml:space="preserve">Direcmin</t>
  </si>
  <si>
    <t xml:space="preserve">Hierro-1462</t>
  </si>
  <si>
    <t xml:space="preserve">Disegno 3D SpA</t>
  </si>
  <si>
    <t xml:space="preserve">Litio-927</t>
  </si>
  <si>
    <t xml:space="preserve">Distintec</t>
  </si>
  <si>
    <t xml:space="preserve">Exterior A-30</t>
  </si>
  <si>
    <t xml:space="preserve">Dlager Vertygsteknik Hb</t>
  </si>
  <si>
    <t xml:space="preserve">Yodo-702</t>
  </si>
  <si>
    <t xml:space="preserve">Dolezych</t>
  </si>
  <si>
    <t xml:space="preserve">Cobre-27 y 68</t>
  </si>
  <si>
    <t xml:space="preserve">DomesShelter Australia</t>
  </si>
  <si>
    <t xml:space="preserve">Yodo-662</t>
  </si>
  <si>
    <t xml:space="preserve">Dongguan Blince Machinery &amp; Electronics Co., Ltd</t>
  </si>
  <si>
    <t xml:space="preserve">Plata-351</t>
  </si>
  <si>
    <t xml:space="preserve">Dongguan Sanhui Machinery Co., Ltd</t>
  </si>
  <si>
    <t xml:space="preserve">Exponor 2026. También expone en ExpoMina 2026 (ID 148). Sin contacto publicado.</t>
  </si>
  <si>
    <t xml:space="preserve">Plata-416</t>
  </si>
  <si>
    <t xml:space="preserve">dekahydrauli.com</t>
  </si>
  <si>
    <t xml:space="preserve">ExpoMina (ID 148)</t>
  </si>
  <si>
    <t xml:space="preserve">Drillco</t>
  </si>
  <si>
    <t xml:space="preserve">Oro-1033</t>
  </si>
  <si>
    <t xml:space="preserve">Düchting Pumpen</t>
  </si>
  <si>
    <t xml:space="preserve">Cobre-40</t>
  </si>
  <si>
    <t xml:space="preserve">Durex Chile</t>
  </si>
  <si>
    <t xml:space="preserve">Litio-881</t>
  </si>
  <si>
    <t xml:space="preserve">Dustless Chile SpA</t>
  </si>
  <si>
    <t xml:space="preserve">Molibdeno-1320</t>
  </si>
  <si>
    <t xml:space="preserve">E´kabel</t>
  </si>
  <si>
    <t xml:space="preserve">Molibdeno-1262</t>
  </si>
  <si>
    <t xml:space="preserve">e-Zinc</t>
  </si>
  <si>
    <t xml:space="preserve">Hierro-1469</t>
  </si>
  <si>
    <t xml:space="preserve">Earth Shield Environmental Technology (Shandong)Co., Ltd</t>
  </si>
  <si>
    <t xml:space="preserve">Plata-443</t>
  </si>
  <si>
    <t xml:space="preserve">Eaton</t>
  </si>
  <si>
    <t xml:space="preserve">Exterior C-073</t>
  </si>
  <si>
    <t xml:space="preserve">EBI</t>
  </si>
  <si>
    <t xml:space="preserve">Yodo-727</t>
  </si>
  <si>
    <t xml:space="preserve">Ebro Stasjo</t>
  </si>
  <si>
    <t xml:space="preserve">Cobre-2</t>
  </si>
  <si>
    <t xml:space="preserve">Edaltec Ltda</t>
  </si>
  <si>
    <t xml:space="preserve">Plata-345</t>
  </si>
  <si>
    <t xml:space="preserve">EDC</t>
  </si>
  <si>
    <t xml:space="preserve">Yodo-731</t>
  </si>
  <si>
    <t xml:space="preserve">Eecol Electric</t>
  </si>
  <si>
    <t xml:space="preserve">Exterior E-132</t>
  </si>
  <si>
    <t xml:space="preserve">Effizienz SpA</t>
  </si>
  <si>
    <t xml:space="preserve">Oro-1116</t>
  </si>
  <si>
    <t xml:space="preserve">EIE Ingeniería SpA</t>
  </si>
  <si>
    <t xml:space="preserve">Litio-851</t>
  </si>
  <si>
    <t xml:space="preserve">EKATO</t>
  </si>
  <si>
    <t xml:space="preserve">Cobre-11</t>
  </si>
  <si>
    <t xml:space="preserve">EKU Power Drives</t>
  </si>
  <si>
    <t xml:space="preserve">Cobre-42</t>
  </si>
  <si>
    <t xml:space="preserve">Eleccon</t>
  </si>
  <si>
    <t xml:space="preserve">Exterior E-135</t>
  </si>
  <si>
    <t xml:space="preserve">Electromin</t>
  </si>
  <si>
    <t xml:space="preserve">Cobalto-1402</t>
  </si>
  <si>
    <t xml:space="preserve">Electroweather Sociedad Anónima</t>
  </si>
  <si>
    <t xml:space="preserve">Litio-836</t>
  </si>
  <si>
    <t xml:space="preserve">Elessent Clean Technologies/Sulphurnet</t>
  </si>
  <si>
    <t xml:space="preserve">Cobre-130C</t>
  </si>
  <si>
    <t xml:space="preserve">Elydan</t>
  </si>
  <si>
    <t xml:space="preserve">Cobre-165</t>
  </si>
  <si>
    <t xml:space="preserve">Emerson</t>
  </si>
  <si>
    <t xml:space="preserve">Cobre-237</t>
  </si>
  <si>
    <t xml:space="preserve">Emerson Professional Tools</t>
  </si>
  <si>
    <t xml:space="preserve">Cobre-238</t>
  </si>
  <si>
    <t xml:space="preserve">Emeser Ltda</t>
  </si>
  <si>
    <t xml:space="preserve">Exterior A-29</t>
  </si>
  <si>
    <t xml:space="preserve">Emsi Inc</t>
  </si>
  <si>
    <t xml:space="preserve">Cobre-271</t>
  </si>
  <si>
    <t xml:space="preserve">Endress + Hauser Chile Ltda</t>
  </si>
  <si>
    <t xml:space="preserve">Yodo-690</t>
  </si>
  <si>
    <t xml:space="preserve">Endurance Belting</t>
  </si>
  <si>
    <t xml:space="preserve">Yodo-708</t>
  </si>
  <si>
    <t xml:space="preserve">Enduro Composites</t>
  </si>
  <si>
    <t xml:space="preserve">Plata-605</t>
  </si>
  <si>
    <t xml:space="preserve">Enex</t>
  </si>
  <si>
    <t xml:space="preserve">Exterior E-115</t>
  </si>
  <si>
    <t xml:space="preserve">Engie</t>
  </si>
  <si>
    <t xml:space="preserve">Litio-1018</t>
  </si>
  <si>
    <t xml:space="preserve">Enrique Osses E. y cía. Ltda</t>
  </si>
  <si>
    <t xml:space="preserve">Litio-972</t>
  </si>
  <si>
    <t xml:space="preserve">EPAS Ltda</t>
  </si>
  <si>
    <t xml:space="preserve">Molibdeno-1341</t>
  </si>
  <si>
    <t xml:space="preserve">Epuhome</t>
  </si>
  <si>
    <t xml:space="preserve">Molibdeno-1212</t>
  </si>
  <si>
    <t xml:space="preserve">Equipdeal</t>
  </si>
  <si>
    <t xml:space="preserve">Litio-1012</t>
  </si>
  <si>
    <t xml:space="preserve">Erasmus Electric</t>
  </si>
  <si>
    <t xml:space="preserve">Litio-980</t>
  </si>
  <si>
    <t xml:space="preserve">Erbessd Instruments</t>
  </si>
  <si>
    <t xml:space="preserve">Exponor 2026. También expone en ExpoMina 2026 (ID 442). Sin contacto publicado.</t>
  </si>
  <si>
    <t xml:space="preserve">Cobalto-1355</t>
  </si>
  <si>
    <t xml:space="preserve">https://www.erbessd-instruments.com/es/</t>
  </si>
  <si>
    <t xml:space="preserve">ExpoMina (ID 442)</t>
  </si>
  <si>
    <t xml:space="preserve">ESCO Perú SRL</t>
  </si>
  <si>
    <t xml:space="preserve">Plata-568 - 569 - 570 y 576</t>
  </si>
  <si>
    <t xml:space="preserve">ESE Maquinarias</t>
  </si>
  <si>
    <t xml:space="preserve">Cobalto-1450</t>
  </si>
  <si>
    <t xml:space="preserve">ESI Latam</t>
  </si>
  <si>
    <t xml:space="preserve">Litio-908</t>
  </si>
  <si>
    <t xml:space="preserve">Esmax</t>
  </si>
  <si>
    <t xml:space="preserve">Litio-976 y 1000</t>
  </si>
  <si>
    <t xml:space="preserve">Etesa</t>
  </si>
  <si>
    <t xml:space="preserve">Cobre-157</t>
  </si>
  <si>
    <t xml:space="preserve">ETP Europe Tractor Parts SRL</t>
  </si>
  <si>
    <t xml:space="preserve">Plata-292</t>
  </si>
  <si>
    <t xml:space="preserve">Eurocomercial</t>
  </si>
  <si>
    <t xml:space="preserve">Yodo-800</t>
  </si>
  <si>
    <t xml:space="preserve">Eurohinca</t>
  </si>
  <si>
    <t xml:space="preserve">Hierro-1490</t>
  </si>
  <si>
    <t xml:space="preserve">Eurostandard Chile S.A</t>
  </si>
  <si>
    <t xml:space="preserve">Litio-966</t>
  </si>
  <si>
    <t xml:space="preserve">Evak Pump Technology Corp</t>
  </si>
  <si>
    <t xml:space="preserve">Plata-392</t>
  </si>
  <si>
    <t xml:space="preserve">Everllence</t>
  </si>
  <si>
    <t xml:space="preserve">Cobre-59</t>
  </si>
  <si>
    <t xml:space="preserve">Evolog SpA</t>
  </si>
  <si>
    <t xml:space="preserve">Cobre-121</t>
  </si>
  <si>
    <t xml:space="preserve">Exppro Gráfica Industrial</t>
  </si>
  <si>
    <t xml:space="preserve">Cobalto-1440</t>
  </si>
  <si>
    <t xml:space="preserve">F1+</t>
  </si>
  <si>
    <t xml:space="preserve">Cobalto-1392</t>
  </si>
  <si>
    <t xml:space="preserve">Fábrica Moisés Calama</t>
  </si>
  <si>
    <t xml:space="preserve">Molibdeno-1272</t>
  </si>
  <si>
    <t xml:space="preserve">Fabricación y Venta de Productos Químicos</t>
  </si>
  <si>
    <t xml:space="preserve">Litio-842 y 843</t>
  </si>
  <si>
    <t xml:space="preserve">Factor Ambiental</t>
  </si>
  <si>
    <t xml:space="preserve">Molibdeno-1326</t>
  </si>
  <si>
    <t xml:space="preserve">Fadaf</t>
  </si>
  <si>
    <t xml:space="preserve">Hierro-1495</t>
  </si>
  <si>
    <t xml:space="preserve">FAM Member of Beumergroup</t>
  </si>
  <si>
    <t xml:space="preserve">Exterior A-6</t>
  </si>
  <si>
    <t xml:space="preserve">Fangyuan(Anhui) Intelligent Mining Equipment Co., Ltd</t>
  </si>
  <si>
    <t xml:space="preserve">Plata-446</t>
  </si>
  <si>
    <t xml:space="preserve">Faros Chile</t>
  </si>
  <si>
    <t xml:space="preserve">Hierro-1503</t>
  </si>
  <si>
    <t xml:space="preserve">Fast Modular</t>
  </si>
  <si>
    <t xml:space="preserve">Molibdeno-1229</t>
  </si>
  <si>
    <t xml:space="preserve">Fastpack</t>
  </si>
  <si>
    <t xml:space="preserve">Hierro-1459</t>
  </si>
  <si>
    <t xml:space="preserve">FBV Inc</t>
  </si>
  <si>
    <t xml:space="preserve">Cobre-274</t>
  </si>
  <si>
    <t xml:space="preserve">Federal Screen</t>
  </si>
  <si>
    <t xml:space="preserve">Yodo-718</t>
  </si>
  <si>
    <t xml:space="preserve">Fenner Dunlop Chile</t>
  </si>
  <si>
    <t xml:space="preserve">Feram</t>
  </si>
  <si>
    <t xml:space="preserve">Cobre-254</t>
  </si>
  <si>
    <t xml:space="preserve">Fernorte Comercializadora Industrial</t>
  </si>
  <si>
    <t xml:space="preserve">Cobre-200</t>
  </si>
  <si>
    <t xml:space="preserve">Ferromining</t>
  </si>
  <si>
    <t xml:space="preserve">Exterior D-103</t>
  </si>
  <si>
    <t xml:space="preserve">Ferrostaal</t>
  </si>
  <si>
    <t xml:space="preserve">Cobre-48 y 93</t>
  </si>
  <si>
    <t xml:space="preserve">Fesanco</t>
  </si>
  <si>
    <t xml:space="preserve">Oro-1043</t>
  </si>
  <si>
    <t xml:space="preserve">Festo</t>
  </si>
  <si>
    <t xml:space="preserve">ventas.pe@festo.com</t>
  </si>
  <si>
    <t xml:space="preserve">Exponor 2026. También en CRM Directorio SSO 2026 (ID 579); contacto heredado = filial Perú. También expone en ExpoMina 2026 (ID 452).</t>
  </si>
  <si>
    <t xml:space="preserve">Cobre-86</t>
  </si>
  <si>
    <t xml:space="preserve">www.festo.com</t>
  </si>
  <si>
    <t xml:space="preserve">2196960</t>
  </si>
  <si>
    <t xml:space="preserve">Directorio SSO (ID 579); ExpoMina (ID 452)</t>
  </si>
  <si>
    <t xml:space="preserve">Filtaquip Global</t>
  </si>
  <si>
    <t xml:space="preserve">Cobalto-1357</t>
  </si>
  <si>
    <t xml:space="preserve">Flanders Electric de Chile</t>
  </si>
  <si>
    <t xml:space="preserve">Cobalto-1447 y 1448</t>
  </si>
  <si>
    <t xml:space="preserve">Flexauste USA</t>
  </si>
  <si>
    <t xml:space="preserve">Cobre-275</t>
  </si>
  <si>
    <t xml:space="preserve">Flexclean</t>
  </si>
  <si>
    <t xml:space="preserve">Litio-859</t>
  </si>
  <si>
    <t xml:space="preserve">Flexible Packaging Solutions Chile</t>
  </si>
  <si>
    <t xml:space="preserve">Oro-1078</t>
  </si>
  <si>
    <t xml:space="preserve">Fliegl</t>
  </si>
  <si>
    <t xml:space="preserve">Oro-1040</t>
  </si>
  <si>
    <t xml:space="preserve">Flow Management Industries</t>
  </si>
  <si>
    <t xml:space="preserve">Yodo-638</t>
  </si>
  <si>
    <t xml:space="preserve">Flow Systems SpA</t>
  </si>
  <si>
    <t xml:space="preserve">Plata-486</t>
  </si>
  <si>
    <t xml:space="preserve">Flowserve Chile SpA</t>
  </si>
  <si>
    <t xml:space="preserve">Cobre-277</t>
  </si>
  <si>
    <t xml:space="preserve">Fluid Supply SpA</t>
  </si>
  <si>
    <t xml:space="preserve">Litio-865</t>
  </si>
  <si>
    <t xml:space="preserve">Fluitec International LLC</t>
  </si>
  <si>
    <t xml:space="preserve">Estados Unidos (por validar)</t>
  </si>
  <si>
    <t xml:space="preserve">Cobalto-1368</t>
  </si>
  <si>
    <t xml:space="preserve">Fluitek</t>
  </si>
  <si>
    <t xml:space="preserve">Yodo-758 y 784</t>
  </si>
  <si>
    <t xml:space="preserve">Fluycom SpA</t>
  </si>
  <si>
    <t xml:space="preserve">Molibdeno-1264</t>
  </si>
  <si>
    <t xml:space="preserve">Fluye Mining</t>
  </si>
  <si>
    <t xml:space="preserve">Litio-981 y 982</t>
  </si>
  <si>
    <t xml:space="preserve">FMCS</t>
  </si>
  <si>
    <t xml:space="preserve">Oro-1124</t>
  </si>
  <si>
    <t xml:space="preserve">FMT BBosch</t>
  </si>
  <si>
    <t xml:space="preserve">Cobalto-1434</t>
  </si>
  <si>
    <t xml:space="preserve">Foco Ambiental</t>
  </si>
  <si>
    <t xml:space="preserve">Cobalto-1389</t>
  </si>
  <si>
    <t xml:space="preserve">Fonmar</t>
  </si>
  <si>
    <t xml:space="preserve">Cobre-195 y 196</t>
  </si>
  <si>
    <t xml:space="preserve">Footage Tools Inc</t>
  </si>
  <si>
    <t xml:space="preserve">Hierro-1485</t>
  </si>
  <si>
    <t xml:space="preserve">Forbis</t>
  </si>
  <si>
    <t xml:space="preserve">Cobalto-1382</t>
  </si>
  <si>
    <t xml:space="preserve">Forgiatura Morandini SRL</t>
  </si>
  <si>
    <t xml:space="preserve">Cobre-137A</t>
  </si>
  <si>
    <t xml:space="preserve">Formin</t>
  </si>
  <si>
    <t xml:space="preserve">Plata-578</t>
  </si>
  <si>
    <t xml:space="preserve">Foxmin</t>
  </si>
  <si>
    <t xml:space="preserve">Plata-521</t>
  </si>
  <si>
    <t xml:space="preserve">FP Martillos Hidráulicos</t>
  </si>
  <si>
    <t xml:space="preserve">Oro-1117</t>
  </si>
  <si>
    <t xml:space="preserve">Fracht Group</t>
  </si>
  <si>
    <t xml:space="preserve">Yodo-689</t>
  </si>
  <si>
    <t xml:space="preserve">FS Mining Ltda</t>
  </si>
  <si>
    <t xml:space="preserve">Plata-592</t>
  </si>
  <si>
    <t xml:space="preserve">Fuelles - Protección de Cilindros Hidráulicos</t>
  </si>
  <si>
    <t xml:space="preserve">Cobalto-1385</t>
  </si>
  <si>
    <t xml:space="preserve">Fujian Tide Power Technology Co., Ltd</t>
  </si>
  <si>
    <t xml:space="preserve">Plata-380</t>
  </si>
  <si>
    <t xml:space="preserve">Fujian Xiongtai Supply Chain Management Co.,Ltd</t>
  </si>
  <si>
    <t xml:space="preserve">Plata-301</t>
  </si>
  <si>
    <t xml:space="preserve">Fulltent</t>
  </si>
  <si>
    <t xml:space="preserve">Litio-956</t>
  </si>
  <si>
    <t xml:space="preserve">Fundicion Ferrosa</t>
  </si>
  <si>
    <t xml:space="preserve">Plata-566A</t>
  </si>
  <si>
    <t xml:space="preserve">Fundiciónn Ríos</t>
  </si>
  <si>
    <t xml:space="preserve">Plata-567</t>
  </si>
  <si>
    <t xml:space="preserve">G-Vetec Guindastes</t>
  </si>
  <si>
    <t xml:space="preserve">Yodo-815</t>
  </si>
  <si>
    <t xml:space="preserve">G.A. Ricambi SpA</t>
  </si>
  <si>
    <t xml:space="preserve">Molibdeno-1311</t>
  </si>
  <si>
    <t xml:space="preserve">Gama mobility</t>
  </si>
  <si>
    <t xml:space="preserve">Oro-1065</t>
  </si>
  <si>
    <t xml:space="preserve">Gasco</t>
  </si>
  <si>
    <t xml:space="preserve">Litio-1032</t>
  </si>
  <si>
    <t xml:space="preserve">GEA Westfalia Separator Group</t>
  </si>
  <si>
    <t xml:space="preserve">Cobre-38</t>
  </si>
  <si>
    <t xml:space="preserve">Genebre - Fitvalv</t>
  </si>
  <si>
    <t xml:space="preserve">Litio-954</t>
  </si>
  <si>
    <t xml:space="preserve">General Kinematics</t>
  </si>
  <si>
    <t xml:space="preserve">Exponor 2026. También expone en ExpoMina 2026 (ID 472). Sin contacto publicado.</t>
  </si>
  <si>
    <t xml:space="preserve">Cobre-209</t>
  </si>
  <si>
    <t xml:space="preserve">www.generalkinematics.com</t>
  </si>
  <si>
    <t xml:space="preserve">ExpoMina (ID 472)</t>
  </si>
  <si>
    <t xml:space="preserve">Geobrugg</t>
  </si>
  <si>
    <t xml:space="preserve">Geoestima</t>
  </si>
  <si>
    <t xml:space="preserve">Yodo-766</t>
  </si>
  <si>
    <t xml:space="preserve">Gess SpA</t>
  </si>
  <si>
    <t xml:space="preserve">Cobalto-1425</t>
  </si>
  <si>
    <t xml:space="preserve">GKD Group</t>
  </si>
  <si>
    <t xml:space="preserve">Cobre-51</t>
  </si>
  <si>
    <t xml:space="preserve">Glacius Waters Tecnical Development SpA</t>
  </si>
  <si>
    <t xml:space="preserve">Cobalto-1422</t>
  </si>
  <si>
    <t xml:space="preserve">Global Group Ingeniería</t>
  </si>
  <si>
    <t xml:space="preserve">Cobalto-1371</t>
  </si>
  <si>
    <t xml:space="preserve">Global Solution</t>
  </si>
  <si>
    <t xml:space="preserve">Molibdeno-1289-1290 y 1291</t>
  </si>
  <si>
    <t xml:space="preserve">Globalplast</t>
  </si>
  <si>
    <t xml:space="preserve">Exponor 2026. También expone en ExpoMina 2026 (ID 485). Sin contacto publicado.</t>
  </si>
  <si>
    <t xml:space="preserve">Plata-567A</t>
  </si>
  <si>
    <t xml:space="preserve">https://globalplastperu.com/</t>
  </si>
  <si>
    <t xml:space="preserve">ExpoMina (ID 485)</t>
  </si>
  <si>
    <t xml:space="preserve">Glodysup SpA</t>
  </si>
  <si>
    <t xml:space="preserve">Litio-915</t>
  </si>
  <si>
    <t xml:space="preserve">GME- Global Mining Equipments</t>
  </si>
  <si>
    <t xml:space="preserve">Plata-431</t>
  </si>
  <si>
    <t xml:space="preserve">Go Modular</t>
  </si>
  <si>
    <t xml:space="preserve">Oro-1190</t>
  </si>
  <si>
    <t xml:space="preserve">Goodwin Ind. e Com. de Bombas Sub. Ltda</t>
  </si>
  <si>
    <t xml:space="preserve">Oro-1193</t>
  </si>
  <si>
    <t xml:space="preserve">GPS SpA</t>
  </si>
  <si>
    <t xml:space="preserve">Litio-910</t>
  </si>
  <si>
    <t xml:space="preserve">Green Leader</t>
  </si>
  <si>
    <t xml:space="preserve">Cobalto-1369</t>
  </si>
  <si>
    <t xml:space="preserve">Grupo Antko</t>
  </si>
  <si>
    <t xml:space="preserve">Molibdeno-1248</t>
  </si>
  <si>
    <t xml:space="preserve">Grupo Belator</t>
  </si>
  <si>
    <t xml:space="preserve">Plata-613</t>
  </si>
  <si>
    <t xml:space="preserve">Grupo Genera Ltda</t>
  </si>
  <si>
    <t xml:space="preserve">Litio-1016</t>
  </si>
  <si>
    <t xml:space="preserve">Grupo Hidráulica Chile</t>
  </si>
  <si>
    <t xml:space="preserve">Exponor 2026. También expone en ExpoMina 2026 (ID 194). Sin contacto publicado.</t>
  </si>
  <si>
    <t xml:space="preserve">Molibdeno-1224</t>
  </si>
  <si>
    <t xml:space="preserve">www.grupohidraulica.com</t>
  </si>
  <si>
    <t xml:space="preserve">ExpoMina (ID 194)</t>
  </si>
  <si>
    <t xml:space="preserve">Grupo Inka Coya</t>
  </si>
  <si>
    <t xml:space="preserve">Exterior E-133</t>
  </si>
  <si>
    <t xml:space="preserve">Grupo Ipsa</t>
  </si>
  <si>
    <t xml:space="preserve">Cobalto-1418</t>
  </si>
  <si>
    <t xml:space="preserve">Grupo Lampa</t>
  </si>
  <si>
    <t xml:space="preserve">Litio-958</t>
  </si>
  <si>
    <t xml:space="preserve">Grupo TusMaquinas</t>
  </si>
  <si>
    <t xml:space="preserve">Cobre-3</t>
  </si>
  <si>
    <t xml:space="preserve">GSP-Chile</t>
  </si>
  <si>
    <t xml:space="preserve">Plata-533 y 534</t>
  </si>
  <si>
    <t xml:space="preserve">Guangdong Cbox Co., Limited</t>
  </si>
  <si>
    <t xml:space="preserve">Plata-611B</t>
  </si>
  <si>
    <t xml:space="preserve">Guangdong Haolixin Construction Machinery Co., Ltd</t>
  </si>
  <si>
    <t xml:space="preserve">Plata-384</t>
  </si>
  <si>
    <t xml:space="preserve">Guangdong Wellcamp Steel structure &amp; modular housing Co., Ltd</t>
  </si>
  <si>
    <t xml:space="preserve">Plata-306</t>
  </si>
  <si>
    <t xml:space="preserve">Guangyuan &amp; Awesome Hydraulics</t>
  </si>
  <si>
    <t xml:space="preserve">Plata-505</t>
  </si>
  <si>
    <t xml:space="preserve">Guangzhou Doppler Electronic Technologies Inc</t>
  </si>
  <si>
    <t xml:space="preserve">Plata-612B</t>
  </si>
  <si>
    <t xml:space="preserve">Guangzhou Kailing Bearing Co., Ltd</t>
  </si>
  <si>
    <t xml:space="preserve">Plata-325</t>
  </si>
  <si>
    <t xml:space="preserve">Guangzhou Longyue Environmental Protection Machinery Equipment Co., Ltd</t>
  </si>
  <si>
    <t xml:space="preserve">Plata-334</t>
  </si>
  <si>
    <t xml:space="preserve">Guangzhou Moneybox Steel Structure Engineering Co., Ltd</t>
  </si>
  <si>
    <t xml:space="preserve">Exterior A-28</t>
  </si>
  <si>
    <t xml:space="preserve">Guangzhou Superway Technology Co., Ltd</t>
  </si>
  <si>
    <t xml:space="preserve">Plata-479</t>
  </si>
  <si>
    <t xml:space="preserve">GWE-Tubomin</t>
  </si>
  <si>
    <t xml:space="preserve">Cobre-54</t>
  </si>
  <si>
    <t xml:space="preserve">H Briones S.A</t>
  </si>
  <si>
    <t xml:space="preserve">Litio-899</t>
  </si>
  <si>
    <t xml:space="preserve">H-E Parts International Chile</t>
  </si>
  <si>
    <t xml:space="preserve">Exterior C-75</t>
  </si>
  <si>
    <t xml:space="preserve">Haian Rubber Group Co., Ltd</t>
  </si>
  <si>
    <t xml:space="preserve">Exponor 2026. También expone en ExpoMina 2026 (ID 141). Sin contacto publicado.</t>
  </si>
  <si>
    <t xml:space="preserve">Plata-390</t>
  </si>
  <si>
    <t xml:space="preserve">https://www.haiangroup.com/</t>
  </si>
  <si>
    <t xml:space="preserve">ExpoMina (ID 141)</t>
  </si>
  <si>
    <t xml:space="preserve">Haicheng Sitong Magnesium Plastics Products Co., Ltd</t>
  </si>
  <si>
    <t xml:space="preserve">Plata-329</t>
  </si>
  <si>
    <t xml:space="preserve">Handan Baisite Plastic Products Co., Ltd</t>
  </si>
  <si>
    <t xml:space="preserve">Plata-512</t>
  </si>
  <si>
    <t xml:space="preserve">Hanrui Puzer Bulk Handling Technology (Shanghai) Co., Ltd</t>
  </si>
  <si>
    <t xml:space="preserve">Plata-481B</t>
  </si>
  <si>
    <t xml:space="preserve">Hansa Meyer Shipway</t>
  </si>
  <si>
    <t xml:space="preserve">Cobre-23</t>
  </si>
  <si>
    <t xml:space="preserve">Hartuff Bimetals (Ningguo) Co., Ltd</t>
  </si>
  <si>
    <t xml:space="preserve">Exponor 2026. También expone en ExpoMina 2026 (ID 514). Sin contacto publicado.</t>
  </si>
  <si>
    <t xml:space="preserve">Plata-358</t>
  </si>
  <si>
    <t xml:space="preserve">www.zhenlimotor.com</t>
  </si>
  <si>
    <t xml:space="preserve">ExpoMina (ID 514)</t>
  </si>
  <si>
    <t xml:space="preserve">Haver &amp; Boecker | Köppern</t>
  </si>
  <si>
    <t xml:space="preserve">Cobre-14</t>
  </si>
  <si>
    <t xml:space="preserve">Hayward Flow Control</t>
  </si>
  <si>
    <t xml:space="preserve">Oro-1076</t>
  </si>
  <si>
    <t xml:space="preserve">HC Group LLC</t>
  </si>
  <si>
    <t xml:space="preserve">Cobre-207A</t>
  </si>
  <si>
    <t xml:space="preserve">HCA Minería</t>
  </si>
  <si>
    <t xml:space="preserve">Exterior C-093, 094, 097, 098 y 99</t>
  </si>
  <si>
    <t xml:space="preserve">Hebei Aojin Machinery Co., Ltd</t>
  </si>
  <si>
    <t xml:space="preserve">Plata-461</t>
  </si>
  <si>
    <t xml:space="preserve">Hebei Evergreen Mining Equipment Co.,Ltd</t>
  </si>
  <si>
    <t xml:space="preserve">Exponor 2026. También expone en ExpoMina 2026 (ID 516). Sin contacto publicado.</t>
  </si>
  <si>
    <t xml:space="preserve">Exterior E-118</t>
  </si>
  <si>
    <t xml:space="preserve">www.china-miningtech.com</t>
  </si>
  <si>
    <t xml:space="preserve">ExpoMina (ID 516)</t>
  </si>
  <si>
    <t xml:space="preserve">Hebei Juming Heavy Industry Co., Ltd</t>
  </si>
  <si>
    <t xml:space="preserve">Plata-437B</t>
  </si>
  <si>
    <t xml:space="preserve">Hebei Juntong Machinery Manufacturing Co.,Ltd</t>
  </si>
  <si>
    <t xml:space="preserve">Plata-299</t>
  </si>
  <si>
    <t xml:space="preserve">Hebei Juxin Conveyor Engineering Co., Ltd</t>
  </si>
  <si>
    <t xml:space="preserve">Plata-357</t>
  </si>
  <si>
    <t xml:space="preserve">Hebei Matson Metal Tech Co., Ltd</t>
  </si>
  <si>
    <t xml:space="preserve">Exponor 2026. También expone en ExpoMina 2026 (ID 196). Sin contacto publicado.</t>
  </si>
  <si>
    <t xml:space="preserve">Plata-478</t>
  </si>
  <si>
    <t xml:space="preserve">www.matsonmining.com</t>
  </si>
  <si>
    <t xml:space="preserve">ExpoMina (ID 196)</t>
  </si>
  <si>
    <t xml:space="preserve">Hebei Sanye Fluid Technology Co., Ltd</t>
  </si>
  <si>
    <t xml:space="preserve">Plata-396</t>
  </si>
  <si>
    <t xml:space="preserve">Hebei Skyline Machinery Technology Co., Ltd</t>
  </si>
  <si>
    <t xml:space="preserve">Plata-361</t>
  </si>
  <si>
    <t xml:space="preserve">Hebei Star Mesh Imp.&amp;Exp. Company</t>
  </si>
  <si>
    <t xml:space="preserve">Plata-412</t>
  </si>
  <si>
    <t xml:space="preserve">Hefei Hengda Jianghai Pump Co., Ltd</t>
  </si>
  <si>
    <t xml:space="preserve">Plata-367</t>
  </si>
  <si>
    <t xml:space="preserve">Hefei Huayun Machinery Manufacturing Co.,Ltd</t>
  </si>
  <si>
    <t xml:space="preserve">Exponor 2026. También expone en ExpoMina 2026 (ID 526). Sin contacto publicado.</t>
  </si>
  <si>
    <t xml:space="preserve">Plata-386</t>
  </si>
  <si>
    <t xml:space="preserve">www.hospump.com</t>
  </si>
  <si>
    <t xml:space="preserve">ExpoMina (ID 526)</t>
  </si>
  <si>
    <t xml:space="preserve">Hefei Obote Automation Equipment Co., Ltd</t>
  </si>
  <si>
    <t xml:space="preserve">Plata-326</t>
  </si>
  <si>
    <t xml:space="preserve">Hela</t>
  </si>
  <si>
    <t xml:space="preserve">Cobre-16</t>
  </si>
  <si>
    <t xml:space="preserve">Henan Dalin Rubber and Telecommunications Apparatus Co., Ltd</t>
  </si>
  <si>
    <t xml:space="preserve">Exponor 2026. También expone en ExpoMina 2026 (ID 197). Sin contacto publicado.</t>
  </si>
  <si>
    <t xml:space="preserve">Plata-501</t>
  </si>
  <si>
    <t xml:space="preserve">www.rubflex.cn</t>
  </si>
  <si>
    <t xml:space="preserve">ExpoMina (ID 197)</t>
  </si>
  <si>
    <t xml:space="preserve">Henan Finework Cranes Co., Ltd</t>
  </si>
  <si>
    <t xml:space="preserve">Exponor 2026. También expone en ExpoMina 2026 (ID 532). Sin contacto publicado.</t>
  </si>
  <si>
    <t xml:space="preserve">Plata-539</t>
  </si>
  <si>
    <t xml:space="preserve">www.fineworkcranes.com</t>
  </si>
  <si>
    <t xml:space="preserve">ExpoMina (ID 532)</t>
  </si>
  <si>
    <t xml:space="preserve">Henan Hongxing Mining Machinery Co., Ltd</t>
  </si>
  <si>
    <t xml:space="preserve">Exponor 2026. También expone en ExpoMina 2026 (ID 536). Sin contacto publicado.</t>
  </si>
  <si>
    <t xml:space="preserve">Plata-451</t>
  </si>
  <si>
    <t xml:space="preserve">https://www.hxjqchina.com/</t>
  </si>
  <si>
    <t xml:space="preserve">ExpoMina (ID 536)</t>
  </si>
  <si>
    <t xml:space="preserve">Henan Seven Industry Co., Ltd</t>
  </si>
  <si>
    <t xml:space="preserve">Exponor 2026. También expone en ExpoMina 2026 (ID 542). Sin contacto publicado.</t>
  </si>
  <si>
    <t xml:space="preserve">Plata-383</t>
  </si>
  <si>
    <t xml:space="preserve">www.sevencrane.com</t>
  </si>
  <si>
    <t xml:space="preserve">ExpoMina (ID 542)</t>
  </si>
  <si>
    <t xml:space="preserve">Henan Tiga Enineering Co., Ltd</t>
  </si>
  <si>
    <t xml:space="preserve">Plata-536</t>
  </si>
  <si>
    <t xml:space="preserve">Henan Wesdom Flow Control Co., Ltd</t>
  </si>
  <si>
    <t xml:space="preserve">Plata-381</t>
  </si>
  <si>
    <t xml:space="preserve">Henan Zhongke Engineering &amp; Technology Co., Ltd</t>
  </si>
  <si>
    <t xml:space="preserve">Exponor 2026. También expone en ExpoMina 2026 (ID 548). Sin contacto publicado.</t>
  </si>
  <si>
    <t xml:space="preserve">Plata-397</t>
  </si>
  <si>
    <t xml:space="preserve">www.cnzhongke.com</t>
  </si>
  <si>
    <t xml:space="preserve">ExpoMina (ID 548)</t>
  </si>
  <si>
    <t xml:space="preserve">Hengyu Group Hydraulic Fluid Technology Hebei Co., Ltd</t>
  </si>
  <si>
    <t xml:space="preserve">Exponor 2026. También expone en ExpoMina 2026 (ID 552). Sin contacto publicado.</t>
  </si>
  <si>
    <t xml:space="preserve">Plata-356</t>
  </si>
  <si>
    <t xml:space="preserve">www.hengyuflex.com</t>
  </si>
  <si>
    <t xml:space="preserve">ExpoMina (ID 552)</t>
  </si>
  <si>
    <t xml:space="preserve">Henkel</t>
  </si>
  <si>
    <t xml:space="preserve">Hierro-1476-1477-1479 y 1480</t>
  </si>
  <si>
    <t xml:space="preserve">Hevvy Toyo Pumps Latin América</t>
  </si>
  <si>
    <t xml:space="preserve">Oro-1094 y 1144</t>
  </si>
  <si>
    <t xml:space="preserve">Hidrogistica</t>
  </si>
  <si>
    <t xml:space="preserve">Oro-1201</t>
  </si>
  <si>
    <t xml:space="preserve">Hidronor</t>
  </si>
  <si>
    <t xml:space="preserve">Litio-962</t>
  </si>
  <si>
    <t xml:space="preserve">Hidropower</t>
  </si>
  <si>
    <t xml:space="preserve">Litio-861</t>
  </si>
  <si>
    <t xml:space="preserve">Hima</t>
  </si>
  <si>
    <t xml:space="preserve">Molibdeno-1313 y 1314</t>
  </si>
  <si>
    <t xml:space="preserve">Hofmann Engineering Chile Ltda</t>
  </si>
  <si>
    <t xml:space="preserve">Exponor 2026. También expone en ExpoMina 2026 (ID 557). Sin contacto publicado.</t>
  </si>
  <si>
    <t xml:space="preserve">Exterior C-77</t>
  </si>
  <si>
    <t xml:space="preserve">ExpoMina (ID 557)</t>
  </si>
  <si>
    <t xml:space="preserve">Höhe S.A</t>
  </si>
  <si>
    <t xml:space="preserve">Exterior B-60</t>
  </si>
  <si>
    <t xml:space="preserve">Hormigones Copat</t>
  </si>
  <si>
    <t xml:space="preserve">Yodo-682</t>
  </si>
  <si>
    <t xml:space="preserve">HOSCH Chile</t>
  </si>
  <si>
    <t xml:space="preserve">Exponor 2026. También expone en ExpoMina 2026 (ID 561). Sin contacto publicado.</t>
  </si>
  <si>
    <t xml:space="preserve">Cobre-31 y 64</t>
  </si>
  <si>
    <t xml:space="preserve">https://www.hosch-international.com</t>
  </si>
  <si>
    <t xml:space="preserve">ExpoMina (ID 561)</t>
  </si>
  <si>
    <t xml:space="preserve">Hoteles Ayelen</t>
  </si>
  <si>
    <t xml:space="preserve">Oro-1101</t>
  </si>
  <si>
    <t xml:space="preserve">Hpy Sorting Technology</t>
  </si>
  <si>
    <t xml:space="preserve">Plata-422</t>
  </si>
  <si>
    <t xml:space="preserve">HRI</t>
  </si>
  <si>
    <t xml:space="preserve">Cobalto-1349</t>
  </si>
  <si>
    <t xml:space="preserve">Huainan Wantai Electric Co., Ltd</t>
  </si>
  <si>
    <t xml:space="preserve">Plata-466</t>
  </si>
  <si>
    <t xml:space="preserve">Hubei Teweite Power Technology Co., Ltd</t>
  </si>
  <si>
    <t xml:space="preserve">Plata-385</t>
  </si>
  <si>
    <t xml:space="preserve">Hubei Wanxin Precision Casting&amp;Forging Inc</t>
  </si>
  <si>
    <t xml:space="preserve">Plata-450</t>
  </si>
  <si>
    <t xml:space="preserve">Huebner Chile</t>
  </si>
  <si>
    <t xml:space="preserve">Exponor 2026. También expone en ExpoMina 2026 (ID 566). Sin contacto publicado.</t>
  </si>
  <si>
    <t xml:space="preserve">Cobre-43</t>
  </si>
  <si>
    <t xml:space="preserve">www.huebner-peru.pe</t>
  </si>
  <si>
    <t xml:space="preserve">ExpoMina (ID 566)</t>
  </si>
  <si>
    <t xml:space="preserve">Hunan Hyster Material Tech Co., Ltd</t>
  </si>
  <si>
    <t xml:space="preserve">Exponor 2026. También expone en ExpoMina 2026 (ID 567). Sin contacto publicado.</t>
  </si>
  <si>
    <t xml:space="preserve">Plata-510</t>
  </si>
  <si>
    <t xml:space="preserve">www.hystertech.com</t>
  </si>
  <si>
    <t xml:space="preserve">ExpoMina (ID 567)</t>
  </si>
  <si>
    <t xml:space="preserve">Hunan Wuxin Tunnel Intelligent Equipment Co., Ltd</t>
  </si>
  <si>
    <t xml:space="preserve">Plata-455</t>
  </si>
  <si>
    <t xml:space="preserve">Hunan Yige Special Steel Science Technology Co.,Ltd</t>
  </si>
  <si>
    <t xml:space="preserve">Plata-308</t>
  </si>
  <si>
    <t xml:space="preserve">HYVA Do Brasil</t>
  </si>
  <si>
    <t xml:space="preserve">Yodo-809A</t>
  </si>
  <si>
    <t xml:space="preserve">Iansagro S.A</t>
  </si>
  <si>
    <t xml:space="preserve">Cobalto-1350</t>
  </si>
  <si>
    <t xml:space="preserve">IGD Chile</t>
  </si>
  <si>
    <t xml:space="preserve">Oro-1132</t>
  </si>
  <si>
    <t xml:space="preserve">IGMA Antofagasta SpA</t>
  </si>
  <si>
    <t xml:space="preserve">Plata-320</t>
  </si>
  <si>
    <t xml:space="preserve">IHC Mining</t>
  </si>
  <si>
    <t xml:space="preserve">Cobre-129B</t>
  </si>
  <si>
    <t xml:space="preserve">Imega Ventus</t>
  </si>
  <si>
    <t xml:space="preserve">Molibdeno-1337</t>
  </si>
  <si>
    <t xml:space="preserve">Imer Chile</t>
  </si>
  <si>
    <t xml:space="preserve">Exterior B-43</t>
  </si>
  <si>
    <t xml:space="preserve">Imestre</t>
  </si>
  <si>
    <t xml:space="preserve">Litio-876</t>
  </si>
  <si>
    <t xml:space="preserve">Imopac</t>
  </si>
  <si>
    <t xml:space="preserve">Molibdeno-1269</t>
  </si>
  <si>
    <t xml:space="preserve">Imp. Exp. y Com. Jomar Ltda</t>
  </si>
  <si>
    <t xml:space="preserve">Cobre-253</t>
  </si>
  <si>
    <t xml:space="preserve">Imporper</t>
  </si>
  <si>
    <t xml:space="preserve">Yodo-768 y 769</t>
  </si>
  <si>
    <t xml:space="preserve">Importadora JR</t>
  </si>
  <si>
    <t xml:space="preserve">Litio-892</t>
  </si>
  <si>
    <t xml:space="preserve">Importadora Vima SpA</t>
  </si>
  <si>
    <t xml:space="preserve">Molibdeno-1236 y 1237</t>
  </si>
  <si>
    <t xml:space="preserve">Importadora y Comercial Intech Chile Ltda</t>
  </si>
  <si>
    <t xml:space="preserve">Oro-1158 y 1172</t>
  </si>
  <si>
    <t xml:space="preserve">Importadora y Exportadora Robles SpA</t>
  </si>
  <si>
    <t xml:space="preserve">Cobalto-1354</t>
  </si>
  <si>
    <t xml:space="preserve">INCO Engineering</t>
  </si>
  <si>
    <t xml:space="preserve">Oro-1090</t>
  </si>
  <si>
    <t xml:space="preserve">Indusdor</t>
  </si>
  <si>
    <t xml:space="preserve">Litio-857 y 858</t>
  </si>
  <si>
    <t xml:space="preserve">InexChile</t>
  </si>
  <si>
    <t xml:space="preserve">Litio-897</t>
  </si>
  <si>
    <t xml:space="preserve">Infrontech Industrial Co., Ltd</t>
  </si>
  <si>
    <t xml:space="preserve">Plata-399</t>
  </si>
  <si>
    <t xml:space="preserve">Ingemars</t>
  </si>
  <si>
    <t xml:space="preserve">Oro-1097</t>
  </si>
  <si>
    <t xml:space="preserve">Ingemecanic Ingeniería SpA</t>
  </si>
  <si>
    <t xml:space="preserve">Plata-485</t>
  </si>
  <si>
    <t xml:space="preserve">Ingemerca</t>
  </si>
  <si>
    <t xml:space="preserve">Litio-849</t>
  </si>
  <si>
    <t xml:space="preserve">Ingenalse</t>
  </si>
  <si>
    <t xml:space="preserve">Molibdeno-1310</t>
  </si>
  <si>
    <t xml:space="preserve">Ingeniería Ventas y Representaciones Internacionales Perú</t>
  </si>
  <si>
    <t xml:space="preserve">Plata-560 - 561 - 583 y 584</t>
  </si>
  <si>
    <t xml:space="preserve">Ingeniería y Obras Civiles Civelec Ltda</t>
  </si>
  <si>
    <t xml:space="preserve">Cobalto-1446</t>
  </si>
  <si>
    <t xml:space="preserve">Ingeniería y Servicios Orbitec SpA</t>
  </si>
  <si>
    <t xml:space="preserve">Molibdeno-1234</t>
  </si>
  <si>
    <t xml:space="preserve">Ingersoll Rand</t>
  </si>
  <si>
    <t xml:space="preserve">Exterior A-5</t>
  </si>
  <si>
    <t xml:space="preserve">Ingeteam</t>
  </si>
  <si>
    <t xml:space="preserve">Cobre-158</t>
  </si>
  <si>
    <t xml:space="preserve">Ingeteco SpA</t>
  </si>
  <si>
    <t xml:space="preserve">Molibdeno-1260</t>
  </si>
  <si>
    <t xml:space="preserve">Ingimex (Schroeder Valves)</t>
  </si>
  <si>
    <t xml:space="preserve">Cobre-39</t>
  </si>
  <si>
    <t xml:space="preserve">Inginsen</t>
  </si>
  <si>
    <t xml:space="preserve">Yodo-786</t>
  </si>
  <si>
    <t xml:space="preserve">Innergex</t>
  </si>
  <si>
    <t xml:space="preserve">Yodo-715</t>
  </si>
  <si>
    <t xml:space="preserve">Innovex</t>
  </si>
  <si>
    <t xml:space="preserve">Cobalto-1405</t>
  </si>
  <si>
    <t xml:space="preserve">Inquinat Chile Ltda</t>
  </si>
  <si>
    <t xml:space="preserve">Oro-1046</t>
  </si>
  <si>
    <t xml:space="preserve">Instruments &amp; Technology Solutions SpA</t>
  </si>
  <si>
    <t xml:space="preserve">Exterior C-101 y 102</t>
  </si>
  <si>
    <t xml:space="preserve">Instruvalve</t>
  </si>
  <si>
    <t xml:space="preserve">Cobre-150</t>
  </si>
  <si>
    <t xml:space="preserve">Interkrąż sp. z o.o</t>
  </si>
  <si>
    <t xml:space="preserve">Cobre-186B</t>
  </si>
  <si>
    <t xml:space="preserve">Intermin Ingeniería y Servicios SpA</t>
  </si>
  <si>
    <t xml:space="preserve">Litio-860</t>
  </si>
  <si>
    <t xml:space="preserve">Interwins</t>
  </si>
  <si>
    <t xml:space="preserve">Molibdeno-1329 y 1330</t>
  </si>
  <si>
    <t xml:space="preserve">Intrónica</t>
  </si>
  <si>
    <t xml:space="preserve">Plata-282</t>
  </si>
  <si>
    <t xml:space="preserve">Inttech Group Llc</t>
  </si>
  <si>
    <t xml:space="preserve">Litio-823</t>
  </si>
  <si>
    <t xml:space="preserve">Irritec Chile</t>
  </si>
  <si>
    <t xml:space="preserve">Cobre-194</t>
  </si>
  <si>
    <t xml:space="preserve">IS Ventec</t>
  </si>
  <si>
    <t xml:space="preserve">Exterior A-21</t>
  </si>
  <si>
    <t xml:space="preserve">Ischebeck Chile</t>
  </si>
  <si>
    <t xml:space="preserve">Cobre-1</t>
  </si>
  <si>
    <t xml:space="preserve">ISVA SpA</t>
  </si>
  <si>
    <t xml:space="preserve">Litio-931</t>
  </si>
  <si>
    <t xml:space="preserve">Itesa</t>
  </si>
  <si>
    <t xml:space="preserve">Plata-577</t>
  </si>
  <si>
    <t xml:space="preserve">Itl Chile</t>
  </si>
  <si>
    <t xml:space="preserve">Oro-1079A</t>
  </si>
  <si>
    <t xml:space="preserve">Itsanet S.A</t>
  </si>
  <si>
    <t xml:space="preserve">Molibdeno-1230 y 1231</t>
  </si>
  <si>
    <t xml:space="preserve">ITT Goulds Pumps</t>
  </si>
  <si>
    <t xml:space="preserve">Cobre-147</t>
  </si>
  <si>
    <t xml:space="preserve">J.Galvez Producciones</t>
  </si>
  <si>
    <t xml:space="preserve">Litio-822</t>
  </si>
  <si>
    <t xml:space="preserve">Jaras Diesel</t>
  </si>
  <si>
    <t xml:space="preserve">Molibdeno-1307</t>
  </si>
  <si>
    <t xml:space="preserve">JC Hydraulic</t>
  </si>
  <si>
    <t xml:space="preserve">Molibdeno-1282</t>
  </si>
  <si>
    <t xml:space="preserve">Jetsmart</t>
  </si>
  <si>
    <t xml:space="preserve">Litio-893</t>
  </si>
  <si>
    <t xml:space="preserve">Jiangsu Hanpu Mechanical Technology Co., Ltd</t>
  </si>
  <si>
    <t xml:space="preserve">Plata-424</t>
  </si>
  <si>
    <t xml:space="preserve">Jiangsu Jasung Intelligent Industrial Technology Co., Ltd</t>
  </si>
  <si>
    <t xml:space="preserve">Plata-350</t>
  </si>
  <si>
    <t xml:space="preserve">Jiangsu Ouerqi Filter Technology Co., Ltd</t>
  </si>
  <si>
    <t xml:space="preserve">Exponor 2026. También expone en ExpoMina 2026 (ID 613). Sin contacto publicado.</t>
  </si>
  <si>
    <t xml:space="preserve">Plata-481A</t>
  </si>
  <si>
    <t xml:space="preserve">http://www.jsouerqi.com</t>
  </si>
  <si>
    <t xml:space="preserve">ExpoMina (ID 613)</t>
  </si>
  <si>
    <t xml:space="preserve">Jiangsu Tongguang Optical Fiber Cable Co.,Ltd</t>
  </si>
  <si>
    <t xml:space="preserve">Plata-389</t>
  </si>
  <si>
    <t xml:space="preserve">Jiangxi Lianfeng Precision Casting Co., Ltd</t>
  </si>
  <si>
    <t xml:space="preserve">Exponor 2026. También expone en ExpoMina 2026 (ID 616). Sin contacto publicado.</t>
  </si>
  <si>
    <t xml:space="preserve">Plata-406</t>
  </si>
  <si>
    <t xml:space="preserve">www.lianfeng-group.com</t>
  </si>
  <si>
    <t xml:space="preserve">ExpoMina (ID 616)</t>
  </si>
  <si>
    <t xml:space="preserve">Jiangxi Siton Machinery Manufacturing Co., Ltd</t>
  </si>
  <si>
    <t xml:space="preserve">Plata-354</t>
  </si>
  <si>
    <t xml:space="preserve">Jiaozuo Zhongxin Heavy Industrial Machinery Co., Ltd</t>
  </si>
  <si>
    <t xml:space="preserve">Exponor 2026. También expone en ExpoMina 2026 (ID 620). Sin contacto publicado.</t>
  </si>
  <si>
    <t xml:space="preserve">Plata-444</t>
  </si>
  <si>
    <t xml:space="preserve">www.zxcrusher.com</t>
  </si>
  <si>
    <t xml:space="preserve">ExpoMina (ID 620)</t>
  </si>
  <si>
    <t xml:space="preserve">Jinan Dening Ruiyuan Truck Spare Parts Capital Warehouse Industry Co., Ltd</t>
  </si>
  <si>
    <t xml:space="preserve">Exponor 2026. También expone en ExpoMina 2026 (ID 621). Sin contacto publicado.</t>
  </si>
  <si>
    <t xml:space="preserve">Plata-509</t>
  </si>
  <si>
    <t xml:space="preserve">www.xiujianmachinery.com</t>
  </si>
  <si>
    <t xml:space="preserve">ExpoMina (ID 621)</t>
  </si>
  <si>
    <t xml:space="preserve">Jinan Meide Casting Co., Ltd</t>
  </si>
  <si>
    <t xml:space="preserve">Plata-610</t>
  </si>
  <si>
    <t xml:space="preserve">Jinan Zenti Heavy Industry Co., Ltd</t>
  </si>
  <si>
    <t xml:space="preserve">Plata-516</t>
  </si>
  <si>
    <t xml:space="preserve">Jingjiang Qianglun High Performance Material Co., Ltd</t>
  </si>
  <si>
    <t xml:space="preserve">Plata-307</t>
  </si>
  <si>
    <t xml:space="preserve">Jove Group-HTS</t>
  </si>
  <si>
    <t xml:space="preserve">Cobre-154</t>
  </si>
  <si>
    <t xml:space="preserve">JPH Lions</t>
  </si>
  <si>
    <t xml:space="preserve">Molibdeno-1228</t>
  </si>
  <si>
    <t xml:space="preserve">JR Componentes</t>
  </si>
  <si>
    <t xml:space="preserve">Cobre-244</t>
  </si>
  <si>
    <t xml:space="preserve">Jux Industrial Technique Tools</t>
  </si>
  <si>
    <t xml:space="preserve">Molibdeno-1270</t>
  </si>
  <si>
    <t xml:space="preserve">JZ Creation Heavy Industry Co. Ltd</t>
  </si>
  <si>
    <t xml:space="preserve">China (por validar)</t>
  </si>
  <si>
    <t xml:space="preserve">Molibdeno-1235 y 1256</t>
  </si>
  <si>
    <t xml:space="preserve">K-Utec</t>
  </si>
  <si>
    <t xml:space="preserve">Cobre-52</t>
  </si>
  <si>
    <t xml:space="preserve">Kallman Worldwide, Inc</t>
  </si>
  <si>
    <t xml:space="preserve">Cobre-215</t>
  </si>
  <si>
    <t xml:space="preserve">KBT Elektrik Malzemeleri San. Ve Tic. A.Ş</t>
  </si>
  <si>
    <t xml:space="preserve">Yodo-802</t>
  </si>
  <si>
    <t xml:space="preserve">Keepex</t>
  </si>
  <si>
    <t xml:space="preserve">Cobre-117</t>
  </si>
  <si>
    <t xml:space="preserve">Keyprocess</t>
  </si>
  <si>
    <t xml:space="preserve">Litio-952</t>
  </si>
  <si>
    <t xml:space="preserve">Kido Pro - Aladas 4.0</t>
  </si>
  <si>
    <t xml:space="preserve">Molibdeno-1221</t>
  </si>
  <si>
    <t xml:space="preserve">Kingda Pump Group Co., Ltd</t>
  </si>
  <si>
    <t xml:space="preserve">Plata-507</t>
  </si>
  <si>
    <t xml:space="preserve">Klinger</t>
  </si>
  <si>
    <t xml:space="preserve">Plata-523</t>
  </si>
  <si>
    <t xml:space="preserve">Koch Solutions</t>
  </si>
  <si>
    <t xml:space="preserve">Cobre-8</t>
  </si>
  <si>
    <t xml:space="preserve">Kolff</t>
  </si>
  <si>
    <t xml:space="preserve">Exponor 2026. También expone en ExpoMina 2026 (ID 219). Sin contacto publicado.</t>
  </si>
  <si>
    <t xml:space="preserve">Cobre-22</t>
  </si>
  <si>
    <t xml:space="preserve">https://kolff.com.pe/</t>
  </si>
  <si>
    <t xml:space="preserve">ExpoMina (ID 219)</t>
  </si>
  <si>
    <t xml:space="preserve">Koslan</t>
  </si>
  <si>
    <t xml:space="preserve">Litio-871</t>
  </si>
  <si>
    <t xml:space="preserve">Kowenmaq SpA</t>
  </si>
  <si>
    <t xml:space="preserve">Litio-968</t>
  </si>
  <si>
    <t xml:space="preserve">Kraemer</t>
  </si>
  <si>
    <t xml:space="preserve">Cobre-36</t>
  </si>
  <si>
    <t xml:space="preserve">Krah America Latina S.A</t>
  </si>
  <si>
    <t xml:space="preserve">Plata-432 - 433 y 434</t>
  </si>
  <si>
    <t xml:space="preserve">Kraper</t>
  </si>
  <si>
    <t xml:space="preserve">Yodo-771</t>
  </si>
  <si>
    <t xml:space="preserve">Kryton International</t>
  </si>
  <si>
    <t xml:space="preserve">Cobalto-1388</t>
  </si>
  <si>
    <t xml:space="preserve">Kumera</t>
  </si>
  <si>
    <t xml:space="preserve">Cobre-105</t>
  </si>
  <si>
    <t xml:space="preserve">Kunshan Sima Conveying Equipment Co., Ltd</t>
  </si>
  <si>
    <t xml:space="preserve">Exponor 2026. También expone en ExpoMina 2026 (ID 639). Sin contacto publicado.</t>
  </si>
  <si>
    <t xml:space="preserve">Plata-513</t>
  </si>
  <si>
    <t xml:space="preserve">www.sima-conveying.com</t>
  </si>
  <si>
    <t xml:space="preserve">ExpoMina (ID 639)</t>
  </si>
  <si>
    <t xml:space="preserve">Kuntur Pump</t>
  </si>
  <si>
    <t xml:space="preserve">Plata-578A</t>
  </si>
  <si>
    <t xml:space="preserve">Küpper</t>
  </si>
  <si>
    <t xml:space="preserve">Cobre-92 y 94</t>
  </si>
  <si>
    <t xml:space="preserve">L&amp;H Industrial Chile</t>
  </si>
  <si>
    <t xml:space="preserve">Exterior A-20</t>
  </si>
  <si>
    <t xml:space="preserve">La Araucana CCAF</t>
  </si>
  <si>
    <t xml:space="preserve">Molibdeno-1225</t>
  </si>
  <si>
    <t xml:space="preserve">Laboratorio Microbiologico de Aguas y Alimentos</t>
  </si>
  <si>
    <t xml:space="preserve">Oro-1149</t>
  </si>
  <si>
    <t xml:space="preserve">LAMS</t>
  </si>
  <si>
    <t xml:space="preserve">Cobre-18 y 19</t>
  </si>
  <si>
    <t xml:space="preserve">Landoil Chemical Group Co., Ltd</t>
  </si>
  <si>
    <t xml:space="preserve">Plata-540</t>
  </si>
  <si>
    <t xml:space="preserve">Larce Electric</t>
  </si>
  <si>
    <t xml:space="preserve">Exterior B-42</t>
  </si>
  <si>
    <t xml:space="preserve">Latitud Sur</t>
  </si>
  <si>
    <t xml:space="preserve">Litio-913</t>
  </si>
  <si>
    <t xml:space="preserve">Layer Electronics S.R.L</t>
  </si>
  <si>
    <t xml:space="preserve">Litio-992</t>
  </si>
  <si>
    <t xml:space="preserve">Le Grand Chic</t>
  </si>
  <si>
    <t xml:space="preserve">Plata-315</t>
  </si>
  <si>
    <t xml:space="preserve">Legrand Bticino Chile</t>
  </si>
  <si>
    <t xml:space="preserve">Exterior E-120 y 121</t>
  </si>
  <si>
    <t xml:space="preserve">Leis</t>
  </si>
  <si>
    <t xml:space="preserve">Cobre-149</t>
  </si>
  <si>
    <t xml:space="preserve">Liaoning Vasoar Co., Ltd</t>
  </si>
  <si>
    <t xml:space="preserve">Exponor 2026. También expone en ExpoMina 2026 (ID 648). Sin contacto publicado.</t>
  </si>
  <si>
    <t xml:space="preserve">Plata-300</t>
  </si>
  <si>
    <t xml:space="preserve">www.gzcrusher.com</t>
  </si>
  <si>
    <t xml:space="preserve">ExpoMina (ID 648)</t>
  </si>
  <si>
    <t xml:space="preserve">Liaoning Zhonghe Xinke Industrial Technology Co., Ltd</t>
  </si>
  <si>
    <t xml:space="preserve">Exponor 2026. También expone en ExpoMina 2026 (ID 221). Sin contacto publicado.</t>
  </si>
  <si>
    <t xml:space="preserve">Plata-328</t>
  </si>
  <si>
    <t xml:space="preserve">www.zhonghexinke.com</t>
  </si>
  <si>
    <t xml:space="preserve">ExpoMina (ID 221)</t>
  </si>
  <si>
    <t xml:space="preserve">Lift Tek</t>
  </si>
  <si>
    <t xml:space="preserve">Oro-1080</t>
  </si>
  <si>
    <t xml:space="preserve">Liming Heavy Industry Co., Ltd</t>
  </si>
  <si>
    <t xml:space="preserve">Plata-408</t>
  </si>
  <si>
    <t xml:space="preserve">Lipigas</t>
  </si>
  <si>
    <t xml:space="preserve">Exterior A-17</t>
  </si>
  <si>
    <t xml:space="preserve">Lixivian</t>
  </si>
  <si>
    <t xml:space="preserve">Plata-579</t>
  </si>
  <si>
    <t xml:space="preserve">Lockerplus S.A</t>
  </si>
  <si>
    <t xml:space="preserve">Cobre-198 y 199</t>
  </si>
  <si>
    <t xml:space="preserve">Lofgham SpA</t>
  </si>
  <si>
    <t xml:space="preserve">Exterior E-119</t>
  </si>
  <si>
    <t xml:space="preserve">Loomis</t>
  </si>
  <si>
    <t xml:space="preserve">Cobre-114</t>
  </si>
  <si>
    <t xml:space="preserve">Lorbrand S.A</t>
  </si>
  <si>
    <t xml:space="preserve">Exterior D-106</t>
  </si>
  <si>
    <t xml:space="preserve">Lucasmaq</t>
  </si>
  <si>
    <t xml:space="preserve">Exterior A-33 y 34</t>
  </si>
  <si>
    <t xml:space="preserve">Luoyang G-Top International Co., Ltd</t>
  </si>
  <si>
    <t xml:space="preserve">Plata-503</t>
  </si>
  <si>
    <t xml:space="preserve">Luoyang Jiema Trading Co., Ltd</t>
  </si>
  <si>
    <t xml:space="preserve">Plata-454</t>
  </si>
  <si>
    <t xml:space="preserve">Luoyang Jinda Machinery Equipment Co., Ltd</t>
  </si>
  <si>
    <t xml:space="preserve">Plata-421</t>
  </si>
  <si>
    <t xml:space="preserve">Luoyang Shandike Mechanical Equipment Co.,Ltd</t>
  </si>
  <si>
    <t xml:space="preserve">Plata-409</t>
  </si>
  <si>
    <t xml:space="preserve">Luoyang Wangli Heavy Machinery Co., Ltd</t>
  </si>
  <si>
    <t xml:space="preserve">Plata-473</t>
  </si>
  <si>
    <t xml:space="preserve">M-Solutions SpA</t>
  </si>
  <si>
    <t xml:space="preserve">Litio-947</t>
  </si>
  <si>
    <t xml:space="preserve">MAAG Gear SpA</t>
  </si>
  <si>
    <t xml:space="preserve">Yodo-648</t>
  </si>
  <si>
    <t xml:space="preserve">Macaya</t>
  </si>
  <si>
    <t xml:space="preserve">Oro-1067 y 1086</t>
  </si>
  <si>
    <t xml:space="preserve">Machinery Crm</t>
  </si>
  <si>
    <t xml:space="preserve">Yodo-783</t>
  </si>
  <si>
    <t xml:space="preserve">Macme</t>
  </si>
  <si>
    <t xml:space="preserve">Plata-518 y 520</t>
  </si>
  <si>
    <t xml:space="preserve">Madepal SpA</t>
  </si>
  <si>
    <t xml:space="preserve">Oro-1081</t>
  </si>
  <si>
    <t xml:space="preserve">Maestranza Murúa</t>
  </si>
  <si>
    <t xml:space="preserve">Molibdeno-1244</t>
  </si>
  <si>
    <t xml:space="preserve">MAFEM</t>
  </si>
  <si>
    <t xml:space="preserve">Exterior C-100</t>
  </si>
  <si>
    <t xml:space="preserve">Magix Group</t>
  </si>
  <si>
    <t xml:space="preserve">Cobalto-1366</t>
  </si>
  <si>
    <t xml:space="preserve">Magshield</t>
  </si>
  <si>
    <t xml:space="preserve">Yodo-729A</t>
  </si>
  <si>
    <t xml:space="preserve">Maisver Mecanizados Ltda</t>
  </si>
  <si>
    <t xml:space="preserve">Molibdeno-1308</t>
  </si>
  <si>
    <t xml:space="preserve">Makita</t>
  </si>
  <si>
    <t xml:space="preserve">Exterior B-48</t>
  </si>
  <si>
    <t xml:space="preserve">Mammoth Equipment &amp; Exhaust</t>
  </si>
  <si>
    <t xml:space="preserve">Cobre-148</t>
  </si>
  <si>
    <t xml:space="preserve">Manantial-CCU</t>
  </si>
  <si>
    <t xml:space="preserve">Hierro-1493</t>
  </si>
  <si>
    <t xml:space="preserve">Manlin</t>
  </si>
  <si>
    <t xml:space="preserve">Mansil SpA</t>
  </si>
  <si>
    <t xml:space="preserve">Molibdeno-1332</t>
  </si>
  <si>
    <t xml:space="preserve">Mapei</t>
  </si>
  <si>
    <t xml:space="preserve">Oro-1177</t>
  </si>
  <si>
    <t xml:space="preserve">Mapla</t>
  </si>
  <si>
    <t xml:space="preserve">Plata-623</t>
  </si>
  <si>
    <t xml:space="preserve">Maqservice</t>
  </si>
  <si>
    <t xml:space="preserve">Exterior E-123</t>
  </si>
  <si>
    <t xml:space="preserve">Máquinas Furlan</t>
  </si>
  <si>
    <t xml:space="preserve">Yodo-773</t>
  </si>
  <si>
    <t xml:space="preserve">Marlew S.A</t>
  </si>
  <si>
    <t xml:space="preserve">Exponor 2026. También expone en ExpoMina 2026 (ID 226). Sin contacto publicado.</t>
  </si>
  <si>
    <t xml:space="preserve">Litio-937</t>
  </si>
  <si>
    <t xml:space="preserve">https://www.marlew.com.ar/</t>
  </si>
  <si>
    <t xml:space="preserve">ExpoMina (ID 226)</t>
  </si>
  <si>
    <t xml:space="preserve">Marley Coffee</t>
  </si>
  <si>
    <t xml:space="preserve">Cobalto-1356</t>
  </si>
  <si>
    <t xml:space="preserve">Martin Sprocket</t>
  </si>
  <si>
    <t xml:space="preserve">Yodo-806</t>
  </si>
  <si>
    <t xml:space="preserve">Marval</t>
  </si>
  <si>
    <t xml:space="preserve">Cobre-179 y 180</t>
  </si>
  <si>
    <t xml:space="preserve">Más Potencial</t>
  </si>
  <si>
    <t xml:space="preserve">Litio-951</t>
  </si>
  <si>
    <t xml:space="preserve">Matec Industries</t>
  </si>
  <si>
    <t xml:space="preserve">Yodo-801</t>
  </si>
  <si>
    <t xml:space="preserve">Matmin</t>
  </si>
  <si>
    <t xml:space="preserve">Yodo-634</t>
  </si>
  <si>
    <t xml:space="preserve">MATO Holding</t>
  </si>
  <si>
    <t xml:space="preserve">Cobre-33 y 34</t>
  </si>
  <si>
    <t xml:space="preserve">Matrix World Group</t>
  </si>
  <si>
    <t xml:space="preserve">Plata-615 y 617</t>
  </si>
  <si>
    <t xml:space="preserve">Matter of Trust Chile</t>
  </si>
  <si>
    <t xml:space="preserve">Exterior E-157</t>
  </si>
  <si>
    <t xml:space="preserve">Maxepoxy</t>
  </si>
  <si>
    <t xml:space="preserve">Cobalto-1346</t>
  </si>
  <si>
    <t xml:space="preserve">Maxservice</t>
  </si>
  <si>
    <t xml:space="preserve">Molibdeno-1284-1285 y 1286</t>
  </si>
  <si>
    <t xml:space="preserve">Mcc Baosteel Technology Services Co,.Ltd</t>
  </si>
  <si>
    <t xml:space="preserve">Plata-375</t>
  </si>
  <si>
    <t xml:space="preserve">Mcco Copper</t>
  </si>
  <si>
    <t xml:space="preserve">Litio-1005</t>
  </si>
  <si>
    <t xml:space="preserve">MCI Termofusión</t>
  </si>
  <si>
    <t xml:space="preserve">Molibdeno-1266 y 1267</t>
  </si>
  <si>
    <t xml:space="preserve">McLanahan Corp</t>
  </si>
  <si>
    <t xml:space="preserve">Cobre-228 y 259</t>
  </si>
  <si>
    <t xml:space="preserve">Mecapres</t>
  </si>
  <si>
    <t xml:space="preserve">Exterior C-72</t>
  </si>
  <si>
    <t xml:space="preserve">Medel y Cía</t>
  </si>
  <si>
    <t xml:space="preserve">Yodo-629</t>
  </si>
  <si>
    <t xml:space="preserve">Megamin S.A. - Croacia</t>
  </si>
  <si>
    <t xml:space="preserve">Cobre-124 y 125</t>
  </si>
  <si>
    <t xml:space="preserve">Mermec Group</t>
  </si>
  <si>
    <t xml:space="preserve">Cobre-142</t>
  </si>
  <si>
    <t xml:space="preserve">Metalmack Limitada</t>
  </si>
  <si>
    <t xml:space="preserve">Cobalto-1381</t>
  </si>
  <si>
    <t xml:space="preserve">Metalradic S.A</t>
  </si>
  <si>
    <t xml:space="preserve">Molibdeno-1217 y 1218</t>
  </si>
  <si>
    <t xml:space="preserve">Metaservice Ltda</t>
  </si>
  <si>
    <t xml:space="preserve">Plata-556</t>
  </si>
  <si>
    <t xml:space="preserve">Métrica SpA</t>
  </si>
  <si>
    <t xml:space="preserve">Litio-984 y 991</t>
  </si>
  <si>
    <t xml:space="preserve">Metrocal</t>
  </si>
  <si>
    <t xml:space="preserve">Molibdeno-1271</t>
  </si>
  <si>
    <t xml:space="preserve">MGT</t>
  </si>
  <si>
    <t xml:space="preserve">Cobre-160 y 161</t>
  </si>
  <si>
    <t xml:space="preserve">MHM Suministros</t>
  </si>
  <si>
    <t xml:space="preserve">Oro-1151 y 1152</t>
  </si>
  <si>
    <t xml:space="preserve">Miba Industrial</t>
  </si>
  <si>
    <t xml:space="preserve">Yodo-811A</t>
  </si>
  <si>
    <t xml:space="preserve">Micr'Eau Chile</t>
  </si>
  <si>
    <t xml:space="preserve">Cobre-171</t>
  </si>
  <si>
    <t xml:space="preserve">Micro Automación</t>
  </si>
  <si>
    <t xml:space="preserve">Plata-622</t>
  </si>
  <si>
    <t xml:space="preserve">Midas Engineering Machinery and Equipment (Henan) Co., Ltd</t>
  </si>
  <si>
    <t xml:space="preserve">Plata-543</t>
  </si>
  <si>
    <t xml:space="preserve">Migtra</t>
  </si>
  <si>
    <t xml:space="preserve">Cobre-6</t>
  </si>
  <si>
    <t xml:space="preserve">Milwaukee</t>
  </si>
  <si>
    <t xml:space="preserve">Exterior B-58 y 59</t>
  </si>
  <si>
    <t xml:space="preserve">Minabas</t>
  </si>
  <si>
    <t xml:space="preserve">Yodo-755</t>
  </si>
  <si>
    <t xml:space="preserve">Mine Cable Services</t>
  </si>
  <si>
    <t xml:space="preserve">Yodo-711</t>
  </si>
  <si>
    <t xml:space="preserve">Mine Partner</t>
  </si>
  <si>
    <t xml:space="preserve">Yodo-737</t>
  </si>
  <si>
    <t xml:space="preserve">Mine Trust SpA</t>
  </si>
  <si>
    <t xml:space="preserve">Exterior A-35</t>
  </si>
  <si>
    <t xml:space="preserve">Minova S.A</t>
  </si>
  <si>
    <t xml:space="preserve">Yodo-698</t>
  </si>
  <si>
    <t xml:space="preserve">Mintral</t>
  </si>
  <si>
    <t xml:space="preserve">Exterior B-66</t>
  </si>
  <si>
    <t xml:space="preserve">Miss Propiedades</t>
  </si>
  <si>
    <t xml:space="preserve">Oro-1184</t>
  </si>
  <si>
    <t xml:space="preserve">Mixer Chile Ltda</t>
  </si>
  <si>
    <t xml:space="preserve">Litio-970</t>
  </si>
  <si>
    <t xml:space="preserve">MJI Ltda</t>
  </si>
  <si>
    <t xml:space="preserve">Oro-1125</t>
  </si>
  <si>
    <t xml:space="preserve">MLT Group</t>
  </si>
  <si>
    <t xml:space="preserve">Cobre-165A</t>
  </si>
  <si>
    <t xml:space="preserve">MNSTEEL-X</t>
  </si>
  <si>
    <t xml:space="preserve">Molibdeno-1288</t>
  </si>
  <si>
    <t xml:space="preserve">Modulos S.A</t>
  </si>
  <si>
    <t xml:space="preserve">Exterior B-69</t>
  </si>
  <si>
    <t xml:space="preserve">Movitecnica</t>
  </si>
  <si>
    <t xml:space="preserve">consultas@movitecnica.com.pe</t>
  </si>
  <si>
    <t xml:space="preserve">Exponor 2026. También en CRM Directorio SSO 2026 (ID 628). También expone en ExpoMina 2026 (ID 699).</t>
  </si>
  <si>
    <t xml:space="preserve">Plata-579A</t>
  </si>
  <si>
    <t xml:space="preserve">www.movitecnica.com.pe</t>
  </si>
  <si>
    <t xml:space="preserve">994240024</t>
  </si>
  <si>
    <t xml:space="preserve">Directorio SSO (ID 628); ExpoMina (ID 699)</t>
  </si>
  <si>
    <t xml:space="preserve">MSS</t>
  </si>
  <si>
    <t xml:space="preserve">Hierro-1456</t>
  </si>
  <si>
    <t xml:space="preserve">MT Equipos SpA</t>
  </si>
  <si>
    <t xml:space="preserve">Yodo-793</t>
  </si>
  <si>
    <t xml:space="preserve">MTM Solutions SpA</t>
  </si>
  <si>
    <t xml:space="preserve">Cobalto-1427</t>
  </si>
  <si>
    <t xml:space="preserve">Multipiping</t>
  </si>
  <si>
    <t xml:space="preserve">Yodo-637B</t>
  </si>
  <si>
    <t xml:space="preserve">Multiseal Tire Sealants</t>
  </si>
  <si>
    <t xml:space="preserve">Cobre-270</t>
  </si>
  <si>
    <t xml:space="preserve">Multotec Chile S.A</t>
  </si>
  <si>
    <t xml:space="preserve">Oro-1087</t>
  </si>
  <si>
    <t xml:space="preserve">Munita y Olavarría</t>
  </si>
  <si>
    <t xml:space="preserve">Molibdeno-1333</t>
  </si>
  <si>
    <t xml:space="preserve">MX3 Diagnostics</t>
  </si>
  <si>
    <t xml:space="preserve">Yodo-665</t>
  </si>
  <si>
    <t xml:space="preserve">MYM Supply</t>
  </si>
  <si>
    <t xml:space="preserve">Molibdeno-1323-1324 y 1325</t>
  </si>
  <si>
    <t xml:space="preserve">Nalco Water, an Ecolab Company</t>
  </si>
  <si>
    <t xml:space="preserve">Litio-820</t>
  </si>
  <si>
    <t xml:space="preserve">Nector Sp. z o.o</t>
  </si>
  <si>
    <t xml:space="preserve">Cobre-187</t>
  </si>
  <si>
    <t xml:space="preserve">Negocios Alquinta SpA</t>
  </si>
  <si>
    <t xml:space="preserve">Litio-829</t>
  </si>
  <si>
    <t xml:space="preserve">Netafim</t>
  </si>
  <si>
    <t xml:space="preserve">Oro-1084</t>
  </si>
  <si>
    <t xml:space="preserve">NETZSCH</t>
  </si>
  <si>
    <t xml:space="preserve">Exponor 2026. También expone en ExpoMina 2026 (ID 235). Sin contacto publicado.</t>
  </si>
  <si>
    <t xml:space="preserve">Cobre-24</t>
  </si>
  <si>
    <t xml:space="preserve">www.netzsch.com</t>
  </si>
  <si>
    <t xml:space="preserve">ExpoMina (ID 235)</t>
  </si>
  <si>
    <t xml:space="preserve">New Wisdom Investment Limited</t>
  </si>
  <si>
    <t xml:space="preserve">Litio-895</t>
  </si>
  <si>
    <t xml:space="preserve">Newrest</t>
  </si>
  <si>
    <t xml:space="preserve">Exponor 2026. También expone en ExpoMina 2026 (ID 708). Sin contacto publicado.</t>
  </si>
  <si>
    <t xml:space="preserve">Oro-1091A</t>
  </si>
  <si>
    <t xml:space="preserve">https://www.newrest.eu/es/nuestra-red/peru/</t>
  </si>
  <si>
    <t xml:space="preserve">ExpoMina (ID 708)</t>
  </si>
  <si>
    <t xml:space="preserve">Nilos Chile</t>
  </si>
  <si>
    <t xml:space="preserve">Cobre-89</t>
  </si>
  <si>
    <t xml:space="preserve">Ningbo S&amp;D Metalwork Co., Ltd</t>
  </si>
  <si>
    <t xml:space="preserve">Exponor 2026. También expone en ExpoMina 2026 (ID 711). Sin contacto publicado.</t>
  </si>
  <si>
    <t xml:space="preserve">Plata-297</t>
  </si>
  <si>
    <t xml:space="preserve">www.sendingmetalwork.com</t>
  </si>
  <si>
    <t xml:space="preserve">ExpoMina (ID 711)</t>
  </si>
  <si>
    <t xml:space="preserve">Ningbo Zhedong Precision Casting Co., Ltd</t>
  </si>
  <si>
    <t xml:space="preserve">Plata-403</t>
  </si>
  <si>
    <t xml:space="preserve">Ningguo Fengxing Import&amp;Export Trading Company Limited</t>
  </si>
  <si>
    <t xml:space="preserve">Plata-418</t>
  </si>
  <si>
    <t xml:space="preserve">Nomad Solar Energy</t>
  </si>
  <si>
    <t xml:space="preserve">Cobalto-1398</t>
  </si>
  <si>
    <t xml:space="preserve">Nord-Lock Group</t>
  </si>
  <si>
    <t xml:space="preserve">Molibdeno-1293</t>
  </si>
  <si>
    <t xml:space="preserve">Nordic Dynaset</t>
  </si>
  <si>
    <t xml:space="preserve">Cobre-104</t>
  </si>
  <si>
    <t xml:space="preserve">Nordic Mine Steel</t>
  </si>
  <si>
    <t xml:space="preserve">Yodo-726</t>
  </si>
  <si>
    <t xml:space="preserve">Norte y Energía</t>
  </si>
  <si>
    <t xml:space="preserve">Litio-994</t>
  </si>
  <si>
    <t xml:space="preserve">Northwest Towers</t>
  </si>
  <si>
    <t xml:space="preserve">Cobre-207B</t>
  </si>
  <si>
    <t xml:space="preserve">Novamine</t>
  </si>
  <si>
    <t xml:space="preserve">Litio-863 y 864</t>
  </si>
  <si>
    <t xml:space="preserve">Nowparts Chile</t>
  </si>
  <si>
    <t xml:space="preserve">Hierro-1463 y 1464</t>
  </si>
  <si>
    <t xml:space="preserve">NSK Latin America Inc</t>
  </si>
  <si>
    <t xml:space="preserve">Cobre-203</t>
  </si>
  <si>
    <t xml:space="preserve">NTE Process SRL</t>
  </si>
  <si>
    <t xml:space="preserve">Cobre-141B</t>
  </si>
  <si>
    <t xml:space="preserve">Nuclear Industry Yantai Toncin Group Co., Ltd</t>
  </si>
  <si>
    <t xml:space="preserve">Plata-363</t>
  </si>
  <si>
    <t xml:space="preserve">Nutrandes</t>
  </si>
  <si>
    <t xml:space="preserve">Cobre-222</t>
  </si>
  <si>
    <t xml:space="preserve">O´Higgins Herramientas</t>
  </si>
  <si>
    <t xml:space="preserve">Oro-1059</t>
  </si>
  <si>
    <t xml:space="preserve">Octave</t>
  </si>
  <si>
    <t xml:space="preserve">Oro-1079</t>
  </si>
  <si>
    <t xml:space="preserve">Oleviveragua</t>
  </si>
  <si>
    <t xml:space="preserve">Oro-1100</t>
  </si>
  <si>
    <t xml:space="preserve">Optecs B.V</t>
  </si>
  <si>
    <t xml:space="preserve">Cobre-127</t>
  </si>
  <si>
    <t xml:space="preserve">Optical Cable Corporation</t>
  </si>
  <si>
    <t xml:space="preserve">Cobre-278</t>
  </si>
  <si>
    <t xml:space="preserve">Optiminer</t>
  </si>
  <si>
    <t xml:space="preserve">Cobre-57</t>
  </si>
  <si>
    <t xml:space="preserve">Orient GS International Engineering Co., Ltd</t>
  </si>
  <si>
    <t xml:space="preserve">Exponor 2026. También expone en ExpoMina 2026 (ID 724). Sin contacto publicado.</t>
  </si>
  <si>
    <t xml:space="preserve">Plata-423</t>
  </si>
  <si>
    <t xml:space="preserve">www.gshousinggroup.com</t>
  </si>
  <si>
    <t xml:space="preserve">ExpoMina (ID 724)</t>
  </si>
  <si>
    <t xml:space="preserve">Orkin</t>
  </si>
  <si>
    <t xml:space="preserve">Cobalto-1412</t>
  </si>
  <si>
    <t xml:space="preserve">Orpak Latina SpA</t>
  </si>
  <si>
    <t xml:space="preserve">Cobalto-1451</t>
  </si>
  <si>
    <t xml:space="preserve">Oxwear</t>
  </si>
  <si>
    <t xml:space="preserve">Cobalto-1424</t>
  </si>
  <si>
    <t xml:space="preserve">P-guita.cl</t>
  </si>
  <si>
    <t xml:space="preserve">Oro-1135</t>
  </si>
  <si>
    <t xml:space="preserve">Palazzoli SpA</t>
  </si>
  <si>
    <t xml:space="preserve">Cobre-141A</t>
  </si>
  <si>
    <t xml:space="preserve">Pavimentos Quilín Ltda</t>
  </si>
  <si>
    <t xml:space="preserve">Plata-529</t>
  </si>
  <si>
    <t xml:space="preserve">Pemo Pumps</t>
  </si>
  <si>
    <t xml:space="preserve">Cobre-138</t>
  </si>
  <si>
    <t xml:space="preserve">Perfect Snap-On</t>
  </si>
  <si>
    <t xml:space="preserve">Plata-555 y 591</t>
  </si>
  <si>
    <t xml:space="preserve">Perkinelmer</t>
  </si>
  <si>
    <t xml:space="preserve">Oro-1077</t>
  </si>
  <si>
    <t xml:space="preserve">Pesco</t>
  </si>
  <si>
    <t xml:space="preserve">Exponor 2026. También expone en ExpoMina 2026 (ID 732). Sin contacto publicado.</t>
  </si>
  <si>
    <t xml:space="preserve">Exterior B-44</t>
  </si>
  <si>
    <t xml:space="preserve">ExpoMina (ID 732)</t>
  </si>
  <si>
    <t xml:space="preserve">Pessa</t>
  </si>
  <si>
    <t xml:space="preserve">Cobre-183 y 219</t>
  </si>
  <si>
    <t xml:space="preserve">Petromin</t>
  </si>
  <si>
    <t xml:space="preserve">Exterior C-088 y 091</t>
  </si>
  <si>
    <t xml:space="preserve">Petron Corporation</t>
  </si>
  <si>
    <t xml:space="preserve">Cobre-210</t>
  </si>
  <si>
    <t xml:space="preserve">PH7 Technologies</t>
  </si>
  <si>
    <t xml:space="preserve">Yodo-710</t>
  </si>
  <si>
    <t xml:space="preserve">Philadelphia Gear</t>
  </si>
  <si>
    <t xml:space="preserve">Exponor 2026. También expone en ExpoMina 2026 (ID 734). Sin contacto publicado.</t>
  </si>
  <si>
    <t xml:space="preserve">Cobre-202</t>
  </si>
  <si>
    <t xml:space="preserve">www.philagear.com</t>
  </si>
  <si>
    <t xml:space="preserve">ExpoMina (ID 734)</t>
  </si>
  <si>
    <t xml:space="preserve">Phoenix Mining Equipment (Shanghai) Co., Ltd</t>
  </si>
  <si>
    <t xml:space="preserve">Plata-537</t>
  </si>
  <si>
    <t xml:space="preserve">Pía Lecaros Álvarez</t>
  </si>
  <si>
    <t xml:space="preserve">Exterior E-151</t>
  </si>
  <si>
    <t xml:space="preserve">Pignus</t>
  </si>
  <si>
    <t xml:space="preserve">Planve SpA</t>
  </si>
  <si>
    <t xml:space="preserve">Oro-1107</t>
  </si>
  <si>
    <t xml:space="preserve">Plastigen SpA</t>
  </si>
  <si>
    <t xml:space="preserve">Oro-1199</t>
  </si>
  <si>
    <t xml:space="preserve">Pluss Minería SpA</t>
  </si>
  <si>
    <t xml:space="preserve">Cobre-74</t>
  </si>
  <si>
    <t xml:space="preserve">PMP GROUP</t>
  </si>
  <si>
    <t xml:space="preserve">Yodo-632</t>
  </si>
  <si>
    <t xml:space="preserve">Pocuno Industri Teknisa</t>
  </si>
  <si>
    <t xml:space="preserve">Yodo-696</t>
  </si>
  <si>
    <t xml:space="preserve">Polymet Solutions Corporation</t>
  </si>
  <si>
    <t xml:space="preserve">Oro-1048</t>
  </si>
  <si>
    <t xml:space="preserve">Power Transmission Solutions/Services</t>
  </si>
  <si>
    <t xml:space="preserve">Exterior E-134</t>
  </si>
  <si>
    <t xml:space="preserve">Powerbox (Synertec)</t>
  </si>
  <si>
    <t xml:space="preserve">Exterior A-13</t>
  </si>
  <si>
    <t xml:space="preserve">Powermax</t>
  </si>
  <si>
    <t xml:space="preserve">Litio-1025</t>
  </si>
  <si>
    <t xml:space="preserve">PPG</t>
  </si>
  <si>
    <t xml:space="preserve">Oro-1061</t>
  </si>
  <si>
    <t xml:space="preserve">PQA</t>
  </si>
  <si>
    <t xml:space="preserve">Plata-580</t>
  </si>
  <si>
    <t xml:space="preserve">Precisa Chile</t>
  </si>
  <si>
    <t xml:space="preserve">Litio-853</t>
  </si>
  <si>
    <t xml:space="preserve">Precision Pulley &amp; Idler- PPI</t>
  </si>
  <si>
    <t xml:space="preserve">Exterior A-18</t>
  </si>
  <si>
    <t xml:space="preserve">PreinChile</t>
  </si>
  <si>
    <t xml:space="preserve">Yodo-744 y 745</t>
  </si>
  <si>
    <t xml:space="preserve">Prensso Máquinas</t>
  </si>
  <si>
    <t xml:space="preserve">Yodo-818</t>
  </si>
  <si>
    <t xml:space="preserve">PressurePro TPMS</t>
  </si>
  <si>
    <t xml:space="preserve">Cobre-269</t>
  </si>
  <si>
    <t xml:space="preserve">Prime Integral</t>
  </si>
  <si>
    <t xml:space="preserve">Hierro-1453</t>
  </si>
  <si>
    <t xml:space="preserve">Prinorte</t>
  </si>
  <si>
    <t xml:space="preserve">Plata-553 y 554</t>
  </si>
  <si>
    <t xml:space="preserve">Printec - Tecnimac</t>
  </si>
  <si>
    <t xml:space="preserve">Oro-1148</t>
  </si>
  <si>
    <t xml:space="preserve">Prisma Impianti SpA</t>
  </si>
  <si>
    <t xml:space="preserve">Cobre-136</t>
  </si>
  <si>
    <t xml:space="preserve">Procemax</t>
  </si>
  <si>
    <t xml:space="preserve">Cobalto-1419</t>
  </si>
  <si>
    <t xml:space="preserve">Procont</t>
  </si>
  <si>
    <t xml:space="preserve">Plata-581</t>
  </si>
  <si>
    <t xml:space="preserve">Prodalam S.A</t>
  </si>
  <si>
    <t xml:space="preserve">Yodo-807 y 808</t>
  </si>
  <si>
    <t xml:space="preserve">Prodimin</t>
  </si>
  <si>
    <t xml:space="preserve">Plata-558-585 y 586</t>
  </si>
  <si>
    <t xml:space="preserve">Proestakis International Parts</t>
  </si>
  <si>
    <t xml:space="preserve">Molibdeno-1296</t>
  </si>
  <si>
    <t xml:space="preserve">Progear Chile SpA</t>
  </si>
  <si>
    <t xml:space="preserve">Litio-847</t>
  </si>
  <si>
    <t xml:space="preserve">Progt</t>
  </si>
  <si>
    <t xml:space="preserve">Yodo-774</t>
  </si>
  <si>
    <t xml:space="preserve">Prok Conveyor Equipment SpA</t>
  </si>
  <si>
    <t xml:space="preserve">Exterior B-38</t>
  </si>
  <si>
    <t xml:space="preserve">Promet Soluciones Modulares</t>
  </si>
  <si>
    <t xml:space="preserve">Exterior C-92</t>
  </si>
  <si>
    <t xml:space="preserve">Promin</t>
  </si>
  <si>
    <t xml:space="preserve">Plata-580A</t>
  </si>
  <si>
    <t xml:space="preserve">Prominent Chile</t>
  </si>
  <si>
    <t xml:space="preserve">Cobre-177</t>
  </si>
  <si>
    <t xml:space="preserve">Pronto</t>
  </si>
  <si>
    <t xml:space="preserve">Cobre-240</t>
  </si>
  <si>
    <t xml:space="preserve">Prored Zona Norte</t>
  </si>
  <si>
    <t xml:space="preserve">Cobalto-1441</t>
  </si>
  <si>
    <t xml:space="preserve">Protea S.A</t>
  </si>
  <si>
    <t xml:space="preserve">Cobre-185</t>
  </si>
  <si>
    <t xml:space="preserve">Proterm</t>
  </si>
  <si>
    <t xml:space="preserve">Yodo-794</t>
  </si>
  <si>
    <t xml:space="preserve">Provaltec</t>
  </si>
  <si>
    <t xml:space="preserve">Oro-1180</t>
  </si>
  <si>
    <t xml:space="preserve">Provix Inc</t>
  </si>
  <si>
    <t xml:space="preserve">Hierro-1469A</t>
  </si>
  <si>
    <t xml:space="preserve">Proyectos y Tecnologías Ltda</t>
  </si>
  <si>
    <t xml:space="preserve">Litio-1008</t>
  </si>
  <si>
    <t xml:space="preserve">PT Selamat Sempurna TBK (ADR Group of companies)</t>
  </si>
  <si>
    <t xml:space="preserve">Molibdeno-1273</t>
  </si>
  <si>
    <t xml:space="preserve">Purcell Cerliani SpA</t>
  </si>
  <si>
    <t xml:space="preserve">Oro-1126</t>
  </si>
  <si>
    <t xml:space="preserve">Qingdao Best Friend Rubber &amp; Plastic Co., Ltd</t>
  </si>
  <si>
    <t xml:space="preserve">Plata-480</t>
  </si>
  <si>
    <t xml:space="preserve">Qingdao Fambition Heavy Machinery Co., Ltd</t>
  </si>
  <si>
    <t xml:space="preserve">Exponor 2026. También expone en ExpoMina 2026 (ID 751). Sin contacto publicado.</t>
  </si>
  <si>
    <t xml:space="preserve">Exterior A-15</t>
  </si>
  <si>
    <t xml:space="preserve">www.fambition.com</t>
  </si>
  <si>
    <t xml:space="preserve">ExpoMina (ID 751)</t>
  </si>
  <si>
    <t xml:space="preserve">Qingdao Global Belting Co., Ltd</t>
  </si>
  <si>
    <t xml:space="preserve">Exponor 2026. También expone en ExpoMina 2026 (ID 752). Sin contacto publicado.</t>
  </si>
  <si>
    <t xml:space="preserve">Plata-471</t>
  </si>
  <si>
    <t xml:space="preserve">http://www.hqssd.cn/en/</t>
  </si>
  <si>
    <t xml:space="preserve">ExpoMina (ID 752)</t>
  </si>
  <si>
    <t xml:space="preserve">Qingdao Int Chemical Co.,Ltd</t>
  </si>
  <si>
    <t xml:space="preserve">Plata-302</t>
  </si>
  <si>
    <t xml:space="preserve">Quaker Hougthon</t>
  </si>
  <si>
    <t xml:space="preserve">Cobre-268</t>
  </si>
  <si>
    <t xml:space="preserve">Quality &amp; Shipping SpA</t>
  </si>
  <si>
    <t xml:space="preserve">Oro-1133</t>
  </si>
  <si>
    <t xml:space="preserve">Quanzhou Jinggong Machinery Equipment Co., Ltd</t>
  </si>
  <si>
    <t xml:space="preserve">Plata-611A</t>
  </si>
  <si>
    <t xml:space="preserve">R. Budge</t>
  </si>
  <si>
    <t xml:space="preserve">Exterior E-136</t>
  </si>
  <si>
    <t xml:space="preserve">Rab Evolución Industrial</t>
  </si>
  <si>
    <t xml:space="preserve">Molibdeno-1215</t>
  </si>
  <si>
    <t xml:space="preserve">Radiadores Gómez Limitada</t>
  </si>
  <si>
    <t xml:space="preserve">Exterior A-008, 009 y 010</t>
  </si>
  <si>
    <t xml:space="preserve">Rafcom</t>
  </si>
  <si>
    <t xml:space="preserve">Cobre-173</t>
  </si>
  <si>
    <t xml:space="preserve">Ragni Groupe</t>
  </si>
  <si>
    <t xml:space="preserve">Cobre-169</t>
  </si>
  <si>
    <t xml:space="preserve">Raico</t>
  </si>
  <si>
    <t xml:space="preserve">Molibdeno-1298 y 1327</t>
  </si>
  <si>
    <t xml:space="preserve">Randstad Chile</t>
  </si>
  <si>
    <t xml:space="preserve">Cobre-130</t>
  </si>
  <si>
    <t xml:space="preserve">RCM Modular</t>
  </si>
  <si>
    <t xml:space="preserve">Cobalto-1386</t>
  </si>
  <si>
    <t xml:space="preserve">RD Servicios EIRL</t>
  </si>
  <si>
    <t xml:space="preserve">Oro-1141</t>
  </si>
  <si>
    <t xml:space="preserve">RDT SpA</t>
  </si>
  <si>
    <t xml:space="preserve">Plata-342</t>
  </si>
  <si>
    <t xml:space="preserve">Recauchajes Atlas Ltda</t>
  </si>
  <si>
    <t xml:space="preserve">Oro-1204</t>
  </si>
  <si>
    <t xml:space="preserve">REDARC Electronics</t>
  </si>
  <si>
    <t xml:space="preserve">Yodo-664</t>
  </si>
  <si>
    <t xml:space="preserve">Redecam</t>
  </si>
  <si>
    <t xml:space="preserve">Cobre-98</t>
  </si>
  <si>
    <t xml:space="preserve">Rednegocios CCS</t>
  </si>
  <si>
    <t xml:space="preserve">Cobalto-1365</t>
  </si>
  <si>
    <t xml:space="preserve">Refamaq Industrial Ltda</t>
  </si>
  <si>
    <t xml:space="preserve">Litio-948</t>
  </si>
  <si>
    <t xml:space="preserve">Regal Rexnord</t>
  </si>
  <si>
    <t xml:space="preserve">Cobre-256</t>
  </si>
  <si>
    <t xml:space="preserve">Rehrig Pacific Company</t>
  </si>
  <si>
    <t xml:space="preserve">Litio-935</t>
  </si>
  <si>
    <t xml:space="preserve">Reicotex</t>
  </si>
  <si>
    <t xml:space="preserve">Plata-517</t>
  </si>
  <si>
    <t xml:space="preserve">Rema Tip Top</t>
  </si>
  <si>
    <t xml:space="preserve">Exterior C-89</t>
  </si>
  <si>
    <t xml:space="preserve">Renova Chile SpA</t>
  </si>
  <si>
    <t xml:space="preserve">informes@renova.com.pe</t>
  </si>
  <si>
    <t xml:space="preserve">Exponor 2026. También en CRM Directorio SSO 2026 (ID 649); contacto heredado = filial Perú. También expone en ExpoMina 2026 (ID 770).</t>
  </si>
  <si>
    <t xml:space="preserve">Cobalto-1436</t>
  </si>
  <si>
    <t xml:space="preserve">www.renova.com.pe</t>
  </si>
  <si>
    <t xml:space="preserve">4854075 / 4856365 / 984122487</t>
  </si>
  <si>
    <t xml:space="preserve">Directorio SSO (ID 649); ExpoMina (ID 770)</t>
  </si>
  <si>
    <t xml:space="preserve">Rentokil Initial</t>
  </si>
  <si>
    <t xml:space="preserve">Cobalto-1351</t>
  </si>
  <si>
    <t xml:space="preserve">Resiter</t>
  </si>
  <si>
    <t xml:space="preserve">Plata-316 y 317</t>
  </si>
  <si>
    <t xml:space="preserve">Retex Invest Chile Spa</t>
  </si>
  <si>
    <t xml:space="preserve">República Checa</t>
  </si>
  <si>
    <t xml:space="preserve">Cobre-97</t>
  </si>
  <si>
    <t xml:space="preserve">Rever SpA</t>
  </si>
  <si>
    <t xml:space="preserve">Yodo-653</t>
  </si>
  <si>
    <t xml:space="preserve">Reyher</t>
  </si>
  <si>
    <t xml:space="preserve">Cobre-118</t>
  </si>
  <si>
    <t xml:space="preserve">Rhenü SpA</t>
  </si>
  <si>
    <t xml:space="preserve">Exterior E-163</t>
  </si>
  <si>
    <t xml:space="preserve">Rhomberg</t>
  </si>
  <si>
    <t xml:space="preserve">Litio-1017</t>
  </si>
  <si>
    <t xml:space="preserve">RHONA</t>
  </si>
  <si>
    <t xml:space="preserve">Exponor 2026. También expone en ExpoMina 2026 (ID 776). Sin contacto publicado.</t>
  </si>
  <si>
    <t xml:space="preserve">Cobre-9</t>
  </si>
  <si>
    <t xml:space="preserve">www.rhona.pe</t>
  </si>
  <si>
    <t xml:space="preserve">ExpoMina (ID 776)</t>
  </si>
  <si>
    <t xml:space="preserve">Ringfeder</t>
  </si>
  <si>
    <t xml:space="preserve">Cobre-12</t>
  </si>
  <si>
    <t xml:space="preserve">Rivet</t>
  </si>
  <si>
    <t xml:space="preserve">Plata-557 y 587</t>
  </si>
  <si>
    <t xml:space="preserve">RKB Sudamerica S A</t>
  </si>
  <si>
    <t xml:space="preserve">Plata-594</t>
  </si>
  <si>
    <t xml:space="preserve">RMC Corporate</t>
  </si>
  <si>
    <t xml:space="preserve">Oro-1159 y 1170</t>
  </si>
  <si>
    <t xml:space="preserve">RODAC</t>
  </si>
  <si>
    <t xml:space="preserve">Cobre-77</t>
  </si>
  <si>
    <t xml:space="preserve">Rodados Chile</t>
  </si>
  <si>
    <t xml:space="preserve">Litio-974</t>
  </si>
  <si>
    <t xml:space="preserve">Rodamendez Ltda</t>
  </si>
  <si>
    <t xml:space="preserve">Plata-346 y 402</t>
  </si>
  <si>
    <t xml:space="preserve">Rodastock</t>
  </si>
  <si>
    <t xml:space="preserve">Cobre-146</t>
  </si>
  <si>
    <t xml:space="preserve">Rodrigo Donoso</t>
  </si>
  <si>
    <t xml:space="preserve">Exterior E-173</t>
  </si>
  <si>
    <t xml:space="preserve">Rolop</t>
  </si>
  <si>
    <t xml:space="preserve">Yodo-787</t>
  </si>
  <si>
    <t xml:space="preserve">Romacs</t>
  </si>
  <si>
    <t xml:space="preserve">Oro-1129</t>
  </si>
  <si>
    <t xml:space="preserve">Romettle New Material Technology Co. Ltd</t>
  </si>
  <si>
    <t xml:space="preserve">Plata-393</t>
  </si>
  <si>
    <t xml:space="preserve">Rosa Agustina Centro Eventos Guanaqueros &amp; Olmue</t>
  </si>
  <si>
    <t xml:space="preserve">Oro-1098</t>
  </si>
  <si>
    <t xml:space="preserve">Roxia</t>
  </si>
  <si>
    <t xml:space="preserve">Cobre-102</t>
  </si>
  <si>
    <t xml:space="preserve">Royal Eijkelkamp B.V</t>
  </si>
  <si>
    <t xml:space="preserve">Cobre-126</t>
  </si>
  <si>
    <t xml:space="preserve">RPI Productos Industriales S.A</t>
  </si>
  <si>
    <t xml:space="preserve">Exterior E-131</t>
  </si>
  <si>
    <t xml:space="preserve">RTHO Elektrische</t>
  </si>
  <si>
    <t xml:space="preserve">Litio-826</t>
  </si>
  <si>
    <t xml:space="preserve">RUD + SpanSet</t>
  </si>
  <si>
    <t xml:space="preserve">Cobre-84</t>
  </si>
  <si>
    <t xml:space="preserve">RWI Enhanced Evaporation</t>
  </si>
  <si>
    <t xml:space="preserve">Cobre-248</t>
  </si>
  <si>
    <t xml:space="preserve">S.I.CO.MA SRL</t>
  </si>
  <si>
    <t xml:space="preserve">Cobre-139A</t>
  </si>
  <si>
    <t xml:space="preserve">Saenz - Ingeniería en Dinamómetros</t>
  </si>
  <si>
    <t xml:space="preserve">Yodo-636A</t>
  </si>
  <si>
    <t xml:space="preserve">SAER Elettropompe</t>
  </si>
  <si>
    <t xml:space="preserve">Cobre-137B</t>
  </si>
  <si>
    <t xml:space="preserve">SAFI Group</t>
  </si>
  <si>
    <t xml:space="preserve">Cobre-174 y 175</t>
  </si>
  <si>
    <t xml:space="preserve">Sagita</t>
  </si>
  <si>
    <t xml:space="preserve">Cobre-119</t>
  </si>
  <si>
    <t xml:space="preserve">Saint Gobain</t>
  </si>
  <si>
    <t xml:space="preserve">Cobre-170</t>
  </si>
  <si>
    <t xml:space="preserve">Salas Ing</t>
  </si>
  <si>
    <t xml:space="preserve">Yodo-796</t>
  </si>
  <si>
    <t xml:space="preserve">Sam Solutions Chile</t>
  </si>
  <si>
    <t xml:space="preserve">Plata-528</t>
  </si>
  <si>
    <t xml:space="preserve">Samson Control</t>
  </si>
  <si>
    <t xml:space="preserve">Cobre-45</t>
  </si>
  <si>
    <t xml:space="preserve">Sandco Rock Drilling Industries Co., Ltd</t>
  </si>
  <si>
    <t xml:space="preserve">Plata-462</t>
  </si>
  <si>
    <t xml:space="preserve">Sande S.A</t>
  </si>
  <si>
    <t xml:space="preserve">Plata-459</t>
  </si>
  <si>
    <t xml:space="preserve">Sapri SpA</t>
  </si>
  <si>
    <t xml:space="preserve">Litio-985 y 990</t>
  </si>
  <si>
    <t xml:space="preserve">Sattel</t>
  </si>
  <si>
    <t xml:space="preserve">Yodo-762</t>
  </si>
  <si>
    <t xml:space="preserve">Scancontrols Ing. Ltda</t>
  </si>
  <si>
    <t xml:space="preserve">Cobalto-1342</t>
  </si>
  <si>
    <t xml:space="preserve">Scantech International PTY LTD</t>
  </si>
  <si>
    <t xml:space="preserve">Cobalto-1399</t>
  </si>
  <si>
    <t xml:space="preserve">SCEM</t>
  </si>
  <si>
    <t xml:space="preserve">Cobre-60</t>
  </si>
  <si>
    <t xml:space="preserve">Schréder</t>
  </si>
  <si>
    <t xml:space="preserve">Cobre-144</t>
  </si>
  <si>
    <t xml:space="preserve">Schulz Compressores</t>
  </si>
  <si>
    <t xml:space="preserve">Yodo-770</t>
  </si>
  <si>
    <t xml:space="preserve">Schussler</t>
  </si>
  <si>
    <t xml:space="preserve">Yodo-746</t>
  </si>
  <si>
    <t xml:space="preserve">Schwager S.A</t>
  </si>
  <si>
    <t xml:space="preserve">Exterior D-110</t>
  </si>
  <si>
    <t xml:space="preserve">SciApps</t>
  </si>
  <si>
    <t xml:space="preserve">Cobre-205</t>
  </si>
  <si>
    <t xml:space="preserve">Scontrol</t>
  </si>
  <si>
    <t xml:space="preserve">Plata-572</t>
  </si>
  <si>
    <t xml:space="preserve">SDI</t>
  </si>
  <si>
    <t xml:space="preserve">Cobre-140</t>
  </si>
  <si>
    <t xml:space="preserve">Seal Maker</t>
  </si>
  <si>
    <t xml:space="preserve">Cobre-71</t>
  </si>
  <si>
    <t xml:space="preserve">Sealmatic Chile SpA</t>
  </si>
  <si>
    <t xml:space="preserve">Oro-1189</t>
  </si>
  <si>
    <t xml:space="preserve">Sec Electric Machinery Co.,Ltd</t>
  </si>
  <si>
    <t xml:space="preserve">Plata-411</t>
  </si>
  <si>
    <t xml:space="preserve">Segin SpA</t>
  </si>
  <si>
    <t xml:space="preserve">Litio-824</t>
  </si>
  <si>
    <t xml:space="preserve">Segya SpA</t>
  </si>
  <si>
    <t xml:space="preserve">Oro-1113</t>
  </si>
  <si>
    <t xml:space="preserve">Sein Ltda</t>
  </si>
  <si>
    <t xml:space="preserve">Litio-906</t>
  </si>
  <si>
    <t xml:space="preserve">Seis SA</t>
  </si>
  <si>
    <t xml:space="preserve">Litio-943</t>
  </si>
  <si>
    <t xml:space="preserve">Semco</t>
  </si>
  <si>
    <t xml:space="preserve">Yodo-811</t>
  </si>
  <si>
    <t xml:space="preserve">Sens-Őr Solutions</t>
  </si>
  <si>
    <t xml:space="preserve">Hungría</t>
  </si>
  <si>
    <t xml:space="preserve">Cobre-122</t>
  </si>
  <si>
    <t xml:space="preserve">Ser - USA</t>
  </si>
  <si>
    <t xml:space="preserve">Litio-921 y 923</t>
  </si>
  <si>
    <t xml:space="preserve">Serteint SpA</t>
  </si>
  <si>
    <t xml:space="preserve">Molibdeno-1283</t>
  </si>
  <si>
    <t xml:space="preserve">Serviambiente</t>
  </si>
  <si>
    <t xml:space="preserve">Hierro-1489</t>
  </si>
  <si>
    <t xml:space="preserve">Servicios Lucas Diesel S.A</t>
  </si>
  <si>
    <t xml:space="preserve">Oro-1062</t>
  </si>
  <si>
    <t xml:space="preserve">Servicios LyG</t>
  </si>
  <si>
    <t xml:space="preserve">Oro-1038</t>
  </si>
  <si>
    <t xml:space="preserve">Servirep</t>
  </si>
  <si>
    <t xml:space="preserve">Plata-549-551-596 y 598</t>
  </si>
  <si>
    <t xml:space="preserve">Sevitel</t>
  </si>
  <si>
    <t xml:space="preserve">Cobre-186C</t>
  </si>
  <si>
    <t xml:space="preserve">SEW-Eurodrive</t>
  </si>
  <si>
    <t xml:space="preserve">Cobre-28 - 29 - 66 y 67</t>
  </si>
  <si>
    <t xml:space="preserve">SGK - Servikong Ltda</t>
  </si>
  <si>
    <t xml:space="preserve">Cobalto-1411</t>
  </si>
  <si>
    <t xml:space="preserve">Shaanxi Standard Titanium Industry Co., Ltd</t>
  </si>
  <si>
    <t xml:space="preserve">Exponor 2026. También expone en ExpoMina 2026 (ID 799). Sin contacto publicado.</t>
  </si>
  <si>
    <t xml:space="preserve">Plata-303</t>
  </si>
  <si>
    <t xml:space="preserve">www.titanium.net</t>
  </si>
  <si>
    <t xml:space="preserve">ExpoMina (ID 799)</t>
  </si>
  <si>
    <t xml:space="preserve">Shandong Derui Machinery Co., Ltd</t>
  </si>
  <si>
    <t xml:space="preserve">Plata-330</t>
  </si>
  <si>
    <t xml:space="preserve">Shandong Halin Group Co.,Ltd</t>
  </si>
  <si>
    <t xml:space="preserve">Plata-438B</t>
  </si>
  <si>
    <t xml:space="preserve">Shandong Honglan New Materials Co., Ltd</t>
  </si>
  <si>
    <t xml:space="preserve">Plata-327</t>
  </si>
  <si>
    <t xml:space="preserve">Shandong Huamin Steel Ball Joint-Stock Co.,Ltd</t>
  </si>
  <si>
    <t xml:space="preserve">Cobalto-1361</t>
  </si>
  <si>
    <t xml:space="preserve">Shandong Kangyu Pipe Industry Co., Ltd</t>
  </si>
  <si>
    <t xml:space="preserve">Exponor 2026. También expone en ExpoMina 2026 (ID 804). Sin contacto publicado.</t>
  </si>
  <si>
    <t xml:space="preserve">Plata-366</t>
  </si>
  <si>
    <t xml:space="preserve">www.kangyupiping.com</t>
  </si>
  <si>
    <t xml:space="preserve">ExpoMina (ID 804)</t>
  </si>
  <si>
    <t xml:space="preserve">Shandong Sun Wearparts Co., Ltd</t>
  </si>
  <si>
    <t xml:space="preserve">Plata-347</t>
  </si>
  <si>
    <t xml:space="preserve">Shandong Tianhong Industrial Co., Ltd</t>
  </si>
  <si>
    <t xml:space="preserve">Plata-437A</t>
  </si>
  <si>
    <t xml:space="preserve">Shandong Wantong Hydraulic Co., Ltd</t>
  </si>
  <si>
    <t xml:space="preserve">Plata-482</t>
  </si>
  <si>
    <t xml:space="preserve">Shandong Xinhai Mining Group Co., Ltd</t>
  </si>
  <si>
    <t xml:space="preserve">Plata-464</t>
  </si>
  <si>
    <t xml:space="preserve">Shandong Xinya Green Power Fuel Injection System Co., Ltd</t>
  </si>
  <si>
    <t xml:space="preserve">Plata-492</t>
  </si>
  <si>
    <t xml:space="preserve">Shanghai Jianye Heavy Industry Co., Ltd</t>
  </si>
  <si>
    <t xml:space="preserve">Exponor 2026. También expone en ExpoMina 2026 (ID 816). Sin contacto publicado.</t>
  </si>
  <si>
    <t xml:space="preserve">Plata-491</t>
  </si>
  <si>
    <t xml:space="preserve">www.mineral-grinder.com</t>
  </si>
  <si>
    <t xml:space="preserve">ExpoMina (ID 816)</t>
  </si>
  <si>
    <t xml:space="preserve">Shanghai Kinglink Industry Co., Ltd</t>
  </si>
  <si>
    <t xml:space="preserve">Plata-470</t>
  </si>
  <si>
    <t xml:space="preserve">Shanghai Zenith Machinery Co., Ltd</t>
  </si>
  <si>
    <t xml:space="preserve">Plata-353</t>
  </si>
  <si>
    <t xml:space="preserve">Shanxi Bumtresd Mechanical Equipment Co., Ltd</t>
  </si>
  <si>
    <t xml:space="preserve">Plata-469</t>
  </si>
  <si>
    <t xml:space="preserve">Shanxi Coal Mine Machinery Manufacturing Incorprorated Company</t>
  </si>
  <si>
    <t xml:space="preserve">Plata-541</t>
  </si>
  <si>
    <t xml:space="preserve">Shanxi Honghu Special Purpose Vehicle Manufacturing Co., Ltd</t>
  </si>
  <si>
    <t xml:space="preserve">Plata-511</t>
  </si>
  <si>
    <t xml:space="preserve">Shanxi Lanyuan Technology CO., LTD</t>
  </si>
  <si>
    <t xml:space="preserve">Exponor 2026. También expone en ExpoMina 2026 (ID 822). Sin contacto publicado.</t>
  </si>
  <si>
    <t xml:space="preserve">Oro-1064</t>
  </si>
  <si>
    <t xml:space="preserve">www.lanyuanglobal.com</t>
  </si>
  <si>
    <t xml:space="preserve">ExpoMina (ID 822)</t>
  </si>
  <si>
    <t xml:space="preserve">Shanxi Vavi Wearparts Co., Ltd</t>
  </si>
  <si>
    <t xml:space="preserve">Plata-441</t>
  </si>
  <si>
    <t xml:space="preserve">Shenyang Fente Mining Machinery Co., Ltd</t>
  </si>
  <si>
    <t xml:space="preserve">Plata-382</t>
  </si>
  <si>
    <t xml:space="preserve">Shenyang Huayue Mining Machinery Manufacturing Co., Ltd</t>
  </si>
  <si>
    <t xml:space="preserve">Plata-305</t>
  </si>
  <si>
    <t xml:space="preserve">Shenyang New Haibo Machinery Co., Ltd</t>
  </si>
  <si>
    <t xml:space="preserve">Exponor 2026. También expone en ExpoMina 2026 (ID 824). Sin contacto publicado.</t>
  </si>
  <si>
    <t xml:space="preserve">Plata-333</t>
  </si>
  <si>
    <t xml:space="preserve">www.hbmcrusher.com</t>
  </si>
  <si>
    <t xml:space="preserve">ExpoMina (ID 824)</t>
  </si>
  <si>
    <t xml:space="preserve">Shenyang Shanyo Heavy Mining Machinery Manufacturing Co., Ltd</t>
  </si>
  <si>
    <t xml:space="preserve">Cobalto-1359</t>
  </si>
  <si>
    <t xml:space="preserve">Shenyang YYD New Material Co., Ltd</t>
  </si>
  <si>
    <t xml:space="preserve">Plata-542</t>
  </si>
  <si>
    <t xml:space="preserve">Shijiazhuang Delin Industry &amp; Trade Co., Ltd</t>
  </si>
  <si>
    <t xml:space="preserve">Plata-405</t>
  </si>
  <si>
    <t xml:space="preserve">Showa</t>
  </si>
  <si>
    <t xml:space="preserve">Cobalto-1378 y 1379</t>
  </si>
  <si>
    <t xml:space="preserve">Shuangxi(Qingdao) Conveyor Belt Co., Ltd</t>
  </si>
  <si>
    <t xml:space="preserve">Plata-449</t>
  </si>
  <si>
    <t xml:space="preserve">Sibre</t>
  </si>
  <si>
    <t xml:space="preserve">Cobre-193</t>
  </si>
  <si>
    <t xml:space="preserve">SICEP</t>
  </si>
  <si>
    <t xml:space="preserve">Plata-530</t>
  </si>
  <si>
    <t xml:space="preserve">Sichuan Precision Technology Co., Ltd</t>
  </si>
  <si>
    <t xml:space="preserve">Plata-499</t>
  </si>
  <si>
    <t xml:space="preserve">Siex 2001</t>
  </si>
  <si>
    <t xml:space="preserve">Cobre-155</t>
  </si>
  <si>
    <t xml:space="preserve">Sieyuan Electric Co., Ltd.</t>
  </si>
  <si>
    <t xml:space="preserve">Exponor 2026. Pabellón de Energía. País inferido; validar. Sin contacto publicado.</t>
  </si>
  <si>
    <t xml:space="preserve">Litio-1002</t>
  </si>
  <si>
    <t xml:space="preserve">SIGS SpA</t>
  </si>
  <si>
    <t xml:space="preserve">Oro-1140</t>
  </si>
  <si>
    <t xml:space="preserve">Sillas Fuentes SpA</t>
  </si>
  <si>
    <t xml:space="preserve">Plata-378 y 427</t>
  </si>
  <si>
    <t xml:space="preserve">SIMPATIC</t>
  </si>
  <si>
    <t xml:space="preserve">Simplus / Turbus</t>
  </si>
  <si>
    <t xml:space="preserve">Cobalto-1384</t>
  </si>
  <si>
    <t xml:space="preserve">Simtexx SpA</t>
  </si>
  <si>
    <t xml:space="preserve">Cobalto-1347</t>
  </si>
  <si>
    <t xml:space="preserve">Sinoma - Liyang Heavy Machinery Import &amp; Export (Shenyang) Co., Ltd</t>
  </si>
  <si>
    <t xml:space="preserve">Exponor 2026. También expone en ExpoMina 2026 (ID 839). Sin contacto publicado.</t>
  </si>
  <si>
    <t xml:space="preserve">Plata-298</t>
  </si>
  <si>
    <t xml:space="preserve">www.sinomaly-china.com</t>
  </si>
  <si>
    <t xml:space="preserve">ExpoMina (ID 839)</t>
  </si>
  <si>
    <t xml:space="preserve">Sitrol</t>
  </si>
  <si>
    <t xml:space="preserve">Molibdeno-1297</t>
  </si>
  <si>
    <t xml:space="preserve">Sky</t>
  </si>
  <si>
    <t xml:space="preserve">Oro-1085</t>
  </si>
  <si>
    <t xml:space="preserve">Slimstock</t>
  </si>
  <si>
    <t xml:space="preserve">Cobre-130B</t>
  </si>
  <si>
    <t xml:space="preserve">Soc Manriquez e Hijos y Compañía Limitada</t>
  </si>
  <si>
    <t xml:space="preserve">Soc. Comercial Socoval SpA</t>
  </si>
  <si>
    <t xml:space="preserve">Exterior A-11</t>
  </si>
  <si>
    <t xml:space="preserve">Soc. Hydrotorc Ltda</t>
  </si>
  <si>
    <t xml:space="preserve">Molibdeno-1255</t>
  </si>
  <si>
    <t xml:space="preserve">Sociedad Comercial Antofagasta Parts Ltda</t>
  </si>
  <si>
    <t xml:space="preserve">Exterior A-16</t>
  </si>
  <si>
    <t xml:space="preserve">Sociedad Comercial San Ignacio Ltda</t>
  </si>
  <si>
    <t xml:space="preserve">Cobalto-1445</t>
  </si>
  <si>
    <t xml:space="preserve">Sociedad de Inversiones Proind SpA</t>
  </si>
  <si>
    <t xml:space="preserve">Molibdeno-1292</t>
  </si>
  <si>
    <t xml:space="preserve">Sociedad Flow Control Ingenieria L</t>
  </si>
  <si>
    <t xml:space="preserve">Yodo-740</t>
  </si>
  <si>
    <t xml:space="preserve">Sociedad Punta de Lobos</t>
  </si>
  <si>
    <t xml:space="preserve">Molibdeno-1263</t>
  </si>
  <si>
    <t xml:space="preserve">Sogeco Fluid Handling</t>
  </si>
  <si>
    <t xml:space="preserve">Cobre-217</t>
  </si>
  <si>
    <t xml:space="preserve">Sogeco norte grande SpA</t>
  </si>
  <si>
    <t xml:space="preserve">Exterior E-176</t>
  </si>
  <si>
    <t xml:space="preserve">SolarLatam</t>
  </si>
  <si>
    <t xml:space="preserve">Litio-1015</t>
  </si>
  <si>
    <t xml:space="preserve">SOLARMOVIL SpA</t>
  </si>
  <si>
    <t xml:space="preserve">Litio-1006</t>
  </si>
  <si>
    <t xml:space="preserve">Solmex</t>
  </si>
  <si>
    <t xml:space="preserve">Litio-879</t>
  </si>
  <si>
    <t xml:space="preserve">Soltex Chile S.A</t>
  </si>
  <si>
    <t xml:space="preserve">Cobre-245</t>
  </si>
  <si>
    <t xml:space="preserve">Soluciones Integrales Catalina del C. Ltda</t>
  </si>
  <si>
    <t xml:space="preserve">Oro-1114</t>
  </si>
  <si>
    <t xml:space="preserve">Soluciones Mineras SpA</t>
  </si>
  <si>
    <t xml:space="preserve">Hierro-1458</t>
  </si>
  <si>
    <t xml:space="preserve">Solunion</t>
  </si>
  <si>
    <t xml:space="preserve">Molibdeno-1214A</t>
  </si>
  <si>
    <t xml:space="preserve">Sonambim</t>
  </si>
  <si>
    <t xml:space="preserve">Cobre-168A</t>
  </si>
  <si>
    <t xml:space="preserve">Soquimat SpA</t>
  </si>
  <si>
    <t xml:space="preserve">Oro-1110</t>
  </si>
  <si>
    <t xml:space="preserve">Sorena</t>
  </si>
  <si>
    <t xml:space="preserve">Yodo-780 y 781</t>
  </si>
  <si>
    <t xml:space="preserve">Sotrafa</t>
  </si>
  <si>
    <t xml:space="preserve">Exponor 2026. También expone en ExpoMina 2026 (ID 846). Sin contacto publicado.</t>
  </si>
  <si>
    <t xml:space="preserve">Plata-483</t>
  </si>
  <si>
    <t xml:space="preserve">www.sotrafageo.com</t>
  </si>
  <si>
    <t xml:space="preserve">ExpoMina (ID 846)</t>
  </si>
  <si>
    <t xml:space="preserve">Soudal</t>
  </si>
  <si>
    <t xml:space="preserve">Yodo-641</t>
  </si>
  <si>
    <t xml:space="preserve">Soutex</t>
  </si>
  <si>
    <t xml:space="preserve">South Mining Supply</t>
  </si>
  <si>
    <t xml:space="preserve">Cobre-151</t>
  </si>
  <si>
    <t xml:space="preserve">Southblu Grupo Pimasa</t>
  </si>
  <si>
    <t xml:space="preserve">Cobre-224</t>
  </si>
  <si>
    <t xml:space="preserve">Sparber Chile S.A</t>
  </si>
  <si>
    <t xml:space="preserve">Litio-983</t>
  </si>
  <si>
    <t xml:space="preserve">Spectral Industries</t>
  </si>
  <si>
    <t xml:space="preserve">Oro-1092</t>
  </si>
  <si>
    <t xml:space="preserve">SPF Ingeniería SpA</t>
  </si>
  <si>
    <t xml:space="preserve">Exterior E-161</t>
  </si>
  <si>
    <t xml:space="preserve">Sprung Structures</t>
  </si>
  <si>
    <t xml:space="preserve">Yodo-725</t>
  </si>
  <si>
    <t xml:space="preserve">SSAB Chile</t>
  </si>
  <si>
    <t xml:space="preserve">Oro-1118</t>
  </si>
  <si>
    <t xml:space="preserve">Stalus Group SpA</t>
  </si>
  <si>
    <t xml:space="preserve">Molibdeno-1239</t>
  </si>
  <si>
    <t xml:space="preserve">Statkraft Chile</t>
  </si>
  <si>
    <t xml:space="preserve">Litio-1029</t>
  </si>
  <si>
    <t xml:space="preserve">Stec SpA</t>
  </si>
  <si>
    <t xml:space="preserve">Yodo-659</t>
  </si>
  <si>
    <t xml:space="preserve">Stockholm Precision Tools</t>
  </si>
  <si>
    <t xml:space="preserve">Exponor 2026. También expone en ExpoMina 2026 (ID 255). Sin contacto publicado.</t>
  </si>
  <si>
    <t xml:space="preserve">Litio-855</t>
  </si>
  <si>
    <t xml:space="preserve">https://sptab.com/es/</t>
  </si>
  <si>
    <t xml:space="preserve">ExpoMina (ID 255)</t>
  </si>
  <si>
    <t xml:space="preserve">Strudex Technology Inc</t>
  </si>
  <si>
    <t xml:space="preserve">Oro-1181</t>
  </si>
  <si>
    <t xml:space="preserve">Sulzer Bombas Chile Ltda</t>
  </si>
  <si>
    <t xml:space="preserve">Yodo-688</t>
  </si>
  <si>
    <t xml:space="preserve">Sumin Chile SpA</t>
  </si>
  <si>
    <t xml:space="preserve">Exterior A-1</t>
  </si>
  <si>
    <t xml:space="preserve">Suministro Industrial E.I.R.L</t>
  </si>
  <si>
    <t xml:space="preserve">Oro-1049</t>
  </si>
  <si>
    <t xml:space="preserve">Sun S.A</t>
  </si>
  <si>
    <t xml:space="preserve">Oro-1161</t>
  </si>
  <si>
    <t xml:space="preserve">Supcon/Conecta</t>
  </si>
  <si>
    <t xml:space="preserve">Litio-1027</t>
  </si>
  <si>
    <t xml:space="preserve">Surface Mining Works Association Limited</t>
  </si>
  <si>
    <t xml:space="preserve">Plata-310</t>
  </si>
  <si>
    <t xml:space="preserve">Swing Invent Holdings</t>
  </si>
  <si>
    <t xml:space="preserve">Yodo-661</t>
  </si>
  <si>
    <t xml:space="preserve">SYA Group</t>
  </si>
  <si>
    <t xml:space="preserve">Molibdeno-1306</t>
  </si>
  <si>
    <t xml:space="preserve">Syntron Material Handling</t>
  </si>
  <si>
    <t xml:space="preserve">Cobre-211</t>
  </si>
  <si>
    <t xml:space="preserve">Taizhou Durabelt Co., Ltd</t>
  </si>
  <si>
    <t xml:space="preserve">Plata-407</t>
  </si>
  <si>
    <t xml:space="preserve">Taizhou Kaiqiu Drilling Tools Co., Ltd</t>
  </si>
  <si>
    <t xml:space="preserve">Plata-438A</t>
  </si>
  <si>
    <t xml:space="preserve">Taizhou Shanhe Trading Co., Ltd</t>
  </si>
  <si>
    <t xml:space="preserve">Exponor 2026. También expone en ExpoMina 2026 (ID 259). Sin contacto publicado.</t>
  </si>
  <si>
    <t xml:space="preserve">Plata-458</t>
  </si>
  <si>
    <t xml:space="preserve">www.pulankagroup.com</t>
  </si>
  <si>
    <t xml:space="preserve">ExpoMina (ID 259)</t>
  </si>
  <si>
    <t xml:space="preserve">TAKONI</t>
  </si>
  <si>
    <t xml:space="preserve">Cobre-187A</t>
  </si>
  <si>
    <t xml:space="preserve">Talleres Lucas</t>
  </si>
  <si>
    <t xml:space="preserve">Exterior B-47</t>
  </si>
  <si>
    <t xml:space="preserve">Tarpulin</t>
  </si>
  <si>
    <t xml:space="preserve">Plata-606</t>
  </si>
  <si>
    <t xml:space="preserve">Tarpulin - Modular Building</t>
  </si>
  <si>
    <t xml:space="preserve">Yodo-748 y 750</t>
  </si>
  <si>
    <t xml:space="preserve">Tasco</t>
  </si>
  <si>
    <t xml:space="preserve">Exterior E-117</t>
  </si>
  <si>
    <t xml:space="preserve">Tattersall Maquinarias S.A</t>
  </si>
  <si>
    <t xml:space="preserve">Exterior E-125 y 126</t>
  </si>
  <si>
    <t xml:space="preserve">TDS Chile</t>
  </si>
  <si>
    <t xml:space="preserve">Cobalto-1363</t>
  </si>
  <si>
    <t xml:space="preserve">Tecic SpA</t>
  </si>
  <si>
    <t xml:space="preserve">Exterior B-056 y 057</t>
  </si>
  <si>
    <t xml:space="preserve">Tecnagent</t>
  </si>
  <si>
    <t xml:space="preserve">Oro-1051 y 1053</t>
  </si>
  <si>
    <t xml:space="preserve">Tecnipak</t>
  </si>
  <si>
    <t xml:space="preserve">Exterior C-76</t>
  </si>
  <si>
    <t xml:space="preserve">Tecno Fast</t>
  </si>
  <si>
    <t xml:space="preserve">Tecnoboga</t>
  </si>
  <si>
    <t xml:space="preserve">Plata-602 y 603</t>
  </si>
  <si>
    <t xml:space="preserve">Tecnored S.A</t>
  </si>
  <si>
    <t xml:space="preserve">Litio-877</t>
  </si>
  <si>
    <t xml:space="preserve">TECO-Westinghouse Motor Co</t>
  </si>
  <si>
    <t xml:space="preserve">Cobre-218</t>
  </si>
  <si>
    <t xml:space="preserve">Tecrapol</t>
  </si>
  <si>
    <t xml:space="preserve">Exterior C-74</t>
  </si>
  <si>
    <t xml:space="preserve">Tectramin</t>
  </si>
  <si>
    <t xml:space="preserve">Litio-979</t>
  </si>
  <si>
    <t xml:space="preserve">Teknica</t>
  </si>
  <si>
    <t xml:space="preserve">Exterior E-122 y 127</t>
  </si>
  <si>
    <t xml:space="preserve">Tempel</t>
  </si>
  <si>
    <t xml:space="preserve">Cobalto-1449</t>
  </si>
  <si>
    <t xml:space="preserve">Texora</t>
  </si>
  <si>
    <t xml:space="preserve">Litio-872 y 874</t>
  </si>
  <si>
    <t xml:space="preserve">TG Prometal de Ecuador</t>
  </si>
  <si>
    <t xml:space="preserve">Cobalto-1417</t>
  </si>
  <si>
    <t xml:space="preserve">THC</t>
  </si>
  <si>
    <t xml:space="preserve">Molibdeno-1249</t>
  </si>
  <si>
    <t xml:space="preserve">Thermofisher Scientific</t>
  </si>
  <si>
    <t xml:space="preserve">Cobre-216</t>
  </si>
  <si>
    <t xml:space="preserve">Thermosolutions</t>
  </si>
  <si>
    <t xml:space="preserve">Plata-290</t>
  </si>
  <si>
    <t xml:space="preserve">Thinking</t>
  </si>
  <si>
    <t xml:space="preserve">Cobre-153</t>
  </si>
  <si>
    <t xml:space="preserve">Tianjin Luckcome Mechanical Equipment Manufacturing Co., Ltd</t>
  </si>
  <si>
    <t xml:space="preserve">Plata-457</t>
  </si>
  <si>
    <t xml:space="preserve">Tiar Ltda. - Cidra</t>
  </si>
  <si>
    <t xml:space="preserve">Yodo-752</t>
  </si>
  <si>
    <t xml:space="preserve">Ticashop</t>
  </si>
  <si>
    <t xml:space="preserve">Hierro-1491</t>
  </si>
  <si>
    <t xml:space="preserve">TimeLine</t>
  </si>
  <si>
    <t xml:space="preserve">Exterior C-102B</t>
  </si>
  <si>
    <t xml:space="preserve">TMC Transformers SpA</t>
  </si>
  <si>
    <t xml:space="preserve">Litio-848</t>
  </si>
  <si>
    <t xml:space="preserve">TNO</t>
  </si>
  <si>
    <t xml:space="preserve">Cobre-131</t>
  </si>
  <si>
    <t xml:space="preserve">Tomocorp</t>
  </si>
  <si>
    <t xml:space="preserve">ventas@tomocorp.com</t>
  </si>
  <si>
    <t xml:space="preserve">Exponor 2026. También en CRM Directorio SSO 2026 (ID 664); contacto heredado = filial Perú.</t>
  </si>
  <si>
    <t xml:space="preserve">Cobalto-1433</t>
  </si>
  <si>
    <t xml:space="preserve">www.tomocorp.com</t>
  </si>
  <si>
    <t xml:space="preserve">7196000 / 995279428</t>
  </si>
  <si>
    <t xml:space="preserve">Directorio SSO (ID 664)</t>
  </si>
  <si>
    <t xml:space="preserve">ToolTek</t>
  </si>
  <si>
    <t xml:space="preserve">Cobre-21</t>
  </si>
  <si>
    <t xml:space="preserve">Torch</t>
  </si>
  <si>
    <t xml:space="preserve">Plata-589</t>
  </si>
  <si>
    <t xml:space="preserve">Totew SpA</t>
  </si>
  <si>
    <t xml:space="preserve">Exterior E-154</t>
  </si>
  <si>
    <t xml:space="preserve">Track Rail</t>
  </si>
  <si>
    <t xml:space="preserve">Molibdeno-1305</t>
  </si>
  <si>
    <t xml:space="preserve">Trametal Ltda</t>
  </si>
  <si>
    <t xml:space="preserve">Cobre-15</t>
  </si>
  <si>
    <t xml:space="preserve">Transducto S.A</t>
  </si>
  <si>
    <t xml:space="preserve">Cobalto-1352</t>
  </si>
  <si>
    <t xml:space="preserve">Transformadores CH S.A</t>
  </si>
  <si>
    <t xml:space="preserve">Oro-1198</t>
  </si>
  <si>
    <t xml:space="preserve">Transformadores Tusan S.A</t>
  </si>
  <si>
    <t xml:space="preserve">Litio-838 -839 y 840</t>
  </si>
  <si>
    <t xml:space="preserve">Transglobal</t>
  </si>
  <si>
    <t xml:space="preserve">Plata-581A</t>
  </si>
  <si>
    <t xml:space="preserve">Transroll-CZ</t>
  </si>
  <si>
    <t xml:space="preserve">Cobre-96</t>
  </si>
  <si>
    <t xml:space="preserve">Transworld</t>
  </si>
  <si>
    <t xml:space="preserve">Yodo-627</t>
  </si>
  <si>
    <t xml:space="preserve">Treck</t>
  </si>
  <si>
    <t xml:space="preserve">Plata-312, 313 y 314</t>
  </si>
  <si>
    <t xml:space="preserve">Trile Chile</t>
  </si>
  <si>
    <t xml:space="preserve">Cobalto-1362</t>
  </si>
  <si>
    <t xml:space="preserve">Triodetic</t>
  </si>
  <si>
    <t xml:space="preserve">Yodo-707</t>
  </si>
  <si>
    <t xml:space="preserve">Trisoplast</t>
  </si>
  <si>
    <t xml:space="preserve">Cobre-131A</t>
  </si>
  <si>
    <t xml:space="preserve">Trumer Schutzbauten GMBH</t>
  </si>
  <si>
    <t xml:space="preserve">Cobre-70</t>
  </si>
  <si>
    <t xml:space="preserve">TTPM S.A</t>
  </si>
  <si>
    <t xml:space="preserve">Exterior B-55</t>
  </si>
  <si>
    <t xml:space="preserve">Turret Engineering</t>
  </si>
  <si>
    <t xml:space="preserve">Yodo-633</t>
  </si>
  <si>
    <t xml:space="preserve">Tuxon</t>
  </si>
  <si>
    <t xml:space="preserve">Oro-1139</t>
  </si>
  <si>
    <t xml:space="preserve">UATSA</t>
  </si>
  <si>
    <t xml:space="preserve">UGPS</t>
  </si>
  <si>
    <t xml:space="preserve">Oro-1104</t>
  </si>
  <si>
    <t xml:space="preserve">Ultracción</t>
  </si>
  <si>
    <t xml:space="preserve">Molibdeno-1278</t>
  </si>
  <si>
    <t xml:space="preserve">Ultrapoly</t>
  </si>
  <si>
    <t xml:space="preserve">Cobre-264 y 265</t>
  </si>
  <si>
    <t xml:space="preserve">Umaqua</t>
  </si>
  <si>
    <t xml:space="preserve">Cobre-156</t>
  </si>
  <si>
    <t xml:space="preserve">UMS</t>
  </si>
  <si>
    <t xml:space="preserve">Hierro-1475</t>
  </si>
  <si>
    <t xml:space="preserve">Unidelta SpA</t>
  </si>
  <si>
    <t xml:space="preserve">Cobre-139B</t>
  </si>
  <si>
    <t xml:space="preserve">Valmet</t>
  </si>
  <si>
    <t xml:space="preserve">Exponor 2026. También expone en ExpoMina 2026 (ID 267). Sin contacto publicado.</t>
  </si>
  <si>
    <t xml:space="preserve">Cobre-106 y 107</t>
  </si>
  <si>
    <t xml:space="preserve">www.valmet.com</t>
  </si>
  <si>
    <t xml:space="preserve">ExpoMina (ID 267)</t>
  </si>
  <si>
    <t xml:space="preserve">Value Hybrid Chile SpA</t>
  </si>
  <si>
    <t xml:space="preserve">Hierro-1504</t>
  </si>
  <si>
    <t xml:space="preserve">Valvitalia SpA</t>
  </si>
  <si>
    <t xml:space="preserve">Cobre-135B</t>
  </si>
  <si>
    <t xml:space="preserve">Vanner Electric</t>
  </si>
  <si>
    <t xml:space="preserve">Plata-372</t>
  </si>
  <si>
    <t xml:space="preserve">VDG</t>
  </si>
  <si>
    <t xml:space="preserve">Yodo-720</t>
  </si>
  <si>
    <t xml:space="preserve">Veldeman Group</t>
  </si>
  <si>
    <t xml:space="preserve">Hierro-1455</t>
  </si>
  <si>
    <t xml:space="preserve">Veltis Latam</t>
  </si>
  <si>
    <t xml:space="preserve">Oro-1205 y 1206</t>
  </si>
  <si>
    <t xml:space="preserve">Ventec</t>
  </si>
  <si>
    <t xml:space="preserve">Yodo-684</t>
  </si>
  <si>
    <t xml:space="preserve">Verne</t>
  </si>
  <si>
    <t xml:space="preserve">Exponor 2026. También expone en ExpoMina 2026 (ID 909). Sin contacto publicado.</t>
  </si>
  <si>
    <t xml:space="preserve">Plata-620</t>
  </si>
  <si>
    <t xml:space="preserve">www.verne.com.pe</t>
  </si>
  <si>
    <t xml:space="preserve">ExpoMina (ID 909)</t>
  </si>
  <si>
    <t xml:space="preserve">Versein SpA</t>
  </si>
  <si>
    <t xml:space="preserve">Oro-1115</t>
  </si>
  <si>
    <t xml:space="preserve">Vertycal</t>
  </si>
  <si>
    <t xml:space="preserve">Litio-930</t>
  </si>
  <si>
    <t xml:space="preserve">Veto y Cía</t>
  </si>
  <si>
    <t xml:space="preserve">Yodo-660</t>
  </si>
  <si>
    <t xml:space="preserve">Vialcorp</t>
  </si>
  <si>
    <t xml:space="preserve">Yodo-700</t>
  </si>
  <si>
    <t xml:space="preserve">Vías SpA</t>
  </si>
  <si>
    <t xml:space="preserve">Plata-460</t>
  </si>
  <si>
    <t xml:space="preserve">Victaulic</t>
  </si>
  <si>
    <t xml:space="preserve">Cobre-214</t>
  </si>
  <si>
    <t xml:space="preserve">Vigatec</t>
  </si>
  <si>
    <t xml:space="preserve">Molibdeno-1280</t>
  </si>
  <si>
    <t xml:space="preserve">Villner Ltda</t>
  </si>
  <si>
    <t xml:space="preserve">Molibdeno-1339</t>
  </si>
  <si>
    <t xml:space="preserve">Vintek</t>
  </si>
  <si>
    <t xml:space="preserve">Virta Inc</t>
  </si>
  <si>
    <t xml:space="preserve">Cobre-273</t>
  </si>
  <si>
    <t xml:space="preserve">Vitel</t>
  </si>
  <si>
    <t xml:space="preserve">Litio-1019</t>
  </si>
  <si>
    <t xml:space="preserve">VMax</t>
  </si>
  <si>
    <t xml:space="preserve">Yodo-714</t>
  </si>
  <si>
    <t xml:space="preserve">Voltai</t>
  </si>
  <si>
    <t xml:space="preserve">Cobalto-1397</t>
  </si>
  <si>
    <t xml:space="preserve">Von Unger Representaciones SpA</t>
  </si>
  <si>
    <t xml:space="preserve">Cobalto-1442</t>
  </si>
  <si>
    <t xml:space="preserve">Vorwerk</t>
  </si>
  <si>
    <t xml:space="preserve">Cobalto-1348</t>
  </si>
  <si>
    <t xml:space="preserve">Vromel SpA</t>
  </si>
  <si>
    <t xml:space="preserve">Litio-925</t>
  </si>
  <si>
    <t xml:space="preserve">Vulcan</t>
  </si>
  <si>
    <t xml:space="preserve">Exterior C-085 y 086</t>
  </si>
  <si>
    <t xml:space="preserve">Vulcan Do Brasil</t>
  </si>
  <si>
    <t xml:space="preserve">Yodo-774A</t>
  </si>
  <si>
    <t xml:space="preserve">Warehousing Valle Grande S.A</t>
  </si>
  <si>
    <t xml:space="preserve">Cobalto-1390</t>
  </si>
  <si>
    <t xml:space="preserve">Watson Marslow</t>
  </si>
  <si>
    <t xml:space="preserve">Hierro-1474</t>
  </si>
  <si>
    <t xml:space="preserve">WEICON</t>
  </si>
  <si>
    <t xml:space="preserve">Cobre-56</t>
  </si>
  <si>
    <t xml:space="preserve">Weidouli Valves Co., Ltd</t>
  </si>
  <si>
    <t xml:space="preserve">Plata-475</t>
  </si>
  <si>
    <t xml:space="preserve">Weihai Tongge Technology Co., Ltd</t>
  </si>
  <si>
    <t xml:space="preserve">Plata-467</t>
  </si>
  <si>
    <t xml:space="preserve">Weldco Beales</t>
  </si>
  <si>
    <t xml:space="preserve">Yodo-736</t>
  </si>
  <si>
    <t xml:space="preserve">Welding Cutting</t>
  </si>
  <si>
    <t xml:space="preserve">Cobre-263</t>
  </si>
  <si>
    <t xml:space="preserve">Welldone Chemical LLC</t>
  </si>
  <si>
    <t xml:space="preserve">Cobre-207</t>
  </si>
  <si>
    <t xml:space="preserve">Wenzhou Winco Machinery Co., Ltd</t>
  </si>
  <si>
    <t xml:space="preserve">Plata-447</t>
  </si>
  <si>
    <t xml:space="preserve">Wequips</t>
  </si>
  <si>
    <t xml:space="preserve">Cobre-131B</t>
  </si>
  <si>
    <t xml:space="preserve">Westpro Machinery</t>
  </si>
  <si>
    <t xml:space="preserve">Yodo-709</t>
  </si>
  <si>
    <t xml:space="preserve">Wienecke</t>
  </si>
  <si>
    <t xml:space="preserve">Plata-621</t>
  </si>
  <si>
    <t xml:space="preserve">Wika Chile</t>
  </si>
  <si>
    <t xml:space="preserve">Cobre-4</t>
  </si>
  <si>
    <t xml:space="preserve">Wila | Schunk</t>
  </si>
  <si>
    <t xml:space="preserve">Cobre-76</t>
  </si>
  <si>
    <t xml:space="preserve">WILO</t>
  </si>
  <si>
    <t xml:space="preserve">Cobre-58</t>
  </si>
  <si>
    <t xml:space="preserve">WIM</t>
  </si>
  <si>
    <t xml:space="preserve">Molibdeno-1336</t>
  </si>
  <si>
    <t xml:space="preserve">Winter S.A</t>
  </si>
  <si>
    <t xml:space="preserve">Litio-898</t>
  </si>
  <si>
    <t xml:space="preserve">Winters Instruments</t>
  </si>
  <si>
    <t xml:space="preserve">Yodo-790</t>
  </si>
  <si>
    <t xml:space="preserve">Wontech</t>
  </si>
  <si>
    <t xml:space="preserve">Plata-436</t>
  </si>
  <si>
    <t xml:space="preserve">Woodtech</t>
  </si>
  <si>
    <t xml:space="preserve">Molibdeno-1279</t>
  </si>
  <si>
    <t xml:space="preserve">Work Force Group Latam</t>
  </si>
  <si>
    <t xml:space="preserve">Cobalto-1428</t>
  </si>
  <si>
    <t xml:space="preserve">WPD Chile SpA</t>
  </si>
  <si>
    <t xml:space="preserve">Cobre-62 y 63</t>
  </si>
  <si>
    <t xml:space="preserve">Wuxi Rio Minerals Co., Ltd</t>
  </si>
  <si>
    <t xml:space="preserve">Plata-439</t>
  </si>
  <si>
    <t xml:space="preserve">Wuyun Transmission Machinery Corp</t>
  </si>
  <si>
    <t xml:space="preserve">Oro-1083</t>
  </si>
  <si>
    <t xml:space="preserve">XCJC</t>
  </si>
  <si>
    <t xml:space="preserve">Cobalto-1439</t>
  </si>
  <si>
    <t xml:space="preserve">Xsolv SpA</t>
  </si>
  <si>
    <t xml:space="preserve">Oro-1112</t>
  </si>
  <si>
    <t xml:space="preserve">Xuzhou H&amp;G Wear-Resistant Material Co., Ltd</t>
  </si>
  <si>
    <t xml:space="preserve">Exponor 2026. También expone en ExpoMina 2026 (ID 943). Sin contacto publicado.</t>
  </si>
  <si>
    <t xml:space="preserve">Plata-468</t>
  </si>
  <si>
    <t xml:space="preserve">www.hgminingparts.com</t>
  </si>
  <si>
    <t xml:space="preserve">ExpoMina (ID 943)</t>
  </si>
  <si>
    <t xml:space="preserve">Xylem Water Solutions Chile</t>
  </si>
  <si>
    <t xml:space="preserve">Exponor 2026. También expone en ExpoMina 2026 (ID 944). Sin contacto publicado.</t>
  </si>
  <si>
    <t xml:space="preserve">Exterior E-124</t>
  </si>
  <si>
    <t xml:space="preserve">www.xylem.com/es-pe/</t>
  </si>
  <si>
    <t xml:space="preserve">ExpoMina (ID 944)</t>
  </si>
  <si>
    <t xml:space="preserve">Y&amp;X Beijing Technology Co., Ltd</t>
  </si>
  <si>
    <t xml:space="preserve">Plata-465</t>
  </si>
  <si>
    <t xml:space="preserve">Yanggu Yihui Drilling Tools Co., Ltd</t>
  </si>
  <si>
    <t xml:space="preserve">Plata-498</t>
  </si>
  <si>
    <t xml:space="preserve">Yantai Jinpeng Mining Machinery Co., Ltd</t>
  </si>
  <si>
    <t xml:space="preserve">Exponor 2026. También expone en ExpoMina 2026 (ID 951). Sin contacto publicado.</t>
  </si>
  <si>
    <t xml:space="preserve">Plata-538</t>
  </si>
  <si>
    <t xml:space="preserve">www.jinpengmining.com</t>
  </si>
  <si>
    <t xml:space="preserve">ExpoMina (ID 951)</t>
  </si>
  <si>
    <t xml:space="preserve">Yantai Xingye Machinery Co., Ltd</t>
  </si>
  <si>
    <t xml:space="preserve">Exponor 2026. También expone en ExpoMina 2026 (ID 272). Sin contacto publicado.</t>
  </si>
  <si>
    <t xml:space="preserve">Plata-398</t>
  </si>
  <si>
    <t xml:space="preserve">https://www.ytxingye.com</t>
  </si>
  <si>
    <t xml:space="preserve">ExpoMina (ID 272)</t>
  </si>
  <si>
    <t xml:space="preserve">Yingkou Guangyang Trading Co., Ltd</t>
  </si>
  <si>
    <t xml:space="preserve">Plata-500</t>
  </si>
  <si>
    <t xml:space="preserve">Yoke Industrial Corp</t>
  </si>
  <si>
    <t xml:space="preserve">Exponor 2026. También expone en ExpoMina 2026 (ID 273). País inferido; validar. Sin contacto publicado.</t>
  </si>
  <si>
    <t xml:space="preserve">Cobre-227</t>
  </si>
  <si>
    <t xml:space="preserve">https://www.yoke.net/</t>
  </si>
  <si>
    <t xml:space="preserve">ExpoMina (ID 273)</t>
  </si>
  <si>
    <t xml:space="preserve">YPF GAS</t>
  </si>
  <si>
    <t xml:space="preserve">Cobalto-1401</t>
  </si>
  <si>
    <t xml:space="preserve">Yprotec</t>
  </si>
  <si>
    <t xml:space="preserve">Oro-1089</t>
  </si>
  <si>
    <t xml:space="preserve">Yuncheng Anjie Fan Electric Co., Ltd</t>
  </si>
  <si>
    <t xml:space="preserve">Plata-497</t>
  </si>
  <si>
    <t xml:space="preserve">Yura</t>
  </si>
  <si>
    <t xml:space="preserve">Exponor 2026. También expone en ExpoMina 2026 (ID 954). Sin contacto publicado.</t>
  </si>
  <si>
    <t xml:space="preserve">Plata-574 y 575</t>
  </si>
  <si>
    <t xml:space="preserve">www.yura.com.pe</t>
  </si>
  <si>
    <t xml:space="preserve">ExpoMina (ID 954)</t>
  </si>
  <si>
    <t xml:space="preserve">Yuris</t>
  </si>
  <si>
    <t xml:space="preserve">Hierro-1499 y 1500</t>
  </si>
  <si>
    <t xml:space="preserve">Zabdi Ingeniería</t>
  </si>
  <si>
    <t xml:space="preserve">Cobalto-1364</t>
  </si>
  <si>
    <t xml:space="preserve">Zamine Service Chile SpA</t>
  </si>
  <si>
    <t xml:space="preserve">Exponor 2026. También expone en ExpoMina 2026 (ID 274). Sin contacto publicado.</t>
  </si>
  <si>
    <t xml:space="preserve">Exterior A-012 y 023</t>
  </si>
  <si>
    <t xml:space="preserve">www.zamineperu.com</t>
  </si>
  <si>
    <t xml:space="preserve">ExpoMina (ID 274)</t>
  </si>
  <si>
    <t xml:space="preserve">Zanini Renk</t>
  </si>
  <si>
    <t xml:space="preserve">Exponor 2026. También expone en ExpoMina 2026 (ID 956). Sin contacto publicado.</t>
  </si>
  <si>
    <t xml:space="preserve">Yodo-772</t>
  </si>
  <si>
    <t xml:space="preserve">www.zaninirenk.com.br</t>
  </si>
  <si>
    <t xml:space="preserve">ExpoMina (ID 956)</t>
  </si>
  <si>
    <t xml:space="preserve">Zelestra Energy</t>
  </si>
  <si>
    <t xml:space="preserve">Litio-1021</t>
  </si>
  <si>
    <t xml:space="preserve">Zemaq Electric</t>
  </si>
  <si>
    <t xml:space="preserve">Cobre-61</t>
  </si>
  <si>
    <t xml:space="preserve">Zerone 01</t>
  </si>
  <si>
    <t xml:space="preserve">Oro-1196</t>
  </si>
  <si>
    <t xml:space="preserve">Zhejiang Headman Filtration Technology Co., Ltd</t>
  </si>
  <si>
    <t xml:space="preserve">Exponor 2026. También expone en ExpoMina 2026 (ID 961). Sin contacto publicado.</t>
  </si>
  <si>
    <t xml:space="preserve">Plata-419</t>
  </si>
  <si>
    <t xml:space="preserve">headmanfilter.com</t>
  </si>
  <si>
    <t xml:space="preserve">ExpoMina (ID 961)</t>
  </si>
  <si>
    <t xml:space="preserve">Zhejiang Lifeng Machinery Parts Co., Ltd</t>
  </si>
  <si>
    <t xml:space="preserve">Plata-514</t>
  </si>
  <si>
    <t xml:space="preserve">Zhejiang Mayang Industries Co., Ltd</t>
  </si>
  <si>
    <t xml:space="preserve">Plata-352</t>
  </si>
  <si>
    <t xml:space="preserve">Zhejiang Mp Mining Equipment Corp., Ltd</t>
  </si>
  <si>
    <t xml:space="preserve">Exponor 2026. También expone en ExpoMina 2026 (ID 965). Sin contacto publicado.</t>
  </si>
  <si>
    <t xml:space="preserve">Plata-472</t>
  </si>
  <si>
    <t xml:space="preserve">www.mpcrusher.com</t>
  </si>
  <si>
    <t xml:space="preserve">ExpoMina (ID 965)</t>
  </si>
  <si>
    <t xml:space="preserve">Zhejiang Safetree Industry Tech Co., Ltd</t>
  </si>
  <si>
    <t xml:space="preserve">Plata-506</t>
  </si>
  <si>
    <t xml:space="preserve">Zhejiang Santian Oil Filter Co., Ltd</t>
  </si>
  <si>
    <t xml:space="preserve">Plata-401</t>
  </si>
  <si>
    <t xml:space="preserve">Zhejiang Weidun Machinery Technology Co., Ltd</t>
  </si>
  <si>
    <t xml:space="preserve">Plata-442</t>
  </si>
  <si>
    <t xml:space="preserve">Zhejiang Yongbang Machinery Co., Ltd</t>
  </si>
  <si>
    <t xml:space="preserve">Exponor 2026. También expone en ExpoMina 2026 (ID 969). Sin contacto publicado.</t>
  </si>
  <si>
    <t xml:space="preserve">Plata-355</t>
  </si>
  <si>
    <t xml:space="preserve">http://www.yongbung.com/</t>
  </si>
  <si>
    <t xml:space="preserve">ExpoMina (ID 969)</t>
  </si>
  <si>
    <t xml:space="preserve">Zhengzhou Hanfa Imp. &amp; Exp. Trading Co., Ltd</t>
  </si>
  <si>
    <t xml:space="preserve">Exponor 2026. También expone en ExpoMina 2026 (ID 972). Sin contacto publicado.</t>
  </si>
  <si>
    <t xml:space="preserve">Oro-1082</t>
  </si>
  <si>
    <t xml:space="preserve">www.hanfagroup.com</t>
  </si>
  <si>
    <t xml:space="preserve">ExpoMina (ID 972)</t>
  </si>
  <si>
    <t xml:space="preserve">Zhengzhou Huacheng Heavy Industry Technology Co., Ltd</t>
  </si>
  <si>
    <t xml:space="preserve">Plata-474</t>
  </si>
  <si>
    <t xml:space="preserve">Zhengzhou Windbell Machinery Co., Ltd</t>
  </si>
  <si>
    <t xml:space="preserve">Plata-365</t>
  </si>
  <si>
    <t xml:space="preserve">Zhengzhou Yifan Machinery Co., Ltd</t>
  </si>
  <si>
    <t xml:space="preserve">Plata-456</t>
  </si>
  <si>
    <t xml:space="preserve">Zhongyi Rubber Co., Ltd</t>
  </si>
  <si>
    <t xml:space="preserve">Plata-359</t>
  </si>
  <si>
    <t xml:space="preserve">Zhucheng Kangtai Chemical Co.,Ltd</t>
  </si>
  <si>
    <t xml:space="preserve">Plata-544A</t>
  </si>
  <si>
    <t xml:space="preserve">Zhuzhou Changjiang Special Materials Co., Ltd</t>
  </si>
  <si>
    <t xml:space="preserve">Plata-445</t>
  </si>
  <si>
    <t xml:space="preserve">Zhuzhou Oc Precision Alloy Co., Ltd</t>
  </si>
  <si>
    <t xml:space="preserve">Plata-415</t>
  </si>
  <si>
    <t xml:space="preserve">Zigma Soluciones Industriales Ltda</t>
  </si>
  <si>
    <t xml:space="preserve">Cobre-281</t>
  </si>
  <si>
    <t xml:space="preserve">ID oportunidad</t>
  </si>
  <si>
    <t xml:space="preserve">ID contacto</t>
  </si>
  <si>
    <t xml:space="preserve">Necesidad</t>
  </si>
  <si>
    <t xml:space="preserve">Solución propuesta</t>
  </si>
  <si>
    <t xml:space="preserve">Etapa</t>
  </si>
  <si>
    <t xml:space="preserve">Valor estimado</t>
  </si>
  <si>
    <t xml:space="preserve">Probabilidad</t>
  </si>
  <si>
    <t xml:space="preserve">Fecha</t>
  </si>
  <si>
    <t xml:space="preserve">Evento/Fuente</t>
  </si>
  <si>
    <t xml:space="preserve">Cantidad</t>
  </si>
  <si>
    <t xml:space="preserve">Total</t>
  </si>
  <si>
    <t xml:space="preserve">Estado (pipeline)</t>
  </si>
  <si>
    <t xml:space="preserve">Contactado</t>
  </si>
  <si>
    <t xml:space="preserve">Reunión</t>
  </si>
  <si>
    <t xml:space="preserve">Propuesta</t>
  </si>
  <si>
    <t xml:space="preserve">Cliente</t>
  </si>
  <si>
    <t xml:space="preserve">No interesado</t>
  </si>
  <si>
    <t xml:space="preserve">Indicadores</t>
  </si>
  <si>
    <t xml:space="preserve">Registros originales (stands)</t>
  </si>
  <si>
    <t xml:space="preserve">Empresas únicas</t>
  </si>
  <si>
    <t xml:space="preserve">También en ExpoMina 2026</t>
  </si>
  <si>
    <t xml:space="preserve">También en Directorio SSO</t>
  </si>
  <si>
    <t xml:space="preserve">Startups (Lanza tu Innovación)</t>
  </si>
  <si>
    <t xml:space="preserve">Con 2+ stands</t>
  </si>
  <si>
    <t xml:space="preserve">Evento</t>
  </si>
  <si>
    <t xml:space="preserve">Valor para SafetyMind</t>
  </si>
  <si>
    <t xml:space="preserve">Directorio SSO 2026 – Cero Accidentes (22.ª ed.)</t>
  </si>
  <si>
    <t xml:space="preserve">Mapa de ~670 proveedores SST en Perú (ver CRM_Directorio_SSO_2026).</t>
  </si>
  <si>
    <t xml:space="preserve">ExpoMina Perú 2026</t>
  </si>
  <si>
    <t xml:space="preserve">Feria minera: mineras, contratistas, OEM, tecnología y proveedores (ver CRM_ExpoMina_2026).</t>
  </si>
  <si>
    <t xml:space="preserve">Exponor 2026 (Antofagasta)</t>
  </si>
  <si>
    <t xml:space="preserve">Principal feria minera del norte de Chile: mineras (Codelco, BHP, AMSA, SQM, Albemarle), contratistas, OEM, startups y pabellones país; base para reuniones en stand y prospección post-evento.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</si>
</sst>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os" displayName="Contactos" ref="A1:S1376" headerRowCount="1" totalsRowCount="0" totalsRowShown="0">
  <autoFilter ref="A1:S1376"/>
  <tableColumns count="19">
    <tableColumn id="1" name="ID"/>
    <tableColumn id="2" name="Nombre"/>
    <tableColumn id="3" name="Cargo"/>
    <tableColumn id="4" name="Empresa"/>
    <tableColumn id="5" name="País"/>
    <tableColumn id="6" name="Email"/>
    <tableColumn id="7" name="LinkedIn"/>
    <tableColumn id="8" name="Origen"/>
    <tableColumn id="9" name="Estado"/>
    <tableColumn id="10" name="Prioridad"/>
    <tableColumn id="11" name="Próxima acción"/>
    <tableColumn id="12" name="Notas"/>
    <tableColumn id="13" name="Segmento SafetyMind"/>
    <tableColumn id="14" name="Stand(s)"/>
    <tableColumn id="15" name="N° stands"/>
    <tableColumn id="16" name="Pabellón país / zona"/>
    <tableColumn id="17" name="Web"/>
    <tableColumn id="18" name="Teléfono(s)"/>
    <tableColumn id="19" name="Cruce otros CR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45"/>
    <col collapsed="false" customWidth="true" hidden="false" outlineLevel="0" max="12" min="12" style="0" width="55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9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9" min="18" style="0" width="28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D2" s="0" t="s">
        <v>19</v>
      </c>
      <c r="E2" s="0" t="s">
        <v>20</v>
      </c>
      <c r="H2" s="0" t="s">
        <v>21</v>
      </c>
      <c r="I2" s="2" t="s">
        <v>22</v>
      </c>
      <c r="J2" s="2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n">
        <v>1</v>
      </c>
      <c r="R2" s="3"/>
      <c r="S2" s="2" t="s">
        <v>28</v>
      </c>
    </row>
    <row r="3" customFormat="false" ht="15" hidden="false" customHeight="false" outlineLevel="0" collapsed="false">
      <c r="A3" s="0" t="n">
        <v>2</v>
      </c>
      <c r="D3" s="0" t="s">
        <v>29</v>
      </c>
      <c r="E3" s="0" t="s">
        <v>20</v>
      </c>
      <c r="H3" s="0" t="s">
        <v>21</v>
      </c>
      <c r="I3" s="2" t="s">
        <v>22</v>
      </c>
      <c r="J3" s="2" t="s">
        <v>23</v>
      </c>
      <c r="K3" s="0" t="s">
        <v>24</v>
      </c>
      <c r="L3" s="0" t="s">
        <v>25</v>
      </c>
      <c r="M3" s="0" t="s">
        <v>26</v>
      </c>
      <c r="N3" s="0" t="s">
        <v>30</v>
      </c>
      <c r="O3" s="0" t="n">
        <v>1</v>
      </c>
      <c r="R3" s="3"/>
      <c r="S3" s="2" t="s">
        <v>28</v>
      </c>
    </row>
    <row r="4" customFormat="false" ht="15" hidden="false" customHeight="false" outlineLevel="0" collapsed="false">
      <c r="A4" s="0" t="n">
        <v>3</v>
      </c>
      <c r="D4" s="0" t="s">
        <v>31</v>
      </c>
      <c r="E4" s="0" t="s">
        <v>20</v>
      </c>
      <c r="H4" s="0" t="s">
        <v>21</v>
      </c>
      <c r="I4" s="2" t="s">
        <v>22</v>
      </c>
      <c r="J4" s="2" t="s">
        <v>23</v>
      </c>
      <c r="K4" s="0" t="s">
        <v>24</v>
      </c>
      <c r="L4" s="0" t="s">
        <v>25</v>
      </c>
      <c r="M4" s="0" t="s">
        <v>26</v>
      </c>
      <c r="N4" s="0" t="s">
        <v>32</v>
      </c>
      <c r="O4" s="0" t="n">
        <v>1</v>
      </c>
      <c r="R4" s="3"/>
      <c r="S4" s="2" t="s">
        <v>28</v>
      </c>
    </row>
    <row r="5" customFormat="false" ht="15" hidden="false" customHeight="false" outlineLevel="0" collapsed="false">
      <c r="A5" s="0" t="n">
        <v>4</v>
      </c>
      <c r="D5" s="0" t="s">
        <v>33</v>
      </c>
      <c r="E5" s="0" t="s">
        <v>20</v>
      </c>
      <c r="H5" s="0" t="s">
        <v>21</v>
      </c>
      <c r="I5" s="2" t="s">
        <v>22</v>
      </c>
      <c r="J5" s="2" t="s">
        <v>23</v>
      </c>
      <c r="K5" s="0" t="s">
        <v>24</v>
      </c>
      <c r="L5" s="0" t="s">
        <v>25</v>
      </c>
      <c r="M5" s="0" t="s">
        <v>26</v>
      </c>
      <c r="N5" s="0" t="s">
        <v>34</v>
      </c>
      <c r="O5" s="0" t="n">
        <v>1</v>
      </c>
      <c r="R5" s="3"/>
      <c r="S5" s="2" t="s">
        <v>28</v>
      </c>
    </row>
    <row r="6" customFormat="false" ht="15" hidden="false" customHeight="false" outlineLevel="0" collapsed="false">
      <c r="A6" s="0" t="n">
        <v>5</v>
      </c>
      <c r="D6" s="0" t="s">
        <v>35</v>
      </c>
      <c r="E6" s="0" t="s">
        <v>20</v>
      </c>
      <c r="H6" s="0" t="s">
        <v>21</v>
      </c>
      <c r="I6" s="2" t="s">
        <v>22</v>
      </c>
      <c r="J6" s="2" t="s">
        <v>23</v>
      </c>
      <c r="K6" s="0" t="s">
        <v>24</v>
      </c>
      <c r="L6" s="0" t="s">
        <v>25</v>
      </c>
      <c r="M6" s="0" t="s">
        <v>26</v>
      </c>
      <c r="N6" s="0" t="s">
        <v>36</v>
      </c>
      <c r="O6" s="0" t="n">
        <v>1</v>
      </c>
      <c r="R6" s="3"/>
      <c r="S6" s="2" t="s">
        <v>28</v>
      </c>
    </row>
    <row r="7" customFormat="false" ht="15" hidden="false" customHeight="false" outlineLevel="0" collapsed="false">
      <c r="A7" s="0" t="n">
        <v>6</v>
      </c>
      <c r="D7" s="0" t="s">
        <v>37</v>
      </c>
      <c r="E7" s="0" t="s">
        <v>20</v>
      </c>
      <c r="H7" s="0" t="s">
        <v>21</v>
      </c>
      <c r="I7" s="2" t="s">
        <v>22</v>
      </c>
      <c r="J7" s="2" t="s">
        <v>23</v>
      </c>
      <c r="K7" s="0" t="s">
        <v>24</v>
      </c>
      <c r="L7" s="0" t="s">
        <v>25</v>
      </c>
      <c r="M7" s="0" t="s">
        <v>26</v>
      </c>
      <c r="N7" s="0" t="s">
        <v>38</v>
      </c>
      <c r="O7" s="0" t="n">
        <v>1</v>
      </c>
      <c r="R7" s="3"/>
      <c r="S7" s="2" t="s">
        <v>28</v>
      </c>
    </row>
    <row r="8" customFormat="false" ht="15" hidden="false" customHeight="false" outlineLevel="0" collapsed="false">
      <c r="A8" s="0" t="n">
        <v>7</v>
      </c>
      <c r="D8" s="0" t="s">
        <v>39</v>
      </c>
      <c r="E8" s="0" t="s">
        <v>20</v>
      </c>
      <c r="H8" s="0" t="s">
        <v>21</v>
      </c>
      <c r="I8" s="2" t="s">
        <v>22</v>
      </c>
      <c r="J8" s="2" t="s">
        <v>23</v>
      </c>
      <c r="K8" s="0" t="s">
        <v>24</v>
      </c>
      <c r="L8" s="0" t="s">
        <v>25</v>
      </c>
      <c r="M8" s="0" t="s">
        <v>26</v>
      </c>
      <c r="N8" s="0" t="s">
        <v>40</v>
      </c>
      <c r="O8" s="0" t="n">
        <v>1</v>
      </c>
      <c r="R8" s="3"/>
      <c r="S8" s="2" t="s">
        <v>28</v>
      </c>
    </row>
    <row r="9" customFormat="false" ht="15" hidden="false" customHeight="false" outlineLevel="0" collapsed="false">
      <c r="A9" s="0" t="n">
        <v>8</v>
      </c>
      <c r="D9" s="0" t="s">
        <v>41</v>
      </c>
      <c r="E9" s="0" t="s">
        <v>20</v>
      </c>
      <c r="H9" s="0" t="s">
        <v>21</v>
      </c>
      <c r="I9" s="2" t="s">
        <v>22</v>
      </c>
      <c r="J9" s="2" t="s">
        <v>23</v>
      </c>
      <c r="K9" s="0" t="s">
        <v>24</v>
      </c>
      <c r="L9" s="0" t="s">
        <v>25</v>
      </c>
      <c r="M9" s="0" t="s">
        <v>26</v>
      </c>
      <c r="N9" s="0" t="s">
        <v>42</v>
      </c>
      <c r="O9" s="0" t="n">
        <v>1</v>
      </c>
      <c r="P9" s="0" t="s">
        <v>43</v>
      </c>
      <c r="R9" s="3"/>
      <c r="S9" s="2" t="s">
        <v>28</v>
      </c>
    </row>
    <row r="10" customFormat="false" ht="15" hidden="false" customHeight="false" outlineLevel="0" collapsed="false">
      <c r="A10" s="0" t="n">
        <v>9</v>
      </c>
      <c r="D10" s="0" t="s">
        <v>44</v>
      </c>
      <c r="E10" s="0" t="s">
        <v>20</v>
      </c>
      <c r="H10" s="0" t="s">
        <v>21</v>
      </c>
      <c r="I10" s="2" t="s">
        <v>22</v>
      </c>
      <c r="J10" s="2" t="s">
        <v>23</v>
      </c>
      <c r="K10" s="0" t="s">
        <v>24</v>
      </c>
      <c r="L10" s="0" t="s">
        <v>25</v>
      </c>
      <c r="M10" s="0" t="s">
        <v>26</v>
      </c>
      <c r="N10" s="0" t="s">
        <v>45</v>
      </c>
      <c r="O10" s="0" t="n">
        <v>1</v>
      </c>
      <c r="R10" s="3"/>
      <c r="S10" s="2" t="s">
        <v>28</v>
      </c>
    </row>
    <row r="11" customFormat="false" ht="15" hidden="false" customHeight="false" outlineLevel="0" collapsed="false">
      <c r="A11" s="0" t="n">
        <v>10</v>
      </c>
      <c r="D11" s="0" t="s">
        <v>46</v>
      </c>
      <c r="E11" s="0" t="s">
        <v>20</v>
      </c>
      <c r="H11" s="0" t="s">
        <v>21</v>
      </c>
      <c r="I11" s="2" t="s">
        <v>22</v>
      </c>
      <c r="J11" s="2" t="s">
        <v>23</v>
      </c>
      <c r="K11" s="0" t="s">
        <v>24</v>
      </c>
      <c r="L11" s="0" t="s">
        <v>25</v>
      </c>
      <c r="M11" s="0" t="s">
        <v>26</v>
      </c>
      <c r="N11" s="0" t="s">
        <v>47</v>
      </c>
      <c r="O11" s="0" t="n">
        <v>1</v>
      </c>
      <c r="R11" s="3"/>
      <c r="S11" s="2" t="s">
        <v>28</v>
      </c>
    </row>
    <row r="12" customFormat="false" ht="15" hidden="false" customHeight="false" outlineLevel="0" collapsed="false">
      <c r="A12" s="0" t="n">
        <v>11</v>
      </c>
      <c r="D12" s="0" t="s">
        <v>48</v>
      </c>
      <c r="E12" s="0" t="s">
        <v>20</v>
      </c>
      <c r="H12" s="0" t="s">
        <v>21</v>
      </c>
      <c r="I12" s="2" t="s">
        <v>22</v>
      </c>
      <c r="J12" s="2" t="s">
        <v>23</v>
      </c>
      <c r="K12" s="0" t="s">
        <v>24</v>
      </c>
      <c r="L12" s="0" t="s">
        <v>25</v>
      </c>
      <c r="M12" s="0" t="s">
        <v>26</v>
      </c>
      <c r="N12" s="0" t="s">
        <v>49</v>
      </c>
      <c r="O12" s="0" t="n">
        <v>1</v>
      </c>
      <c r="R12" s="3"/>
      <c r="S12" s="2" t="s">
        <v>28</v>
      </c>
    </row>
    <row r="13" customFormat="false" ht="15" hidden="false" customHeight="false" outlineLevel="0" collapsed="false">
      <c r="A13" s="0" t="n">
        <v>12</v>
      </c>
      <c r="D13" s="0" t="s">
        <v>50</v>
      </c>
      <c r="E13" s="0" t="s">
        <v>20</v>
      </c>
      <c r="H13" s="0" t="s">
        <v>21</v>
      </c>
      <c r="I13" s="2" t="s">
        <v>22</v>
      </c>
      <c r="J13" s="2" t="s">
        <v>23</v>
      </c>
      <c r="K13" s="0" t="s">
        <v>24</v>
      </c>
      <c r="L13" s="0" t="s">
        <v>25</v>
      </c>
      <c r="M13" s="0" t="s">
        <v>26</v>
      </c>
      <c r="N13" s="0" t="s">
        <v>51</v>
      </c>
      <c r="O13" s="0" t="n">
        <v>1</v>
      </c>
      <c r="R13" s="3"/>
      <c r="S13" s="2" t="s">
        <v>28</v>
      </c>
    </row>
    <row r="14" customFormat="false" ht="15" hidden="false" customHeight="false" outlineLevel="0" collapsed="false">
      <c r="A14" s="0" t="n">
        <v>13</v>
      </c>
      <c r="D14" s="0" t="s">
        <v>52</v>
      </c>
      <c r="E14" s="0" t="s">
        <v>20</v>
      </c>
      <c r="H14" s="0" t="s">
        <v>21</v>
      </c>
      <c r="I14" s="2" t="s">
        <v>22</v>
      </c>
      <c r="J14" s="2" t="s">
        <v>23</v>
      </c>
      <c r="K14" s="0" t="s">
        <v>24</v>
      </c>
      <c r="L14" s="0" t="s">
        <v>25</v>
      </c>
      <c r="M14" s="0" t="s">
        <v>26</v>
      </c>
      <c r="N14" s="0" t="s">
        <v>49</v>
      </c>
      <c r="O14" s="0" t="n">
        <v>1</v>
      </c>
      <c r="R14" s="3"/>
      <c r="S14" s="2" t="s">
        <v>28</v>
      </c>
    </row>
    <row r="15" customFormat="false" ht="15" hidden="false" customHeight="false" outlineLevel="0" collapsed="false">
      <c r="A15" s="0" t="n">
        <v>14</v>
      </c>
      <c r="D15" s="0" t="s">
        <v>53</v>
      </c>
      <c r="E15" s="0" t="s">
        <v>20</v>
      </c>
      <c r="H15" s="0" t="s">
        <v>21</v>
      </c>
      <c r="I15" s="2" t="s">
        <v>22</v>
      </c>
      <c r="J15" s="2" t="s">
        <v>23</v>
      </c>
      <c r="K15" s="0" t="s">
        <v>24</v>
      </c>
      <c r="L15" s="0" t="s">
        <v>25</v>
      </c>
      <c r="M15" s="0" t="s">
        <v>26</v>
      </c>
      <c r="N15" s="0" t="s">
        <v>54</v>
      </c>
      <c r="O15" s="0" t="n">
        <v>1</v>
      </c>
      <c r="R15" s="3"/>
      <c r="S15" s="2" t="s">
        <v>28</v>
      </c>
    </row>
    <row r="16" customFormat="false" ht="15" hidden="false" customHeight="false" outlineLevel="0" collapsed="false">
      <c r="A16" s="0" t="n">
        <v>15</v>
      </c>
      <c r="D16" s="0" t="s">
        <v>55</v>
      </c>
      <c r="E16" s="0" t="s">
        <v>20</v>
      </c>
      <c r="H16" s="0" t="s">
        <v>21</v>
      </c>
      <c r="I16" s="2" t="s">
        <v>22</v>
      </c>
      <c r="J16" s="2" t="s">
        <v>23</v>
      </c>
      <c r="K16" s="0" t="s">
        <v>56</v>
      </c>
      <c r="L16" s="0" t="s">
        <v>25</v>
      </c>
      <c r="M16" s="0" t="s">
        <v>57</v>
      </c>
      <c r="N16" s="0" t="s">
        <v>58</v>
      </c>
      <c r="O16" s="0" t="n">
        <v>1</v>
      </c>
      <c r="R16" s="3"/>
      <c r="S16" s="2" t="s">
        <v>28</v>
      </c>
    </row>
    <row r="17" customFormat="false" ht="15" hidden="false" customHeight="false" outlineLevel="0" collapsed="false">
      <c r="A17" s="0" t="n">
        <v>16</v>
      </c>
      <c r="D17" s="0" t="s">
        <v>59</v>
      </c>
      <c r="E17" s="0" t="s">
        <v>20</v>
      </c>
      <c r="H17" s="0" t="s">
        <v>21</v>
      </c>
      <c r="I17" s="2" t="s">
        <v>22</v>
      </c>
      <c r="J17" s="2" t="s">
        <v>23</v>
      </c>
      <c r="K17" s="0" t="s">
        <v>56</v>
      </c>
      <c r="L17" s="0" t="s">
        <v>25</v>
      </c>
      <c r="M17" s="0" t="s">
        <v>57</v>
      </c>
      <c r="N17" s="0" t="s">
        <v>60</v>
      </c>
      <c r="O17" s="0" t="n">
        <v>1</v>
      </c>
      <c r="R17" s="3"/>
      <c r="S17" s="2" t="s">
        <v>28</v>
      </c>
    </row>
    <row r="18" customFormat="false" ht="15" hidden="false" customHeight="false" outlineLevel="0" collapsed="false">
      <c r="A18" s="0" t="n">
        <v>17</v>
      </c>
      <c r="D18" s="0" t="s">
        <v>61</v>
      </c>
      <c r="E18" s="0" t="s">
        <v>20</v>
      </c>
      <c r="H18" s="0" t="s">
        <v>21</v>
      </c>
      <c r="I18" s="2" t="s">
        <v>22</v>
      </c>
      <c r="J18" s="2" t="s">
        <v>23</v>
      </c>
      <c r="K18" s="0" t="s">
        <v>56</v>
      </c>
      <c r="L18" s="0" t="s">
        <v>25</v>
      </c>
      <c r="M18" s="0" t="s">
        <v>57</v>
      </c>
      <c r="N18" s="0" t="s">
        <v>62</v>
      </c>
      <c r="O18" s="0" t="n">
        <v>1</v>
      </c>
      <c r="R18" s="3"/>
      <c r="S18" s="2" t="s">
        <v>28</v>
      </c>
    </row>
    <row r="19" customFormat="false" ht="15" hidden="false" customHeight="false" outlineLevel="0" collapsed="false">
      <c r="A19" s="0" t="n">
        <v>18</v>
      </c>
      <c r="D19" s="0" t="s">
        <v>63</v>
      </c>
      <c r="E19" s="0" t="s">
        <v>20</v>
      </c>
      <c r="H19" s="0" t="s">
        <v>21</v>
      </c>
      <c r="I19" s="2" t="s">
        <v>22</v>
      </c>
      <c r="J19" s="2" t="s">
        <v>23</v>
      </c>
      <c r="K19" s="0" t="s">
        <v>56</v>
      </c>
      <c r="L19" s="0" t="s">
        <v>25</v>
      </c>
      <c r="M19" s="0" t="s">
        <v>57</v>
      </c>
      <c r="N19" s="0" t="s">
        <v>64</v>
      </c>
      <c r="O19" s="0" t="n">
        <v>1</v>
      </c>
      <c r="R19" s="3"/>
      <c r="S19" s="2" t="s">
        <v>28</v>
      </c>
    </row>
    <row r="20" customFormat="false" ht="15" hidden="false" customHeight="false" outlineLevel="0" collapsed="false">
      <c r="A20" s="0" t="n">
        <v>19</v>
      </c>
      <c r="D20" s="0" t="s">
        <v>65</v>
      </c>
      <c r="E20" s="0" t="s">
        <v>20</v>
      </c>
      <c r="H20" s="0" t="s">
        <v>21</v>
      </c>
      <c r="I20" s="2" t="s">
        <v>22</v>
      </c>
      <c r="J20" s="2" t="s">
        <v>23</v>
      </c>
      <c r="K20" s="0" t="s">
        <v>56</v>
      </c>
      <c r="L20" s="0" t="s">
        <v>25</v>
      </c>
      <c r="M20" s="0" t="s">
        <v>57</v>
      </c>
      <c r="N20" s="0" t="s">
        <v>66</v>
      </c>
      <c r="O20" s="0" t="n">
        <v>1</v>
      </c>
      <c r="R20" s="3"/>
      <c r="S20" s="2" t="s">
        <v>28</v>
      </c>
    </row>
    <row r="21" customFormat="false" ht="15" hidden="false" customHeight="false" outlineLevel="0" collapsed="false">
      <c r="A21" s="0" t="n">
        <v>20</v>
      </c>
      <c r="D21" s="0" t="s">
        <v>67</v>
      </c>
      <c r="E21" s="0" t="s">
        <v>68</v>
      </c>
      <c r="H21" s="0" t="s">
        <v>21</v>
      </c>
      <c r="I21" s="2" t="s">
        <v>22</v>
      </c>
      <c r="J21" s="2" t="s">
        <v>23</v>
      </c>
      <c r="K21" s="0" t="s">
        <v>56</v>
      </c>
      <c r="L21" s="0" t="s">
        <v>25</v>
      </c>
      <c r="M21" s="0" t="s">
        <v>57</v>
      </c>
      <c r="N21" s="0" t="s">
        <v>69</v>
      </c>
      <c r="O21" s="0" t="n">
        <v>1</v>
      </c>
      <c r="P21" s="0" t="s">
        <v>68</v>
      </c>
      <c r="R21" s="3"/>
      <c r="S21" s="2" t="s">
        <v>28</v>
      </c>
    </row>
    <row r="22" customFormat="false" ht="15" hidden="false" customHeight="false" outlineLevel="0" collapsed="false">
      <c r="A22" s="0" t="n">
        <v>21</v>
      </c>
      <c r="D22" s="0" t="s">
        <v>70</v>
      </c>
      <c r="E22" s="0" t="s">
        <v>20</v>
      </c>
      <c r="H22" s="0" t="s">
        <v>21</v>
      </c>
      <c r="I22" s="2" t="s">
        <v>22</v>
      </c>
      <c r="J22" s="2" t="s">
        <v>23</v>
      </c>
      <c r="K22" s="0" t="s">
        <v>56</v>
      </c>
      <c r="L22" s="0" t="s">
        <v>25</v>
      </c>
      <c r="M22" s="0" t="s">
        <v>57</v>
      </c>
      <c r="N22" s="0" t="s">
        <v>71</v>
      </c>
      <c r="O22" s="0" t="n">
        <v>1</v>
      </c>
      <c r="R22" s="3"/>
      <c r="S22" s="2" t="s">
        <v>28</v>
      </c>
    </row>
    <row r="23" customFormat="false" ht="15" hidden="false" customHeight="false" outlineLevel="0" collapsed="false">
      <c r="A23" s="0" t="n">
        <v>22</v>
      </c>
      <c r="D23" s="0" t="s">
        <v>72</v>
      </c>
      <c r="E23" s="0" t="s">
        <v>73</v>
      </c>
      <c r="F23" s="0" t="s">
        <v>74</v>
      </c>
      <c r="H23" s="0" t="s">
        <v>21</v>
      </c>
      <c r="I23" s="2" t="s">
        <v>22</v>
      </c>
      <c r="J23" s="2" t="s">
        <v>23</v>
      </c>
      <c r="K23" s="0" t="s">
        <v>56</v>
      </c>
      <c r="L23" s="0" t="s">
        <v>75</v>
      </c>
      <c r="M23" s="0" t="s">
        <v>57</v>
      </c>
      <c r="N23" s="0" t="s">
        <v>76</v>
      </c>
      <c r="O23" s="0" t="n">
        <v>1</v>
      </c>
      <c r="P23" s="0" t="s">
        <v>73</v>
      </c>
      <c r="Q23" s="0" t="s">
        <v>77</v>
      </c>
      <c r="R23" s="3" t="s">
        <v>78</v>
      </c>
      <c r="S23" s="2" t="s">
        <v>79</v>
      </c>
    </row>
    <row r="24" customFormat="false" ht="15" hidden="false" customHeight="false" outlineLevel="0" collapsed="false">
      <c r="A24" s="0" t="n">
        <v>23</v>
      </c>
      <c r="D24" s="0" t="s">
        <v>80</v>
      </c>
      <c r="E24" s="0" t="s">
        <v>20</v>
      </c>
      <c r="H24" s="0" t="s">
        <v>21</v>
      </c>
      <c r="I24" s="2" t="s">
        <v>22</v>
      </c>
      <c r="J24" s="2" t="s">
        <v>23</v>
      </c>
      <c r="K24" s="0" t="s">
        <v>56</v>
      </c>
      <c r="L24" s="0" t="s">
        <v>25</v>
      </c>
      <c r="M24" s="0" t="s">
        <v>57</v>
      </c>
      <c r="N24" s="0" t="s">
        <v>81</v>
      </c>
      <c r="O24" s="0" t="n">
        <v>1</v>
      </c>
      <c r="R24" s="3"/>
      <c r="S24" s="2" t="s">
        <v>28</v>
      </c>
    </row>
    <row r="25" customFormat="false" ht="15" hidden="false" customHeight="false" outlineLevel="0" collapsed="false">
      <c r="A25" s="0" t="n">
        <v>24</v>
      </c>
      <c r="D25" s="0" t="s">
        <v>82</v>
      </c>
      <c r="E25" s="0" t="s">
        <v>20</v>
      </c>
      <c r="H25" s="0" t="s">
        <v>21</v>
      </c>
      <c r="I25" s="2" t="s">
        <v>22</v>
      </c>
      <c r="J25" s="2" t="s">
        <v>23</v>
      </c>
      <c r="K25" s="0" t="s">
        <v>56</v>
      </c>
      <c r="L25" s="0" t="s">
        <v>25</v>
      </c>
      <c r="M25" s="0" t="s">
        <v>57</v>
      </c>
      <c r="N25" s="0" t="s">
        <v>83</v>
      </c>
      <c r="O25" s="0" t="n">
        <v>1</v>
      </c>
      <c r="R25" s="3"/>
      <c r="S25" s="2" t="s">
        <v>28</v>
      </c>
    </row>
    <row r="26" customFormat="false" ht="15" hidden="false" customHeight="false" outlineLevel="0" collapsed="false">
      <c r="A26" s="0" t="n">
        <v>25</v>
      </c>
      <c r="D26" s="0" t="s">
        <v>84</v>
      </c>
      <c r="E26" s="0" t="s">
        <v>20</v>
      </c>
      <c r="H26" s="0" t="s">
        <v>21</v>
      </c>
      <c r="I26" s="2" t="s">
        <v>22</v>
      </c>
      <c r="J26" s="2" t="s">
        <v>23</v>
      </c>
      <c r="K26" s="0" t="s">
        <v>56</v>
      </c>
      <c r="L26" s="0" t="s">
        <v>25</v>
      </c>
      <c r="M26" s="0" t="s">
        <v>57</v>
      </c>
      <c r="N26" s="0" t="s">
        <v>85</v>
      </c>
      <c r="O26" s="0" t="n">
        <v>1</v>
      </c>
      <c r="R26" s="3"/>
      <c r="S26" s="2" t="s">
        <v>28</v>
      </c>
    </row>
    <row r="27" customFormat="false" ht="15" hidden="false" customHeight="false" outlineLevel="0" collapsed="false">
      <c r="A27" s="0" t="n">
        <v>26</v>
      </c>
      <c r="D27" s="0" t="s">
        <v>86</v>
      </c>
      <c r="E27" s="0" t="s">
        <v>20</v>
      </c>
      <c r="H27" s="0" t="s">
        <v>21</v>
      </c>
      <c r="I27" s="2" t="s">
        <v>22</v>
      </c>
      <c r="J27" s="2" t="s">
        <v>23</v>
      </c>
      <c r="K27" s="0" t="s">
        <v>56</v>
      </c>
      <c r="L27" s="0" t="s">
        <v>25</v>
      </c>
      <c r="M27" s="0" t="s">
        <v>57</v>
      </c>
      <c r="N27" s="0" t="s">
        <v>87</v>
      </c>
      <c r="O27" s="0" t="n">
        <v>1</v>
      </c>
      <c r="R27" s="3"/>
      <c r="S27" s="2" t="s">
        <v>28</v>
      </c>
    </row>
    <row r="28" customFormat="false" ht="15" hidden="false" customHeight="false" outlineLevel="0" collapsed="false">
      <c r="A28" s="0" t="n">
        <v>27</v>
      </c>
      <c r="D28" s="0" t="s">
        <v>88</v>
      </c>
      <c r="E28" s="0" t="s">
        <v>20</v>
      </c>
      <c r="H28" s="0" t="s">
        <v>21</v>
      </c>
      <c r="I28" s="2" t="s">
        <v>22</v>
      </c>
      <c r="J28" s="2" t="s">
        <v>23</v>
      </c>
      <c r="K28" s="0" t="s">
        <v>56</v>
      </c>
      <c r="L28" s="0" t="s">
        <v>25</v>
      </c>
      <c r="M28" s="0" t="s">
        <v>57</v>
      </c>
      <c r="N28" s="0" t="s">
        <v>89</v>
      </c>
      <c r="O28" s="0" t="n">
        <v>1</v>
      </c>
      <c r="R28" s="3"/>
      <c r="S28" s="2" t="s">
        <v>28</v>
      </c>
    </row>
    <row r="29" customFormat="false" ht="15" hidden="false" customHeight="false" outlineLevel="0" collapsed="false">
      <c r="A29" s="0" t="n">
        <v>28</v>
      </c>
      <c r="D29" s="0" t="s">
        <v>90</v>
      </c>
      <c r="E29" s="0" t="s">
        <v>20</v>
      </c>
      <c r="H29" s="0" t="s">
        <v>21</v>
      </c>
      <c r="I29" s="2" t="s">
        <v>22</v>
      </c>
      <c r="J29" s="2" t="s">
        <v>23</v>
      </c>
      <c r="K29" s="0" t="s">
        <v>56</v>
      </c>
      <c r="L29" s="0" t="s">
        <v>25</v>
      </c>
      <c r="M29" s="0" t="s">
        <v>57</v>
      </c>
      <c r="N29" s="0" t="s">
        <v>91</v>
      </c>
      <c r="O29" s="0" t="n">
        <v>1</v>
      </c>
      <c r="R29" s="3"/>
      <c r="S29" s="2" t="s">
        <v>28</v>
      </c>
    </row>
    <row r="30" customFormat="false" ht="15" hidden="false" customHeight="false" outlineLevel="0" collapsed="false">
      <c r="A30" s="0" t="n">
        <v>29</v>
      </c>
      <c r="D30" s="0" t="s">
        <v>92</v>
      </c>
      <c r="E30" s="0" t="s">
        <v>20</v>
      </c>
      <c r="H30" s="0" t="s">
        <v>21</v>
      </c>
      <c r="I30" s="2" t="s">
        <v>22</v>
      </c>
      <c r="J30" s="2" t="s">
        <v>23</v>
      </c>
      <c r="K30" s="0" t="s">
        <v>56</v>
      </c>
      <c r="L30" s="0" t="s">
        <v>25</v>
      </c>
      <c r="M30" s="0" t="s">
        <v>57</v>
      </c>
      <c r="N30" s="0" t="s">
        <v>93</v>
      </c>
      <c r="O30" s="0" t="n">
        <v>1</v>
      </c>
      <c r="R30" s="3"/>
      <c r="S30" s="2" t="s">
        <v>28</v>
      </c>
    </row>
    <row r="31" customFormat="false" ht="15" hidden="false" customHeight="false" outlineLevel="0" collapsed="false">
      <c r="A31" s="0" t="n">
        <v>30</v>
      </c>
      <c r="D31" s="0" t="s">
        <v>94</v>
      </c>
      <c r="E31" s="0" t="s">
        <v>20</v>
      </c>
      <c r="H31" s="0" t="s">
        <v>21</v>
      </c>
      <c r="I31" s="2" t="s">
        <v>22</v>
      </c>
      <c r="J31" s="2" t="s">
        <v>23</v>
      </c>
      <c r="K31" s="0" t="s">
        <v>56</v>
      </c>
      <c r="L31" s="0" t="s">
        <v>25</v>
      </c>
      <c r="M31" s="0" t="s">
        <v>57</v>
      </c>
      <c r="N31" s="0" t="s">
        <v>95</v>
      </c>
      <c r="O31" s="0" t="n">
        <v>1</v>
      </c>
      <c r="R31" s="3"/>
      <c r="S31" s="2" t="s">
        <v>28</v>
      </c>
    </row>
    <row r="32" customFormat="false" ht="15" hidden="false" customHeight="false" outlineLevel="0" collapsed="false">
      <c r="A32" s="0" t="n">
        <v>31</v>
      </c>
      <c r="D32" s="0" t="s">
        <v>96</v>
      </c>
      <c r="E32" s="0" t="s">
        <v>20</v>
      </c>
      <c r="H32" s="0" t="s">
        <v>21</v>
      </c>
      <c r="I32" s="2" t="s">
        <v>22</v>
      </c>
      <c r="J32" s="2" t="s">
        <v>23</v>
      </c>
      <c r="K32" s="0" t="s">
        <v>56</v>
      </c>
      <c r="L32" s="0" t="s">
        <v>25</v>
      </c>
      <c r="M32" s="0" t="s">
        <v>57</v>
      </c>
      <c r="N32" s="0" t="s">
        <v>97</v>
      </c>
      <c r="O32" s="0" t="n">
        <v>1</v>
      </c>
      <c r="R32" s="3"/>
      <c r="S32" s="2" t="s">
        <v>28</v>
      </c>
    </row>
    <row r="33" customFormat="false" ht="15" hidden="false" customHeight="false" outlineLevel="0" collapsed="false">
      <c r="A33" s="0" t="n">
        <v>32</v>
      </c>
      <c r="D33" s="0" t="s">
        <v>98</v>
      </c>
      <c r="E33" s="0" t="s">
        <v>20</v>
      </c>
      <c r="H33" s="0" t="s">
        <v>21</v>
      </c>
      <c r="I33" s="2" t="s">
        <v>22</v>
      </c>
      <c r="J33" s="2" t="s">
        <v>23</v>
      </c>
      <c r="K33" s="0" t="s">
        <v>56</v>
      </c>
      <c r="L33" s="0" t="s">
        <v>25</v>
      </c>
      <c r="M33" s="0" t="s">
        <v>57</v>
      </c>
      <c r="N33" s="0" t="s">
        <v>99</v>
      </c>
      <c r="O33" s="0" t="n">
        <v>1</v>
      </c>
      <c r="R33" s="3"/>
      <c r="S33" s="2" t="s">
        <v>28</v>
      </c>
    </row>
    <row r="34" customFormat="false" ht="15" hidden="false" customHeight="false" outlineLevel="0" collapsed="false">
      <c r="A34" s="0" t="n">
        <v>33</v>
      </c>
      <c r="D34" s="0" t="s">
        <v>100</v>
      </c>
      <c r="E34" s="0" t="s">
        <v>20</v>
      </c>
      <c r="H34" s="0" t="s">
        <v>21</v>
      </c>
      <c r="I34" s="2" t="s">
        <v>22</v>
      </c>
      <c r="J34" s="2" t="s">
        <v>23</v>
      </c>
      <c r="K34" s="0" t="s">
        <v>56</v>
      </c>
      <c r="L34" s="0" t="s">
        <v>25</v>
      </c>
      <c r="M34" s="0" t="s">
        <v>57</v>
      </c>
      <c r="N34" s="0" t="s">
        <v>101</v>
      </c>
      <c r="O34" s="0" t="n">
        <v>1</v>
      </c>
      <c r="R34" s="3"/>
      <c r="S34" s="2" t="s">
        <v>28</v>
      </c>
    </row>
    <row r="35" customFormat="false" ht="15" hidden="false" customHeight="false" outlineLevel="0" collapsed="false">
      <c r="A35" s="0" t="n">
        <v>34</v>
      </c>
      <c r="D35" s="0" t="s">
        <v>102</v>
      </c>
      <c r="E35" s="0" t="s">
        <v>20</v>
      </c>
      <c r="H35" s="0" t="s">
        <v>21</v>
      </c>
      <c r="I35" s="2" t="s">
        <v>22</v>
      </c>
      <c r="J35" s="2" t="s">
        <v>23</v>
      </c>
      <c r="K35" s="0" t="s">
        <v>56</v>
      </c>
      <c r="L35" s="0" t="s">
        <v>25</v>
      </c>
      <c r="M35" s="0" t="s">
        <v>57</v>
      </c>
      <c r="N35" s="0" t="s">
        <v>103</v>
      </c>
      <c r="O35" s="0" t="n">
        <v>1</v>
      </c>
      <c r="R35" s="3"/>
      <c r="S35" s="2" t="s">
        <v>28</v>
      </c>
    </row>
    <row r="36" customFormat="false" ht="15" hidden="false" customHeight="false" outlineLevel="0" collapsed="false">
      <c r="A36" s="0" t="n">
        <v>35</v>
      </c>
      <c r="D36" s="0" t="s">
        <v>104</v>
      </c>
      <c r="E36" s="0" t="s">
        <v>20</v>
      </c>
      <c r="H36" s="0" t="s">
        <v>21</v>
      </c>
      <c r="I36" s="2" t="s">
        <v>22</v>
      </c>
      <c r="J36" s="2" t="s">
        <v>23</v>
      </c>
      <c r="K36" s="0" t="s">
        <v>56</v>
      </c>
      <c r="L36" s="0" t="s">
        <v>25</v>
      </c>
      <c r="M36" s="0" t="s">
        <v>57</v>
      </c>
      <c r="N36" s="0" t="s">
        <v>105</v>
      </c>
      <c r="O36" s="0" t="n">
        <v>1</v>
      </c>
      <c r="R36" s="3"/>
      <c r="S36" s="2" t="s">
        <v>28</v>
      </c>
    </row>
    <row r="37" customFormat="false" ht="15" hidden="false" customHeight="false" outlineLevel="0" collapsed="false">
      <c r="A37" s="0" t="n">
        <v>36</v>
      </c>
      <c r="D37" s="0" t="s">
        <v>106</v>
      </c>
      <c r="E37" s="0" t="s">
        <v>20</v>
      </c>
      <c r="H37" s="0" t="s">
        <v>21</v>
      </c>
      <c r="I37" s="2" t="s">
        <v>22</v>
      </c>
      <c r="J37" s="2" t="s">
        <v>23</v>
      </c>
      <c r="K37" s="0" t="s">
        <v>56</v>
      </c>
      <c r="L37" s="0" t="s">
        <v>25</v>
      </c>
      <c r="M37" s="0" t="s">
        <v>57</v>
      </c>
      <c r="N37" s="0" t="s">
        <v>107</v>
      </c>
      <c r="O37" s="0" t="n">
        <v>1</v>
      </c>
      <c r="R37" s="3"/>
      <c r="S37" s="2" t="s">
        <v>28</v>
      </c>
    </row>
    <row r="38" customFormat="false" ht="15" hidden="false" customHeight="false" outlineLevel="0" collapsed="false">
      <c r="A38" s="0" t="n">
        <v>37</v>
      </c>
      <c r="D38" s="0" t="s">
        <v>108</v>
      </c>
      <c r="E38" s="0" t="s">
        <v>20</v>
      </c>
      <c r="H38" s="0" t="s">
        <v>21</v>
      </c>
      <c r="I38" s="2" t="s">
        <v>22</v>
      </c>
      <c r="J38" s="2" t="s">
        <v>23</v>
      </c>
      <c r="K38" s="0" t="s">
        <v>56</v>
      </c>
      <c r="L38" s="0" t="s">
        <v>25</v>
      </c>
      <c r="M38" s="0" t="s">
        <v>57</v>
      </c>
      <c r="N38" s="0" t="s">
        <v>109</v>
      </c>
      <c r="O38" s="0" t="n">
        <v>1</v>
      </c>
      <c r="R38" s="3"/>
      <c r="S38" s="2" t="s">
        <v>28</v>
      </c>
    </row>
    <row r="39" customFormat="false" ht="15" hidden="false" customHeight="false" outlineLevel="0" collapsed="false">
      <c r="A39" s="0" t="n">
        <v>38</v>
      </c>
      <c r="D39" s="0" t="s">
        <v>110</v>
      </c>
      <c r="E39" s="0" t="s">
        <v>20</v>
      </c>
      <c r="H39" s="0" t="s">
        <v>21</v>
      </c>
      <c r="I39" s="2" t="s">
        <v>22</v>
      </c>
      <c r="J39" s="2" t="s">
        <v>23</v>
      </c>
      <c r="K39" s="0" t="s">
        <v>56</v>
      </c>
      <c r="L39" s="0" t="s">
        <v>25</v>
      </c>
      <c r="M39" s="0" t="s">
        <v>57</v>
      </c>
      <c r="N39" s="0" t="s">
        <v>111</v>
      </c>
      <c r="O39" s="0" t="n">
        <v>1</v>
      </c>
      <c r="R39" s="3"/>
      <c r="S39" s="2" t="s">
        <v>28</v>
      </c>
    </row>
    <row r="40" customFormat="false" ht="15" hidden="false" customHeight="false" outlineLevel="0" collapsed="false">
      <c r="A40" s="0" t="n">
        <v>39</v>
      </c>
      <c r="D40" s="0" t="s">
        <v>112</v>
      </c>
      <c r="E40" s="0" t="s">
        <v>73</v>
      </c>
      <c r="F40" s="0" t="s">
        <v>113</v>
      </c>
      <c r="H40" s="0" t="s">
        <v>21</v>
      </c>
      <c r="I40" s="2" t="s">
        <v>22</v>
      </c>
      <c r="J40" s="2" t="s">
        <v>23</v>
      </c>
      <c r="K40" s="0" t="s">
        <v>56</v>
      </c>
      <c r="L40" s="0" t="s">
        <v>114</v>
      </c>
      <c r="M40" s="0" t="s">
        <v>57</v>
      </c>
      <c r="N40" s="0" t="s">
        <v>115</v>
      </c>
      <c r="O40" s="0" t="n">
        <v>1</v>
      </c>
      <c r="P40" s="0" t="s">
        <v>73</v>
      </c>
      <c r="Q40" s="0" t="s">
        <v>116</v>
      </c>
      <c r="R40" s="3" t="s">
        <v>117</v>
      </c>
      <c r="S40" s="2" t="s">
        <v>118</v>
      </c>
    </row>
    <row r="41" customFormat="false" ht="15" hidden="false" customHeight="false" outlineLevel="0" collapsed="false">
      <c r="A41" s="0" t="n">
        <v>40</v>
      </c>
      <c r="D41" s="0" t="s">
        <v>119</v>
      </c>
      <c r="E41" s="0" t="s">
        <v>20</v>
      </c>
      <c r="H41" s="0" t="s">
        <v>21</v>
      </c>
      <c r="I41" s="2" t="s">
        <v>22</v>
      </c>
      <c r="J41" s="2" t="s">
        <v>23</v>
      </c>
      <c r="K41" s="0" t="s">
        <v>56</v>
      </c>
      <c r="L41" s="0" t="s">
        <v>25</v>
      </c>
      <c r="M41" s="0" t="s">
        <v>57</v>
      </c>
      <c r="N41" s="0" t="s">
        <v>120</v>
      </c>
      <c r="O41" s="0" t="n">
        <v>1</v>
      </c>
      <c r="R41" s="3"/>
      <c r="S41" s="2" t="s">
        <v>28</v>
      </c>
    </row>
    <row r="42" customFormat="false" ht="15" hidden="false" customHeight="false" outlineLevel="0" collapsed="false">
      <c r="A42" s="0" t="n">
        <v>41</v>
      </c>
      <c r="D42" s="0" t="s">
        <v>121</v>
      </c>
      <c r="E42" s="0" t="s">
        <v>20</v>
      </c>
      <c r="H42" s="0" t="s">
        <v>21</v>
      </c>
      <c r="I42" s="2" t="s">
        <v>22</v>
      </c>
      <c r="J42" s="2" t="s">
        <v>23</v>
      </c>
      <c r="K42" s="0" t="s">
        <v>56</v>
      </c>
      <c r="L42" s="0" t="s">
        <v>25</v>
      </c>
      <c r="M42" s="0" t="s">
        <v>57</v>
      </c>
      <c r="N42" s="0" t="s">
        <v>122</v>
      </c>
      <c r="O42" s="0" t="n">
        <v>1</v>
      </c>
      <c r="R42" s="3"/>
      <c r="S42" s="2" t="s">
        <v>28</v>
      </c>
    </row>
    <row r="43" customFormat="false" ht="15" hidden="false" customHeight="false" outlineLevel="0" collapsed="false">
      <c r="A43" s="0" t="n">
        <v>42</v>
      </c>
      <c r="D43" s="0" t="s">
        <v>123</v>
      </c>
      <c r="E43" s="0" t="s">
        <v>20</v>
      </c>
      <c r="H43" s="0" t="s">
        <v>21</v>
      </c>
      <c r="I43" s="2" t="s">
        <v>22</v>
      </c>
      <c r="J43" s="2" t="s">
        <v>23</v>
      </c>
      <c r="K43" s="0" t="s">
        <v>56</v>
      </c>
      <c r="L43" s="0" t="s">
        <v>25</v>
      </c>
      <c r="M43" s="0" t="s">
        <v>57</v>
      </c>
      <c r="N43" s="0" t="s">
        <v>124</v>
      </c>
      <c r="O43" s="0" t="n">
        <v>1</v>
      </c>
      <c r="R43" s="3"/>
      <c r="S43" s="2" t="s">
        <v>28</v>
      </c>
    </row>
    <row r="44" customFormat="false" ht="15" hidden="false" customHeight="false" outlineLevel="0" collapsed="false">
      <c r="A44" s="0" t="n">
        <v>43</v>
      </c>
      <c r="D44" s="0" t="s">
        <v>125</v>
      </c>
      <c r="E44" s="0" t="s">
        <v>20</v>
      </c>
      <c r="H44" s="0" t="s">
        <v>21</v>
      </c>
      <c r="I44" s="2" t="s">
        <v>22</v>
      </c>
      <c r="J44" s="2" t="s">
        <v>23</v>
      </c>
      <c r="K44" s="0" t="s">
        <v>56</v>
      </c>
      <c r="L44" s="0" t="s">
        <v>25</v>
      </c>
      <c r="M44" s="0" t="s">
        <v>57</v>
      </c>
      <c r="N44" s="0" t="s">
        <v>126</v>
      </c>
      <c r="O44" s="0" t="n">
        <v>1</v>
      </c>
      <c r="R44" s="3"/>
      <c r="S44" s="2" t="s">
        <v>28</v>
      </c>
    </row>
    <row r="45" customFormat="false" ht="15" hidden="false" customHeight="false" outlineLevel="0" collapsed="false">
      <c r="A45" s="0" t="n">
        <v>44</v>
      </c>
      <c r="D45" s="0" t="s">
        <v>127</v>
      </c>
      <c r="E45" s="0" t="s">
        <v>20</v>
      </c>
      <c r="H45" s="0" t="s">
        <v>21</v>
      </c>
      <c r="I45" s="2" t="s">
        <v>22</v>
      </c>
      <c r="J45" s="2" t="s">
        <v>23</v>
      </c>
      <c r="K45" s="0" t="s">
        <v>56</v>
      </c>
      <c r="L45" s="0" t="s">
        <v>25</v>
      </c>
      <c r="M45" s="0" t="s">
        <v>57</v>
      </c>
      <c r="N45" s="0" t="s">
        <v>128</v>
      </c>
      <c r="O45" s="0" t="n">
        <v>1</v>
      </c>
      <c r="R45" s="3"/>
      <c r="S45" s="2" t="s">
        <v>28</v>
      </c>
    </row>
    <row r="46" customFormat="false" ht="15" hidden="false" customHeight="false" outlineLevel="0" collapsed="false">
      <c r="A46" s="0" t="n">
        <v>45</v>
      </c>
      <c r="D46" s="0" t="s">
        <v>129</v>
      </c>
      <c r="E46" s="0" t="s">
        <v>20</v>
      </c>
      <c r="H46" s="0" t="s">
        <v>21</v>
      </c>
      <c r="I46" s="2" t="s">
        <v>22</v>
      </c>
      <c r="J46" s="2" t="s">
        <v>23</v>
      </c>
      <c r="K46" s="0" t="s">
        <v>56</v>
      </c>
      <c r="L46" s="0" t="s">
        <v>25</v>
      </c>
      <c r="M46" s="0" t="s">
        <v>57</v>
      </c>
      <c r="N46" s="0" t="s">
        <v>130</v>
      </c>
      <c r="O46" s="0" t="n">
        <v>1</v>
      </c>
      <c r="P46" s="0" t="s">
        <v>43</v>
      </c>
      <c r="R46" s="3"/>
      <c r="S46" s="2" t="s">
        <v>28</v>
      </c>
    </row>
    <row r="47" customFormat="false" ht="15" hidden="false" customHeight="false" outlineLevel="0" collapsed="false">
      <c r="A47" s="0" t="n">
        <v>46</v>
      </c>
      <c r="D47" s="0" t="s">
        <v>131</v>
      </c>
      <c r="E47" s="0" t="s">
        <v>20</v>
      </c>
      <c r="H47" s="0" t="s">
        <v>21</v>
      </c>
      <c r="I47" s="2" t="s">
        <v>22</v>
      </c>
      <c r="J47" s="2" t="s">
        <v>23</v>
      </c>
      <c r="K47" s="0" t="s">
        <v>56</v>
      </c>
      <c r="L47" s="0" t="s">
        <v>25</v>
      </c>
      <c r="M47" s="0" t="s">
        <v>57</v>
      </c>
      <c r="N47" s="0" t="s">
        <v>132</v>
      </c>
      <c r="O47" s="0" t="n">
        <v>1</v>
      </c>
      <c r="R47" s="3"/>
      <c r="S47" s="2" t="s">
        <v>28</v>
      </c>
    </row>
    <row r="48" customFormat="false" ht="15" hidden="false" customHeight="false" outlineLevel="0" collapsed="false">
      <c r="A48" s="0" t="n">
        <v>47</v>
      </c>
      <c r="D48" s="0" t="s">
        <v>133</v>
      </c>
      <c r="E48" s="0" t="s">
        <v>73</v>
      </c>
      <c r="F48" s="0" t="s">
        <v>134</v>
      </c>
      <c r="H48" s="0" t="s">
        <v>21</v>
      </c>
      <c r="I48" s="2" t="s">
        <v>22</v>
      </c>
      <c r="J48" s="2" t="s">
        <v>23</v>
      </c>
      <c r="K48" s="0" t="s">
        <v>56</v>
      </c>
      <c r="L48" s="0" t="s">
        <v>135</v>
      </c>
      <c r="M48" s="0" t="s">
        <v>57</v>
      </c>
      <c r="N48" s="0" t="s">
        <v>136</v>
      </c>
      <c r="O48" s="0" t="n">
        <v>1</v>
      </c>
      <c r="P48" s="0" t="s">
        <v>73</v>
      </c>
      <c r="Q48" s="0" t="s">
        <v>137</v>
      </c>
      <c r="R48" s="3" t="s">
        <v>138</v>
      </c>
      <c r="S48" s="2" t="s">
        <v>139</v>
      </c>
    </row>
    <row r="49" customFormat="false" ht="15" hidden="false" customHeight="false" outlineLevel="0" collapsed="false">
      <c r="A49" s="0" t="n">
        <v>48</v>
      </c>
      <c r="D49" s="0" t="s">
        <v>140</v>
      </c>
      <c r="E49" s="0" t="s">
        <v>20</v>
      </c>
      <c r="H49" s="0" t="s">
        <v>21</v>
      </c>
      <c r="I49" s="2" t="s">
        <v>22</v>
      </c>
      <c r="J49" s="2" t="s">
        <v>23</v>
      </c>
      <c r="K49" s="0" t="s">
        <v>56</v>
      </c>
      <c r="L49" s="0" t="s">
        <v>25</v>
      </c>
      <c r="M49" s="0" t="s">
        <v>57</v>
      </c>
      <c r="N49" s="0" t="s">
        <v>141</v>
      </c>
      <c r="O49" s="0" t="n">
        <v>1</v>
      </c>
      <c r="R49" s="3"/>
      <c r="S49" s="2" t="s">
        <v>28</v>
      </c>
    </row>
    <row r="50" customFormat="false" ht="15" hidden="false" customHeight="false" outlineLevel="0" collapsed="false">
      <c r="A50" s="0" t="n">
        <v>49</v>
      </c>
      <c r="D50" s="0" t="s">
        <v>142</v>
      </c>
      <c r="E50" s="0" t="s">
        <v>20</v>
      </c>
      <c r="H50" s="0" t="s">
        <v>21</v>
      </c>
      <c r="I50" s="2" t="s">
        <v>22</v>
      </c>
      <c r="J50" s="2" t="s">
        <v>23</v>
      </c>
      <c r="K50" s="0" t="s">
        <v>56</v>
      </c>
      <c r="L50" s="0" t="s">
        <v>25</v>
      </c>
      <c r="M50" s="0" t="s">
        <v>57</v>
      </c>
      <c r="N50" s="0" t="s">
        <v>143</v>
      </c>
      <c r="O50" s="0" t="n">
        <v>1</v>
      </c>
      <c r="R50" s="3"/>
      <c r="S50" s="2" t="s">
        <v>28</v>
      </c>
    </row>
    <row r="51" customFormat="false" ht="15" hidden="false" customHeight="false" outlineLevel="0" collapsed="false">
      <c r="A51" s="0" t="n">
        <v>50</v>
      </c>
      <c r="D51" s="0" t="s">
        <v>144</v>
      </c>
      <c r="E51" s="0" t="s">
        <v>20</v>
      </c>
      <c r="H51" s="0" t="s">
        <v>21</v>
      </c>
      <c r="I51" s="2" t="s">
        <v>22</v>
      </c>
      <c r="J51" s="2" t="s">
        <v>23</v>
      </c>
      <c r="K51" s="0" t="s">
        <v>56</v>
      </c>
      <c r="L51" s="0" t="s">
        <v>25</v>
      </c>
      <c r="M51" s="0" t="s">
        <v>57</v>
      </c>
      <c r="N51" s="0" t="s">
        <v>145</v>
      </c>
      <c r="O51" s="0" t="n">
        <v>1</v>
      </c>
      <c r="P51" s="0" t="s">
        <v>43</v>
      </c>
      <c r="R51" s="3"/>
      <c r="S51" s="2" t="s">
        <v>28</v>
      </c>
    </row>
    <row r="52" customFormat="false" ht="15" hidden="false" customHeight="false" outlineLevel="0" collapsed="false">
      <c r="A52" s="0" t="n">
        <v>51</v>
      </c>
      <c r="D52" s="0" t="s">
        <v>146</v>
      </c>
      <c r="E52" s="0" t="s">
        <v>20</v>
      </c>
      <c r="H52" s="0" t="s">
        <v>21</v>
      </c>
      <c r="I52" s="2" t="s">
        <v>22</v>
      </c>
      <c r="J52" s="2" t="s">
        <v>23</v>
      </c>
      <c r="K52" s="0" t="s">
        <v>56</v>
      </c>
      <c r="L52" s="0" t="s">
        <v>25</v>
      </c>
      <c r="M52" s="0" t="s">
        <v>57</v>
      </c>
      <c r="N52" s="0" t="s">
        <v>147</v>
      </c>
      <c r="O52" s="0" t="n">
        <v>1</v>
      </c>
      <c r="R52" s="3"/>
      <c r="S52" s="2" t="s">
        <v>28</v>
      </c>
    </row>
    <row r="53" customFormat="false" ht="15" hidden="false" customHeight="false" outlineLevel="0" collapsed="false">
      <c r="A53" s="0" t="n">
        <v>52</v>
      </c>
      <c r="D53" s="0" t="s">
        <v>148</v>
      </c>
      <c r="E53" s="0" t="s">
        <v>20</v>
      </c>
      <c r="H53" s="0" t="s">
        <v>21</v>
      </c>
      <c r="I53" s="2" t="s">
        <v>22</v>
      </c>
      <c r="J53" s="2" t="s">
        <v>23</v>
      </c>
      <c r="K53" s="0" t="s">
        <v>56</v>
      </c>
      <c r="L53" s="0" t="s">
        <v>25</v>
      </c>
      <c r="M53" s="0" t="s">
        <v>57</v>
      </c>
      <c r="N53" s="0" t="s">
        <v>149</v>
      </c>
      <c r="O53" s="0" t="n">
        <v>1</v>
      </c>
      <c r="R53" s="3"/>
      <c r="S53" s="2" t="s">
        <v>28</v>
      </c>
    </row>
    <row r="54" customFormat="false" ht="15" hidden="false" customHeight="false" outlineLevel="0" collapsed="false">
      <c r="A54" s="0" t="n">
        <v>53</v>
      </c>
      <c r="D54" s="0" t="s">
        <v>150</v>
      </c>
      <c r="E54" s="0" t="s">
        <v>20</v>
      </c>
      <c r="H54" s="0" t="s">
        <v>21</v>
      </c>
      <c r="I54" s="2" t="s">
        <v>22</v>
      </c>
      <c r="J54" s="2" t="s">
        <v>23</v>
      </c>
      <c r="K54" s="0" t="s">
        <v>56</v>
      </c>
      <c r="L54" s="0" t="s">
        <v>25</v>
      </c>
      <c r="M54" s="0" t="s">
        <v>57</v>
      </c>
      <c r="N54" s="0" t="s">
        <v>151</v>
      </c>
      <c r="O54" s="0" t="n">
        <v>1</v>
      </c>
      <c r="R54" s="3"/>
      <c r="S54" s="2" t="s">
        <v>28</v>
      </c>
    </row>
    <row r="55" customFormat="false" ht="15" hidden="false" customHeight="false" outlineLevel="0" collapsed="false">
      <c r="A55" s="0" t="n">
        <v>54</v>
      </c>
      <c r="D55" s="0" t="s">
        <v>152</v>
      </c>
      <c r="E55" s="0" t="s">
        <v>20</v>
      </c>
      <c r="H55" s="0" t="s">
        <v>21</v>
      </c>
      <c r="I55" s="2" t="s">
        <v>22</v>
      </c>
      <c r="J55" s="2" t="s">
        <v>23</v>
      </c>
      <c r="K55" s="0" t="s">
        <v>56</v>
      </c>
      <c r="L55" s="0" t="s">
        <v>25</v>
      </c>
      <c r="M55" s="0" t="s">
        <v>57</v>
      </c>
      <c r="N55" s="0" t="s">
        <v>153</v>
      </c>
      <c r="O55" s="0" t="n">
        <v>1</v>
      </c>
      <c r="R55" s="3"/>
      <c r="S55" s="2" t="s">
        <v>28</v>
      </c>
    </row>
    <row r="56" customFormat="false" ht="15" hidden="false" customHeight="false" outlineLevel="0" collapsed="false">
      <c r="A56" s="0" t="n">
        <v>55</v>
      </c>
      <c r="D56" s="0" t="s">
        <v>154</v>
      </c>
      <c r="E56" s="0" t="s">
        <v>20</v>
      </c>
      <c r="H56" s="0" t="s">
        <v>21</v>
      </c>
      <c r="I56" s="2" t="s">
        <v>22</v>
      </c>
      <c r="J56" s="2" t="s">
        <v>23</v>
      </c>
      <c r="K56" s="0" t="s">
        <v>56</v>
      </c>
      <c r="L56" s="0" t="s">
        <v>25</v>
      </c>
      <c r="M56" s="0" t="s">
        <v>57</v>
      </c>
      <c r="N56" s="0" t="s">
        <v>155</v>
      </c>
      <c r="O56" s="0" t="n">
        <v>1</v>
      </c>
      <c r="R56" s="3"/>
      <c r="S56" s="2" t="s">
        <v>28</v>
      </c>
    </row>
    <row r="57" customFormat="false" ht="15" hidden="false" customHeight="false" outlineLevel="0" collapsed="false">
      <c r="A57" s="0" t="n">
        <v>56</v>
      </c>
      <c r="D57" s="0" t="s">
        <v>156</v>
      </c>
      <c r="E57" s="0" t="s">
        <v>20</v>
      </c>
      <c r="H57" s="0" t="s">
        <v>21</v>
      </c>
      <c r="I57" s="2" t="s">
        <v>22</v>
      </c>
      <c r="J57" s="2" t="s">
        <v>23</v>
      </c>
      <c r="K57" s="0" t="s">
        <v>56</v>
      </c>
      <c r="L57" s="0" t="s">
        <v>25</v>
      </c>
      <c r="M57" s="0" t="s">
        <v>57</v>
      </c>
      <c r="N57" s="0" t="s">
        <v>157</v>
      </c>
      <c r="O57" s="0" t="n">
        <v>1</v>
      </c>
      <c r="R57" s="3"/>
      <c r="S57" s="2" t="s">
        <v>28</v>
      </c>
    </row>
    <row r="58" customFormat="false" ht="15" hidden="false" customHeight="false" outlineLevel="0" collapsed="false">
      <c r="A58" s="0" t="n">
        <v>57</v>
      </c>
      <c r="D58" s="0" t="s">
        <v>158</v>
      </c>
      <c r="E58" s="0" t="s">
        <v>20</v>
      </c>
      <c r="H58" s="0" t="s">
        <v>21</v>
      </c>
      <c r="I58" s="2" t="s">
        <v>22</v>
      </c>
      <c r="J58" s="2" t="s">
        <v>23</v>
      </c>
      <c r="K58" s="0" t="s">
        <v>56</v>
      </c>
      <c r="L58" s="0" t="s">
        <v>25</v>
      </c>
      <c r="M58" s="0" t="s">
        <v>57</v>
      </c>
      <c r="N58" s="0" t="s">
        <v>159</v>
      </c>
      <c r="O58" s="0" t="n">
        <v>1</v>
      </c>
      <c r="R58" s="3"/>
      <c r="S58" s="2" t="s">
        <v>28</v>
      </c>
    </row>
    <row r="59" customFormat="false" ht="15" hidden="false" customHeight="false" outlineLevel="0" collapsed="false">
      <c r="A59" s="0" t="n">
        <v>58</v>
      </c>
      <c r="D59" s="0" t="s">
        <v>160</v>
      </c>
      <c r="E59" s="0" t="s">
        <v>20</v>
      </c>
      <c r="H59" s="0" t="s">
        <v>21</v>
      </c>
      <c r="I59" s="2" t="s">
        <v>22</v>
      </c>
      <c r="J59" s="2" t="s">
        <v>23</v>
      </c>
      <c r="K59" s="0" t="s">
        <v>56</v>
      </c>
      <c r="L59" s="0" t="s">
        <v>25</v>
      </c>
      <c r="M59" s="0" t="s">
        <v>57</v>
      </c>
      <c r="N59" s="0" t="s">
        <v>161</v>
      </c>
      <c r="O59" s="0" t="n">
        <v>1</v>
      </c>
      <c r="R59" s="3"/>
      <c r="S59" s="2" t="s">
        <v>28</v>
      </c>
    </row>
    <row r="60" customFormat="false" ht="15" hidden="false" customHeight="false" outlineLevel="0" collapsed="false">
      <c r="A60" s="0" t="n">
        <v>59</v>
      </c>
      <c r="D60" s="0" t="s">
        <v>162</v>
      </c>
      <c r="E60" s="0" t="s">
        <v>20</v>
      </c>
      <c r="H60" s="0" t="s">
        <v>21</v>
      </c>
      <c r="I60" s="2" t="s">
        <v>22</v>
      </c>
      <c r="J60" s="2" t="s">
        <v>23</v>
      </c>
      <c r="K60" s="0" t="s">
        <v>56</v>
      </c>
      <c r="L60" s="0" t="s">
        <v>25</v>
      </c>
      <c r="M60" s="0" t="s">
        <v>57</v>
      </c>
      <c r="N60" s="0" t="s">
        <v>163</v>
      </c>
      <c r="O60" s="0" t="n">
        <v>1</v>
      </c>
      <c r="R60" s="3"/>
      <c r="S60" s="2" t="s">
        <v>28</v>
      </c>
    </row>
    <row r="61" customFormat="false" ht="15" hidden="false" customHeight="false" outlineLevel="0" collapsed="false">
      <c r="A61" s="0" t="n">
        <v>60</v>
      </c>
      <c r="D61" s="0" t="s">
        <v>164</v>
      </c>
      <c r="E61" s="0" t="s">
        <v>20</v>
      </c>
      <c r="H61" s="0" t="s">
        <v>21</v>
      </c>
      <c r="I61" s="2" t="s">
        <v>22</v>
      </c>
      <c r="J61" s="2" t="s">
        <v>23</v>
      </c>
      <c r="K61" s="0" t="s">
        <v>56</v>
      </c>
      <c r="L61" s="0" t="s">
        <v>25</v>
      </c>
      <c r="M61" s="0" t="s">
        <v>57</v>
      </c>
      <c r="N61" s="0" t="s">
        <v>165</v>
      </c>
      <c r="O61" s="0" t="n">
        <v>1</v>
      </c>
      <c r="R61" s="3"/>
      <c r="S61" s="2" t="s">
        <v>28</v>
      </c>
    </row>
    <row r="62" customFormat="false" ht="15" hidden="false" customHeight="false" outlineLevel="0" collapsed="false">
      <c r="A62" s="0" t="n">
        <v>61</v>
      </c>
      <c r="D62" s="0" t="s">
        <v>166</v>
      </c>
      <c r="E62" s="0" t="s">
        <v>20</v>
      </c>
      <c r="H62" s="0" t="s">
        <v>21</v>
      </c>
      <c r="I62" s="2" t="s">
        <v>22</v>
      </c>
      <c r="J62" s="2" t="s">
        <v>23</v>
      </c>
      <c r="K62" s="0" t="s">
        <v>56</v>
      </c>
      <c r="L62" s="0" t="s">
        <v>25</v>
      </c>
      <c r="M62" s="0" t="s">
        <v>57</v>
      </c>
      <c r="N62" s="0" t="s">
        <v>167</v>
      </c>
      <c r="O62" s="0" t="n">
        <v>1</v>
      </c>
      <c r="R62" s="3"/>
      <c r="S62" s="2" t="s">
        <v>28</v>
      </c>
    </row>
    <row r="63" customFormat="false" ht="15" hidden="false" customHeight="false" outlineLevel="0" collapsed="false">
      <c r="A63" s="0" t="n">
        <v>62</v>
      </c>
      <c r="D63" s="0" t="s">
        <v>168</v>
      </c>
      <c r="E63" s="0" t="s">
        <v>20</v>
      </c>
      <c r="H63" s="0" t="s">
        <v>21</v>
      </c>
      <c r="I63" s="2" t="s">
        <v>22</v>
      </c>
      <c r="J63" s="2" t="s">
        <v>23</v>
      </c>
      <c r="K63" s="0" t="s">
        <v>56</v>
      </c>
      <c r="L63" s="0" t="s">
        <v>25</v>
      </c>
      <c r="M63" s="0" t="s">
        <v>57</v>
      </c>
      <c r="N63" s="0" t="s">
        <v>169</v>
      </c>
      <c r="O63" s="0" t="n">
        <v>1</v>
      </c>
      <c r="R63" s="3"/>
      <c r="S63" s="2" t="s">
        <v>28</v>
      </c>
    </row>
    <row r="64" customFormat="false" ht="15" hidden="false" customHeight="false" outlineLevel="0" collapsed="false">
      <c r="A64" s="0" t="n">
        <v>63</v>
      </c>
      <c r="D64" s="0" t="s">
        <v>170</v>
      </c>
      <c r="E64" s="0" t="s">
        <v>20</v>
      </c>
      <c r="H64" s="0" t="s">
        <v>21</v>
      </c>
      <c r="I64" s="2" t="s">
        <v>22</v>
      </c>
      <c r="J64" s="2" t="s">
        <v>23</v>
      </c>
      <c r="K64" s="0" t="s">
        <v>56</v>
      </c>
      <c r="L64" s="0" t="s">
        <v>25</v>
      </c>
      <c r="M64" s="0" t="s">
        <v>57</v>
      </c>
      <c r="N64" s="0" t="s">
        <v>171</v>
      </c>
      <c r="O64" s="0" t="n">
        <v>1</v>
      </c>
      <c r="R64" s="3"/>
      <c r="S64" s="2" t="s">
        <v>28</v>
      </c>
    </row>
    <row r="65" customFormat="false" ht="15" hidden="false" customHeight="false" outlineLevel="0" collapsed="false">
      <c r="A65" s="0" t="n">
        <v>64</v>
      </c>
      <c r="D65" s="0" t="s">
        <v>172</v>
      </c>
      <c r="E65" s="0" t="s">
        <v>173</v>
      </c>
      <c r="H65" s="0" t="s">
        <v>21</v>
      </c>
      <c r="I65" s="2" t="s">
        <v>22</v>
      </c>
      <c r="J65" s="2" t="s">
        <v>23</v>
      </c>
      <c r="K65" s="0" t="s">
        <v>56</v>
      </c>
      <c r="L65" s="0" t="s">
        <v>25</v>
      </c>
      <c r="M65" s="0" t="s">
        <v>57</v>
      </c>
      <c r="N65" s="0" t="s">
        <v>174</v>
      </c>
      <c r="O65" s="0" t="n">
        <v>1</v>
      </c>
      <c r="P65" s="0" t="s">
        <v>173</v>
      </c>
      <c r="R65" s="3"/>
      <c r="S65" s="2" t="s">
        <v>28</v>
      </c>
    </row>
    <row r="66" customFormat="false" ht="15" hidden="false" customHeight="false" outlineLevel="0" collapsed="false">
      <c r="A66" s="0" t="n">
        <v>65</v>
      </c>
      <c r="D66" s="0" t="s">
        <v>175</v>
      </c>
      <c r="E66" s="0" t="s">
        <v>20</v>
      </c>
      <c r="H66" s="0" t="s">
        <v>21</v>
      </c>
      <c r="I66" s="2" t="s">
        <v>22</v>
      </c>
      <c r="J66" s="2" t="s">
        <v>23</v>
      </c>
      <c r="K66" s="0" t="s">
        <v>56</v>
      </c>
      <c r="L66" s="0" t="s">
        <v>25</v>
      </c>
      <c r="M66" s="0" t="s">
        <v>57</v>
      </c>
      <c r="N66" s="0" t="s">
        <v>176</v>
      </c>
      <c r="O66" s="0" t="n">
        <v>1</v>
      </c>
      <c r="R66" s="3"/>
      <c r="S66" s="2" t="s">
        <v>28</v>
      </c>
    </row>
    <row r="67" customFormat="false" ht="15" hidden="false" customHeight="false" outlineLevel="0" collapsed="false">
      <c r="A67" s="0" t="n">
        <v>66</v>
      </c>
      <c r="D67" s="0" t="s">
        <v>177</v>
      </c>
      <c r="E67" s="0" t="s">
        <v>20</v>
      </c>
      <c r="H67" s="0" t="s">
        <v>21</v>
      </c>
      <c r="I67" s="2" t="s">
        <v>22</v>
      </c>
      <c r="J67" s="2" t="s">
        <v>23</v>
      </c>
      <c r="K67" s="0" t="s">
        <v>56</v>
      </c>
      <c r="L67" s="0" t="s">
        <v>25</v>
      </c>
      <c r="M67" s="0" t="s">
        <v>57</v>
      </c>
      <c r="N67" s="0" t="s">
        <v>178</v>
      </c>
      <c r="O67" s="0" t="n">
        <v>1</v>
      </c>
      <c r="R67" s="3"/>
      <c r="S67" s="2" t="s">
        <v>28</v>
      </c>
    </row>
    <row r="68" customFormat="false" ht="15" hidden="false" customHeight="false" outlineLevel="0" collapsed="false">
      <c r="A68" s="0" t="n">
        <v>67</v>
      </c>
      <c r="D68" s="0" t="s">
        <v>179</v>
      </c>
      <c r="E68" s="0" t="s">
        <v>20</v>
      </c>
      <c r="H68" s="0" t="s">
        <v>21</v>
      </c>
      <c r="I68" s="2" t="s">
        <v>22</v>
      </c>
      <c r="J68" s="2" t="s">
        <v>23</v>
      </c>
      <c r="K68" s="0" t="s">
        <v>56</v>
      </c>
      <c r="L68" s="0" t="s">
        <v>25</v>
      </c>
      <c r="M68" s="0" t="s">
        <v>57</v>
      </c>
      <c r="N68" s="0" t="s">
        <v>180</v>
      </c>
      <c r="O68" s="0" t="n">
        <v>1</v>
      </c>
      <c r="R68" s="3"/>
      <c r="S68" s="2" t="s">
        <v>28</v>
      </c>
    </row>
    <row r="69" customFormat="false" ht="15" hidden="false" customHeight="false" outlineLevel="0" collapsed="false">
      <c r="A69" s="0" t="n">
        <v>68</v>
      </c>
      <c r="D69" s="0" t="s">
        <v>181</v>
      </c>
      <c r="E69" s="0" t="s">
        <v>20</v>
      </c>
      <c r="H69" s="0" t="s">
        <v>21</v>
      </c>
      <c r="I69" s="2" t="s">
        <v>22</v>
      </c>
      <c r="J69" s="2" t="s">
        <v>23</v>
      </c>
      <c r="K69" s="0" t="s">
        <v>56</v>
      </c>
      <c r="L69" s="0" t="s">
        <v>182</v>
      </c>
      <c r="M69" s="0" t="s">
        <v>57</v>
      </c>
      <c r="N69" s="0" t="s">
        <v>183</v>
      </c>
      <c r="O69" s="0" t="n">
        <v>1</v>
      </c>
      <c r="P69" s="0" t="s">
        <v>184</v>
      </c>
      <c r="R69" s="3"/>
      <c r="S69" s="2" t="s">
        <v>28</v>
      </c>
    </row>
    <row r="70" customFormat="false" ht="15" hidden="false" customHeight="false" outlineLevel="0" collapsed="false">
      <c r="A70" s="0" t="n">
        <v>69</v>
      </c>
      <c r="D70" s="0" t="s">
        <v>185</v>
      </c>
      <c r="E70" s="0" t="s">
        <v>20</v>
      </c>
      <c r="H70" s="0" t="s">
        <v>21</v>
      </c>
      <c r="I70" s="2" t="s">
        <v>22</v>
      </c>
      <c r="J70" s="2" t="s">
        <v>23</v>
      </c>
      <c r="K70" s="0" t="s">
        <v>56</v>
      </c>
      <c r="L70" s="0" t="s">
        <v>25</v>
      </c>
      <c r="M70" s="0" t="s">
        <v>57</v>
      </c>
      <c r="N70" s="0" t="s">
        <v>186</v>
      </c>
      <c r="O70" s="0" t="n">
        <v>1</v>
      </c>
      <c r="R70" s="3"/>
      <c r="S70" s="2" t="s">
        <v>28</v>
      </c>
    </row>
    <row r="71" customFormat="false" ht="15" hidden="false" customHeight="false" outlineLevel="0" collapsed="false">
      <c r="A71" s="0" t="n">
        <v>70</v>
      </c>
      <c r="D71" s="0" t="s">
        <v>187</v>
      </c>
      <c r="E71" s="0" t="s">
        <v>188</v>
      </c>
      <c r="H71" s="0" t="s">
        <v>21</v>
      </c>
      <c r="I71" s="2" t="s">
        <v>22</v>
      </c>
      <c r="J71" s="2" t="s">
        <v>23</v>
      </c>
      <c r="K71" s="0" t="s">
        <v>56</v>
      </c>
      <c r="L71" s="0" t="s">
        <v>25</v>
      </c>
      <c r="M71" s="0" t="s">
        <v>57</v>
      </c>
      <c r="N71" s="0" t="s">
        <v>189</v>
      </c>
      <c r="O71" s="0" t="n">
        <v>1</v>
      </c>
      <c r="P71" s="0" t="s">
        <v>188</v>
      </c>
      <c r="R71" s="3"/>
      <c r="S71" s="2" t="s">
        <v>28</v>
      </c>
    </row>
    <row r="72" customFormat="false" ht="15" hidden="false" customHeight="false" outlineLevel="0" collapsed="false">
      <c r="A72" s="0" t="n">
        <v>71</v>
      </c>
      <c r="D72" s="0" t="s">
        <v>190</v>
      </c>
      <c r="E72" s="0" t="s">
        <v>20</v>
      </c>
      <c r="H72" s="0" t="s">
        <v>21</v>
      </c>
      <c r="I72" s="2" t="s">
        <v>22</v>
      </c>
      <c r="J72" s="2" t="s">
        <v>23</v>
      </c>
      <c r="K72" s="0" t="s">
        <v>56</v>
      </c>
      <c r="L72" s="0" t="s">
        <v>25</v>
      </c>
      <c r="M72" s="0" t="s">
        <v>57</v>
      </c>
      <c r="N72" s="0" t="s">
        <v>191</v>
      </c>
      <c r="O72" s="0" t="n">
        <v>1</v>
      </c>
      <c r="R72" s="3"/>
      <c r="S72" s="2" t="s">
        <v>28</v>
      </c>
    </row>
    <row r="73" customFormat="false" ht="15" hidden="false" customHeight="false" outlineLevel="0" collapsed="false">
      <c r="A73" s="0" t="n">
        <v>72</v>
      </c>
      <c r="D73" s="0" t="s">
        <v>192</v>
      </c>
      <c r="E73" s="0" t="s">
        <v>20</v>
      </c>
      <c r="H73" s="0" t="s">
        <v>21</v>
      </c>
      <c r="I73" s="2" t="s">
        <v>22</v>
      </c>
      <c r="J73" s="2" t="s">
        <v>23</v>
      </c>
      <c r="K73" s="0" t="s">
        <v>56</v>
      </c>
      <c r="L73" s="0" t="s">
        <v>25</v>
      </c>
      <c r="M73" s="0" t="s">
        <v>57</v>
      </c>
      <c r="N73" s="0" t="s">
        <v>193</v>
      </c>
      <c r="O73" s="0" t="n">
        <v>1</v>
      </c>
      <c r="R73" s="3"/>
      <c r="S73" s="2" t="s">
        <v>28</v>
      </c>
    </row>
    <row r="74" customFormat="false" ht="15" hidden="false" customHeight="false" outlineLevel="0" collapsed="false">
      <c r="A74" s="0" t="n">
        <v>73</v>
      </c>
      <c r="D74" s="0" t="s">
        <v>194</v>
      </c>
      <c r="E74" s="0" t="s">
        <v>20</v>
      </c>
      <c r="F74" s="0" t="s">
        <v>195</v>
      </c>
      <c r="H74" s="0" t="s">
        <v>21</v>
      </c>
      <c r="I74" s="2" t="s">
        <v>22</v>
      </c>
      <c r="J74" s="2" t="s">
        <v>23</v>
      </c>
      <c r="K74" s="0" t="s">
        <v>56</v>
      </c>
      <c r="L74" s="0" t="s">
        <v>196</v>
      </c>
      <c r="M74" s="0" t="s">
        <v>57</v>
      </c>
      <c r="N74" s="0" t="s">
        <v>197</v>
      </c>
      <c r="O74" s="0" t="n">
        <v>1</v>
      </c>
      <c r="Q74" s="0" t="s">
        <v>198</v>
      </c>
      <c r="R74" s="3" t="s">
        <v>199</v>
      </c>
      <c r="S74" s="2" t="s">
        <v>200</v>
      </c>
    </row>
    <row r="75" customFormat="false" ht="15" hidden="false" customHeight="false" outlineLevel="0" collapsed="false">
      <c r="A75" s="0" t="n">
        <v>74</v>
      </c>
      <c r="D75" s="0" t="s">
        <v>201</v>
      </c>
      <c r="E75" s="0" t="s">
        <v>20</v>
      </c>
      <c r="H75" s="0" t="s">
        <v>21</v>
      </c>
      <c r="I75" s="2" t="s">
        <v>22</v>
      </c>
      <c r="J75" s="2" t="s">
        <v>23</v>
      </c>
      <c r="K75" s="0" t="s">
        <v>56</v>
      </c>
      <c r="L75" s="0" t="s">
        <v>25</v>
      </c>
      <c r="M75" s="0" t="s">
        <v>57</v>
      </c>
      <c r="N75" s="0" t="s">
        <v>202</v>
      </c>
      <c r="O75" s="0" t="n">
        <v>1</v>
      </c>
      <c r="R75" s="3"/>
      <c r="S75" s="2" t="s">
        <v>28</v>
      </c>
    </row>
    <row r="76" customFormat="false" ht="15" hidden="false" customHeight="false" outlineLevel="0" collapsed="false">
      <c r="A76" s="0" t="n">
        <v>75</v>
      </c>
      <c r="D76" s="0" t="s">
        <v>203</v>
      </c>
      <c r="E76" s="0" t="s">
        <v>20</v>
      </c>
      <c r="H76" s="0" t="s">
        <v>21</v>
      </c>
      <c r="I76" s="2" t="s">
        <v>22</v>
      </c>
      <c r="J76" s="2" t="s">
        <v>23</v>
      </c>
      <c r="K76" s="0" t="s">
        <v>56</v>
      </c>
      <c r="L76" s="0" t="s">
        <v>204</v>
      </c>
      <c r="M76" s="0" t="s">
        <v>57</v>
      </c>
      <c r="N76" s="0" t="s">
        <v>205</v>
      </c>
      <c r="O76" s="0" t="n">
        <v>1</v>
      </c>
      <c r="P76" s="0" t="s">
        <v>206</v>
      </c>
      <c r="R76" s="3"/>
      <c r="S76" s="2" t="s">
        <v>28</v>
      </c>
    </row>
    <row r="77" customFormat="false" ht="15" hidden="false" customHeight="false" outlineLevel="0" collapsed="false">
      <c r="A77" s="0" t="n">
        <v>76</v>
      </c>
      <c r="D77" s="0" t="s">
        <v>207</v>
      </c>
      <c r="E77" s="0" t="s">
        <v>20</v>
      </c>
      <c r="H77" s="0" t="s">
        <v>21</v>
      </c>
      <c r="I77" s="2" t="s">
        <v>22</v>
      </c>
      <c r="J77" s="2" t="s">
        <v>23</v>
      </c>
      <c r="K77" s="0" t="s">
        <v>56</v>
      </c>
      <c r="L77" s="0" t="s">
        <v>25</v>
      </c>
      <c r="M77" s="0" t="s">
        <v>57</v>
      </c>
      <c r="N77" s="0" t="s">
        <v>208</v>
      </c>
      <c r="O77" s="0" t="n">
        <v>1</v>
      </c>
      <c r="R77" s="3"/>
      <c r="S77" s="2" t="s">
        <v>28</v>
      </c>
    </row>
    <row r="78" customFormat="false" ht="15" hidden="false" customHeight="false" outlineLevel="0" collapsed="false">
      <c r="A78" s="0" t="n">
        <v>77</v>
      </c>
      <c r="D78" s="0" t="s">
        <v>209</v>
      </c>
      <c r="E78" s="0" t="s">
        <v>210</v>
      </c>
      <c r="H78" s="0" t="s">
        <v>21</v>
      </c>
      <c r="I78" s="2" t="s">
        <v>22</v>
      </c>
      <c r="J78" s="2" t="s">
        <v>23</v>
      </c>
      <c r="K78" s="0" t="s">
        <v>56</v>
      </c>
      <c r="L78" s="0" t="s">
        <v>25</v>
      </c>
      <c r="M78" s="0" t="s">
        <v>57</v>
      </c>
      <c r="N78" s="0" t="s">
        <v>211</v>
      </c>
      <c r="O78" s="0" t="n">
        <v>1</v>
      </c>
      <c r="P78" s="0" t="s">
        <v>210</v>
      </c>
      <c r="R78" s="3"/>
      <c r="S78" s="2" t="s">
        <v>28</v>
      </c>
    </row>
    <row r="79" customFormat="false" ht="15" hidden="false" customHeight="false" outlineLevel="0" collapsed="false">
      <c r="A79" s="0" t="n">
        <v>78</v>
      </c>
      <c r="D79" s="0" t="s">
        <v>212</v>
      </c>
      <c r="E79" s="0" t="s">
        <v>20</v>
      </c>
      <c r="H79" s="0" t="s">
        <v>21</v>
      </c>
      <c r="I79" s="2" t="s">
        <v>22</v>
      </c>
      <c r="J79" s="2" t="s">
        <v>23</v>
      </c>
      <c r="K79" s="0" t="s">
        <v>56</v>
      </c>
      <c r="L79" s="0" t="s">
        <v>25</v>
      </c>
      <c r="M79" s="0" t="s">
        <v>57</v>
      </c>
      <c r="N79" s="0" t="s">
        <v>213</v>
      </c>
      <c r="O79" s="0" t="n">
        <v>1</v>
      </c>
      <c r="R79" s="3"/>
      <c r="S79" s="2" t="s">
        <v>28</v>
      </c>
    </row>
    <row r="80" customFormat="false" ht="15" hidden="false" customHeight="false" outlineLevel="0" collapsed="false">
      <c r="A80" s="0" t="n">
        <v>79</v>
      </c>
      <c r="D80" s="0" t="s">
        <v>214</v>
      </c>
      <c r="E80" s="0" t="s">
        <v>20</v>
      </c>
      <c r="H80" s="0" t="s">
        <v>21</v>
      </c>
      <c r="I80" s="2" t="s">
        <v>22</v>
      </c>
      <c r="J80" s="2" t="s">
        <v>23</v>
      </c>
      <c r="K80" s="0" t="s">
        <v>56</v>
      </c>
      <c r="L80" s="0" t="s">
        <v>25</v>
      </c>
      <c r="M80" s="0" t="s">
        <v>57</v>
      </c>
      <c r="N80" s="0" t="s">
        <v>215</v>
      </c>
      <c r="O80" s="0" t="n">
        <v>1</v>
      </c>
      <c r="R80" s="3"/>
      <c r="S80" s="2" t="s">
        <v>28</v>
      </c>
    </row>
    <row r="81" customFormat="false" ht="15" hidden="false" customHeight="false" outlineLevel="0" collapsed="false">
      <c r="A81" s="0" t="n">
        <v>80</v>
      </c>
      <c r="D81" s="0" t="s">
        <v>216</v>
      </c>
      <c r="E81" s="0" t="s">
        <v>20</v>
      </c>
      <c r="H81" s="0" t="s">
        <v>21</v>
      </c>
      <c r="I81" s="2" t="s">
        <v>22</v>
      </c>
      <c r="J81" s="2" t="s">
        <v>23</v>
      </c>
      <c r="K81" s="0" t="s">
        <v>56</v>
      </c>
      <c r="L81" s="0" t="s">
        <v>25</v>
      </c>
      <c r="M81" s="0" t="s">
        <v>57</v>
      </c>
      <c r="N81" s="0" t="s">
        <v>217</v>
      </c>
      <c r="O81" s="0" t="n">
        <v>1</v>
      </c>
      <c r="R81" s="3"/>
      <c r="S81" s="2" t="s">
        <v>28</v>
      </c>
    </row>
    <row r="82" customFormat="false" ht="15" hidden="false" customHeight="false" outlineLevel="0" collapsed="false">
      <c r="A82" s="0" t="n">
        <v>81</v>
      </c>
      <c r="D82" s="0" t="s">
        <v>218</v>
      </c>
      <c r="E82" s="0" t="s">
        <v>20</v>
      </c>
      <c r="H82" s="0" t="s">
        <v>21</v>
      </c>
      <c r="I82" s="2" t="s">
        <v>22</v>
      </c>
      <c r="J82" s="2" t="s">
        <v>23</v>
      </c>
      <c r="K82" s="0" t="s">
        <v>56</v>
      </c>
      <c r="L82" s="0" t="s">
        <v>25</v>
      </c>
      <c r="M82" s="0" t="s">
        <v>57</v>
      </c>
      <c r="N82" s="0" t="s">
        <v>219</v>
      </c>
      <c r="O82" s="0" t="n">
        <v>1</v>
      </c>
      <c r="R82" s="3"/>
      <c r="S82" s="2" t="s">
        <v>28</v>
      </c>
    </row>
    <row r="83" customFormat="false" ht="15" hidden="false" customHeight="false" outlineLevel="0" collapsed="false">
      <c r="A83" s="0" t="n">
        <v>82</v>
      </c>
      <c r="D83" s="0" t="s">
        <v>220</v>
      </c>
      <c r="E83" s="0" t="s">
        <v>20</v>
      </c>
      <c r="H83" s="0" t="s">
        <v>21</v>
      </c>
      <c r="I83" s="2" t="s">
        <v>22</v>
      </c>
      <c r="J83" s="2" t="s">
        <v>23</v>
      </c>
      <c r="K83" s="0" t="s">
        <v>56</v>
      </c>
      <c r="L83" s="0" t="s">
        <v>25</v>
      </c>
      <c r="M83" s="0" t="s">
        <v>57</v>
      </c>
      <c r="N83" s="0" t="s">
        <v>221</v>
      </c>
      <c r="O83" s="0" t="n">
        <v>1</v>
      </c>
      <c r="R83" s="3"/>
      <c r="S83" s="2" t="s">
        <v>28</v>
      </c>
    </row>
    <row r="84" customFormat="false" ht="15" hidden="false" customHeight="false" outlineLevel="0" collapsed="false">
      <c r="A84" s="0" t="n">
        <v>83</v>
      </c>
      <c r="D84" s="0" t="s">
        <v>222</v>
      </c>
      <c r="E84" s="0" t="s">
        <v>20</v>
      </c>
      <c r="H84" s="0" t="s">
        <v>21</v>
      </c>
      <c r="I84" s="2" t="s">
        <v>22</v>
      </c>
      <c r="J84" s="2" t="s">
        <v>23</v>
      </c>
      <c r="K84" s="0" t="s">
        <v>56</v>
      </c>
      <c r="L84" s="0" t="s">
        <v>25</v>
      </c>
      <c r="M84" s="0" t="s">
        <v>57</v>
      </c>
      <c r="N84" s="0" t="s">
        <v>223</v>
      </c>
      <c r="O84" s="0" t="n">
        <v>1</v>
      </c>
      <c r="R84" s="3"/>
      <c r="S84" s="2" t="s">
        <v>28</v>
      </c>
    </row>
    <row r="85" customFormat="false" ht="15" hidden="false" customHeight="false" outlineLevel="0" collapsed="false">
      <c r="A85" s="0" t="n">
        <v>84</v>
      </c>
      <c r="D85" s="0" t="s">
        <v>224</v>
      </c>
      <c r="E85" s="0" t="s">
        <v>20</v>
      </c>
      <c r="H85" s="0" t="s">
        <v>21</v>
      </c>
      <c r="I85" s="2" t="s">
        <v>22</v>
      </c>
      <c r="J85" s="2" t="s">
        <v>23</v>
      </c>
      <c r="K85" s="0" t="s">
        <v>56</v>
      </c>
      <c r="L85" s="0" t="s">
        <v>25</v>
      </c>
      <c r="M85" s="0" t="s">
        <v>57</v>
      </c>
      <c r="N85" s="0" t="s">
        <v>225</v>
      </c>
      <c r="O85" s="0" t="n">
        <v>1</v>
      </c>
      <c r="R85" s="3"/>
      <c r="S85" s="2" t="s">
        <v>28</v>
      </c>
    </row>
    <row r="86" customFormat="false" ht="15" hidden="false" customHeight="false" outlineLevel="0" collapsed="false">
      <c r="A86" s="0" t="n">
        <v>85</v>
      </c>
      <c r="D86" s="0" t="s">
        <v>226</v>
      </c>
      <c r="E86" s="0" t="s">
        <v>20</v>
      </c>
      <c r="H86" s="0" t="s">
        <v>21</v>
      </c>
      <c r="I86" s="2" t="s">
        <v>22</v>
      </c>
      <c r="J86" s="2" t="s">
        <v>23</v>
      </c>
      <c r="K86" s="0" t="s">
        <v>56</v>
      </c>
      <c r="L86" s="0" t="s">
        <v>25</v>
      </c>
      <c r="M86" s="0" t="s">
        <v>57</v>
      </c>
      <c r="N86" s="0" t="s">
        <v>227</v>
      </c>
      <c r="O86" s="0" t="n">
        <v>1</v>
      </c>
      <c r="R86" s="3"/>
      <c r="S86" s="2" t="s">
        <v>28</v>
      </c>
    </row>
    <row r="87" customFormat="false" ht="15" hidden="false" customHeight="false" outlineLevel="0" collapsed="false">
      <c r="A87" s="0" t="n">
        <v>86</v>
      </c>
      <c r="D87" s="0" t="s">
        <v>228</v>
      </c>
      <c r="E87" s="0" t="s">
        <v>20</v>
      </c>
      <c r="H87" s="0" t="s">
        <v>21</v>
      </c>
      <c r="I87" s="2" t="s">
        <v>22</v>
      </c>
      <c r="J87" s="2" t="s">
        <v>23</v>
      </c>
      <c r="K87" s="0" t="s">
        <v>56</v>
      </c>
      <c r="L87" s="0" t="s">
        <v>25</v>
      </c>
      <c r="M87" s="0" t="s">
        <v>57</v>
      </c>
      <c r="N87" s="0" t="s">
        <v>229</v>
      </c>
      <c r="O87" s="0" t="n">
        <v>1</v>
      </c>
      <c r="R87" s="3"/>
      <c r="S87" s="2" t="s">
        <v>28</v>
      </c>
    </row>
    <row r="88" customFormat="false" ht="15" hidden="false" customHeight="false" outlineLevel="0" collapsed="false">
      <c r="A88" s="0" t="n">
        <v>87</v>
      </c>
      <c r="D88" s="0" t="s">
        <v>230</v>
      </c>
      <c r="E88" s="0" t="s">
        <v>20</v>
      </c>
      <c r="H88" s="0" t="s">
        <v>21</v>
      </c>
      <c r="I88" s="2" t="s">
        <v>22</v>
      </c>
      <c r="J88" s="2" t="s">
        <v>23</v>
      </c>
      <c r="K88" s="0" t="s">
        <v>231</v>
      </c>
      <c r="L88" s="0" t="s">
        <v>232</v>
      </c>
      <c r="M88" s="0" t="s">
        <v>233</v>
      </c>
      <c r="N88" s="0" t="s">
        <v>234</v>
      </c>
      <c r="O88" s="0" t="n">
        <v>2</v>
      </c>
      <c r="P88" s="0" t="s">
        <v>235</v>
      </c>
      <c r="R88" s="3"/>
      <c r="S88" s="2" t="s">
        <v>28</v>
      </c>
    </row>
    <row r="89" customFormat="false" ht="15" hidden="false" customHeight="false" outlineLevel="0" collapsed="false">
      <c r="A89" s="0" t="n">
        <v>88</v>
      </c>
      <c r="D89" s="0" t="s">
        <v>236</v>
      </c>
      <c r="E89" s="0" t="s">
        <v>20</v>
      </c>
      <c r="H89" s="0" t="s">
        <v>21</v>
      </c>
      <c r="I89" s="2" t="s">
        <v>22</v>
      </c>
      <c r="J89" s="2" t="s">
        <v>23</v>
      </c>
      <c r="K89" s="0" t="s">
        <v>231</v>
      </c>
      <c r="L89" s="0" t="s">
        <v>25</v>
      </c>
      <c r="M89" s="0" t="s">
        <v>233</v>
      </c>
      <c r="N89" s="0" t="s">
        <v>237</v>
      </c>
      <c r="O89" s="0" t="n">
        <v>1</v>
      </c>
      <c r="R89" s="3"/>
      <c r="S89" s="2" t="s">
        <v>28</v>
      </c>
    </row>
    <row r="90" customFormat="false" ht="15" hidden="false" customHeight="false" outlineLevel="0" collapsed="false">
      <c r="A90" s="0" t="n">
        <v>89</v>
      </c>
      <c r="D90" s="0" t="s">
        <v>238</v>
      </c>
      <c r="E90" s="0" t="s">
        <v>20</v>
      </c>
      <c r="H90" s="0" t="s">
        <v>21</v>
      </c>
      <c r="I90" s="2" t="s">
        <v>22</v>
      </c>
      <c r="J90" s="2" t="s">
        <v>23</v>
      </c>
      <c r="K90" s="0" t="s">
        <v>231</v>
      </c>
      <c r="L90" s="0" t="s">
        <v>182</v>
      </c>
      <c r="M90" s="0" t="s">
        <v>233</v>
      </c>
      <c r="N90" s="0" t="s">
        <v>239</v>
      </c>
      <c r="O90" s="0" t="n">
        <v>1</v>
      </c>
      <c r="P90" s="0" t="s">
        <v>184</v>
      </c>
      <c r="R90" s="3"/>
      <c r="S90" s="2" t="s">
        <v>28</v>
      </c>
    </row>
    <row r="91" customFormat="false" ht="15" hidden="false" customHeight="false" outlineLevel="0" collapsed="false">
      <c r="A91" s="0" t="n">
        <v>90</v>
      </c>
      <c r="D91" s="0" t="s">
        <v>240</v>
      </c>
      <c r="E91" s="0" t="s">
        <v>20</v>
      </c>
      <c r="H91" s="0" t="s">
        <v>21</v>
      </c>
      <c r="I91" s="2" t="s">
        <v>22</v>
      </c>
      <c r="J91" s="2" t="s">
        <v>23</v>
      </c>
      <c r="K91" s="0" t="s">
        <v>231</v>
      </c>
      <c r="L91" s="0" t="s">
        <v>25</v>
      </c>
      <c r="M91" s="0" t="s">
        <v>233</v>
      </c>
      <c r="N91" s="0" t="s">
        <v>241</v>
      </c>
      <c r="O91" s="0" t="n">
        <v>1</v>
      </c>
      <c r="R91" s="3"/>
      <c r="S91" s="2" t="s">
        <v>28</v>
      </c>
    </row>
    <row r="92" customFormat="false" ht="15" hidden="false" customHeight="false" outlineLevel="0" collapsed="false">
      <c r="A92" s="0" t="n">
        <v>91</v>
      </c>
      <c r="D92" s="0" t="s">
        <v>242</v>
      </c>
      <c r="E92" s="0" t="s">
        <v>20</v>
      </c>
      <c r="H92" s="0" t="s">
        <v>21</v>
      </c>
      <c r="I92" s="2" t="s">
        <v>22</v>
      </c>
      <c r="J92" s="2" t="s">
        <v>23</v>
      </c>
      <c r="K92" s="0" t="s">
        <v>231</v>
      </c>
      <c r="L92" s="0" t="s">
        <v>25</v>
      </c>
      <c r="M92" s="0" t="s">
        <v>233</v>
      </c>
      <c r="N92" s="0" t="s">
        <v>243</v>
      </c>
      <c r="O92" s="0" t="n">
        <v>1</v>
      </c>
      <c r="R92" s="3"/>
      <c r="S92" s="2" t="s">
        <v>28</v>
      </c>
    </row>
    <row r="93" customFormat="false" ht="15" hidden="false" customHeight="false" outlineLevel="0" collapsed="false">
      <c r="A93" s="0" t="n">
        <v>92</v>
      </c>
      <c r="D93" s="0" t="s">
        <v>244</v>
      </c>
      <c r="E93" s="0" t="s">
        <v>20</v>
      </c>
      <c r="H93" s="0" t="s">
        <v>21</v>
      </c>
      <c r="I93" s="2" t="s">
        <v>22</v>
      </c>
      <c r="J93" s="2" t="s">
        <v>23</v>
      </c>
      <c r="K93" s="0" t="s">
        <v>231</v>
      </c>
      <c r="L93" s="0" t="s">
        <v>25</v>
      </c>
      <c r="M93" s="0" t="s">
        <v>233</v>
      </c>
      <c r="N93" s="0" t="s">
        <v>245</v>
      </c>
      <c r="O93" s="0" t="n">
        <v>1</v>
      </c>
      <c r="R93" s="3"/>
      <c r="S93" s="2" t="s">
        <v>28</v>
      </c>
    </row>
    <row r="94" customFormat="false" ht="15" hidden="false" customHeight="false" outlineLevel="0" collapsed="false">
      <c r="A94" s="0" t="n">
        <v>93</v>
      </c>
      <c r="D94" s="0" t="s">
        <v>246</v>
      </c>
      <c r="E94" s="0" t="s">
        <v>73</v>
      </c>
      <c r="H94" s="0" t="s">
        <v>21</v>
      </c>
      <c r="I94" s="2" t="s">
        <v>22</v>
      </c>
      <c r="J94" s="2" t="s">
        <v>23</v>
      </c>
      <c r="K94" s="0" t="s">
        <v>231</v>
      </c>
      <c r="L94" s="0" t="s">
        <v>25</v>
      </c>
      <c r="M94" s="0" t="s">
        <v>233</v>
      </c>
      <c r="N94" s="0" t="s">
        <v>247</v>
      </c>
      <c r="O94" s="0" t="n">
        <v>1</v>
      </c>
      <c r="P94" s="0" t="s">
        <v>73</v>
      </c>
      <c r="R94" s="3"/>
      <c r="S94" s="2" t="s">
        <v>28</v>
      </c>
    </row>
    <row r="95" customFormat="false" ht="15" hidden="false" customHeight="false" outlineLevel="0" collapsed="false">
      <c r="A95" s="0" t="n">
        <v>94</v>
      </c>
      <c r="D95" s="0" t="s">
        <v>248</v>
      </c>
      <c r="E95" s="0" t="s">
        <v>20</v>
      </c>
      <c r="H95" s="0" t="s">
        <v>21</v>
      </c>
      <c r="I95" s="2" t="s">
        <v>22</v>
      </c>
      <c r="J95" s="2" t="s">
        <v>23</v>
      </c>
      <c r="K95" s="0" t="s">
        <v>231</v>
      </c>
      <c r="L95" s="0" t="s">
        <v>182</v>
      </c>
      <c r="M95" s="0" t="s">
        <v>233</v>
      </c>
      <c r="N95" s="0" t="s">
        <v>249</v>
      </c>
      <c r="O95" s="0" t="n">
        <v>1</v>
      </c>
      <c r="P95" s="0" t="s">
        <v>184</v>
      </c>
      <c r="R95" s="3"/>
      <c r="S95" s="2" t="s">
        <v>28</v>
      </c>
    </row>
    <row r="96" customFormat="false" ht="15" hidden="false" customHeight="false" outlineLevel="0" collapsed="false">
      <c r="A96" s="0" t="n">
        <v>95</v>
      </c>
      <c r="D96" s="0" t="s">
        <v>250</v>
      </c>
      <c r="E96" s="0" t="s">
        <v>20</v>
      </c>
      <c r="H96" s="0" t="s">
        <v>21</v>
      </c>
      <c r="I96" s="2" t="s">
        <v>22</v>
      </c>
      <c r="J96" s="2" t="s">
        <v>23</v>
      </c>
      <c r="K96" s="0" t="s">
        <v>231</v>
      </c>
      <c r="L96" s="0" t="s">
        <v>25</v>
      </c>
      <c r="M96" s="0" t="s">
        <v>233</v>
      </c>
      <c r="N96" s="0" t="s">
        <v>251</v>
      </c>
      <c r="O96" s="0" t="n">
        <v>1</v>
      </c>
      <c r="R96" s="3"/>
      <c r="S96" s="2" t="s">
        <v>28</v>
      </c>
    </row>
    <row r="97" customFormat="false" ht="15" hidden="false" customHeight="false" outlineLevel="0" collapsed="false">
      <c r="A97" s="0" t="n">
        <v>96</v>
      </c>
      <c r="D97" s="0" t="s">
        <v>252</v>
      </c>
      <c r="E97" s="0" t="s">
        <v>253</v>
      </c>
      <c r="H97" s="0" t="s">
        <v>21</v>
      </c>
      <c r="I97" s="2" t="s">
        <v>22</v>
      </c>
      <c r="J97" s="2" t="s">
        <v>23</v>
      </c>
      <c r="K97" s="0" t="s">
        <v>231</v>
      </c>
      <c r="L97" s="0" t="s">
        <v>25</v>
      </c>
      <c r="M97" s="0" t="s">
        <v>233</v>
      </c>
      <c r="N97" s="0" t="s">
        <v>254</v>
      </c>
      <c r="O97" s="0" t="n">
        <v>1</v>
      </c>
      <c r="P97" s="0" t="s">
        <v>253</v>
      </c>
      <c r="R97" s="3"/>
      <c r="S97" s="2" t="s">
        <v>28</v>
      </c>
    </row>
    <row r="98" customFormat="false" ht="15" hidden="false" customHeight="false" outlineLevel="0" collapsed="false">
      <c r="A98" s="0" t="n">
        <v>97</v>
      </c>
      <c r="D98" s="0" t="s">
        <v>255</v>
      </c>
      <c r="E98" s="0" t="s">
        <v>20</v>
      </c>
      <c r="H98" s="0" t="s">
        <v>21</v>
      </c>
      <c r="I98" s="2" t="s">
        <v>22</v>
      </c>
      <c r="J98" s="2" t="s">
        <v>23</v>
      </c>
      <c r="K98" s="0" t="s">
        <v>231</v>
      </c>
      <c r="L98" s="0" t="s">
        <v>204</v>
      </c>
      <c r="M98" s="0" t="s">
        <v>233</v>
      </c>
      <c r="N98" s="0" t="s">
        <v>256</v>
      </c>
      <c r="O98" s="0" t="n">
        <v>1</v>
      </c>
      <c r="P98" s="0" t="s">
        <v>206</v>
      </c>
      <c r="R98" s="3"/>
      <c r="S98" s="2" t="s">
        <v>28</v>
      </c>
    </row>
    <row r="99" customFormat="false" ht="15" hidden="false" customHeight="false" outlineLevel="0" collapsed="false">
      <c r="A99" s="0" t="n">
        <v>98</v>
      </c>
      <c r="D99" s="0" t="s">
        <v>257</v>
      </c>
      <c r="E99" s="0" t="s">
        <v>20</v>
      </c>
      <c r="H99" s="0" t="s">
        <v>21</v>
      </c>
      <c r="I99" s="2" t="s">
        <v>22</v>
      </c>
      <c r="J99" s="2" t="s">
        <v>23</v>
      </c>
      <c r="K99" s="0" t="s">
        <v>231</v>
      </c>
      <c r="L99" s="0" t="s">
        <v>25</v>
      </c>
      <c r="M99" s="0" t="s">
        <v>233</v>
      </c>
      <c r="N99" s="0" t="s">
        <v>258</v>
      </c>
      <c r="O99" s="0" t="n">
        <v>1</v>
      </c>
      <c r="R99" s="3"/>
      <c r="S99" s="2" t="s">
        <v>28</v>
      </c>
    </row>
    <row r="100" customFormat="false" ht="15" hidden="false" customHeight="false" outlineLevel="0" collapsed="false">
      <c r="A100" s="0" t="n">
        <v>99</v>
      </c>
      <c r="D100" s="0" t="s">
        <v>259</v>
      </c>
      <c r="E100" s="0" t="s">
        <v>20</v>
      </c>
      <c r="H100" s="0" t="s">
        <v>21</v>
      </c>
      <c r="I100" s="2" t="s">
        <v>22</v>
      </c>
      <c r="J100" s="2" t="s">
        <v>23</v>
      </c>
      <c r="K100" s="0" t="s">
        <v>231</v>
      </c>
      <c r="L100" s="0" t="s">
        <v>25</v>
      </c>
      <c r="M100" s="0" t="s">
        <v>233</v>
      </c>
      <c r="N100" s="0" t="s">
        <v>260</v>
      </c>
      <c r="O100" s="0" t="n">
        <v>1</v>
      </c>
      <c r="R100" s="3"/>
      <c r="S100" s="2" t="s">
        <v>28</v>
      </c>
    </row>
    <row r="101" customFormat="false" ht="15" hidden="false" customHeight="false" outlineLevel="0" collapsed="false">
      <c r="A101" s="0" t="n">
        <v>100</v>
      </c>
      <c r="D101" s="0" t="s">
        <v>261</v>
      </c>
      <c r="E101" s="0" t="s">
        <v>20</v>
      </c>
      <c r="H101" s="0" t="s">
        <v>21</v>
      </c>
      <c r="I101" s="2" t="s">
        <v>22</v>
      </c>
      <c r="J101" s="2" t="s">
        <v>23</v>
      </c>
      <c r="K101" s="0" t="s">
        <v>231</v>
      </c>
      <c r="L101" s="0" t="s">
        <v>25</v>
      </c>
      <c r="M101" s="0" t="s">
        <v>233</v>
      </c>
      <c r="N101" s="0" t="s">
        <v>262</v>
      </c>
      <c r="O101" s="0" t="n">
        <v>1</v>
      </c>
      <c r="P101" s="0" t="s">
        <v>43</v>
      </c>
      <c r="R101" s="3"/>
      <c r="S101" s="2" t="s">
        <v>28</v>
      </c>
    </row>
    <row r="102" customFormat="false" ht="15" hidden="false" customHeight="false" outlineLevel="0" collapsed="false">
      <c r="A102" s="0" t="n">
        <v>101</v>
      </c>
      <c r="D102" s="0" t="s">
        <v>263</v>
      </c>
      <c r="E102" s="0" t="s">
        <v>20</v>
      </c>
      <c r="H102" s="0" t="s">
        <v>21</v>
      </c>
      <c r="I102" s="2" t="s">
        <v>22</v>
      </c>
      <c r="J102" s="2" t="s">
        <v>23</v>
      </c>
      <c r="K102" s="0" t="s">
        <v>231</v>
      </c>
      <c r="L102" s="0" t="s">
        <v>25</v>
      </c>
      <c r="M102" s="0" t="s">
        <v>233</v>
      </c>
      <c r="N102" s="0" t="s">
        <v>264</v>
      </c>
      <c r="O102" s="0" t="n">
        <v>1</v>
      </c>
      <c r="R102" s="3"/>
      <c r="S102" s="2" t="s">
        <v>28</v>
      </c>
    </row>
    <row r="103" customFormat="false" ht="15" hidden="false" customHeight="false" outlineLevel="0" collapsed="false">
      <c r="A103" s="0" t="n">
        <v>102</v>
      </c>
      <c r="D103" s="0" t="s">
        <v>265</v>
      </c>
      <c r="E103" s="0" t="s">
        <v>20</v>
      </c>
      <c r="H103" s="0" t="s">
        <v>21</v>
      </c>
      <c r="I103" s="2" t="s">
        <v>22</v>
      </c>
      <c r="J103" s="2" t="s">
        <v>23</v>
      </c>
      <c r="K103" s="0" t="s">
        <v>231</v>
      </c>
      <c r="L103" s="0" t="s">
        <v>25</v>
      </c>
      <c r="M103" s="0" t="s">
        <v>233</v>
      </c>
      <c r="N103" s="0" t="s">
        <v>266</v>
      </c>
      <c r="O103" s="0" t="n">
        <v>1</v>
      </c>
      <c r="R103" s="3"/>
      <c r="S103" s="2" t="s">
        <v>28</v>
      </c>
    </row>
    <row r="104" customFormat="false" ht="15" hidden="false" customHeight="false" outlineLevel="0" collapsed="false">
      <c r="A104" s="0" t="n">
        <v>103</v>
      </c>
      <c r="D104" s="0" t="s">
        <v>267</v>
      </c>
      <c r="E104" s="0" t="s">
        <v>268</v>
      </c>
      <c r="H104" s="0" t="s">
        <v>21</v>
      </c>
      <c r="I104" s="2" t="s">
        <v>22</v>
      </c>
      <c r="J104" s="2" t="s">
        <v>23</v>
      </c>
      <c r="K104" s="0" t="s">
        <v>231</v>
      </c>
      <c r="L104" s="0" t="s">
        <v>25</v>
      </c>
      <c r="M104" s="0" t="s">
        <v>233</v>
      </c>
      <c r="N104" s="0" t="s">
        <v>269</v>
      </c>
      <c r="O104" s="0" t="n">
        <v>1</v>
      </c>
      <c r="P104" s="0" t="s">
        <v>268</v>
      </c>
      <c r="R104" s="3"/>
      <c r="S104" s="2" t="s">
        <v>28</v>
      </c>
    </row>
    <row r="105" customFormat="false" ht="15" hidden="false" customHeight="false" outlineLevel="0" collapsed="false">
      <c r="A105" s="0" t="n">
        <v>104</v>
      </c>
      <c r="D105" s="0" t="s">
        <v>270</v>
      </c>
      <c r="E105" s="0" t="s">
        <v>20</v>
      </c>
      <c r="H105" s="0" t="s">
        <v>21</v>
      </c>
      <c r="I105" s="2" t="s">
        <v>22</v>
      </c>
      <c r="J105" s="2" t="s">
        <v>23</v>
      </c>
      <c r="K105" s="0" t="s">
        <v>231</v>
      </c>
      <c r="L105" s="0" t="s">
        <v>182</v>
      </c>
      <c r="M105" s="0" t="s">
        <v>233</v>
      </c>
      <c r="N105" s="0" t="s">
        <v>271</v>
      </c>
      <c r="O105" s="0" t="n">
        <v>1</v>
      </c>
      <c r="P105" s="0" t="s">
        <v>184</v>
      </c>
      <c r="R105" s="3"/>
      <c r="S105" s="2" t="s">
        <v>28</v>
      </c>
    </row>
    <row r="106" customFormat="false" ht="15" hidden="false" customHeight="false" outlineLevel="0" collapsed="false">
      <c r="A106" s="0" t="n">
        <v>105</v>
      </c>
      <c r="D106" s="0" t="s">
        <v>272</v>
      </c>
      <c r="E106" s="0" t="s">
        <v>20</v>
      </c>
      <c r="H106" s="0" t="s">
        <v>21</v>
      </c>
      <c r="I106" s="2" t="s">
        <v>22</v>
      </c>
      <c r="J106" s="2" t="s">
        <v>23</v>
      </c>
      <c r="K106" s="0" t="s">
        <v>231</v>
      </c>
      <c r="L106" s="0" t="s">
        <v>25</v>
      </c>
      <c r="M106" s="0" t="s">
        <v>233</v>
      </c>
      <c r="N106" s="0" t="s">
        <v>273</v>
      </c>
      <c r="O106" s="0" t="n">
        <v>1</v>
      </c>
      <c r="R106" s="3"/>
      <c r="S106" s="2" t="s">
        <v>28</v>
      </c>
    </row>
    <row r="107" customFormat="false" ht="15" hidden="false" customHeight="false" outlineLevel="0" collapsed="false">
      <c r="A107" s="0" t="n">
        <v>106</v>
      </c>
      <c r="D107" s="0" t="s">
        <v>274</v>
      </c>
      <c r="E107" s="0" t="s">
        <v>20</v>
      </c>
      <c r="H107" s="0" t="s">
        <v>21</v>
      </c>
      <c r="I107" s="2" t="s">
        <v>22</v>
      </c>
      <c r="J107" s="2" t="s">
        <v>23</v>
      </c>
      <c r="K107" s="0" t="s">
        <v>231</v>
      </c>
      <c r="L107" s="0" t="s">
        <v>25</v>
      </c>
      <c r="M107" s="0" t="s">
        <v>233</v>
      </c>
      <c r="N107" s="0" t="s">
        <v>275</v>
      </c>
      <c r="O107" s="0" t="n">
        <v>1</v>
      </c>
      <c r="R107" s="3"/>
      <c r="S107" s="2" t="s">
        <v>28</v>
      </c>
    </row>
    <row r="108" customFormat="false" ht="15" hidden="false" customHeight="false" outlineLevel="0" collapsed="false">
      <c r="A108" s="0" t="n">
        <v>107</v>
      </c>
      <c r="D108" s="0" t="s">
        <v>276</v>
      </c>
      <c r="E108" s="0" t="s">
        <v>20</v>
      </c>
      <c r="H108" s="0" t="s">
        <v>21</v>
      </c>
      <c r="I108" s="2" t="s">
        <v>22</v>
      </c>
      <c r="J108" s="2" t="s">
        <v>23</v>
      </c>
      <c r="K108" s="0" t="s">
        <v>231</v>
      </c>
      <c r="L108" s="0" t="s">
        <v>25</v>
      </c>
      <c r="M108" s="0" t="s">
        <v>233</v>
      </c>
      <c r="N108" s="0" t="s">
        <v>277</v>
      </c>
      <c r="O108" s="0" t="n">
        <v>1</v>
      </c>
      <c r="R108" s="3"/>
      <c r="S108" s="2" t="s">
        <v>28</v>
      </c>
    </row>
    <row r="109" customFormat="false" ht="15" hidden="false" customHeight="false" outlineLevel="0" collapsed="false">
      <c r="A109" s="0" t="n">
        <v>108</v>
      </c>
      <c r="D109" s="0" t="s">
        <v>278</v>
      </c>
      <c r="E109" s="0" t="s">
        <v>20</v>
      </c>
      <c r="H109" s="0" t="s">
        <v>21</v>
      </c>
      <c r="I109" s="2" t="s">
        <v>22</v>
      </c>
      <c r="J109" s="2" t="s">
        <v>23</v>
      </c>
      <c r="K109" s="0" t="s">
        <v>231</v>
      </c>
      <c r="L109" s="0" t="s">
        <v>279</v>
      </c>
      <c r="M109" s="0" t="s">
        <v>233</v>
      </c>
      <c r="N109" s="0" t="s">
        <v>280</v>
      </c>
      <c r="O109" s="0" t="n">
        <v>1</v>
      </c>
      <c r="R109" s="3"/>
      <c r="S109" s="2" t="s">
        <v>281</v>
      </c>
    </row>
    <row r="110" customFormat="false" ht="15" hidden="false" customHeight="false" outlineLevel="0" collapsed="false">
      <c r="A110" s="0" t="n">
        <v>109</v>
      </c>
      <c r="D110" s="0" t="s">
        <v>282</v>
      </c>
      <c r="E110" s="0" t="s">
        <v>20</v>
      </c>
      <c r="H110" s="0" t="s">
        <v>21</v>
      </c>
      <c r="I110" s="2" t="s">
        <v>22</v>
      </c>
      <c r="J110" s="2" t="s">
        <v>23</v>
      </c>
      <c r="K110" s="0" t="s">
        <v>231</v>
      </c>
      <c r="L110" s="0" t="s">
        <v>25</v>
      </c>
      <c r="M110" s="0" t="s">
        <v>233</v>
      </c>
      <c r="N110" s="0" t="s">
        <v>283</v>
      </c>
      <c r="O110" s="0" t="n">
        <v>1</v>
      </c>
      <c r="P110" s="0" t="s">
        <v>43</v>
      </c>
      <c r="R110" s="3"/>
      <c r="S110" s="2" t="s">
        <v>28</v>
      </c>
    </row>
    <row r="111" customFormat="false" ht="15" hidden="false" customHeight="false" outlineLevel="0" collapsed="false">
      <c r="A111" s="0" t="n">
        <v>110</v>
      </c>
      <c r="D111" s="0" t="s">
        <v>284</v>
      </c>
      <c r="E111" s="0" t="s">
        <v>20</v>
      </c>
      <c r="H111" s="0" t="s">
        <v>21</v>
      </c>
      <c r="I111" s="2" t="s">
        <v>22</v>
      </c>
      <c r="J111" s="2" t="s">
        <v>23</v>
      </c>
      <c r="K111" s="0" t="s">
        <v>231</v>
      </c>
      <c r="L111" s="0" t="s">
        <v>25</v>
      </c>
      <c r="M111" s="0" t="s">
        <v>233</v>
      </c>
      <c r="N111" s="0" t="s">
        <v>285</v>
      </c>
      <c r="O111" s="0" t="n">
        <v>1</v>
      </c>
      <c r="R111" s="3"/>
      <c r="S111" s="2" t="s">
        <v>28</v>
      </c>
    </row>
    <row r="112" customFormat="false" ht="15" hidden="false" customHeight="false" outlineLevel="0" collapsed="false">
      <c r="A112" s="0" t="n">
        <v>111</v>
      </c>
      <c r="D112" s="0" t="s">
        <v>286</v>
      </c>
      <c r="E112" s="0" t="s">
        <v>287</v>
      </c>
      <c r="H112" s="0" t="s">
        <v>21</v>
      </c>
      <c r="I112" s="2" t="s">
        <v>22</v>
      </c>
      <c r="J112" s="2" t="s">
        <v>23</v>
      </c>
      <c r="K112" s="0" t="s">
        <v>231</v>
      </c>
      <c r="L112" s="0" t="s">
        <v>25</v>
      </c>
      <c r="M112" s="0" t="s">
        <v>233</v>
      </c>
      <c r="N112" s="0" t="s">
        <v>288</v>
      </c>
      <c r="O112" s="0" t="n">
        <v>1</v>
      </c>
      <c r="P112" s="0" t="s">
        <v>287</v>
      </c>
      <c r="R112" s="3"/>
      <c r="S112" s="2" t="s">
        <v>28</v>
      </c>
    </row>
    <row r="113" customFormat="false" ht="15" hidden="false" customHeight="false" outlineLevel="0" collapsed="false">
      <c r="A113" s="0" t="n">
        <v>112</v>
      </c>
      <c r="D113" s="0" t="s">
        <v>289</v>
      </c>
      <c r="E113" s="0" t="s">
        <v>20</v>
      </c>
      <c r="H113" s="0" t="s">
        <v>21</v>
      </c>
      <c r="I113" s="2" t="s">
        <v>22</v>
      </c>
      <c r="J113" s="2" t="s">
        <v>23</v>
      </c>
      <c r="K113" s="0" t="s">
        <v>231</v>
      </c>
      <c r="L113" s="0" t="s">
        <v>25</v>
      </c>
      <c r="M113" s="0" t="s">
        <v>233</v>
      </c>
      <c r="N113" s="0" t="s">
        <v>290</v>
      </c>
      <c r="O113" s="0" t="n">
        <v>1</v>
      </c>
      <c r="R113" s="3"/>
      <c r="S113" s="2" t="s">
        <v>28</v>
      </c>
    </row>
    <row r="114" customFormat="false" ht="15" hidden="false" customHeight="false" outlineLevel="0" collapsed="false">
      <c r="A114" s="0" t="n">
        <v>113</v>
      </c>
      <c r="D114" s="0" t="s">
        <v>291</v>
      </c>
      <c r="E114" s="0" t="s">
        <v>268</v>
      </c>
      <c r="H114" s="0" t="s">
        <v>21</v>
      </c>
      <c r="I114" s="2" t="s">
        <v>22</v>
      </c>
      <c r="J114" s="2" t="s">
        <v>23</v>
      </c>
      <c r="K114" s="0" t="s">
        <v>231</v>
      </c>
      <c r="L114" s="0" t="s">
        <v>25</v>
      </c>
      <c r="M114" s="0" t="s">
        <v>233</v>
      </c>
      <c r="N114" s="0" t="s">
        <v>292</v>
      </c>
      <c r="O114" s="0" t="n">
        <v>1</v>
      </c>
      <c r="P114" s="0" t="s">
        <v>293</v>
      </c>
      <c r="R114" s="3"/>
      <c r="S114" s="2" t="s">
        <v>28</v>
      </c>
    </row>
    <row r="115" customFormat="false" ht="15" hidden="false" customHeight="false" outlineLevel="0" collapsed="false">
      <c r="A115" s="0" t="n">
        <v>114</v>
      </c>
      <c r="D115" s="0" t="s">
        <v>294</v>
      </c>
      <c r="E115" s="0" t="s">
        <v>20</v>
      </c>
      <c r="H115" s="0" t="s">
        <v>21</v>
      </c>
      <c r="I115" s="2" t="s">
        <v>22</v>
      </c>
      <c r="J115" s="2" t="s">
        <v>23</v>
      </c>
      <c r="K115" s="0" t="s">
        <v>231</v>
      </c>
      <c r="L115" s="0" t="s">
        <v>25</v>
      </c>
      <c r="M115" s="0" t="s">
        <v>233</v>
      </c>
      <c r="N115" s="0" t="s">
        <v>295</v>
      </c>
      <c r="O115" s="0" t="n">
        <v>1</v>
      </c>
      <c r="R115" s="3"/>
      <c r="S115" s="2" t="s">
        <v>28</v>
      </c>
    </row>
    <row r="116" customFormat="false" ht="15" hidden="false" customHeight="false" outlineLevel="0" collapsed="false">
      <c r="A116" s="0" t="n">
        <v>115</v>
      </c>
      <c r="D116" s="0" t="s">
        <v>296</v>
      </c>
      <c r="E116" s="0" t="s">
        <v>20</v>
      </c>
      <c r="H116" s="0" t="s">
        <v>21</v>
      </c>
      <c r="I116" s="2" t="s">
        <v>22</v>
      </c>
      <c r="J116" s="2" t="s">
        <v>23</v>
      </c>
      <c r="K116" s="0" t="s">
        <v>231</v>
      </c>
      <c r="L116" s="0" t="s">
        <v>25</v>
      </c>
      <c r="M116" s="0" t="s">
        <v>233</v>
      </c>
      <c r="N116" s="0" t="s">
        <v>297</v>
      </c>
      <c r="O116" s="0" t="n">
        <v>1</v>
      </c>
      <c r="R116" s="3"/>
      <c r="S116" s="2" t="s">
        <v>28</v>
      </c>
    </row>
    <row r="117" customFormat="false" ht="15" hidden="false" customHeight="false" outlineLevel="0" collapsed="false">
      <c r="A117" s="0" t="n">
        <v>116</v>
      </c>
      <c r="D117" s="0" t="s">
        <v>298</v>
      </c>
      <c r="E117" s="0" t="s">
        <v>20</v>
      </c>
      <c r="H117" s="0" t="s">
        <v>21</v>
      </c>
      <c r="I117" s="2" t="s">
        <v>22</v>
      </c>
      <c r="J117" s="2" t="s">
        <v>23</v>
      </c>
      <c r="K117" s="0" t="s">
        <v>231</v>
      </c>
      <c r="L117" s="0" t="s">
        <v>182</v>
      </c>
      <c r="M117" s="0" t="s">
        <v>233</v>
      </c>
      <c r="N117" s="0" t="s">
        <v>299</v>
      </c>
      <c r="O117" s="0" t="n">
        <v>1</v>
      </c>
      <c r="P117" s="0" t="s">
        <v>184</v>
      </c>
      <c r="R117" s="3"/>
      <c r="S117" s="2" t="s">
        <v>28</v>
      </c>
    </row>
    <row r="118" customFormat="false" ht="15" hidden="false" customHeight="false" outlineLevel="0" collapsed="false">
      <c r="A118" s="0" t="n">
        <v>117</v>
      </c>
      <c r="D118" s="0" t="s">
        <v>300</v>
      </c>
      <c r="E118" s="0" t="s">
        <v>301</v>
      </c>
      <c r="H118" s="0" t="s">
        <v>21</v>
      </c>
      <c r="I118" s="2" t="s">
        <v>22</v>
      </c>
      <c r="J118" s="2" t="s">
        <v>23</v>
      </c>
      <c r="K118" s="0" t="s">
        <v>231</v>
      </c>
      <c r="L118" s="0" t="s">
        <v>25</v>
      </c>
      <c r="M118" s="0" t="s">
        <v>233</v>
      </c>
      <c r="N118" s="0" t="s">
        <v>302</v>
      </c>
      <c r="O118" s="0" t="n">
        <v>1</v>
      </c>
      <c r="P118" s="0" t="s">
        <v>301</v>
      </c>
      <c r="R118" s="3"/>
      <c r="S118" s="2" t="s">
        <v>28</v>
      </c>
    </row>
    <row r="119" customFormat="false" ht="15" hidden="false" customHeight="false" outlineLevel="0" collapsed="false">
      <c r="A119" s="0" t="n">
        <v>118</v>
      </c>
      <c r="D119" s="0" t="s">
        <v>303</v>
      </c>
      <c r="E119" s="0" t="s">
        <v>20</v>
      </c>
      <c r="H119" s="0" t="s">
        <v>21</v>
      </c>
      <c r="I119" s="2" t="s">
        <v>22</v>
      </c>
      <c r="J119" s="2" t="s">
        <v>23</v>
      </c>
      <c r="K119" s="0" t="s">
        <v>231</v>
      </c>
      <c r="L119" s="0" t="s">
        <v>25</v>
      </c>
      <c r="M119" s="0" t="s">
        <v>233</v>
      </c>
      <c r="N119" s="0" t="s">
        <v>304</v>
      </c>
      <c r="O119" s="0" t="n">
        <v>1</v>
      </c>
      <c r="R119" s="3"/>
      <c r="S119" s="2" t="s">
        <v>28</v>
      </c>
    </row>
    <row r="120" customFormat="false" ht="15" hidden="false" customHeight="false" outlineLevel="0" collapsed="false">
      <c r="A120" s="0" t="n">
        <v>119</v>
      </c>
      <c r="D120" s="0" t="s">
        <v>305</v>
      </c>
      <c r="E120" s="0" t="s">
        <v>20</v>
      </c>
      <c r="H120" s="0" t="s">
        <v>21</v>
      </c>
      <c r="I120" s="2" t="s">
        <v>22</v>
      </c>
      <c r="J120" s="2" t="s">
        <v>23</v>
      </c>
      <c r="K120" s="0" t="s">
        <v>231</v>
      </c>
      <c r="L120" s="0" t="s">
        <v>25</v>
      </c>
      <c r="M120" s="0" t="s">
        <v>233</v>
      </c>
      <c r="N120" s="0" t="s">
        <v>306</v>
      </c>
      <c r="O120" s="0" t="n">
        <v>1</v>
      </c>
      <c r="R120" s="3"/>
      <c r="S120" s="2" t="s">
        <v>28</v>
      </c>
    </row>
    <row r="121" customFormat="false" ht="15" hidden="false" customHeight="false" outlineLevel="0" collapsed="false">
      <c r="A121" s="0" t="n">
        <v>120</v>
      </c>
      <c r="D121" s="0" t="s">
        <v>307</v>
      </c>
      <c r="E121" s="0" t="s">
        <v>20</v>
      </c>
      <c r="H121" s="0" t="s">
        <v>21</v>
      </c>
      <c r="I121" s="2" t="s">
        <v>22</v>
      </c>
      <c r="J121" s="2" t="s">
        <v>23</v>
      </c>
      <c r="K121" s="0" t="s">
        <v>231</v>
      </c>
      <c r="L121" s="0" t="s">
        <v>182</v>
      </c>
      <c r="M121" s="0" t="s">
        <v>233</v>
      </c>
      <c r="N121" s="0" t="s">
        <v>308</v>
      </c>
      <c r="O121" s="0" t="n">
        <v>1</v>
      </c>
      <c r="P121" s="0" t="s">
        <v>184</v>
      </c>
      <c r="R121" s="3"/>
      <c r="S121" s="2" t="s">
        <v>28</v>
      </c>
    </row>
    <row r="122" customFormat="false" ht="15" hidden="false" customHeight="false" outlineLevel="0" collapsed="false">
      <c r="A122" s="0" t="n">
        <v>121</v>
      </c>
      <c r="D122" s="0" t="s">
        <v>309</v>
      </c>
      <c r="E122" s="0" t="s">
        <v>268</v>
      </c>
      <c r="H122" s="0" t="s">
        <v>21</v>
      </c>
      <c r="I122" s="2" t="s">
        <v>22</v>
      </c>
      <c r="J122" s="2" t="s">
        <v>23</v>
      </c>
      <c r="K122" s="0" t="s">
        <v>231</v>
      </c>
      <c r="L122" s="0" t="s">
        <v>25</v>
      </c>
      <c r="M122" s="0" t="s">
        <v>233</v>
      </c>
      <c r="N122" s="0" t="s">
        <v>310</v>
      </c>
      <c r="O122" s="0" t="n">
        <v>1</v>
      </c>
      <c r="P122" s="0" t="s">
        <v>293</v>
      </c>
      <c r="R122" s="3"/>
      <c r="S122" s="2" t="s">
        <v>28</v>
      </c>
    </row>
    <row r="123" customFormat="false" ht="15" hidden="false" customHeight="false" outlineLevel="0" collapsed="false">
      <c r="A123" s="0" t="n">
        <v>122</v>
      </c>
      <c r="D123" s="0" t="s">
        <v>311</v>
      </c>
      <c r="E123" s="0" t="s">
        <v>20</v>
      </c>
      <c r="H123" s="0" t="s">
        <v>21</v>
      </c>
      <c r="I123" s="2" t="s">
        <v>22</v>
      </c>
      <c r="J123" s="2" t="s">
        <v>23</v>
      </c>
      <c r="K123" s="0" t="s">
        <v>231</v>
      </c>
      <c r="L123" s="0" t="s">
        <v>182</v>
      </c>
      <c r="M123" s="0" t="s">
        <v>233</v>
      </c>
      <c r="N123" s="0" t="s">
        <v>312</v>
      </c>
      <c r="O123" s="0" t="n">
        <v>1</v>
      </c>
      <c r="P123" s="0" t="s">
        <v>184</v>
      </c>
      <c r="R123" s="3"/>
      <c r="S123" s="2" t="s">
        <v>28</v>
      </c>
    </row>
    <row r="124" customFormat="false" ht="15" hidden="false" customHeight="false" outlineLevel="0" collapsed="false">
      <c r="A124" s="0" t="n">
        <v>123</v>
      </c>
      <c r="D124" s="0" t="s">
        <v>313</v>
      </c>
      <c r="E124" s="0" t="s">
        <v>20</v>
      </c>
      <c r="H124" s="0" t="s">
        <v>21</v>
      </c>
      <c r="I124" s="2" t="s">
        <v>22</v>
      </c>
      <c r="J124" s="2" t="s">
        <v>23</v>
      </c>
      <c r="K124" s="0" t="s">
        <v>231</v>
      </c>
      <c r="L124" s="0" t="s">
        <v>25</v>
      </c>
      <c r="M124" s="0" t="s">
        <v>233</v>
      </c>
      <c r="N124" s="0" t="s">
        <v>314</v>
      </c>
      <c r="O124" s="0" t="n">
        <v>1</v>
      </c>
      <c r="R124" s="3"/>
      <c r="S124" s="2" t="s">
        <v>28</v>
      </c>
    </row>
    <row r="125" customFormat="false" ht="15" hidden="false" customHeight="false" outlineLevel="0" collapsed="false">
      <c r="A125" s="0" t="n">
        <v>124</v>
      </c>
      <c r="D125" s="0" t="s">
        <v>315</v>
      </c>
      <c r="E125" s="0" t="s">
        <v>301</v>
      </c>
      <c r="H125" s="0" t="s">
        <v>21</v>
      </c>
      <c r="I125" s="2" t="s">
        <v>22</v>
      </c>
      <c r="J125" s="2" t="s">
        <v>23</v>
      </c>
      <c r="K125" s="0" t="s">
        <v>231</v>
      </c>
      <c r="L125" s="0" t="s">
        <v>25</v>
      </c>
      <c r="M125" s="0" t="s">
        <v>233</v>
      </c>
      <c r="N125" s="0" t="s">
        <v>316</v>
      </c>
      <c r="O125" s="0" t="n">
        <v>1</v>
      </c>
      <c r="P125" s="0" t="s">
        <v>301</v>
      </c>
      <c r="R125" s="3"/>
      <c r="S125" s="2" t="s">
        <v>28</v>
      </c>
    </row>
    <row r="126" customFormat="false" ht="15" hidden="false" customHeight="false" outlineLevel="0" collapsed="false">
      <c r="A126" s="0" t="n">
        <v>125</v>
      </c>
      <c r="D126" s="0" t="s">
        <v>317</v>
      </c>
      <c r="E126" s="0" t="s">
        <v>20</v>
      </c>
      <c r="H126" s="0" t="s">
        <v>21</v>
      </c>
      <c r="I126" s="2" t="s">
        <v>22</v>
      </c>
      <c r="J126" s="2" t="s">
        <v>23</v>
      </c>
      <c r="K126" s="0" t="s">
        <v>231</v>
      </c>
      <c r="L126" s="0" t="s">
        <v>25</v>
      </c>
      <c r="M126" s="0" t="s">
        <v>233</v>
      </c>
      <c r="N126" s="0" t="s">
        <v>318</v>
      </c>
      <c r="O126" s="0" t="n">
        <v>1</v>
      </c>
      <c r="P126" s="0" t="s">
        <v>43</v>
      </c>
      <c r="R126" s="3"/>
      <c r="S126" s="2" t="s">
        <v>28</v>
      </c>
    </row>
    <row r="127" customFormat="false" ht="15" hidden="false" customHeight="false" outlineLevel="0" collapsed="false">
      <c r="A127" s="0" t="n">
        <v>126</v>
      </c>
      <c r="D127" s="0" t="s">
        <v>319</v>
      </c>
      <c r="E127" s="0" t="s">
        <v>20</v>
      </c>
      <c r="H127" s="0" t="s">
        <v>21</v>
      </c>
      <c r="I127" s="2" t="s">
        <v>22</v>
      </c>
      <c r="J127" s="2" t="s">
        <v>23</v>
      </c>
      <c r="K127" s="0" t="s">
        <v>231</v>
      </c>
      <c r="L127" s="0" t="s">
        <v>25</v>
      </c>
      <c r="M127" s="0" t="s">
        <v>233</v>
      </c>
      <c r="N127" s="0" t="s">
        <v>320</v>
      </c>
      <c r="O127" s="0" t="n">
        <v>1</v>
      </c>
      <c r="R127" s="3"/>
      <c r="S127" s="2" t="s">
        <v>28</v>
      </c>
    </row>
    <row r="128" customFormat="false" ht="15" hidden="false" customHeight="false" outlineLevel="0" collapsed="false">
      <c r="A128" s="0" t="n">
        <v>127</v>
      </c>
      <c r="D128" s="0" t="s">
        <v>321</v>
      </c>
      <c r="E128" s="0" t="s">
        <v>20</v>
      </c>
      <c r="H128" s="0" t="s">
        <v>21</v>
      </c>
      <c r="I128" s="2" t="s">
        <v>22</v>
      </c>
      <c r="J128" s="2" t="s">
        <v>23</v>
      </c>
      <c r="K128" s="0" t="s">
        <v>231</v>
      </c>
      <c r="L128" s="0" t="s">
        <v>182</v>
      </c>
      <c r="M128" s="0" t="s">
        <v>233</v>
      </c>
      <c r="N128" s="0" t="s">
        <v>322</v>
      </c>
      <c r="O128" s="0" t="n">
        <v>1</v>
      </c>
      <c r="P128" s="0" t="s">
        <v>184</v>
      </c>
      <c r="R128" s="3"/>
      <c r="S128" s="2" t="s">
        <v>28</v>
      </c>
    </row>
    <row r="129" customFormat="false" ht="15" hidden="false" customHeight="false" outlineLevel="0" collapsed="false">
      <c r="A129" s="0" t="n">
        <v>128</v>
      </c>
      <c r="D129" s="0" t="s">
        <v>323</v>
      </c>
      <c r="E129" s="0" t="s">
        <v>20</v>
      </c>
      <c r="H129" s="0" t="s">
        <v>21</v>
      </c>
      <c r="I129" s="2" t="s">
        <v>22</v>
      </c>
      <c r="J129" s="2" t="s">
        <v>23</v>
      </c>
      <c r="K129" s="0" t="s">
        <v>231</v>
      </c>
      <c r="L129" s="0" t="s">
        <v>25</v>
      </c>
      <c r="M129" s="0" t="s">
        <v>233</v>
      </c>
      <c r="N129" s="0" t="s">
        <v>324</v>
      </c>
      <c r="O129" s="0" t="n">
        <v>1</v>
      </c>
      <c r="R129" s="3"/>
      <c r="S129" s="2" t="s">
        <v>28</v>
      </c>
    </row>
    <row r="130" customFormat="false" ht="15" hidden="false" customHeight="false" outlineLevel="0" collapsed="false">
      <c r="A130" s="0" t="n">
        <v>129</v>
      </c>
      <c r="D130" s="0" t="s">
        <v>325</v>
      </c>
      <c r="E130" s="0" t="s">
        <v>268</v>
      </c>
      <c r="H130" s="0" t="s">
        <v>21</v>
      </c>
      <c r="I130" s="2" t="s">
        <v>22</v>
      </c>
      <c r="J130" s="2" t="s">
        <v>23</v>
      </c>
      <c r="K130" s="0" t="s">
        <v>231</v>
      </c>
      <c r="L130" s="0" t="s">
        <v>25</v>
      </c>
      <c r="M130" s="0" t="s">
        <v>233</v>
      </c>
      <c r="N130" s="0" t="s">
        <v>326</v>
      </c>
      <c r="O130" s="0" t="n">
        <v>1</v>
      </c>
      <c r="P130" s="0" t="s">
        <v>268</v>
      </c>
      <c r="R130" s="3"/>
      <c r="S130" s="2" t="s">
        <v>28</v>
      </c>
    </row>
    <row r="131" customFormat="false" ht="15" hidden="false" customHeight="false" outlineLevel="0" collapsed="false">
      <c r="A131" s="0" t="n">
        <v>130</v>
      </c>
      <c r="D131" s="0" t="s">
        <v>327</v>
      </c>
      <c r="E131" s="0" t="s">
        <v>20</v>
      </c>
      <c r="H131" s="0" t="s">
        <v>21</v>
      </c>
      <c r="I131" s="2" t="s">
        <v>22</v>
      </c>
      <c r="J131" s="2" t="s">
        <v>23</v>
      </c>
      <c r="K131" s="0" t="s">
        <v>231</v>
      </c>
      <c r="L131" s="0" t="s">
        <v>182</v>
      </c>
      <c r="M131" s="0" t="s">
        <v>233</v>
      </c>
      <c r="N131" s="0" t="s">
        <v>328</v>
      </c>
      <c r="O131" s="0" t="n">
        <v>1</v>
      </c>
      <c r="P131" s="0" t="s">
        <v>184</v>
      </c>
      <c r="R131" s="3"/>
      <c r="S131" s="2" t="s">
        <v>28</v>
      </c>
    </row>
    <row r="132" customFormat="false" ht="15" hidden="false" customHeight="false" outlineLevel="0" collapsed="false">
      <c r="A132" s="0" t="n">
        <v>131</v>
      </c>
      <c r="D132" s="0" t="s">
        <v>329</v>
      </c>
      <c r="E132" s="0" t="s">
        <v>20</v>
      </c>
      <c r="H132" s="0" t="s">
        <v>21</v>
      </c>
      <c r="I132" s="2" t="s">
        <v>22</v>
      </c>
      <c r="J132" s="2" t="s">
        <v>23</v>
      </c>
      <c r="K132" s="0" t="s">
        <v>231</v>
      </c>
      <c r="L132" s="0" t="s">
        <v>25</v>
      </c>
      <c r="M132" s="0" t="s">
        <v>233</v>
      </c>
      <c r="N132" s="0" t="s">
        <v>330</v>
      </c>
      <c r="O132" s="0" t="n">
        <v>1</v>
      </c>
      <c r="R132" s="3"/>
      <c r="S132" s="2" t="s">
        <v>28</v>
      </c>
    </row>
    <row r="133" customFormat="false" ht="15" hidden="false" customHeight="false" outlineLevel="0" collapsed="false">
      <c r="A133" s="0" t="n">
        <v>132</v>
      </c>
      <c r="D133" s="0" t="s">
        <v>331</v>
      </c>
      <c r="E133" s="0" t="s">
        <v>20</v>
      </c>
      <c r="H133" s="0" t="s">
        <v>21</v>
      </c>
      <c r="I133" s="2" t="s">
        <v>22</v>
      </c>
      <c r="J133" s="2" t="s">
        <v>23</v>
      </c>
      <c r="K133" s="0" t="s">
        <v>231</v>
      </c>
      <c r="L133" s="0" t="s">
        <v>25</v>
      </c>
      <c r="M133" s="0" t="s">
        <v>233</v>
      </c>
      <c r="N133" s="0" t="s">
        <v>332</v>
      </c>
      <c r="O133" s="0" t="n">
        <v>1</v>
      </c>
      <c r="R133" s="3"/>
      <c r="S133" s="2" t="s">
        <v>28</v>
      </c>
    </row>
    <row r="134" customFormat="false" ht="15" hidden="false" customHeight="false" outlineLevel="0" collapsed="false">
      <c r="A134" s="0" t="n">
        <v>133</v>
      </c>
      <c r="D134" s="0" t="s">
        <v>333</v>
      </c>
      <c r="E134" s="0" t="s">
        <v>287</v>
      </c>
      <c r="H134" s="0" t="s">
        <v>21</v>
      </c>
      <c r="I134" s="2" t="s">
        <v>22</v>
      </c>
      <c r="J134" s="2" t="s">
        <v>23</v>
      </c>
      <c r="K134" s="0" t="s">
        <v>231</v>
      </c>
      <c r="L134" s="0" t="s">
        <v>25</v>
      </c>
      <c r="M134" s="0" t="s">
        <v>233</v>
      </c>
      <c r="N134" s="0" t="s">
        <v>334</v>
      </c>
      <c r="O134" s="0" t="n">
        <v>1</v>
      </c>
      <c r="P134" s="0" t="s">
        <v>287</v>
      </c>
      <c r="R134" s="3"/>
      <c r="S134" s="2" t="s">
        <v>28</v>
      </c>
    </row>
    <row r="135" customFormat="false" ht="15" hidden="false" customHeight="false" outlineLevel="0" collapsed="false">
      <c r="A135" s="0" t="n">
        <v>134</v>
      </c>
      <c r="D135" s="0" t="s">
        <v>335</v>
      </c>
      <c r="E135" s="0" t="s">
        <v>20</v>
      </c>
      <c r="H135" s="0" t="s">
        <v>21</v>
      </c>
      <c r="I135" s="2" t="s">
        <v>22</v>
      </c>
      <c r="J135" s="2" t="s">
        <v>23</v>
      </c>
      <c r="K135" s="0" t="s">
        <v>231</v>
      </c>
      <c r="L135" s="0" t="s">
        <v>25</v>
      </c>
      <c r="M135" s="0" t="s">
        <v>233</v>
      </c>
      <c r="N135" s="0" t="s">
        <v>241</v>
      </c>
      <c r="O135" s="0" t="n">
        <v>1</v>
      </c>
      <c r="R135" s="3"/>
      <c r="S135" s="2" t="s">
        <v>28</v>
      </c>
    </row>
    <row r="136" customFormat="false" ht="15" hidden="false" customHeight="false" outlineLevel="0" collapsed="false">
      <c r="A136" s="0" t="n">
        <v>135</v>
      </c>
      <c r="D136" s="0" t="s">
        <v>336</v>
      </c>
      <c r="E136" s="0" t="s">
        <v>268</v>
      </c>
      <c r="H136" s="0" t="s">
        <v>21</v>
      </c>
      <c r="I136" s="2" t="s">
        <v>22</v>
      </c>
      <c r="J136" s="2" t="s">
        <v>23</v>
      </c>
      <c r="K136" s="0" t="s">
        <v>231</v>
      </c>
      <c r="L136" s="0" t="s">
        <v>25</v>
      </c>
      <c r="M136" s="0" t="s">
        <v>233</v>
      </c>
      <c r="N136" s="0" t="s">
        <v>337</v>
      </c>
      <c r="O136" s="0" t="n">
        <v>1</v>
      </c>
      <c r="P136" s="0" t="s">
        <v>268</v>
      </c>
      <c r="R136" s="3"/>
      <c r="S136" s="2" t="s">
        <v>28</v>
      </c>
    </row>
    <row r="137" customFormat="false" ht="15" hidden="false" customHeight="false" outlineLevel="0" collapsed="false">
      <c r="A137" s="0" t="n">
        <v>136</v>
      </c>
      <c r="D137" s="0" t="s">
        <v>338</v>
      </c>
      <c r="E137" s="0" t="s">
        <v>20</v>
      </c>
      <c r="H137" s="0" t="s">
        <v>21</v>
      </c>
      <c r="I137" s="2" t="s">
        <v>22</v>
      </c>
      <c r="J137" s="2" t="s">
        <v>23</v>
      </c>
      <c r="K137" s="0" t="s">
        <v>231</v>
      </c>
      <c r="L137" s="0" t="s">
        <v>25</v>
      </c>
      <c r="M137" s="0" t="s">
        <v>233</v>
      </c>
      <c r="N137" s="0" t="s">
        <v>339</v>
      </c>
      <c r="O137" s="0" t="n">
        <v>1</v>
      </c>
      <c r="R137" s="3"/>
      <c r="S137" s="2" t="s">
        <v>28</v>
      </c>
    </row>
    <row r="138" customFormat="false" ht="15" hidden="false" customHeight="false" outlineLevel="0" collapsed="false">
      <c r="A138" s="0" t="n">
        <v>137</v>
      </c>
      <c r="D138" s="0" t="s">
        <v>340</v>
      </c>
      <c r="E138" s="0" t="s">
        <v>268</v>
      </c>
      <c r="H138" s="0" t="s">
        <v>21</v>
      </c>
      <c r="I138" s="2" t="s">
        <v>22</v>
      </c>
      <c r="J138" s="2" t="s">
        <v>23</v>
      </c>
      <c r="K138" s="0" t="s">
        <v>231</v>
      </c>
      <c r="L138" s="0" t="s">
        <v>25</v>
      </c>
      <c r="M138" s="0" t="s">
        <v>233</v>
      </c>
      <c r="N138" s="0" t="s">
        <v>341</v>
      </c>
      <c r="O138" s="0" t="n">
        <v>1</v>
      </c>
      <c r="P138" s="0" t="s">
        <v>268</v>
      </c>
      <c r="R138" s="3"/>
      <c r="S138" s="2" t="s">
        <v>28</v>
      </c>
    </row>
    <row r="139" customFormat="false" ht="15" hidden="false" customHeight="false" outlineLevel="0" collapsed="false">
      <c r="A139" s="0" t="n">
        <v>138</v>
      </c>
      <c r="D139" s="0" t="s">
        <v>342</v>
      </c>
      <c r="E139" s="0" t="s">
        <v>287</v>
      </c>
      <c r="H139" s="0" t="s">
        <v>21</v>
      </c>
      <c r="I139" s="2" t="s">
        <v>22</v>
      </c>
      <c r="J139" s="2" t="s">
        <v>23</v>
      </c>
      <c r="K139" s="0" t="s">
        <v>231</v>
      </c>
      <c r="L139" s="0" t="s">
        <v>25</v>
      </c>
      <c r="M139" s="0" t="s">
        <v>233</v>
      </c>
      <c r="N139" s="0" t="s">
        <v>343</v>
      </c>
      <c r="O139" s="0" t="n">
        <v>1</v>
      </c>
      <c r="P139" s="0" t="s">
        <v>287</v>
      </c>
      <c r="R139" s="3"/>
      <c r="S139" s="2" t="s">
        <v>28</v>
      </c>
    </row>
    <row r="140" customFormat="false" ht="15" hidden="false" customHeight="false" outlineLevel="0" collapsed="false">
      <c r="A140" s="0" t="n">
        <v>139</v>
      </c>
      <c r="D140" s="0" t="s">
        <v>344</v>
      </c>
      <c r="E140" s="0" t="s">
        <v>20</v>
      </c>
      <c r="H140" s="0" t="s">
        <v>21</v>
      </c>
      <c r="I140" s="2" t="s">
        <v>22</v>
      </c>
      <c r="J140" s="2" t="s">
        <v>23</v>
      </c>
      <c r="K140" s="0" t="s">
        <v>231</v>
      </c>
      <c r="L140" s="0" t="s">
        <v>25</v>
      </c>
      <c r="M140" s="0" t="s">
        <v>233</v>
      </c>
      <c r="N140" s="0" t="s">
        <v>345</v>
      </c>
      <c r="O140" s="0" t="n">
        <v>1</v>
      </c>
      <c r="R140" s="3"/>
      <c r="S140" s="2" t="s">
        <v>28</v>
      </c>
    </row>
    <row r="141" customFormat="false" ht="15" hidden="false" customHeight="false" outlineLevel="0" collapsed="false">
      <c r="A141" s="0" t="n">
        <v>140</v>
      </c>
      <c r="D141" s="0" t="s">
        <v>346</v>
      </c>
      <c r="E141" s="0" t="s">
        <v>20</v>
      </c>
      <c r="H141" s="0" t="s">
        <v>21</v>
      </c>
      <c r="I141" s="2" t="s">
        <v>22</v>
      </c>
      <c r="J141" s="2" t="s">
        <v>23</v>
      </c>
      <c r="K141" s="0" t="s">
        <v>231</v>
      </c>
      <c r="L141" s="0" t="s">
        <v>182</v>
      </c>
      <c r="M141" s="0" t="s">
        <v>233</v>
      </c>
      <c r="N141" s="0" t="s">
        <v>347</v>
      </c>
      <c r="O141" s="0" t="n">
        <v>1</v>
      </c>
      <c r="P141" s="0" t="s">
        <v>184</v>
      </c>
      <c r="R141" s="3"/>
      <c r="S141" s="2" t="s">
        <v>28</v>
      </c>
    </row>
    <row r="142" customFormat="false" ht="15" hidden="false" customHeight="false" outlineLevel="0" collapsed="false">
      <c r="A142" s="0" t="n">
        <v>141</v>
      </c>
      <c r="D142" s="0" t="s">
        <v>348</v>
      </c>
      <c r="E142" s="0" t="s">
        <v>20</v>
      </c>
      <c r="H142" s="0" t="s">
        <v>21</v>
      </c>
      <c r="I142" s="2" t="s">
        <v>22</v>
      </c>
      <c r="J142" s="2" t="s">
        <v>23</v>
      </c>
      <c r="K142" s="0" t="s">
        <v>231</v>
      </c>
      <c r="L142" s="0" t="s">
        <v>25</v>
      </c>
      <c r="M142" s="0" t="s">
        <v>233</v>
      </c>
      <c r="N142" s="0" t="s">
        <v>349</v>
      </c>
      <c r="O142" s="0" t="n">
        <v>1</v>
      </c>
      <c r="R142" s="3"/>
      <c r="S142" s="2" t="s">
        <v>28</v>
      </c>
    </row>
    <row r="143" customFormat="false" ht="15" hidden="false" customHeight="false" outlineLevel="0" collapsed="false">
      <c r="A143" s="0" t="n">
        <v>142</v>
      </c>
      <c r="D143" s="0" t="s">
        <v>350</v>
      </c>
      <c r="E143" s="0" t="s">
        <v>20</v>
      </c>
      <c r="H143" s="0" t="s">
        <v>21</v>
      </c>
      <c r="I143" s="2" t="s">
        <v>22</v>
      </c>
      <c r="J143" s="2" t="s">
        <v>23</v>
      </c>
      <c r="K143" s="0" t="s">
        <v>231</v>
      </c>
      <c r="L143" s="0" t="s">
        <v>182</v>
      </c>
      <c r="M143" s="0" t="s">
        <v>233</v>
      </c>
      <c r="N143" s="0" t="s">
        <v>351</v>
      </c>
      <c r="O143" s="0" t="n">
        <v>1</v>
      </c>
      <c r="P143" s="0" t="s">
        <v>184</v>
      </c>
      <c r="R143" s="3"/>
      <c r="S143" s="2" t="s">
        <v>28</v>
      </c>
    </row>
    <row r="144" customFormat="false" ht="15" hidden="false" customHeight="false" outlineLevel="0" collapsed="false">
      <c r="A144" s="0" t="n">
        <v>143</v>
      </c>
      <c r="D144" s="0" t="s">
        <v>352</v>
      </c>
      <c r="E144" s="0" t="s">
        <v>20</v>
      </c>
      <c r="H144" s="0" t="s">
        <v>21</v>
      </c>
      <c r="I144" s="2" t="s">
        <v>22</v>
      </c>
      <c r="J144" s="2" t="s">
        <v>23</v>
      </c>
      <c r="K144" s="0" t="s">
        <v>231</v>
      </c>
      <c r="L144" s="0" t="s">
        <v>182</v>
      </c>
      <c r="M144" s="0" t="s">
        <v>233</v>
      </c>
      <c r="N144" s="0" t="s">
        <v>353</v>
      </c>
      <c r="O144" s="0" t="n">
        <v>1</v>
      </c>
      <c r="P144" s="0" t="s">
        <v>184</v>
      </c>
      <c r="R144" s="3"/>
      <c r="S144" s="2" t="s">
        <v>28</v>
      </c>
    </row>
    <row r="145" customFormat="false" ht="15" hidden="false" customHeight="false" outlineLevel="0" collapsed="false">
      <c r="A145" s="0" t="n">
        <v>144</v>
      </c>
      <c r="D145" s="0" t="s">
        <v>354</v>
      </c>
      <c r="E145" s="0" t="s">
        <v>68</v>
      </c>
      <c r="H145" s="0" t="s">
        <v>21</v>
      </c>
      <c r="I145" s="2" t="s">
        <v>22</v>
      </c>
      <c r="J145" s="2" t="s">
        <v>23</v>
      </c>
      <c r="K145" s="0" t="s">
        <v>231</v>
      </c>
      <c r="L145" s="0" t="s">
        <v>25</v>
      </c>
      <c r="M145" s="0" t="s">
        <v>233</v>
      </c>
      <c r="N145" s="0" t="s">
        <v>355</v>
      </c>
      <c r="O145" s="0" t="n">
        <v>1</v>
      </c>
      <c r="P145" s="0" t="s">
        <v>68</v>
      </c>
      <c r="R145" s="3"/>
      <c r="S145" s="2" t="s">
        <v>28</v>
      </c>
    </row>
    <row r="146" customFormat="false" ht="15" hidden="false" customHeight="false" outlineLevel="0" collapsed="false">
      <c r="A146" s="0" t="n">
        <v>145</v>
      </c>
      <c r="D146" s="0" t="s">
        <v>356</v>
      </c>
      <c r="E146" s="0" t="s">
        <v>20</v>
      </c>
      <c r="H146" s="0" t="s">
        <v>21</v>
      </c>
      <c r="I146" s="2" t="s">
        <v>22</v>
      </c>
      <c r="J146" s="2" t="s">
        <v>23</v>
      </c>
      <c r="K146" s="0" t="s">
        <v>231</v>
      </c>
      <c r="L146" s="0" t="s">
        <v>182</v>
      </c>
      <c r="M146" s="0" t="s">
        <v>233</v>
      </c>
      <c r="N146" s="0" t="s">
        <v>357</v>
      </c>
      <c r="O146" s="0" t="n">
        <v>1</v>
      </c>
      <c r="P146" s="0" t="s">
        <v>184</v>
      </c>
      <c r="R146" s="3"/>
      <c r="S146" s="2" t="s">
        <v>28</v>
      </c>
    </row>
    <row r="147" customFormat="false" ht="15" hidden="false" customHeight="false" outlineLevel="0" collapsed="false">
      <c r="A147" s="0" t="n">
        <v>146</v>
      </c>
      <c r="D147" s="0" t="s">
        <v>358</v>
      </c>
      <c r="E147" s="0" t="s">
        <v>20</v>
      </c>
      <c r="H147" s="0" t="s">
        <v>21</v>
      </c>
      <c r="I147" s="2" t="s">
        <v>22</v>
      </c>
      <c r="J147" s="2" t="s">
        <v>23</v>
      </c>
      <c r="K147" s="0" t="s">
        <v>231</v>
      </c>
      <c r="L147" s="0" t="s">
        <v>25</v>
      </c>
      <c r="M147" s="0" t="s">
        <v>233</v>
      </c>
      <c r="N147" s="0" t="s">
        <v>359</v>
      </c>
      <c r="O147" s="0" t="n">
        <v>1</v>
      </c>
      <c r="R147" s="3"/>
      <c r="S147" s="2" t="s">
        <v>28</v>
      </c>
    </row>
    <row r="148" customFormat="false" ht="15" hidden="false" customHeight="false" outlineLevel="0" collapsed="false">
      <c r="A148" s="0" t="n">
        <v>147</v>
      </c>
      <c r="D148" s="0" t="s">
        <v>360</v>
      </c>
      <c r="E148" s="0" t="s">
        <v>20</v>
      </c>
      <c r="H148" s="0" t="s">
        <v>21</v>
      </c>
      <c r="I148" s="2" t="s">
        <v>22</v>
      </c>
      <c r="J148" s="2" t="s">
        <v>23</v>
      </c>
      <c r="K148" s="0" t="s">
        <v>231</v>
      </c>
      <c r="L148" s="0" t="s">
        <v>361</v>
      </c>
      <c r="M148" s="0" t="s">
        <v>233</v>
      </c>
      <c r="N148" s="0" t="s">
        <v>362</v>
      </c>
      <c r="O148" s="0" t="n">
        <v>1</v>
      </c>
      <c r="P148" s="0" t="s">
        <v>43</v>
      </c>
      <c r="Q148" s="0" t="s">
        <v>363</v>
      </c>
      <c r="R148" s="3"/>
      <c r="S148" s="2" t="s">
        <v>364</v>
      </c>
    </row>
    <row r="149" customFormat="false" ht="15" hidden="false" customHeight="false" outlineLevel="0" collapsed="false">
      <c r="A149" s="0" t="n">
        <v>148</v>
      </c>
      <c r="D149" s="0" t="s">
        <v>365</v>
      </c>
      <c r="E149" s="0" t="s">
        <v>20</v>
      </c>
      <c r="H149" s="0" t="s">
        <v>21</v>
      </c>
      <c r="I149" s="2" t="s">
        <v>22</v>
      </c>
      <c r="J149" s="2" t="s">
        <v>23</v>
      </c>
      <c r="K149" s="0" t="s">
        <v>231</v>
      </c>
      <c r="L149" s="0" t="s">
        <v>182</v>
      </c>
      <c r="M149" s="0" t="s">
        <v>233</v>
      </c>
      <c r="N149" s="0" t="s">
        <v>366</v>
      </c>
      <c r="O149" s="0" t="n">
        <v>1</v>
      </c>
      <c r="P149" s="0" t="s">
        <v>184</v>
      </c>
      <c r="R149" s="3"/>
      <c r="S149" s="2" t="s">
        <v>28</v>
      </c>
    </row>
    <row r="150" customFormat="false" ht="15" hidden="false" customHeight="false" outlineLevel="0" collapsed="false">
      <c r="A150" s="0" t="n">
        <v>149</v>
      </c>
      <c r="D150" s="0" t="s">
        <v>367</v>
      </c>
      <c r="E150" s="0" t="s">
        <v>173</v>
      </c>
      <c r="H150" s="0" t="s">
        <v>21</v>
      </c>
      <c r="I150" s="2" t="s">
        <v>22</v>
      </c>
      <c r="J150" s="2" t="s">
        <v>23</v>
      </c>
      <c r="K150" s="0" t="s">
        <v>231</v>
      </c>
      <c r="L150" s="0" t="s">
        <v>25</v>
      </c>
      <c r="M150" s="0" t="s">
        <v>233</v>
      </c>
      <c r="N150" s="0" t="s">
        <v>368</v>
      </c>
      <c r="O150" s="0" t="n">
        <v>1</v>
      </c>
      <c r="P150" s="0" t="s">
        <v>173</v>
      </c>
      <c r="R150" s="3"/>
      <c r="S150" s="2" t="s">
        <v>28</v>
      </c>
    </row>
    <row r="151" customFormat="false" ht="15" hidden="false" customHeight="false" outlineLevel="0" collapsed="false">
      <c r="A151" s="0" t="n">
        <v>150</v>
      </c>
      <c r="D151" s="0" t="s">
        <v>369</v>
      </c>
      <c r="E151" s="0" t="s">
        <v>20</v>
      </c>
      <c r="H151" s="0" t="s">
        <v>21</v>
      </c>
      <c r="I151" s="2" t="s">
        <v>22</v>
      </c>
      <c r="J151" s="2" t="s">
        <v>23</v>
      </c>
      <c r="K151" s="0" t="s">
        <v>231</v>
      </c>
      <c r="L151" s="0" t="s">
        <v>25</v>
      </c>
      <c r="M151" s="0" t="s">
        <v>233</v>
      </c>
      <c r="N151" s="0" t="s">
        <v>370</v>
      </c>
      <c r="O151" s="0" t="n">
        <v>1</v>
      </c>
      <c r="P151" s="0" t="s">
        <v>43</v>
      </c>
      <c r="R151" s="3"/>
      <c r="S151" s="2" t="s">
        <v>28</v>
      </c>
    </row>
    <row r="152" customFormat="false" ht="15" hidden="false" customHeight="false" outlineLevel="0" collapsed="false">
      <c r="A152" s="0" t="n">
        <v>151</v>
      </c>
      <c r="D152" s="0" t="s">
        <v>371</v>
      </c>
      <c r="E152" s="0" t="s">
        <v>20</v>
      </c>
      <c r="H152" s="0" t="s">
        <v>21</v>
      </c>
      <c r="I152" s="2" t="s">
        <v>22</v>
      </c>
      <c r="J152" s="2" t="s">
        <v>23</v>
      </c>
      <c r="K152" s="0" t="s">
        <v>231</v>
      </c>
      <c r="L152" s="0" t="s">
        <v>25</v>
      </c>
      <c r="M152" s="0" t="s">
        <v>233</v>
      </c>
      <c r="N152" s="0" t="s">
        <v>372</v>
      </c>
      <c r="O152" s="0" t="n">
        <v>1</v>
      </c>
      <c r="R152" s="3"/>
      <c r="S152" s="2" t="s">
        <v>28</v>
      </c>
    </row>
    <row r="153" customFormat="false" ht="15" hidden="false" customHeight="false" outlineLevel="0" collapsed="false">
      <c r="A153" s="0" t="n">
        <v>152</v>
      </c>
      <c r="D153" s="0" t="s">
        <v>373</v>
      </c>
      <c r="E153" s="0" t="s">
        <v>268</v>
      </c>
      <c r="H153" s="0" t="s">
        <v>21</v>
      </c>
      <c r="I153" s="2" t="s">
        <v>22</v>
      </c>
      <c r="J153" s="2" t="s">
        <v>23</v>
      </c>
      <c r="K153" s="0" t="s">
        <v>231</v>
      </c>
      <c r="L153" s="0" t="s">
        <v>25</v>
      </c>
      <c r="M153" s="0" t="s">
        <v>233</v>
      </c>
      <c r="N153" s="0" t="s">
        <v>374</v>
      </c>
      <c r="O153" s="0" t="n">
        <v>1</v>
      </c>
      <c r="P153" s="0" t="s">
        <v>293</v>
      </c>
      <c r="R153" s="3"/>
      <c r="S153" s="2" t="s">
        <v>28</v>
      </c>
    </row>
    <row r="154" customFormat="false" ht="15" hidden="false" customHeight="false" outlineLevel="0" collapsed="false">
      <c r="A154" s="0" t="n">
        <v>153</v>
      </c>
      <c r="D154" s="0" t="s">
        <v>375</v>
      </c>
      <c r="E154" s="0" t="s">
        <v>376</v>
      </c>
      <c r="H154" s="0" t="s">
        <v>21</v>
      </c>
      <c r="I154" s="2" t="s">
        <v>22</v>
      </c>
      <c r="J154" s="2" t="s">
        <v>23</v>
      </c>
      <c r="K154" s="0" t="s">
        <v>231</v>
      </c>
      <c r="L154" s="0" t="s">
        <v>25</v>
      </c>
      <c r="M154" s="0" t="s">
        <v>233</v>
      </c>
      <c r="N154" s="0" t="s">
        <v>377</v>
      </c>
      <c r="O154" s="0" t="n">
        <v>1</v>
      </c>
      <c r="P154" s="0" t="s">
        <v>376</v>
      </c>
      <c r="R154" s="3"/>
      <c r="S154" s="2" t="s">
        <v>28</v>
      </c>
    </row>
    <row r="155" customFormat="false" ht="15" hidden="false" customHeight="false" outlineLevel="0" collapsed="false">
      <c r="A155" s="0" t="n">
        <v>154</v>
      </c>
      <c r="D155" s="0" t="s">
        <v>378</v>
      </c>
      <c r="E155" s="0" t="s">
        <v>20</v>
      </c>
      <c r="H155" s="0" t="s">
        <v>21</v>
      </c>
      <c r="I155" s="2" t="s">
        <v>22</v>
      </c>
      <c r="J155" s="2" t="s">
        <v>23</v>
      </c>
      <c r="K155" s="0" t="s">
        <v>231</v>
      </c>
      <c r="L155" s="0" t="s">
        <v>25</v>
      </c>
      <c r="M155" s="0" t="s">
        <v>233</v>
      </c>
      <c r="N155" s="0" t="s">
        <v>379</v>
      </c>
      <c r="O155" s="0" t="n">
        <v>1</v>
      </c>
      <c r="R155" s="3"/>
      <c r="S155" s="2" t="s">
        <v>28</v>
      </c>
    </row>
    <row r="156" customFormat="false" ht="15" hidden="false" customHeight="false" outlineLevel="0" collapsed="false">
      <c r="A156" s="0" t="n">
        <v>155</v>
      </c>
      <c r="D156" s="0" t="s">
        <v>380</v>
      </c>
      <c r="E156" s="0" t="s">
        <v>20</v>
      </c>
      <c r="H156" s="0" t="s">
        <v>21</v>
      </c>
      <c r="I156" s="2" t="s">
        <v>22</v>
      </c>
      <c r="J156" s="2" t="s">
        <v>23</v>
      </c>
      <c r="K156" s="0" t="s">
        <v>231</v>
      </c>
      <c r="L156" s="0" t="s">
        <v>25</v>
      </c>
      <c r="M156" s="0" t="s">
        <v>233</v>
      </c>
      <c r="N156" s="0" t="s">
        <v>381</v>
      </c>
      <c r="O156" s="0" t="n">
        <v>1</v>
      </c>
      <c r="R156" s="3"/>
      <c r="S156" s="2" t="s">
        <v>28</v>
      </c>
    </row>
    <row r="157" customFormat="false" ht="15" hidden="false" customHeight="false" outlineLevel="0" collapsed="false">
      <c r="A157" s="0" t="n">
        <v>156</v>
      </c>
      <c r="D157" s="0" t="s">
        <v>382</v>
      </c>
      <c r="E157" s="0" t="s">
        <v>268</v>
      </c>
      <c r="H157" s="0" t="s">
        <v>21</v>
      </c>
      <c r="I157" s="2" t="s">
        <v>22</v>
      </c>
      <c r="J157" s="2" t="s">
        <v>23</v>
      </c>
      <c r="K157" s="0" t="s">
        <v>231</v>
      </c>
      <c r="L157" s="0" t="s">
        <v>25</v>
      </c>
      <c r="M157" s="0" t="s">
        <v>233</v>
      </c>
      <c r="N157" s="0" t="s">
        <v>383</v>
      </c>
      <c r="O157" s="0" t="n">
        <v>1</v>
      </c>
      <c r="P157" s="0" t="s">
        <v>293</v>
      </c>
      <c r="R157" s="3"/>
      <c r="S157" s="2" t="s">
        <v>28</v>
      </c>
    </row>
    <row r="158" customFormat="false" ht="15" hidden="false" customHeight="false" outlineLevel="0" collapsed="false">
      <c r="A158" s="0" t="n">
        <v>157</v>
      </c>
      <c r="D158" s="0" t="s">
        <v>384</v>
      </c>
      <c r="E158" s="0" t="s">
        <v>20</v>
      </c>
      <c r="H158" s="0" t="s">
        <v>21</v>
      </c>
      <c r="I158" s="2" t="s">
        <v>22</v>
      </c>
      <c r="J158" s="2" t="s">
        <v>23</v>
      </c>
      <c r="K158" s="0" t="s">
        <v>231</v>
      </c>
      <c r="L158" s="0" t="s">
        <v>25</v>
      </c>
      <c r="M158" s="0" t="s">
        <v>233</v>
      </c>
      <c r="N158" s="0" t="s">
        <v>385</v>
      </c>
      <c r="O158" s="0" t="n">
        <v>1</v>
      </c>
      <c r="R158" s="3"/>
      <c r="S158" s="2" t="s">
        <v>28</v>
      </c>
    </row>
    <row r="159" customFormat="false" ht="15" hidden="false" customHeight="false" outlineLevel="0" collapsed="false">
      <c r="A159" s="0" t="n">
        <v>158</v>
      </c>
      <c r="D159" s="0" t="s">
        <v>386</v>
      </c>
      <c r="E159" s="0" t="s">
        <v>387</v>
      </c>
      <c r="H159" s="0" t="s">
        <v>21</v>
      </c>
      <c r="I159" s="2" t="s">
        <v>22</v>
      </c>
      <c r="J159" s="2" t="s">
        <v>23</v>
      </c>
      <c r="K159" s="0" t="s">
        <v>231</v>
      </c>
      <c r="L159" s="0" t="s">
        <v>25</v>
      </c>
      <c r="M159" s="0" t="s">
        <v>233</v>
      </c>
      <c r="N159" s="0" t="s">
        <v>388</v>
      </c>
      <c r="O159" s="0" t="n">
        <v>1</v>
      </c>
      <c r="P159" s="0" t="s">
        <v>387</v>
      </c>
      <c r="R159" s="3"/>
      <c r="S159" s="2" t="s">
        <v>28</v>
      </c>
    </row>
    <row r="160" customFormat="false" ht="15" hidden="false" customHeight="false" outlineLevel="0" collapsed="false">
      <c r="A160" s="0" t="n">
        <v>159</v>
      </c>
      <c r="D160" s="0" t="s">
        <v>389</v>
      </c>
      <c r="E160" s="0" t="s">
        <v>20</v>
      </c>
      <c r="H160" s="0" t="s">
        <v>21</v>
      </c>
      <c r="I160" s="2" t="s">
        <v>22</v>
      </c>
      <c r="J160" s="2" t="s">
        <v>23</v>
      </c>
      <c r="K160" s="0" t="s">
        <v>231</v>
      </c>
      <c r="L160" s="0" t="s">
        <v>25</v>
      </c>
      <c r="M160" s="0" t="s">
        <v>233</v>
      </c>
      <c r="N160" s="0" t="s">
        <v>390</v>
      </c>
      <c r="O160" s="0" t="n">
        <v>1</v>
      </c>
      <c r="R160" s="3"/>
      <c r="S160" s="2" t="s">
        <v>28</v>
      </c>
    </row>
    <row r="161" customFormat="false" ht="15" hidden="false" customHeight="false" outlineLevel="0" collapsed="false">
      <c r="A161" s="0" t="n">
        <v>160</v>
      </c>
      <c r="D161" s="0" t="s">
        <v>391</v>
      </c>
      <c r="E161" s="0" t="s">
        <v>20</v>
      </c>
      <c r="H161" s="0" t="s">
        <v>21</v>
      </c>
      <c r="I161" s="2" t="s">
        <v>22</v>
      </c>
      <c r="J161" s="2" t="s">
        <v>23</v>
      </c>
      <c r="K161" s="0" t="s">
        <v>231</v>
      </c>
      <c r="L161" s="0" t="s">
        <v>25</v>
      </c>
      <c r="M161" s="0" t="s">
        <v>233</v>
      </c>
      <c r="N161" s="0" t="s">
        <v>392</v>
      </c>
      <c r="O161" s="0" t="n">
        <v>1</v>
      </c>
      <c r="R161" s="3"/>
      <c r="S161" s="2" t="s">
        <v>28</v>
      </c>
    </row>
    <row r="162" customFormat="false" ht="15" hidden="false" customHeight="false" outlineLevel="0" collapsed="false">
      <c r="A162" s="0" t="n">
        <v>161</v>
      </c>
      <c r="D162" s="0" t="s">
        <v>393</v>
      </c>
      <c r="E162" s="0" t="s">
        <v>20</v>
      </c>
      <c r="H162" s="0" t="s">
        <v>21</v>
      </c>
      <c r="I162" s="2" t="s">
        <v>22</v>
      </c>
      <c r="J162" s="2" t="s">
        <v>23</v>
      </c>
      <c r="K162" s="0" t="s">
        <v>231</v>
      </c>
      <c r="L162" s="0" t="s">
        <v>182</v>
      </c>
      <c r="M162" s="0" t="s">
        <v>233</v>
      </c>
      <c r="N162" s="0" t="s">
        <v>394</v>
      </c>
      <c r="O162" s="0" t="n">
        <v>1</v>
      </c>
      <c r="P162" s="0" t="s">
        <v>184</v>
      </c>
      <c r="R162" s="3"/>
      <c r="S162" s="2" t="s">
        <v>28</v>
      </c>
    </row>
    <row r="163" customFormat="false" ht="15" hidden="false" customHeight="false" outlineLevel="0" collapsed="false">
      <c r="A163" s="0" t="n">
        <v>162</v>
      </c>
      <c r="D163" s="0" t="s">
        <v>395</v>
      </c>
      <c r="E163" s="0" t="s">
        <v>20</v>
      </c>
      <c r="H163" s="0" t="s">
        <v>21</v>
      </c>
      <c r="I163" s="2" t="s">
        <v>22</v>
      </c>
      <c r="J163" s="2" t="s">
        <v>23</v>
      </c>
      <c r="K163" s="0" t="s">
        <v>231</v>
      </c>
      <c r="L163" s="0" t="s">
        <v>25</v>
      </c>
      <c r="M163" s="0" t="s">
        <v>233</v>
      </c>
      <c r="N163" s="0" t="s">
        <v>396</v>
      </c>
      <c r="O163" s="0" t="n">
        <v>1</v>
      </c>
      <c r="R163" s="3"/>
      <c r="S163" s="2" t="s">
        <v>28</v>
      </c>
    </row>
    <row r="164" customFormat="false" ht="15" hidden="false" customHeight="false" outlineLevel="0" collapsed="false">
      <c r="A164" s="0" t="n">
        <v>163</v>
      </c>
      <c r="D164" s="0" t="s">
        <v>397</v>
      </c>
      <c r="E164" s="0" t="s">
        <v>20</v>
      </c>
      <c r="H164" s="0" t="s">
        <v>21</v>
      </c>
      <c r="I164" s="2" t="s">
        <v>22</v>
      </c>
      <c r="J164" s="2" t="s">
        <v>23</v>
      </c>
      <c r="K164" s="0" t="s">
        <v>231</v>
      </c>
      <c r="L164" s="0" t="s">
        <v>25</v>
      </c>
      <c r="M164" s="0" t="s">
        <v>233</v>
      </c>
      <c r="N164" s="0" t="s">
        <v>398</v>
      </c>
      <c r="O164" s="0" t="n">
        <v>1</v>
      </c>
      <c r="R164" s="3"/>
      <c r="S164" s="2" t="s">
        <v>28</v>
      </c>
    </row>
    <row r="165" customFormat="false" ht="15" hidden="false" customHeight="false" outlineLevel="0" collapsed="false">
      <c r="A165" s="0" t="n">
        <v>164</v>
      </c>
      <c r="D165" s="0" t="s">
        <v>399</v>
      </c>
      <c r="E165" s="0" t="s">
        <v>268</v>
      </c>
      <c r="H165" s="0" t="s">
        <v>21</v>
      </c>
      <c r="I165" s="2" t="s">
        <v>22</v>
      </c>
      <c r="J165" s="2" t="s">
        <v>23</v>
      </c>
      <c r="K165" s="0" t="s">
        <v>231</v>
      </c>
      <c r="L165" s="0" t="s">
        <v>25</v>
      </c>
      <c r="M165" s="0" t="s">
        <v>233</v>
      </c>
      <c r="N165" s="0" t="s">
        <v>400</v>
      </c>
      <c r="O165" s="0" t="n">
        <v>1</v>
      </c>
      <c r="P165" s="0" t="s">
        <v>268</v>
      </c>
      <c r="R165" s="3"/>
      <c r="S165" s="2" t="s">
        <v>28</v>
      </c>
    </row>
    <row r="166" customFormat="false" ht="15" hidden="false" customHeight="false" outlineLevel="0" collapsed="false">
      <c r="A166" s="0" t="n">
        <v>165</v>
      </c>
      <c r="D166" s="0" t="s">
        <v>401</v>
      </c>
      <c r="E166" s="0" t="s">
        <v>68</v>
      </c>
      <c r="H166" s="0" t="s">
        <v>21</v>
      </c>
      <c r="I166" s="2" t="s">
        <v>22</v>
      </c>
      <c r="J166" s="2" t="s">
        <v>23</v>
      </c>
      <c r="K166" s="0" t="s">
        <v>231</v>
      </c>
      <c r="L166" s="0" t="s">
        <v>25</v>
      </c>
      <c r="M166" s="0" t="s">
        <v>233</v>
      </c>
      <c r="N166" s="0" t="s">
        <v>402</v>
      </c>
      <c r="O166" s="0" t="n">
        <v>1</v>
      </c>
      <c r="P166" s="0" t="s">
        <v>68</v>
      </c>
      <c r="R166" s="3"/>
      <c r="S166" s="2" t="s">
        <v>28</v>
      </c>
    </row>
    <row r="167" customFormat="false" ht="15" hidden="false" customHeight="false" outlineLevel="0" collapsed="false">
      <c r="A167" s="0" t="n">
        <v>166</v>
      </c>
      <c r="D167" s="0" t="s">
        <v>403</v>
      </c>
      <c r="E167" s="0" t="s">
        <v>268</v>
      </c>
      <c r="H167" s="0" t="s">
        <v>21</v>
      </c>
      <c r="I167" s="2" t="s">
        <v>22</v>
      </c>
      <c r="J167" s="2" t="s">
        <v>23</v>
      </c>
      <c r="K167" s="0" t="s">
        <v>231</v>
      </c>
      <c r="L167" s="0" t="s">
        <v>25</v>
      </c>
      <c r="M167" s="0" t="s">
        <v>233</v>
      </c>
      <c r="N167" s="0" t="s">
        <v>404</v>
      </c>
      <c r="O167" s="0" t="n">
        <v>1</v>
      </c>
      <c r="P167" s="0" t="s">
        <v>268</v>
      </c>
      <c r="R167" s="3"/>
      <c r="S167" s="2" t="s">
        <v>28</v>
      </c>
    </row>
    <row r="168" customFormat="false" ht="15" hidden="false" customHeight="false" outlineLevel="0" collapsed="false">
      <c r="A168" s="0" t="n">
        <v>167</v>
      </c>
      <c r="D168" s="0" t="s">
        <v>405</v>
      </c>
      <c r="E168" s="0" t="s">
        <v>20</v>
      </c>
      <c r="H168" s="0" t="s">
        <v>21</v>
      </c>
      <c r="I168" s="2" t="s">
        <v>22</v>
      </c>
      <c r="J168" s="2" t="s">
        <v>23</v>
      </c>
      <c r="K168" s="0" t="s">
        <v>231</v>
      </c>
      <c r="L168" s="0" t="s">
        <v>182</v>
      </c>
      <c r="M168" s="0" t="s">
        <v>233</v>
      </c>
      <c r="N168" s="0" t="s">
        <v>406</v>
      </c>
      <c r="O168" s="0" t="n">
        <v>1</v>
      </c>
      <c r="P168" s="0" t="s">
        <v>184</v>
      </c>
      <c r="R168" s="3"/>
      <c r="S168" s="2" t="s">
        <v>28</v>
      </c>
    </row>
    <row r="169" customFormat="false" ht="15" hidden="false" customHeight="false" outlineLevel="0" collapsed="false">
      <c r="A169" s="0" t="n">
        <v>168</v>
      </c>
      <c r="D169" s="0" t="s">
        <v>407</v>
      </c>
      <c r="E169" s="0" t="s">
        <v>20</v>
      </c>
      <c r="H169" s="0" t="s">
        <v>21</v>
      </c>
      <c r="I169" s="2" t="s">
        <v>22</v>
      </c>
      <c r="J169" s="2" t="s">
        <v>23</v>
      </c>
      <c r="K169" s="0" t="s">
        <v>231</v>
      </c>
      <c r="L169" s="0" t="s">
        <v>25</v>
      </c>
      <c r="M169" s="0" t="s">
        <v>233</v>
      </c>
      <c r="N169" s="0" t="s">
        <v>408</v>
      </c>
      <c r="O169" s="0" t="n">
        <v>1</v>
      </c>
      <c r="R169" s="3"/>
      <c r="S169" s="2" t="s">
        <v>28</v>
      </c>
    </row>
    <row r="170" customFormat="false" ht="15" hidden="false" customHeight="false" outlineLevel="0" collapsed="false">
      <c r="A170" s="0" t="n">
        <v>169</v>
      </c>
      <c r="D170" s="0" t="s">
        <v>409</v>
      </c>
      <c r="E170" s="0" t="s">
        <v>410</v>
      </c>
      <c r="H170" s="0" t="s">
        <v>21</v>
      </c>
      <c r="I170" s="2" t="s">
        <v>22</v>
      </c>
      <c r="J170" s="2" t="s">
        <v>23</v>
      </c>
      <c r="K170" s="0" t="s">
        <v>231</v>
      </c>
      <c r="L170" s="0" t="s">
        <v>25</v>
      </c>
      <c r="M170" s="0" t="s">
        <v>233</v>
      </c>
      <c r="N170" s="0" t="s">
        <v>411</v>
      </c>
      <c r="O170" s="0" t="n">
        <v>1</v>
      </c>
      <c r="P170" s="0" t="s">
        <v>410</v>
      </c>
      <c r="R170" s="3"/>
      <c r="S170" s="2" t="s">
        <v>28</v>
      </c>
    </row>
    <row r="171" customFormat="false" ht="15" hidden="false" customHeight="false" outlineLevel="0" collapsed="false">
      <c r="A171" s="0" t="n">
        <v>170</v>
      </c>
      <c r="D171" s="0" t="s">
        <v>412</v>
      </c>
      <c r="E171" s="0" t="s">
        <v>20</v>
      </c>
      <c r="F171" s="0" t="s">
        <v>413</v>
      </c>
      <c r="H171" s="0" t="s">
        <v>21</v>
      </c>
      <c r="I171" s="2" t="s">
        <v>22</v>
      </c>
      <c r="J171" s="2" t="s">
        <v>23</v>
      </c>
      <c r="K171" s="0" t="s">
        <v>231</v>
      </c>
      <c r="L171" s="0" t="s">
        <v>414</v>
      </c>
      <c r="M171" s="0" t="s">
        <v>233</v>
      </c>
      <c r="N171" s="0" t="s">
        <v>415</v>
      </c>
      <c r="O171" s="0" t="n">
        <v>1</v>
      </c>
      <c r="Q171" s="0" t="s">
        <v>416</v>
      </c>
      <c r="R171" s="3" t="s">
        <v>417</v>
      </c>
      <c r="S171" s="2" t="s">
        <v>418</v>
      </c>
    </row>
    <row r="172" customFormat="false" ht="15" hidden="false" customHeight="false" outlineLevel="0" collapsed="false">
      <c r="A172" s="0" t="n">
        <v>171</v>
      </c>
      <c r="D172" s="0" t="s">
        <v>419</v>
      </c>
      <c r="E172" s="0" t="s">
        <v>20</v>
      </c>
      <c r="H172" s="0" t="s">
        <v>21</v>
      </c>
      <c r="I172" s="2" t="s">
        <v>22</v>
      </c>
      <c r="J172" s="2" t="s">
        <v>23</v>
      </c>
      <c r="K172" s="0" t="s">
        <v>231</v>
      </c>
      <c r="L172" s="0" t="s">
        <v>420</v>
      </c>
      <c r="M172" s="0" t="s">
        <v>233</v>
      </c>
      <c r="N172" s="0" t="s">
        <v>421</v>
      </c>
      <c r="O172" s="0" t="n">
        <v>1</v>
      </c>
      <c r="P172" s="0" t="s">
        <v>422</v>
      </c>
      <c r="R172" s="3"/>
      <c r="S172" s="2" t="s">
        <v>28</v>
      </c>
    </row>
    <row r="173" customFormat="false" ht="15" hidden="false" customHeight="false" outlineLevel="0" collapsed="false">
      <c r="A173" s="0" t="n">
        <v>172</v>
      </c>
      <c r="D173" s="0" t="s">
        <v>423</v>
      </c>
      <c r="E173" s="0" t="s">
        <v>20</v>
      </c>
      <c r="H173" s="0" t="s">
        <v>21</v>
      </c>
      <c r="I173" s="2" t="s">
        <v>22</v>
      </c>
      <c r="J173" s="2" t="s">
        <v>23</v>
      </c>
      <c r="K173" s="0" t="s">
        <v>231</v>
      </c>
      <c r="L173" s="0" t="s">
        <v>25</v>
      </c>
      <c r="M173" s="0" t="s">
        <v>233</v>
      </c>
      <c r="N173" s="0" t="s">
        <v>424</v>
      </c>
      <c r="O173" s="0" t="n">
        <v>1</v>
      </c>
      <c r="R173" s="3"/>
      <c r="S173" s="2" t="s">
        <v>28</v>
      </c>
    </row>
    <row r="174" customFormat="false" ht="15" hidden="false" customHeight="false" outlineLevel="0" collapsed="false">
      <c r="A174" s="0" t="n">
        <v>173</v>
      </c>
      <c r="D174" s="0" t="s">
        <v>425</v>
      </c>
      <c r="E174" s="0" t="s">
        <v>20</v>
      </c>
      <c r="H174" s="0" t="s">
        <v>21</v>
      </c>
      <c r="I174" s="2" t="s">
        <v>22</v>
      </c>
      <c r="J174" s="2" t="s">
        <v>23</v>
      </c>
      <c r="K174" s="0" t="s">
        <v>231</v>
      </c>
      <c r="L174" s="0" t="s">
        <v>182</v>
      </c>
      <c r="M174" s="0" t="s">
        <v>233</v>
      </c>
      <c r="N174" s="0" t="s">
        <v>426</v>
      </c>
      <c r="O174" s="0" t="n">
        <v>1</v>
      </c>
      <c r="P174" s="0" t="s">
        <v>184</v>
      </c>
      <c r="R174" s="3"/>
      <c r="S174" s="2" t="s">
        <v>28</v>
      </c>
    </row>
    <row r="175" customFormat="false" ht="15" hidden="false" customHeight="false" outlineLevel="0" collapsed="false">
      <c r="A175" s="0" t="n">
        <v>174</v>
      </c>
      <c r="D175" s="0" t="s">
        <v>427</v>
      </c>
      <c r="E175" s="0" t="s">
        <v>20</v>
      </c>
      <c r="H175" s="0" t="s">
        <v>21</v>
      </c>
      <c r="I175" s="2" t="s">
        <v>22</v>
      </c>
      <c r="J175" s="2" t="s">
        <v>23</v>
      </c>
      <c r="K175" s="0" t="s">
        <v>231</v>
      </c>
      <c r="L175" s="0" t="s">
        <v>25</v>
      </c>
      <c r="M175" s="0" t="s">
        <v>233</v>
      </c>
      <c r="N175" s="0" t="s">
        <v>428</v>
      </c>
      <c r="O175" s="0" t="n">
        <v>1</v>
      </c>
      <c r="P175" s="0" t="s">
        <v>43</v>
      </c>
      <c r="R175" s="3"/>
      <c r="S175" s="2" t="s">
        <v>28</v>
      </c>
    </row>
    <row r="176" customFormat="false" ht="15" hidden="false" customHeight="false" outlineLevel="0" collapsed="false">
      <c r="A176" s="0" t="n">
        <v>175</v>
      </c>
      <c r="D176" s="0" t="s">
        <v>429</v>
      </c>
      <c r="E176" s="0" t="s">
        <v>20</v>
      </c>
      <c r="H176" s="0" t="s">
        <v>21</v>
      </c>
      <c r="I176" s="2" t="s">
        <v>22</v>
      </c>
      <c r="J176" s="2" t="s">
        <v>23</v>
      </c>
      <c r="K176" s="0" t="s">
        <v>231</v>
      </c>
      <c r="L176" s="0" t="s">
        <v>182</v>
      </c>
      <c r="M176" s="0" t="s">
        <v>233</v>
      </c>
      <c r="N176" s="0" t="s">
        <v>430</v>
      </c>
      <c r="O176" s="0" t="n">
        <v>1</v>
      </c>
      <c r="P176" s="0" t="s">
        <v>184</v>
      </c>
      <c r="R176" s="3"/>
      <c r="S176" s="2" t="s">
        <v>28</v>
      </c>
    </row>
    <row r="177" customFormat="false" ht="15" hidden="false" customHeight="false" outlineLevel="0" collapsed="false">
      <c r="A177" s="0" t="n">
        <v>176</v>
      </c>
      <c r="D177" s="0" t="s">
        <v>431</v>
      </c>
      <c r="E177" s="0" t="s">
        <v>20</v>
      </c>
      <c r="H177" s="0" t="s">
        <v>21</v>
      </c>
      <c r="I177" s="2" t="s">
        <v>22</v>
      </c>
      <c r="J177" s="2" t="s">
        <v>23</v>
      </c>
      <c r="K177" s="0" t="s">
        <v>231</v>
      </c>
      <c r="L177" s="0" t="s">
        <v>182</v>
      </c>
      <c r="M177" s="0" t="s">
        <v>233</v>
      </c>
      <c r="N177" s="0" t="s">
        <v>432</v>
      </c>
      <c r="O177" s="0" t="n">
        <v>1</v>
      </c>
      <c r="P177" s="0" t="s">
        <v>184</v>
      </c>
      <c r="R177" s="3"/>
      <c r="S177" s="2" t="s">
        <v>28</v>
      </c>
    </row>
    <row r="178" customFormat="false" ht="15" hidden="false" customHeight="false" outlineLevel="0" collapsed="false">
      <c r="A178" s="0" t="n">
        <v>177</v>
      </c>
      <c r="D178" s="0" t="s">
        <v>433</v>
      </c>
      <c r="E178" s="0" t="s">
        <v>20</v>
      </c>
      <c r="H178" s="0" t="s">
        <v>21</v>
      </c>
      <c r="I178" s="2" t="s">
        <v>22</v>
      </c>
      <c r="J178" s="2" t="s">
        <v>23</v>
      </c>
      <c r="K178" s="0" t="s">
        <v>434</v>
      </c>
      <c r="L178" s="0" t="s">
        <v>25</v>
      </c>
      <c r="M178" s="0" t="s">
        <v>435</v>
      </c>
      <c r="N178" s="0" t="s">
        <v>436</v>
      </c>
      <c r="O178" s="0" t="n">
        <v>1</v>
      </c>
      <c r="R178" s="3"/>
      <c r="S178" s="2" t="s">
        <v>28</v>
      </c>
    </row>
    <row r="179" customFormat="false" ht="15" hidden="false" customHeight="false" outlineLevel="0" collapsed="false">
      <c r="A179" s="0" t="n">
        <v>178</v>
      </c>
      <c r="D179" s="0" t="s">
        <v>437</v>
      </c>
      <c r="E179" s="0" t="s">
        <v>68</v>
      </c>
      <c r="H179" s="0" t="s">
        <v>21</v>
      </c>
      <c r="I179" s="2" t="s">
        <v>22</v>
      </c>
      <c r="J179" s="2" t="s">
        <v>23</v>
      </c>
      <c r="K179" s="0" t="s">
        <v>434</v>
      </c>
      <c r="L179" s="0" t="s">
        <v>25</v>
      </c>
      <c r="M179" s="0" t="s">
        <v>435</v>
      </c>
      <c r="N179" s="0" t="s">
        <v>438</v>
      </c>
      <c r="O179" s="0" t="n">
        <v>1</v>
      </c>
      <c r="P179" s="0" t="s">
        <v>68</v>
      </c>
      <c r="R179" s="3"/>
      <c r="S179" s="2" t="s">
        <v>28</v>
      </c>
    </row>
    <row r="180" customFormat="false" ht="15" hidden="false" customHeight="false" outlineLevel="0" collapsed="false">
      <c r="A180" s="0" t="n">
        <v>179</v>
      </c>
      <c r="D180" s="0" t="s">
        <v>439</v>
      </c>
      <c r="E180" s="0" t="s">
        <v>376</v>
      </c>
      <c r="F180" s="0" t="s">
        <v>440</v>
      </c>
      <c r="H180" s="0" t="s">
        <v>21</v>
      </c>
      <c r="I180" s="2" t="s">
        <v>22</v>
      </c>
      <c r="J180" s="2" t="s">
        <v>23</v>
      </c>
      <c r="K180" s="0" t="s">
        <v>434</v>
      </c>
      <c r="L180" s="0" t="s">
        <v>441</v>
      </c>
      <c r="M180" s="0" t="s">
        <v>435</v>
      </c>
      <c r="N180" s="0" t="s">
        <v>442</v>
      </c>
      <c r="O180" s="0" t="n">
        <v>1</v>
      </c>
      <c r="P180" s="0" t="s">
        <v>376</v>
      </c>
      <c r="Q180" s="0" t="s">
        <v>443</v>
      </c>
      <c r="R180" s="3"/>
      <c r="S180" s="2" t="s">
        <v>444</v>
      </c>
    </row>
    <row r="181" customFormat="false" ht="15" hidden="false" customHeight="false" outlineLevel="0" collapsed="false">
      <c r="A181" s="0" t="n">
        <v>180</v>
      </c>
      <c r="D181" s="0" t="s">
        <v>445</v>
      </c>
      <c r="E181" s="0" t="s">
        <v>20</v>
      </c>
      <c r="H181" s="0" t="s">
        <v>21</v>
      </c>
      <c r="I181" s="2" t="s">
        <v>22</v>
      </c>
      <c r="J181" s="2" t="s">
        <v>23</v>
      </c>
      <c r="K181" s="0" t="s">
        <v>434</v>
      </c>
      <c r="L181" s="0" t="s">
        <v>25</v>
      </c>
      <c r="M181" s="0" t="s">
        <v>435</v>
      </c>
      <c r="N181" s="0" t="s">
        <v>446</v>
      </c>
      <c r="O181" s="0" t="n">
        <v>1</v>
      </c>
      <c r="R181" s="3"/>
      <c r="S181" s="2" t="s">
        <v>28</v>
      </c>
    </row>
    <row r="182" customFormat="false" ht="15" hidden="false" customHeight="false" outlineLevel="0" collapsed="false">
      <c r="A182" s="0" t="n">
        <v>181</v>
      </c>
      <c r="D182" s="0" t="s">
        <v>447</v>
      </c>
      <c r="E182" s="0" t="s">
        <v>268</v>
      </c>
      <c r="H182" s="0" t="s">
        <v>21</v>
      </c>
      <c r="I182" s="2" t="s">
        <v>22</v>
      </c>
      <c r="J182" s="2" t="s">
        <v>23</v>
      </c>
      <c r="K182" s="0" t="s">
        <v>434</v>
      </c>
      <c r="L182" s="0" t="s">
        <v>25</v>
      </c>
      <c r="M182" s="0" t="s">
        <v>435</v>
      </c>
      <c r="N182" s="0" t="s">
        <v>448</v>
      </c>
      <c r="O182" s="0" t="n">
        <v>1</v>
      </c>
      <c r="P182" s="0" t="s">
        <v>268</v>
      </c>
      <c r="R182" s="3"/>
      <c r="S182" s="2" t="s">
        <v>28</v>
      </c>
    </row>
    <row r="183" customFormat="false" ht="15" hidden="false" customHeight="false" outlineLevel="0" collapsed="false">
      <c r="A183" s="0" t="n">
        <v>182</v>
      </c>
      <c r="D183" s="0" t="s">
        <v>449</v>
      </c>
      <c r="E183" s="0" t="s">
        <v>20</v>
      </c>
      <c r="H183" s="0" t="s">
        <v>21</v>
      </c>
      <c r="I183" s="2" t="s">
        <v>22</v>
      </c>
      <c r="J183" s="2" t="s">
        <v>23</v>
      </c>
      <c r="K183" s="0" t="s">
        <v>434</v>
      </c>
      <c r="L183" s="0" t="s">
        <v>25</v>
      </c>
      <c r="M183" s="0" t="s">
        <v>435</v>
      </c>
      <c r="N183" s="0" t="s">
        <v>450</v>
      </c>
      <c r="O183" s="0" t="n">
        <v>1</v>
      </c>
      <c r="P183" s="0" t="s">
        <v>43</v>
      </c>
      <c r="R183" s="3"/>
      <c r="S183" s="2" t="s">
        <v>28</v>
      </c>
    </row>
    <row r="184" customFormat="false" ht="15" hidden="false" customHeight="false" outlineLevel="0" collapsed="false">
      <c r="A184" s="0" t="n">
        <v>183</v>
      </c>
      <c r="D184" s="0" t="s">
        <v>451</v>
      </c>
      <c r="E184" s="0" t="s">
        <v>20</v>
      </c>
      <c r="H184" s="0" t="s">
        <v>21</v>
      </c>
      <c r="I184" s="2" t="s">
        <v>22</v>
      </c>
      <c r="J184" s="2" t="s">
        <v>23</v>
      </c>
      <c r="K184" s="0" t="s">
        <v>434</v>
      </c>
      <c r="L184" s="0" t="s">
        <v>25</v>
      </c>
      <c r="M184" s="0" t="s">
        <v>435</v>
      </c>
      <c r="N184" s="0" t="s">
        <v>452</v>
      </c>
      <c r="O184" s="0" t="n">
        <v>1</v>
      </c>
      <c r="R184" s="3"/>
      <c r="S184" s="2" t="s">
        <v>28</v>
      </c>
    </row>
    <row r="185" customFormat="false" ht="15" hidden="false" customHeight="false" outlineLevel="0" collapsed="false">
      <c r="A185" s="0" t="n">
        <v>184</v>
      </c>
      <c r="D185" s="0" t="s">
        <v>453</v>
      </c>
      <c r="E185" s="0" t="s">
        <v>20</v>
      </c>
      <c r="F185" s="0" t="s">
        <v>454</v>
      </c>
      <c r="H185" s="0" t="s">
        <v>21</v>
      </c>
      <c r="I185" s="2" t="s">
        <v>22</v>
      </c>
      <c r="J185" s="2" t="s">
        <v>23</v>
      </c>
      <c r="K185" s="0" t="s">
        <v>434</v>
      </c>
      <c r="L185" s="0" t="s">
        <v>455</v>
      </c>
      <c r="M185" s="0" t="s">
        <v>435</v>
      </c>
      <c r="N185" s="0" t="s">
        <v>456</v>
      </c>
      <c r="O185" s="0" t="n">
        <v>1</v>
      </c>
      <c r="Q185" s="0" t="s">
        <v>457</v>
      </c>
      <c r="R185" s="3" t="s">
        <v>458</v>
      </c>
      <c r="S185" s="2" t="s">
        <v>459</v>
      </c>
    </row>
    <row r="186" customFormat="false" ht="15" hidden="false" customHeight="false" outlineLevel="0" collapsed="false">
      <c r="A186" s="0" t="n">
        <v>185</v>
      </c>
      <c r="D186" s="0" t="s">
        <v>460</v>
      </c>
      <c r="E186" s="0" t="s">
        <v>20</v>
      </c>
      <c r="H186" s="0" t="s">
        <v>21</v>
      </c>
      <c r="I186" s="2" t="s">
        <v>22</v>
      </c>
      <c r="J186" s="2" t="s">
        <v>23</v>
      </c>
      <c r="K186" s="0" t="s">
        <v>434</v>
      </c>
      <c r="L186" s="0" t="s">
        <v>25</v>
      </c>
      <c r="M186" s="0" t="s">
        <v>435</v>
      </c>
      <c r="N186" s="0" t="s">
        <v>461</v>
      </c>
      <c r="O186" s="0" t="n">
        <v>1</v>
      </c>
      <c r="R186" s="3"/>
      <c r="S186" s="2" t="s">
        <v>28</v>
      </c>
    </row>
    <row r="187" customFormat="false" ht="15" hidden="false" customHeight="false" outlineLevel="0" collapsed="false">
      <c r="A187" s="0" t="n">
        <v>186</v>
      </c>
      <c r="D187" s="0" t="s">
        <v>462</v>
      </c>
      <c r="E187" s="0" t="s">
        <v>20</v>
      </c>
      <c r="H187" s="0" t="s">
        <v>21</v>
      </c>
      <c r="I187" s="2" t="s">
        <v>22</v>
      </c>
      <c r="J187" s="2" t="s">
        <v>23</v>
      </c>
      <c r="K187" s="0" t="s">
        <v>434</v>
      </c>
      <c r="L187" s="0" t="s">
        <v>25</v>
      </c>
      <c r="M187" s="0" t="s">
        <v>435</v>
      </c>
      <c r="N187" s="0" t="s">
        <v>463</v>
      </c>
      <c r="O187" s="0" t="n">
        <v>1</v>
      </c>
      <c r="R187" s="3"/>
      <c r="S187" s="2" t="s">
        <v>28</v>
      </c>
    </row>
    <row r="188" customFormat="false" ht="15" hidden="false" customHeight="false" outlineLevel="0" collapsed="false">
      <c r="A188" s="0" t="n">
        <v>187</v>
      </c>
      <c r="D188" s="0" t="s">
        <v>464</v>
      </c>
      <c r="E188" s="0" t="s">
        <v>20</v>
      </c>
      <c r="H188" s="0" t="s">
        <v>21</v>
      </c>
      <c r="I188" s="2" t="s">
        <v>22</v>
      </c>
      <c r="J188" s="2" t="s">
        <v>23</v>
      </c>
      <c r="K188" s="0" t="s">
        <v>434</v>
      </c>
      <c r="L188" s="0" t="s">
        <v>182</v>
      </c>
      <c r="M188" s="0" t="s">
        <v>435</v>
      </c>
      <c r="N188" s="0" t="s">
        <v>465</v>
      </c>
      <c r="O188" s="0" t="n">
        <v>1</v>
      </c>
      <c r="P188" s="0" t="s">
        <v>184</v>
      </c>
      <c r="R188" s="3"/>
      <c r="S188" s="2" t="s">
        <v>28</v>
      </c>
    </row>
    <row r="189" customFormat="false" ht="15" hidden="false" customHeight="false" outlineLevel="0" collapsed="false">
      <c r="A189" s="0" t="n">
        <v>188</v>
      </c>
      <c r="D189" s="0" t="s">
        <v>466</v>
      </c>
      <c r="E189" s="0" t="s">
        <v>20</v>
      </c>
      <c r="H189" s="0" t="s">
        <v>21</v>
      </c>
      <c r="I189" s="2" t="s">
        <v>22</v>
      </c>
      <c r="J189" s="2" t="s">
        <v>23</v>
      </c>
      <c r="K189" s="0" t="s">
        <v>434</v>
      </c>
      <c r="L189" s="0" t="s">
        <v>25</v>
      </c>
      <c r="M189" s="0" t="s">
        <v>435</v>
      </c>
      <c r="N189" s="0" t="s">
        <v>467</v>
      </c>
      <c r="O189" s="0" t="n">
        <v>1</v>
      </c>
      <c r="R189" s="3"/>
      <c r="S189" s="2" t="s">
        <v>28</v>
      </c>
    </row>
    <row r="190" customFormat="false" ht="15" hidden="false" customHeight="false" outlineLevel="0" collapsed="false">
      <c r="A190" s="0" t="n">
        <v>189</v>
      </c>
      <c r="D190" s="0" t="s">
        <v>468</v>
      </c>
      <c r="E190" s="0" t="s">
        <v>20</v>
      </c>
      <c r="H190" s="0" t="s">
        <v>21</v>
      </c>
      <c r="I190" s="2" t="s">
        <v>22</v>
      </c>
      <c r="J190" s="2" t="s">
        <v>23</v>
      </c>
      <c r="K190" s="0" t="s">
        <v>434</v>
      </c>
      <c r="L190" s="0" t="s">
        <v>25</v>
      </c>
      <c r="M190" s="0" t="s">
        <v>435</v>
      </c>
      <c r="N190" s="0" t="s">
        <v>469</v>
      </c>
      <c r="O190" s="0" t="n">
        <v>1</v>
      </c>
      <c r="R190" s="3"/>
      <c r="S190" s="2" t="s">
        <v>28</v>
      </c>
    </row>
    <row r="191" customFormat="false" ht="15" hidden="false" customHeight="false" outlineLevel="0" collapsed="false">
      <c r="A191" s="0" t="n">
        <v>190</v>
      </c>
      <c r="D191" s="0" t="s">
        <v>470</v>
      </c>
      <c r="E191" s="0" t="s">
        <v>410</v>
      </c>
      <c r="H191" s="0" t="s">
        <v>21</v>
      </c>
      <c r="I191" s="2" t="s">
        <v>22</v>
      </c>
      <c r="J191" s="2" t="s">
        <v>23</v>
      </c>
      <c r="K191" s="0" t="s">
        <v>434</v>
      </c>
      <c r="L191" s="0" t="s">
        <v>25</v>
      </c>
      <c r="M191" s="0" t="s">
        <v>435</v>
      </c>
      <c r="N191" s="0" t="s">
        <v>471</v>
      </c>
      <c r="O191" s="0" t="n">
        <v>1</v>
      </c>
      <c r="P191" s="0" t="s">
        <v>410</v>
      </c>
      <c r="R191" s="3"/>
      <c r="S191" s="2" t="s">
        <v>28</v>
      </c>
    </row>
    <row r="192" customFormat="false" ht="15" hidden="false" customHeight="false" outlineLevel="0" collapsed="false">
      <c r="A192" s="0" t="n">
        <v>191</v>
      </c>
      <c r="D192" s="0" t="s">
        <v>472</v>
      </c>
      <c r="E192" s="0" t="s">
        <v>20</v>
      </c>
      <c r="H192" s="0" t="s">
        <v>21</v>
      </c>
      <c r="I192" s="2" t="s">
        <v>22</v>
      </c>
      <c r="J192" s="2" t="s">
        <v>23</v>
      </c>
      <c r="K192" s="0" t="s">
        <v>434</v>
      </c>
      <c r="L192" s="0" t="s">
        <v>25</v>
      </c>
      <c r="M192" s="0" t="s">
        <v>435</v>
      </c>
      <c r="N192" s="0" t="s">
        <v>473</v>
      </c>
      <c r="O192" s="0" t="n">
        <v>1</v>
      </c>
      <c r="R192" s="3"/>
      <c r="S192" s="2" t="s">
        <v>28</v>
      </c>
    </row>
    <row r="193" customFormat="false" ht="15" hidden="false" customHeight="false" outlineLevel="0" collapsed="false">
      <c r="A193" s="0" t="n">
        <v>192</v>
      </c>
      <c r="D193" s="0" t="s">
        <v>474</v>
      </c>
      <c r="E193" s="0" t="s">
        <v>20</v>
      </c>
      <c r="H193" s="0" t="s">
        <v>21</v>
      </c>
      <c r="I193" s="2" t="s">
        <v>22</v>
      </c>
      <c r="J193" s="2" t="s">
        <v>23</v>
      </c>
      <c r="K193" s="0" t="s">
        <v>434</v>
      </c>
      <c r="L193" s="0" t="s">
        <v>25</v>
      </c>
      <c r="M193" s="0" t="s">
        <v>435</v>
      </c>
      <c r="N193" s="0" t="s">
        <v>475</v>
      </c>
      <c r="O193" s="0" t="n">
        <v>1</v>
      </c>
      <c r="R193" s="3"/>
      <c r="S193" s="2" t="s">
        <v>28</v>
      </c>
    </row>
    <row r="194" customFormat="false" ht="15" hidden="false" customHeight="false" outlineLevel="0" collapsed="false">
      <c r="A194" s="0" t="n">
        <v>193</v>
      </c>
      <c r="D194" s="0" t="s">
        <v>476</v>
      </c>
      <c r="E194" s="0" t="s">
        <v>20</v>
      </c>
      <c r="H194" s="0" t="s">
        <v>21</v>
      </c>
      <c r="I194" s="2" t="s">
        <v>22</v>
      </c>
      <c r="J194" s="2" t="s">
        <v>23</v>
      </c>
      <c r="K194" s="0" t="s">
        <v>434</v>
      </c>
      <c r="L194" s="0" t="s">
        <v>25</v>
      </c>
      <c r="M194" s="0" t="s">
        <v>435</v>
      </c>
      <c r="N194" s="0" t="s">
        <v>477</v>
      </c>
      <c r="O194" s="0" t="n">
        <v>1</v>
      </c>
      <c r="R194" s="3"/>
      <c r="S194" s="2" t="s">
        <v>28</v>
      </c>
    </row>
    <row r="195" customFormat="false" ht="15" hidden="false" customHeight="false" outlineLevel="0" collapsed="false">
      <c r="A195" s="0" t="n">
        <v>194</v>
      </c>
      <c r="D195" s="0" t="s">
        <v>478</v>
      </c>
      <c r="E195" s="0" t="s">
        <v>20</v>
      </c>
      <c r="H195" s="0" t="s">
        <v>21</v>
      </c>
      <c r="I195" s="2" t="s">
        <v>22</v>
      </c>
      <c r="J195" s="2" t="s">
        <v>23</v>
      </c>
      <c r="K195" s="0" t="s">
        <v>434</v>
      </c>
      <c r="L195" s="0" t="s">
        <v>204</v>
      </c>
      <c r="M195" s="0" t="s">
        <v>435</v>
      </c>
      <c r="N195" s="0" t="s">
        <v>479</v>
      </c>
      <c r="O195" s="0" t="n">
        <v>1</v>
      </c>
      <c r="P195" s="0" t="s">
        <v>206</v>
      </c>
      <c r="R195" s="3"/>
      <c r="S195" s="2" t="s">
        <v>28</v>
      </c>
    </row>
    <row r="196" customFormat="false" ht="15" hidden="false" customHeight="false" outlineLevel="0" collapsed="false">
      <c r="A196" s="0" t="n">
        <v>195</v>
      </c>
      <c r="D196" s="0" t="s">
        <v>480</v>
      </c>
      <c r="E196" s="0" t="s">
        <v>20</v>
      </c>
      <c r="H196" s="0" t="s">
        <v>21</v>
      </c>
      <c r="I196" s="2" t="s">
        <v>22</v>
      </c>
      <c r="J196" s="2" t="s">
        <v>23</v>
      </c>
      <c r="K196" s="0" t="s">
        <v>434</v>
      </c>
      <c r="L196" s="0" t="s">
        <v>25</v>
      </c>
      <c r="M196" s="0" t="s">
        <v>435</v>
      </c>
      <c r="N196" s="0" t="s">
        <v>481</v>
      </c>
      <c r="O196" s="0" t="n">
        <v>1</v>
      </c>
      <c r="P196" s="0" t="s">
        <v>43</v>
      </c>
      <c r="R196" s="3"/>
      <c r="S196" s="2" t="s">
        <v>28</v>
      </c>
    </row>
    <row r="197" customFormat="false" ht="15" hidden="false" customHeight="false" outlineLevel="0" collapsed="false">
      <c r="A197" s="0" t="n">
        <v>196</v>
      </c>
      <c r="D197" s="0" t="s">
        <v>482</v>
      </c>
      <c r="E197" s="0" t="s">
        <v>20</v>
      </c>
      <c r="H197" s="0" t="s">
        <v>21</v>
      </c>
      <c r="I197" s="2" t="s">
        <v>22</v>
      </c>
      <c r="J197" s="2" t="s">
        <v>23</v>
      </c>
      <c r="K197" s="0" t="s">
        <v>434</v>
      </c>
      <c r="L197" s="0" t="s">
        <v>25</v>
      </c>
      <c r="M197" s="0" t="s">
        <v>435</v>
      </c>
      <c r="N197" s="0" t="s">
        <v>483</v>
      </c>
      <c r="O197" s="0" t="n">
        <v>1</v>
      </c>
      <c r="R197" s="3"/>
      <c r="S197" s="2" t="s">
        <v>28</v>
      </c>
    </row>
    <row r="198" customFormat="false" ht="15" hidden="false" customHeight="false" outlineLevel="0" collapsed="false">
      <c r="A198" s="0" t="n">
        <v>197</v>
      </c>
      <c r="D198" s="0" t="s">
        <v>484</v>
      </c>
      <c r="E198" s="0" t="s">
        <v>387</v>
      </c>
      <c r="H198" s="0" t="s">
        <v>21</v>
      </c>
      <c r="I198" s="2" t="s">
        <v>22</v>
      </c>
      <c r="J198" s="2" t="s">
        <v>23</v>
      </c>
      <c r="K198" s="0" t="s">
        <v>434</v>
      </c>
      <c r="L198" s="0" t="s">
        <v>25</v>
      </c>
      <c r="M198" s="0" t="s">
        <v>435</v>
      </c>
      <c r="N198" s="0" t="s">
        <v>485</v>
      </c>
      <c r="O198" s="0" t="n">
        <v>1</v>
      </c>
      <c r="P198" s="0" t="s">
        <v>387</v>
      </c>
      <c r="R198" s="3"/>
      <c r="S198" s="2" t="s">
        <v>28</v>
      </c>
    </row>
    <row r="199" customFormat="false" ht="15" hidden="false" customHeight="false" outlineLevel="0" collapsed="false">
      <c r="A199" s="0" t="n">
        <v>198</v>
      </c>
      <c r="D199" s="0" t="s">
        <v>486</v>
      </c>
      <c r="E199" s="0" t="s">
        <v>20</v>
      </c>
      <c r="H199" s="0" t="s">
        <v>21</v>
      </c>
      <c r="I199" s="2" t="s">
        <v>22</v>
      </c>
      <c r="J199" s="2" t="s">
        <v>23</v>
      </c>
      <c r="K199" s="0" t="s">
        <v>434</v>
      </c>
      <c r="L199" s="0" t="s">
        <v>25</v>
      </c>
      <c r="M199" s="0" t="s">
        <v>435</v>
      </c>
      <c r="N199" s="0" t="s">
        <v>487</v>
      </c>
      <c r="O199" s="0" t="n">
        <v>1</v>
      </c>
      <c r="P199" s="0" t="s">
        <v>43</v>
      </c>
      <c r="R199" s="3"/>
      <c r="S199" s="2" t="s">
        <v>28</v>
      </c>
    </row>
    <row r="200" customFormat="false" ht="15" hidden="false" customHeight="false" outlineLevel="0" collapsed="false">
      <c r="A200" s="0" t="n">
        <v>199</v>
      </c>
      <c r="D200" s="0" t="s">
        <v>488</v>
      </c>
      <c r="E200" s="0" t="s">
        <v>20</v>
      </c>
      <c r="H200" s="0" t="s">
        <v>21</v>
      </c>
      <c r="I200" s="2" t="s">
        <v>22</v>
      </c>
      <c r="J200" s="2" t="s">
        <v>23</v>
      </c>
      <c r="K200" s="0" t="s">
        <v>434</v>
      </c>
      <c r="L200" s="0" t="s">
        <v>25</v>
      </c>
      <c r="M200" s="0" t="s">
        <v>435</v>
      </c>
      <c r="N200" s="0" t="s">
        <v>489</v>
      </c>
      <c r="O200" s="0" t="n">
        <v>1</v>
      </c>
      <c r="P200" s="0" t="s">
        <v>43</v>
      </c>
      <c r="R200" s="3"/>
      <c r="S200" s="2" t="s">
        <v>28</v>
      </c>
    </row>
    <row r="201" customFormat="false" ht="15" hidden="false" customHeight="false" outlineLevel="0" collapsed="false">
      <c r="A201" s="0" t="n">
        <v>200</v>
      </c>
      <c r="D201" s="0" t="s">
        <v>490</v>
      </c>
      <c r="E201" s="0" t="s">
        <v>20</v>
      </c>
      <c r="H201" s="0" t="s">
        <v>21</v>
      </c>
      <c r="I201" s="2" t="s">
        <v>22</v>
      </c>
      <c r="J201" s="2" t="s">
        <v>23</v>
      </c>
      <c r="K201" s="0" t="s">
        <v>434</v>
      </c>
      <c r="L201" s="0" t="s">
        <v>25</v>
      </c>
      <c r="M201" s="0" t="s">
        <v>435</v>
      </c>
      <c r="N201" s="0" t="s">
        <v>491</v>
      </c>
      <c r="O201" s="0" t="n">
        <v>1</v>
      </c>
      <c r="R201" s="3"/>
      <c r="S201" s="2" t="s">
        <v>28</v>
      </c>
    </row>
    <row r="202" customFormat="false" ht="15" hidden="false" customHeight="false" outlineLevel="0" collapsed="false">
      <c r="A202" s="0" t="n">
        <v>201</v>
      </c>
      <c r="D202" s="0" t="s">
        <v>492</v>
      </c>
      <c r="E202" s="0" t="s">
        <v>20</v>
      </c>
      <c r="H202" s="0" t="s">
        <v>21</v>
      </c>
      <c r="I202" s="2" t="s">
        <v>22</v>
      </c>
      <c r="J202" s="2" t="s">
        <v>23</v>
      </c>
      <c r="K202" s="0" t="s">
        <v>434</v>
      </c>
      <c r="L202" s="0" t="s">
        <v>25</v>
      </c>
      <c r="M202" s="0" t="s">
        <v>435</v>
      </c>
      <c r="N202" s="0" t="s">
        <v>493</v>
      </c>
      <c r="O202" s="0" t="n">
        <v>1</v>
      </c>
      <c r="R202" s="3"/>
      <c r="S202" s="2" t="s">
        <v>28</v>
      </c>
    </row>
    <row r="203" customFormat="false" ht="15" hidden="false" customHeight="false" outlineLevel="0" collapsed="false">
      <c r="A203" s="0" t="n">
        <v>202</v>
      </c>
      <c r="D203" s="0" t="s">
        <v>494</v>
      </c>
      <c r="E203" s="0" t="s">
        <v>20</v>
      </c>
      <c r="H203" s="0" t="s">
        <v>21</v>
      </c>
      <c r="I203" s="2" t="s">
        <v>22</v>
      </c>
      <c r="J203" s="2" t="s">
        <v>23</v>
      </c>
      <c r="K203" s="0" t="s">
        <v>434</v>
      </c>
      <c r="L203" s="0" t="s">
        <v>25</v>
      </c>
      <c r="M203" s="0" t="s">
        <v>435</v>
      </c>
      <c r="N203" s="0" t="s">
        <v>495</v>
      </c>
      <c r="O203" s="0" t="n">
        <v>1</v>
      </c>
      <c r="R203" s="3"/>
      <c r="S203" s="2" t="s">
        <v>28</v>
      </c>
    </row>
    <row r="204" customFormat="false" ht="15" hidden="false" customHeight="false" outlineLevel="0" collapsed="false">
      <c r="A204" s="0" t="n">
        <v>203</v>
      </c>
      <c r="D204" s="0" t="s">
        <v>496</v>
      </c>
      <c r="E204" s="0" t="s">
        <v>20</v>
      </c>
      <c r="H204" s="0" t="s">
        <v>21</v>
      </c>
      <c r="I204" s="2" t="s">
        <v>22</v>
      </c>
      <c r="J204" s="2" t="s">
        <v>23</v>
      </c>
      <c r="K204" s="0" t="s">
        <v>434</v>
      </c>
      <c r="L204" s="0" t="s">
        <v>25</v>
      </c>
      <c r="M204" s="0" t="s">
        <v>435</v>
      </c>
      <c r="N204" s="0" t="s">
        <v>497</v>
      </c>
      <c r="O204" s="0" t="n">
        <v>1</v>
      </c>
      <c r="P204" s="0" t="s">
        <v>43</v>
      </c>
      <c r="R204" s="3"/>
      <c r="S204" s="2" t="s">
        <v>28</v>
      </c>
    </row>
    <row r="205" customFormat="false" ht="15" hidden="false" customHeight="false" outlineLevel="0" collapsed="false">
      <c r="A205" s="0" t="n">
        <v>204</v>
      </c>
      <c r="D205" s="0" t="s">
        <v>498</v>
      </c>
      <c r="E205" s="0" t="s">
        <v>20</v>
      </c>
      <c r="H205" s="0" t="s">
        <v>21</v>
      </c>
      <c r="I205" s="2" t="s">
        <v>22</v>
      </c>
      <c r="J205" s="2" t="s">
        <v>23</v>
      </c>
      <c r="K205" s="0" t="s">
        <v>434</v>
      </c>
      <c r="L205" s="0" t="s">
        <v>204</v>
      </c>
      <c r="M205" s="0" t="s">
        <v>435</v>
      </c>
      <c r="N205" s="0" t="s">
        <v>499</v>
      </c>
      <c r="O205" s="0" t="n">
        <v>1</v>
      </c>
      <c r="P205" s="0" t="s">
        <v>206</v>
      </c>
      <c r="R205" s="3"/>
      <c r="S205" s="2" t="s">
        <v>28</v>
      </c>
    </row>
    <row r="206" customFormat="false" ht="15" hidden="false" customHeight="false" outlineLevel="0" collapsed="false">
      <c r="A206" s="0" t="n">
        <v>205</v>
      </c>
      <c r="D206" s="0" t="s">
        <v>500</v>
      </c>
      <c r="E206" s="0" t="s">
        <v>501</v>
      </c>
      <c r="H206" s="0" t="s">
        <v>21</v>
      </c>
      <c r="I206" s="2" t="s">
        <v>22</v>
      </c>
      <c r="J206" s="2" t="s">
        <v>23</v>
      </c>
      <c r="K206" s="0" t="s">
        <v>434</v>
      </c>
      <c r="L206" s="0" t="s">
        <v>25</v>
      </c>
      <c r="M206" s="0" t="s">
        <v>435</v>
      </c>
      <c r="N206" s="0" t="s">
        <v>502</v>
      </c>
      <c r="O206" s="0" t="n">
        <v>1</v>
      </c>
      <c r="P206" s="0" t="s">
        <v>501</v>
      </c>
      <c r="R206" s="3"/>
      <c r="S206" s="2" t="s">
        <v>28</v>
      </c>
    </row>
    <row r="207" customFormat="false" ht="15" hidden="false" customHeight="false" outlineLevel="0" collapsed="false">
      <c r="A207" s="0" t="n">
        <v>206</v>
      </c>
      <c r="D207" s="0" t="s">
        <v>503</v>
      </c>
      <c r="E207" s="0" t="s">
        <v>20</v>
      </c>
      <c r="H207" s="0" t="s">
        <v>21</v>
      </c>
      <c r="I207" s="2" t="s">
        <v>22</v>
      </c>
      <c r="J207" s="2" t="s">
        <v>23</v>
      </c>
      <c r="K207" s="0" t="s">
        <v>434</v>
      </c>
      <c r="L207" s="0" t="s">
        <v>25</v>
      </c>
      <c r="M207" s="0" t="s">
        <v>435</v>
      </c>
      <c r="N207" s="0" t="s">
        <v>504</v>
      </c>
      <c r="O207" s="0" t="n">
        <v>1</v>
      </c>
      <c r="R207" s="3"/>
      <c r="S207" s="2" t="s">
        <v>28</v>
      </c>
    </row>
    <row r="208" customFormat="false" ht="15" hidden="false" customHeight="false" outlineLevel="0" collapsed="false">
      <c r="A208" s="0" t="n">
        <v>207</v>
      </c>
      <c r="D208" s="0" t="s">
        <v>505</v>
      </c>
      <c r="E208" s="0" t="s">
        <v>20</v>
      </c>
      <c r="H208" s="0" t="s">
        <v>21</v>
      </c>
      <c r="I208" s="2" t="s">
        <v>22</v>
      </c>
      <c r="J208" s="2" t="s">
        <v>23</v>
      </c>
      <c r="K208" s="0" t="s">
        <v>434</v>
      </c>
      <c r="L208" s="0" t="s">
        <v>25</v>
      </c>
      <c r="M208" s="0" t="s">
        <v>435</v>
      </c>
      <c r="N208" s="0" t="s">
        <v>506</v>
      </c>
      <c r="O208" s="0" t="n">
        <v>1</v>
      </c>
      <c r="R208" s="3"/>
      <c r="S208" s="2" t="s">
        <v>28</v>
      </c>
    </row>
    <row r="209" customFormat="false" ht="15" hidden="false" customHeight="false" outlineLevel="0" collapsed="false">
      <c r="A209" s="0" t="n">
        <v>208</v>
      </c>
      <c r="D209" s="0" t="s">
        <v>507</v>
      </c>
      <c r="E209" s="0" t="s">
        <v>20</v>
      </c>
      <c r="H209" s="0" t="s">
        <v>21</v>
      </c>
      <c r="I209" s="2" t="s">
        <v>22</v>
      </c>
      <c r="J209" s="2" t="s">
        <v>23</v>
      </c>
      <c r="K209" s="0" t="s">
        <v>434</v>
      </c>
      <c r="L209" s="0" t="s">
        <v>182</v>
      </c>
      <c r="M209" s="0" t="s">
        <v>435</v>
      </c>
      <c r="N209" s="0" t="s">
        <v>508</v>
      </c>
      <c r="O209" s="0" t="n">
        <v>1</v>
      </c>
      <c r="P209" s="0" t="s">
        <v>184</v>
      </c>
      <c r="R209" s="3"/>
      <c r="S209" s="2" t="s">
        <v>28</v>
      </c>
    </row>
    <row r="210" customFormat="false" ht="15" hidden="false" customHeight="false" outlineLevel="0" collapsed="false">
      <c r="A210" s="0" t="n">
        <v>209</v>
      </c>
      <c r="D210" s="0" t="s">
        <v>509</v>
      </c>
      <c r="E210" s="0" t="s">
        <v>20</v>
      </c>
      <c r="H210" s="0" t="s">
        <v>21</v>
      </c>
      <c r="I210" s="2" t="s">
        <v>22</v>
      </c>
      <c r="J210" s="2" t="s">
        <v>23</v>
      </c>
      <c r="K210" s="0" t="s">
        <v>434</v>
      </c>
      <c r="L210" s="0" t="s">
        <v>25</v>
      </c>
      <c r="M210" s="0" t="s">
        <v>435</v>
      </c>
      <c r="N210" s="0" t="s">
        <v>510</v>
      </c>
      <c r="O210" s="0" t="n">
        <v>1</v>
      </c>
      <c r="R210" s="3"/>
      <c r="S210" s="2" t="s">
        <v>28</v>
      </c>
    </row>
    <row r="211" customFormat="false" ht="15" hidden="false" customHeight="false" outlineLevel="0" collapsed="false">
      <c r="A211" s="0" t="n">
        <v>210</v>
      </c>
      <c r="D211" s="0" t="s">
        <v>511</v>
      </c>
      <c r="E211" s="0" t="s">
        <v>20</v>
      </c>
      <c r="H211" s="0" t="s">
        <v>21</v>
      </c>
      <c r="I211" s="2" t="s">
        <v>22</v>
      </c>
      <c r="J211" s="2" t="s">
        <v>23</v>
      </c>
      <c r="K211" s="0" t="s">
        <v>434</v>
      </c>
      <c r="L211" s="0" t="s">
        <v>25</v>
      </c>
      <c r="M211" s="0" t="s">
        <v>435</v>
      </c>
      <c r="N211" s="0" t="s">
        <v>512</v>
      </c>
      <c r="O211" s="0" t="n">
        <v>1</v>
      </c>
      <c r="R211" s="3"/>
      <c r="S211" s="2" t="s">
        <v>28</v>
      </c>
    </row>
    <row r="212" customFormat="false" ht="15" hidden="false" customHeight="false" outlineLevel="0" collapsed="false">
      <c r="A212" s="0" t="n">
        <v>211</v>
      </c>
      <c r="D212" s="0" t="s">
        <v>513</v>
      </c>
      <c r="E212" s="0" t="s">
        <v>20</v>
      </c>
      <c r="H212" s="0" t="s">
        <v>21</v>
      </c>
      <c r="I212" s="2" t="s">
        <v>22</v>
      </c>
      <c r="J212" s="2" t="s">
        <v>23</v>
      </c>
      <c r="K212" s="0" t="s">
        <v>434</v>
      </c>
      <c r="L212" s="0" t="s">
        <v>25</v>
      </c>
      <c r="M212" s="0" t="s">
        <v>435</v>
      </c>
      <c r="N212" s="0" t="s">
        <v>514</v>
      </c>
      <c r="O212" s="0" t="n">
        <v>1</v>
      </c>
      <c r="R212" s="3"/>
      <c r="S212" s="2" t="s">
        <v>28</v>
      </c>
    </row>
    <row r="213" customFormat="false" ht="15" hidden="false" customHeight="false" outlineLevel="0" collapsed="false">
      <c r="A213" s="0" t="n">
        <v>212</v>
      </c>
      <c r="D213" s="0" t="s">
        <v>515</v>
      </c>
      <c r="E213" s="0" t="s">
        <v>20</v>
      </c>
      <c r="H213" s="0" t="s">
        <v>21</v>
      </c>
      <c r="I213" s="2" t="s">
        <v>22</v>
      </c>
      <c r="J213" s="2" t="s">
        <v>23</v>
      </c>
      <c r="K213" s="0" t="s">
        <v>434</v>
      </c>
      <c r="L213" s="0" t="s">
        <v>25</v>
      </c>
      <c r="M213" s="0" t="s">
        <v>435</v>
      </c>
      <c r="N213" s="0" t="s">
        <v>516</v>
      </c>
      <c r="O213" s="0" t="n">
        <v>1</v>
      </c>
      <c r="R213" s="3"/>
      <c r="S213" s="2" t="s">
        <v>28</v>
      </c>
    </row>
    <row r="214" customFormat="false" ht="15" hidden="false" customHeight="false" outlineLevel="0" collapsed="false">
      <c r="A214" s="0" t="n">
        <v>213</v>
      </c>
      <c r="D214" s="0" t="s">
        <v>517</v>
      </c>
      <c r="E214" s="0" t="s">
        <v>20</v>
      </c>
      <c r="H214" s="0" t="s">
        <v>21</v>
      </c>
      <c r="I214" s="2" t="s">
        <v>22</v>
      </c>
      <c r="J214" s="2" t="s">
        <v>23</v>
      </c>
      <c r="K214" s="0" t="s">
        <v>434</v>
      </c>
      <c r="L214" s="0" t="s">
        <v>25</v>
      </c>
      <c r="M214" s="0" t="s">
        <v>435</v>
      </c>
      <c r="N214" s="0" t="s">
        <v>518</v>
      </c>
      <c r="O214" s="0" t="n">
        <v>1</v>
      </c>
      <c r="R214" s="3"/>
      <c r="S214" s="2" t="s">
        <v>28</v>
      </c>
    </row>
    <row r="215" customFormat="false" ht="15" hidden="false" customHeight="false" outlineLevel="0" collapsed="false">
      <c r="A215" s="0" t="n">
        <v>214</v>
      </c>
      <c r="D215" s="0" t="s">
        <v>519</v>
      </c>
      <c r="E215" s="0" t="s">
        <v>20</v>
      </c>
      <c r="H215" s="0" t="s">
        <v>21</v>
      </c>
      <c r="I215" s="2" t="s">
        <v>22</v>
      </c>
      <c r="J215" s="2" t="s">
        <v>23</v>
      </c>
      <c r="K215" s="0" t="s">
        <v>434</v>
      </c>
      <c r="L215" s="0" t="s">
        <v>25</v>
      </c>
      <c r="M215" s="0" t="s">
        <v>435</v>
      </c>
      <c r="N215" s="0" t="s">
        <v>520</v>
      </c>
      <c r="O215" s="0" t="n">
        <v>1</v>
      </c>
      <c r="R215" s="3"/>
      <c r="S215" s="2" t="s">
        <v>28</v>
      </c>
    </row>
    <row r="216" customFormat="false" ht="15" hidden="false" customHeight="false" outlineLevel="0" collapsed="false">
      <c r="A216" s="0" t="n">
        <v>215</v>
      </c>
      <c r="D216" s="0" t="s">
        <v>521</v>
      </c>
      <c r="E216" s="0" t="s">
        <v>522</v>
      </c>
      <c r="F216" s="0" t="s">
        <v>523</v>
      </c>
      <c r="H216" s="0" t="s">
        <v>21</v>
      </c>
      <c r="I216" s="2" t="s">
        <v>22</v>
      </c>
      <c r="J216" s="2" t="s">
        <v>524</v>
      </c>
      <c r="K216" s="0" t="s">
        <v>525</v>
      </c>
      <c r="L216" s="0" t="s">
        <v>526</v>
      </c>
      <c r="M216" s="0" t="s">
        <v>527</v>
      </c>
      <c r="N216" s="0" t="s">
        <v>528</v>
      </c>
      <c r="O216" s="0" t="n">
        <v>2</v>
      </c>
      <c r="P216" s="0" t="s">
        <v>522</v>
      </c>
      <c r="Q216" s="0" t="s">
        <v>529</v>
      </c>
      <c r="R216" s="3" t="s">
        <v>530</v>
      </c>
      <c r="S216" s="2" t="s">
        <v>531</v>
      </c>
    </row>
    <row r="217" customFormat="false" ht="15" hidden="false" customHeight="false" outlineLevel="0" collapsed="false">
      <c r="A217" s="0" t="n">
        <v>216</v>
      </c>
      <c r="D217" s="0" t="s">
        <v>532</v>
      </c>
      <c r="E217" s="0" t="s">
        <v>287</v>
      </c>
      <c r="F217" s="0" t="s">
        <v>533</v>
      </c>
      <c r="H217" s="0" t="s">
        <v>21</v>
      </c>
      <c r="I217" s="2" t="s">
        <v>22</v>
      </c>
      <c r="J217" s="2" t="s">
        <v>524</v>
      </c>
      <c r="K217" s="0" t="s">
        <v>525</v>
      </c>
      <c r="L217" s="0" t="s">
        <v>534</v>
      </c>
      <c r="M217" s="0" t="s">
        <v>527</v>
      </c>
      <c r="N217" s="0" t="s">
        <v>535</v>
      </c>
      <c r="O217" s="0" t="n">
        <v>1</v>
      </c>
      <c r="P217" s="0" t="s">
        <v>287</v>
      </c>
      <c r="Q217" s="0" t="s">
        <v>536</v>
      </c>
      <c r="R217" s="3" t="s">
        <v>537</v>
      </c>
      <c r="S217" s="2" t="s">
        <v>538</v>
      </c>
    </row>
    <row r="218" customFormat="false" ht="15" hidden="false" customHeight="false" outlineLevel="0" collapsed="false">
      <c r="A218" s="0" t="n">
        <v>217</v>
      </c>
      <c r="D218" s="0" t="s">
        <v>539</v>
      </c>
      <c r="E218" s="0" t="s">
        <v>20</v>
      </c>
      <c r="H218" s="0" t="s">
        <v>21</v>
      </c>
      <c r="I218" s="2" t="s">
        <v>22</v>
      </c>
      <c r="J218" s="2" t="s">
        <v>524</v>
      </c>
      <c r="K218" s="0" t="s">
        <v>525</v>
      </c>
      <c r="L218" s="0" t="s">
        <v>25</v>
      </c>
      <c r="M218" s="0" t="s">
        <v>527</v>
      </c>
      <c r="N218" s="0" t="s">
        <v>540</v>
      </c>
      <c r="O218" s="0" t="n">
        <v>1</v>
      </c>
      <c r="R218" s="3"/>
      <c r="S218" s="2" t="s">
        <v>28</v>
      </c>
    </row>
    <row r="219" customFormat="false" ht="15" hidden="false" customHeight="false" outlineLevel="0" collapsed="false">
      <c r="A219" s="0" t="n">
        <v>218</v>
      </c>
      <c r="D219" s="0" t="s">
        <v>541</v>
      </c>
      <c r="E219" s="0" t="s">
        <v>253</v>
      </c>
      <c r="H219" s="0" t="s">
        <v>21</v>
      </c>
      <c r="I219" s="2" t="s">
        <v>22</v>
      </c>
      <c r="J219" s="2" t="s">
        <v>524</v>
      </c>
      <c r="K219" s="0" t="s">
        <v>525</v>
      </c>
      <c r="L219" s="0" t="s">
        <v>25</v>
      </c>
      <c r="M219" s="0" t="s">
        <v>527</v>
      </c>
      <c r="N219" s="0" t="s">
        <v>542</v>
      </c>
      <c r="O219" s="0" t="n">
        <v>1</v>
      </c>
      <c r="P219" s="0" t="s">
        <v>253</v>
      </c>
      <c r="R219" s="3"/>
      <c r="S219" s="2" t="s">
        <v>28</v>
      </c>
    </row>
    <row r="220" customFormat="false" ht="15" hidden="false" customHeight="false" outlineLevel="0" collapsed="false">
      <c r="A220" s="0" t="n">
        <v>219</v>
      </c>
      <c r="D220" s="0" t="s">
        <v>543</v>
      </c>
      <c r="E220" s="0" t="s">
        <v>20</v>
      </c>
      <c r="H220" s="0" t="s">
        <v>21</v>
      </c>
      <c r="I220" s="2" t="s">
        <v>22</v>
      </c>
      <c r="J220" s="2" t="s">
        <v>524</v>
      </c>
      <c r="K220" s="0" t="s">
        <v>525</v>
      </c>
      <c r="L220" s="0" t="s">
        <v>544</v>
      </c>
      <c r="M220" s="0" t="s">
        <v>527</v>
      </c>
      <c r="N220" s="0" t="s">
        <v>545</v>
      </c>
      <c r="O220" s="0" t="n">
        <v>1</v>
      </c>
      <c r="Q220" s="0" t="s">
        <v>546</v>
      </c>
      <c r="R220" s="3"/>
      <c r="S220" s="2" t="s">
        <v>547</v>
      </c>
    </row>
    <row r="221" customFormat="false" ht="15" hidden="false" customHeight="false" outlineLevel="0" collapsed="false">
      <c r="A221" s="0" t="n">
        <v>220</v>
      </c>
      <c r="D221" s="0" t="s">
        <v>548</v>
      </c>
      <c r="E221" s="0" t="s">
        <v>20</v>
      </c>
      <c r="H221" s="0" t="s">
        <v>21</v>
      </c>
      <c r="I221" s="2" t="s">
        <v>22</v>
      </c>
      <c r="J221" s="2" t="s">
        <v>524</v>
      </c>
      <c r="K221" s="0" t="s">
        <v>525</v>
      </c>
      <c r="L221" s="0" t="s">
        <v>25</v>
      </c>
      <c r="M221" s="0" t="s">
        <v>527</v>
      </c>
      <c r="N221" s="0" t="s">
        <v>549</v>
      </c>
      <c r="O221" s="0" t="n">
        <v>1</v>
      </c>
      <c r="R221" s="3"/>
      <c r="S221" s="2" t="s">
        <v>28</v>
      </c>
    </row>
    <row r="222" customFormat="false" ht="15" hidden="false" customHeight="false" outlineLevel="0" collapsed="false">
      <c r="A222" s="0" t="n">
        <v>221</v>
      </c>
      <c r="D222" s="0" t="s">
        <v>550</v>
      </c>
      <c r="E222" s="0" t="s">
        <v>20</v>
      </c>
      <c r="H222" s="0" t="s">
        <v>21</v>
      </c>
      <c r="I222" s="2" t="s">
        <v>22</v>
      </c>
      <c r="J222" s="2" t="s">
        <v>524</v>
      </c>
      <c r="K222" s="0" t="s">
        <v>525</v>
      </c>
      <c r="L222" s="0" t="s">
        <v>25</v>
      </c>
      <c r="M222" s="0" t="s">
        <v>527</v>
      </c>
      <c r="N222" s="0" t="s">
        <v>551</v>
      </c>
      <c r="O222" s="0" t="n">
        <v>1</v>
      </c>
      <c r="R222" s="3"/>
      <c r="S222" s="2" t="s">
        <v>28</v>
      </c>
    </row>
    <row r="223" customFormat="false" ht="15" hidden="false" customHeight="false" outlineLevel="0" collapsed="false">
      <c r="A223" s="0" t="n">
        <v>222</v>
      </c>
      <c r="D223" s="0" t="s">
        <v>552</v>
      </c>
      <c r="E223" s="0" t="s">
        <v>20</v>
      </c>
      <c r="H223" s="0" t="s">
        <v>21</v>
      </c>
      <c r="I223" s="2" t="s">
        <v>22</v>
      </c>
      <c r="J223" s="2" t="s">
        <v>524</v>
      </c>
      <c r="K223" s="0" t="s">
        <v>525</v>
      </c>
      <c r="L223" s="0" t="s">
        <v>25</v>
      </c>
      <c r="M223" s="0" t="s">
        <v>527</v>
      </c>
      <c r="N223" s="0" t="s">
        <v>553</v>
      </c>
      <c r="O223" s="0" t="n">
        <v>1</v>
      </c>
      <c r="R223" s="3"/>
      <c r="S223" s="2" t="s">
        <v>28</v>
      </c>
    </row>
    <row r="224" customFormat="false" ht="15" hidden="false" customHeight="false" outlineLevel="0" collapsed="false">
      <c r="A224" s="0" t="n">
        <v>223</v>
      </c>
      <c r="D224" s="0" t="s">
        <v>554</v>
      </c>
      <c r="E224" s="0" t="s">
        <v>555</v>
      </c>
      <c r="H224" s="0" t="s">
        <v>21</v>
      </c>
      <c r="I224" s="2" t="s">
        <v>22</v>
      </c>
      <c r="J224" s="2" t="s">
        <v>524</v>
      </c>
      <c r="K224" s="0" t="s">
        <v>525</v>
      </c>
      <c r="L224" s="0" t="s">
        <v>25</v>
      </c>
      <c r="M224" s="0" t="s">
        <v>527</v>
      </c>
      <c r="N224" s="0" t="s">
        <v>556</v>
      </c>
      <c r="O224" s="0" t="n">
        <v>1</v>
      </c>
      <c r="P224" s="0" t="s">
        <v>555</v>
      </c>
      <c r="R224" s="3"/>
      <c r="S224" s="2" t="s">
        <v>28</v>
      </c>
    </row>
    <row r="225" customFormat="false" ht="15" hidden="false" customHeight="false" outlineLevel="0" collapsed="false">
      <c r="A225" s="0" t="n">
        <v>224</v>
      </c>
      <c r="D225" s="0" t="s">
        <v>557</v>
      </c>
      <c r="E225" s="0" t="s">
        <v>173</v>
      </c>
      <c r="H225" s="0" t="s">
        <v>21</v>
      </c>
      <c r="I225" s="2" t="s">
        <v>22</v>
      </c>
      <c r="J225" s="2" t="s">
        <v>524</v>
      </c>
      <c r="K225" s="0" t="s">
        <v>525</v>
      </c>
      <c r="L225" s="0" t="s">
        <v>25</v>
      </c>
      <c r="M225" s="0" t="s">
        <v>527</v>
      </c>
      <c r="N225" s="0" t="s">
        <v>558</v>
      </c>
      <c r="O225" s="0" t="n">
        <v>1</v>
      </c>
      <c r="P225" s="0" t="s">
        <v>173</v>
      </c>
      <c r="R225" s="3"/>
      <c r="S225" s="2" t="s">
        <v>28</v>
      </c>
    </row>
    <row r="226" customFormat="false" ht="15" hidden="false" customHeight="false" outlineLevel="0" collapsed="false">
      <c r="A226" s="0" t="n">
        <v>225</v>
      </c>
      <c r="D226" s="0" t="s">
        <v>559</v>
      </c>
      <c r="E226" s="0" t="s">
        <v>20</v>
      </c>
      <c r="H226" s="0" t="s">
        <v>21</v>
      </c>
      <c r="I226" s="2" t="s">
        <v>22</v>
      </c>
      <c r="J226" s="2" t="s">
        <v>524</v>
      </c>
      <c r="K226" s="0" t="s">
        <v>525</v>
      </c>
      <c r="L226" s="0" t="s">
        <v>25</v>
      </c>
      <c r="M226" s="0" t="s">
        <v>527</v>
      </c>
      <c r="N226" s="0" t="s">
        <v>560</v>
      </c>
      <c r="O226" s="0" t="n">
        <v>1</v>
      </c>
      <c r="R226" s="3"/>
      <c r="S226" s="2" t="s">
        <v>28</v>
      </c>
    </row>
    <row r="227" customFormat="false" ht="15" hidden="false" customHeight="false" outlineLevel="0" collapsed="false">
      <c r="A227" s="0" t="n">
        <v>226</v>
      </c>
      <c r="D227" s="0" t="s">
        <v>561</v>
      </c>
      <c r="E227" s="0" t="s">
        <v>173</v>
      </c>
      <c r="H227" s="0" t="s">
        <v>21</v>
      </c>
      <c r="I227" s="2" t="s">
        <v>22</v>
      </c>
      <c r="J227" s="2" t="s">
        <v>524</v>
      </c>
      <c r="K227" s="0" t="s">
        <v>525</v>
      </c>
      <c r="L227" s="0" t="s">
        <v>25</v>
      </c>
      <c r="M227" s="0" t="s">
        <v>527</v>
      </c>
      <c r="N227" s="0" t="s">
        <v>562</v>
      </c>
      <c r="O227" s="0" t="n">
        <v>1</v>
      </c>
      <c r="P227" s="0" t="s">
        <v>173</v>
      </c>
      <c r="R227" s="3"/>
      <c r="S227" s="2" t="s">
        <v>28</v>
      </c>
    </row>
    <row r="228" customFormat="false" ht="15" hidden="false" customHeight="false" outlineLevel="0" collapsed="false">
      <c r="A228" s="0" t="n">
        <v>227</v>
      </c>
      <c r="D228" s="0" t="s">
        <v>563</v>
      </c>
      <c r="E228" s="0" t="s">
        <v>253</v>
      </c>
      <c r="H228" s="0" t="s">
        <v>21</v>
      </c>
      <c r="I228" s="2" t="s">
        <v>22</v>
      </c>
      <c r="J228" s="2" t="s">
        <v>524</v>
      </c>
      <c r="K228" s="0" t="s">
        <v>525</v>
      </c>
      <c r="L228" s="0" t="s">
        <v>25</v>
      </c>
      <c r="M228" s="0" t="s">
        <v>527</v>
      </c>
      <c r="N228" s="0" t="s">
        <v>564</v>
      </c>
      <c r="O228" s="0" t="n">
        <v>1</v>
      </c>
      <c r="P228" s="0" t="s">
        <v>253</v>
      </c>
      <c r="R228" s="3"/>
      <c r="S228" s="2" t="s">
        <v>28</v>
      </c>
    </row>
    <row r="229" customFormat="false" ht="15" hidden="false" customHeight="false" outlineLevel="0" collapsed="false">
      <c r="A229" s="0" t="n">
        <v>228</v>
      </c>
      <c r="D229" s="0" t="s">
        <v>565</v>
      </c>
      <c r="E229" s="0" t="s">
        <v>20</v>
      </c>
      <c r="H229" s="0" t="s">
        <v>21</v>
      </c>
      <c r="I229" s="2" t="s">
        <v>22</v>
      </c>
      <c r="J229" s="2" t="s">
        <v>524</v>
      </c>
      <c r="K229" s="0" t="s">
        <v>525</v>
      </c>
      <c r="L229" s="0" t="s">
        <v>25</v>
      </c>
      <c r="M229" s="0" t="s">
        <v>527</v>
      </c>
      <c r="N229" s="0" t="s">
        <v>566</v>
      </c>
      <c r="O229" s="0" t="n">
        <v>1</v>
      </c>
      <c r="R229" s="3"/>
      <c r="S229" s="2" t="s">
        <v>28</v>
      </c>
    </row>
    <row r="230" customFormat="false" ht="15" hidden="false" customHeight="false" outlineLevel="0" collapsed="false">
      <c r="A230" s="0" t="n">
        <v>229</v>
      </c>
      <c r="D230" s="0" t="s">
        <v>567</v>
      </c>
      <c r="E230" s="0" t="s">
        <v>568</v>
      </c>
      <c r="H230" s="0" t="s">
        <v>21</v>
      </c>
      <c r="I230" s="2" t="s">
        <v>22</v>
      </c>
      <c r="J230" s="2" t="s">
        <v>524</v>
      </c>
      <c r="K230" s="0" t="s">
        <v>525</v>
      </c>
      <c r="L230" s="0" t="s">
        <v>25</v>
      </c>
      <c r="M230" s="0" t="s">
        <v>527</v>
      </c>
      <c r="N230" s="0" t="s">
        <v>569</v>
      </c>
      <c r="O230" s="0" t="n">
        <v>1</v>
      </c>
      <c r="P230" s="0" t="s">
        <v>568</v>
      </c>
      <c r="R230" s="3"/>
      <c r="S230" s="2" t="s">
        <v>28</v>
      </c>
    </row>
    <row r="231" customFormat="false" ht="15" hidden="false" customHeight="false" outlineLevel="0" collapsed="false">
      <c r="A231" s="0" t="n">
        <v>230</v>
      </c>
      <c r="D231" s="0" t="s">
        <v>570</v>
      </c>
      <c r="E231" s="0" t="s">
        <v>253</v>
      </c>
      <c r="H231" s="0" t="s">
        <v>21</v>
      </c>
      <c r="I231" s="2" t="s">
        <v>22</v>
      </c>
      <c r="J231" s="2" t="s">
        <v>524</v>
      </c>
      <c r="K231" s="0" t="s">
        <v>525</v>
      </c>
      <c r="L231" s="0" t="s">
        <v>25</v>
      </c>
      <c r="M231" s="0" t="s">
        <v>527</v>
      </c>
      <c r="N231" s="0" t="s">
        <v>571</v>
      </c>
      <c r="O231" s="0" t="n">
        <v>1</v>
      </c>
      <c r="P231" s="0" t="s">
        <v>253</v>
      </c>
      <c r="R231" s="3"/>
      <c r="S231" s="2" t="s">
        <v>28</v>
      </c>
    </row>
    <row r="232" customFormat="false" ht="15" hidden="false" customHeight="false" outlineLevel="0" collapsed="false">
      <c r="A232" s="0" t="n">
        <v>231</v>
      </c>
      <c r="D232" s="0" t="s">
        <v>572</v>
      </c>
      <c r="E232" s="0" t="s">
        <v>20</v>
      </c>
      <c r="H232" s="0" t="s">
        <v>21</v>
      </c>
      <c r="I232" s="2" t="s">
        <v>22</v>
      </c>
      <c r="J232" s="2" t="s">
        <v>524</v>
      </c>
      <c r="K232" s="0" t="s">
        <v>525</v>
      </c>
      <c r="L232" s="0" t="s">
        <v>25</v>
      </c>
      <c r="M232" s="0" t="s">
        <v>527</v>
      </c>
      <c r="N232" s="0" t="s">
        <v>573</v>
      </c>
      <c r="O232" s="0" t="n">
        <v>1</v>
      </c>
      <c r="R232" s="3"/>
      <c r="S232" s="2" t="s">
        <v>28</v>
      </c>
    </row>
    <row r="233" customFormat="false" ht="15" hidden="false" customHeight="false" outlineLevel="0" collapsed="false">
      <c r="A233" s="0" t="n">
        <v>232</v>
      </c>
      <c r="D233" s="0" t="s">
        <v>574</v>
      </c>
      <c r="E233" s="0" t="s">
        <v>20</v>
      </c>
      <c r="H233" s="0" t="s">
        <v>21</v>
      </c>
      <c r="I233" s="2" t="s">
        <v>22</v>
      </c>
      <c r="J233" s="2" t="s">
        <v>524</v>
      </c>
      <c r="K233" s="0" t="s">
        <v>525</v>
      </c>
      <c r="L233" s="0" t="s">
        <v>25</v>
      </c>
      <c r="M233" s="0" t="s">
        <v>527</v>
      </c>
      <c r="N233" s="0" t="s">
        <v>575</v>
      </c>
      <c r="O233" s="0" t="n">
        <v>1</v>
      </c>
      <c r="R233" s="3"/>
      <c r="S233" s="2" t="s">
        <v>28</v>
      </c>
    </row>
    <row r="234" customFormat="false" ht="15" hidden="false" customHeight="false" outlineLevel="0" collapsed="false">
      <c r="A234" s="0" t="n">
        <v>233</v>
      </c>
      <c r="D234" s="0" t="s">
        <v>576</v>
      </c>
      <c r="E234" s="0" t="s">
        <v>577</v>
      </c>
      <c r="H234" s="0" t="s">
        <v>21</v>
      </c>
      <c r="I234" s="2" t="s">
        <v>22</v>
      </c>
      <c r="J234" s="2" t="s">
        <v>524</v>
      </c>
      <c r="K234" s="0" t="s">
        <v>525</v>
      </c>
      <c r="L234" s="0" t="s">
        <v>578</v>
      </c>
      <c r="M234" s="0" t="s">
        <v>527</v>
      </c>
      <c r="N234" s="0" t="s">
        <v>579</v>
      </c>
      <c r="O234" s="0" t="n">
        <v>1</v>
      </c>
      <c r="P234" s="0" t="s">
        <v>577</v>
      </c>
      <c r="Q234" s="0" t="s">
        <v>580</v>
      </c>
      <c r="R234" s="3"/>
      <c r="S234" s="2" t="s">
        <v>581</v>
      </c>
    </row>
    <row r="235" customFormat="false" ht="15" hidden="false" customHeight="false" outlineLevel="0" collapsed="false">
      <c r="A235" s="0" t="n">
        <v>234</v>
      </c>
      <c r="D235" s="0" t="s">
        <v>582</v>
      </c>
      <c r="E235" s="0" t="s">
        <v>20</v>
      </c>
      <c r="H235" s="0" t="s">
        <v>21</v>
      </c>
      <c r="I235" s="2" t="s">
        <v>22</v>
      </c>
      <c r="J235" s="2" t="s">
        <v>524</v>
      </c>
      <c r="K235" s="0" t="s">
        <v>525</v>
      </c>
      <c r="L235" s="0" t="s">
        <v>583</v>
      </c>
      <c r="M235" s="0" t="s">
        <v>527</v>
      </c>
      <c r="N235" s="0" t="s">
        <v>584</v>
      </c>
      <c r="O235" s="0" t="n">
        <v>1</v>
      </c>
      <c r="Q235" s="0" t="s">
        <v>585</v>
      </c>
      <c r="R235" s="3"/>
      <c r="S235" s="2" t="s">
        <v>586</v>
      </c>
    </row>
    <row r="236" customFormat="false" ht="15" hidden="false" customHeight="false" outlineLevel="0" collapsed="false">
      <c r="A236" s="0" t="n">
        <v>235</v>
      </c>
      <c r="D236" s="0" t="s">
        <v>587</v>
      </c>
      <c r="E236" s="0" t="s">
        <v>188</v>
      </c>
      <c r="H236" s="0" t="s">
        <v>21</v>
      </c>
      <c r="I236" s="2" t="s">
        <v>22</v>
      </c>
      <c r="J236" s="2" t="s">
        <v>524</v>
      </c>
      <c r="K236" s="0" t="s">
        <v>525</v>
      </c>
      <c r="L236" s="0" t="s">
        <v>25</v>
      </c>
      <c r="M236" s="0" t="s">
        <v>527</v>
      </c>
      <c r="N236" s="0" t="s">
        <v>588</v>
      </c>
      <c r="O236" s="0" t="n">
        <v>1</v>
      </c>
      <c r="P236" s="0" t="s">
        <v>188</v>
      </c>
      <c r="R236" s="3"/>
      <c r="S236" s="2" t="s">
        <v>28</v>
      </c>
    </row>
    <row r="237" customFormat="false" ht="15" hidden="false" customHeight="false" outlineLevel="0" collapsed="false">
      <c r="A237" s="0" t="n">
        <v>236</v>
      </c>
      <c r="D237" s="0" t="s">
        <v>589</v>
      </c>
      <c r="E237" s="0" t="s">
        <v>20</v>
      </c>
      <c r="H237" s="0" t="s">
        <v>21</v>
      </c>
      <c r="I237" s="2" t="s">
        <v>22</v>
      </c>
      <c r="J237" s="2" t="s">
        <v>524</v>
      </c>
      <c r="K237" s="0" t="s">
        <v>525</v>
      </c>
      <c r="L237" s="0" t="s">
        <v>25</v>
      </c>
      <c r="M237" s="0" t="s">
        <v>527</v>
      </c>
      <c r="N237" s="0" t="s">
        <v>590</v>
      </c>
      <c r="O237" s="0" t="n">
        <v>1</v>
      </c>
      <c r="R237" s="3"/>
      <c r="S237" s="2" t="s">
        <v>28</v>
      </c>
    </row>
    <row r="238" customFormat="false" ht="15" hidden="false" customHeight="false" outlineLevel="0" collapsed="false">
      <c r="A238" s="0" t="n">
        <v>237</v>
      </c>
      <c r="D238" s="0" t="s">
        <v>591</v>
      </c>
      <c r="E238" s="0" t="s">
        <v>253</v>
      </c>
      <c r="H238" s="0" t="s">
        <v>21</v>
      </c>
      <c r="I238" s="2" t="s">
        <v>22</v>
      </c>
      <c r="J238" s="2" t="s">
        <v>524</v>
      </c>
      <c r="K238" s="0" t="s">
        <v>525</v>
      </c>
      <c r="L238" s="0" t="s">
        <v>25</v>
      </c>
      <c r="M238" s="0" t="s">
        <v>527</v>
      </c>
      <c r="N238" s="0" t="s">
        <v>592</v>
      </c>
      <c r="O238" s="0" t="n">
        <v>1</v>
      </c>
      <c r="P238" s="0" t="s">
        <v>253</v>
      </c>
      <c r="R238" s="3"/>
      <c r="S238" s="2" t="s">
        <v>28</v>
      </c>
    </row>
    <row r="239" customFormat="false" ht="15" hidden="false" customHeight="false" outlineLevel="0" collapsed="false">
      <c r="A239" s="0" t="n">
        <v>238</v>
      </c>
      <c r="D239" s="0" t="s">
        <v>593</v>
      </c>
      <c r="E239" s="0" t="s">
        <v>253</v>
      </c>
      <c r="H239" s="0" t="s">
        <v>21</v>
      </c>
      <c r="I239" s="2" t="s">
        <v>22</v>
      </c>
      <c r="J239" s="2" t="s">
        <v>524</v>
      </c>
      <c r="K239" s="0" t="s">
        <v>525</v>
      </c>
      <c r="L239" s="0" t="s">
        <v>25</v>
      </c>
      <c r="M239" s="0" t="s">
        <v>527</v>
      </c>
      <c r="N239" s="0" t="s">
        <v>594</v>
      </c>
      <c r="O239" s="0" t="n">
        <v>1</v>
      </c>
      <c r="P239" s="0" t="s">
        <v>253</v>
      </c>
      <c r="R239" s="3"/>
      <c r="S239" s="2" t="s">
        <v>28</v>
      </c>
    </row>
    <row r="240" customFormat="false" ht="15" hidden="false" customHeight="false" outlineLevel="0" collapsed="false">
      <c r="A240" s="0" t="n">
        <v>239</v>
      </c>
      <c r="D240" s="0" t="s">
        <v>595</v>
      </c>
      <c r="E240" s="0" t="s">
        <v>253</v>
      </c>
      <c r="H240" s="0" t="s">
        <v>21</v>
      </c>
      <c r="I240" s="2" t="s">
        <v>22</v>
      </c>
      <c r="J240" s="2" t="s">
        <v>524</v>
      </c>
      <c r="K240" s="0" t="s">
        <v>525</v>
      </c>
      <c r="L240" s="0" t="s">
        <v>25</v>
      </c>
      <c r="M240" s="0" t="s">
        <v>527</v>
      </c>
      <c r="N240" s="0" t="s">
        <v>596</v>
      </c>
      <c r="O240" s="0" t="n">
        <v>1</v>
      </c>
      <c r="P240" s="0" t="s">
        <v>253</v>
      </c>
      <c r="R240" s="3"/>
      <c r="S240" s="2" t="s">
        <v>28</v>
      </c>
    </row>
    <row r="241" customFormat="false" ht="15" hidden="false" customHeight="false" outlineLevel="0" collapsed="false">
      <c r="A241" s="0" t="n">
        <v>240</v>
      </c>
      <c r="D241" s="0" t="s">
        <v>597</v>
      </c>
      <c r="E241" s="0" t="s">
        <v>173</v>
      </c>
      <c r="H241" s="0" t="s">
        <v>21</v>
      </c>
      <c r="I241" s="2" t="s">
        <v>22</v>
      </c>
      <c r="J241" s="2" t="s">
        <v>524</v>
      </c>
      <c r="K241" s="0" t="s">
        <v>525</v>
      </c>
      <c r="L241" s="0" t="s">
        <v>25</v>
      </c>
      <c r="M241" s="0" t="s">
        <v>527</v>
      </c>
      <c r="N241" s="0" t="s">
        <v>598</v>
      </c>
      <c r="O241" s="0" t="n">
        <v>1</v>
      </c>
      <c r="P241" s="0" t="s">
        <v>173</v>
      </c>
      <c r="R241" s="3"/>
      <c r="S241" s="2" t="s">
        <v>28</v>
      </c>
    </row>
    <row r="242" customFormat="false" ht="15" hidden="false" customHeight="false" outlineLevel="0" collapsed="false">
      <c r="A242" s="0" t="n">
        <v>241</v>
      </c>
      <c r="D242" s="0" t="s">
        <v>599</v>
      </c>
      <c r="E242" s="0" t="s">
        <v>173</v>
      </c>
      <c r="H242" s="0" t="s">
        <v>21</v>
      </c>
      <c r="I242" s="2" t="s">
        <v>22</v>
      </c>
      <c r="J242" s="2" t="s">
        <v>524</v>
      </c>
      <c r="K242" s="0" t="s">
        <v>525</v>
      </c>
      <c r="L242" s="0" t="s">
        <v>25</v>
      </c>
      <c r="M242" s="0" t="s">
        <v>527</v>
      </c>
      <c r="N242" s="0" t="s">
        <v>600</v>
      </c>
      <c r="O242" s="0" t="n">
        <v>1</v>
      </c>
      <c r="P242" s="0" t="s">
        <v>173</v>
      </c>
      <c r="R242" s="3"/>
      <c r="S242" s="2" t="s">
        <v>28</v>
      </c>
    </row>
    <row r="243" customFormat="false" ht="15" hidden="false" customHeight="false" outlineLevel="0" collapsed="false">
      <c r="A243" s="0" t="n">
        <v>242</v>
      </c>
      <c r="D243" s="0" t="s">
        <v>601</v>
      </c>
      <c r="E243" s="0" t="s">
        <v>20</v>
      </c>
      <c r="H243" s="0" t="s">
        <v>21</v>
      </c>
      <c r="I243" s="2" t="s">
        <v>22</v>
      </c>
      <c r="J243" s="2" t="s">
        <v>524</v>
      </c>
      <c r="K243" s="0" t="s">
        <v>525</v>
      </c>
      <c r="L243" s="0" t="s">
        <v>602</v>
      </c>
      <c r="M243" s="0" t="s">
        <v>527</v>
      </c>
      <c r="N243" s="0" t="s">
        <v>603</v>
      </c>
      <c r="O243" s="0" t="n">
        <v>1</v>
      </c>
      <c r="Q243" s="0" t="s">
        <v>604</v>
      </c>
      <c r="R243" s="3" t="s">
        <v>605</v>
      </c>
      <c r="S243" s="2" t="s">
        <v>606</v>
      </c>
    </row>
    <row r="244" customFormat="false" ht="15" hidden="false" customHeight="false" outlineLevel="0" collapsed="false">
      <c r="A244" s="0" t="n">
        <v>243</v>
      </c>
      <c r="D244" s="0" t="s">
        <v>607</v>
      </c>
      <c r="E244" s="0" t="s">
        <v>20</v>
      </c>
      <c r="H244" s="0" t="s">
        <v>21</v>
      </c>
      <c r="I244" s="2" t="s">
        <v>22</v>
      </c>
      <c r="J244" s="2" t="s">
        <v>524</v>
      </c>
      <c r="K244" s="0" t="s">
        <v>525</v>
      </c>
      <c r="L244" s="0" t="s">
        <v>25</v>
      </c>
      <c r="M244" s="0" t="s">
        <v>527</v>
      </c>
      <c r="N244" s="0" t="s">
        <v>608</v>
      </c>
      <c r="O244" s="0" t="n">
        <v>1</v>
      </c>
      <c r="R244" s="3"/>
      <c r="S244" s="2" t="s">
        <v>28</v>
      </c>
    </row>
    <row r="245" customFormat="false" ht="15" hidden="false" customHeight="false" outlineLevel="0" collapsed="false">
      <c r="A245" s="0" t="n">
        <v>244</v>
      </c>
      <c r="D245" s="0" t="s">
        <v>609</v>
      </c>
      <c r="E245" s="0" t="s">
        <v>20</v>
      </c>
      <c r="H245" s="0" t="s">
        <v>21</v>
      </c>
      <c r="I245" s="2" t="s">
        <v>22</v>
      </c>
      <c r="J245" s="2" t="s">
        <v>524</v>
      </c>
      <c r="K245" s="0" t="s">
        <v>525</v>
      </c>
      <c r="L245" s="0" t="s">
        <v>610</v>
      </c>
      <c r="M245" s="0" t="s">
        <v>527</v>
      </c>
      <c r="N245" s="0" t="s">
        <v>611</v>
      </c>
      <c r="O245" s="0" t="n">
        <v>1</v>
      </c>
      <c r="Q245" s="0" t="s">
        <v>612</v>
      </c>
      <c r="R245" s="3"/>
      <c r="S245" s="2" t="s">
        <v>613</v>
      </c>
    </row>
    <row r="246" customFormat="false" ht="15" hidden="false" customHeight="false" outlineLevel="0" collapsed="false">
      <c r="A246" s="0" t="n">
        <v>245</v>
      </c>
      <c r="D246" s="0" t="s">
        <v>614</v>
      </c>
      <c r="E246" s="0" t="s">
        <v>20</v>
      </c>
      <c r="H246" s="0" t="s">
        <v>21</v>
      </c>
      <c r="I246" s="2" t="s">
        <v>22</v>
      </c>
      <c r="J246" s="2" t="s">
        <v>524</v>
      </c>
      <c r="K246" s="0" t="s">
        <v>615</v>
      </c>
      <c r="L246" s="0" t="s">
        <v>25</v>
      </c>
      <c r="M246" s="0" t="s">
        <v>616</v>
      </c>
      <c r="N246" s="0" t="s">
        <v>617</v>
      </c>
      <c r="O246" s="0" t="n">
        <v>1</v>
      </c>
      <c r="R246" s="3"/>
      <c r="S246" s="2" t="s">
        <v>28</v>
      </c>
    </row>
    <row r="247" customFormat="false" ht="15" hidden="false" customHeight="false" outlineLevel="0" collapsed="false">
      <c r="A247" s="0" t="n">
        <v>246</v>
      </c>
      <c r="D247" s="0" t="s">
        <v>618</v>
      </c>
      <c r="E247" s="0" t="s">
        <v>20</v>
      </c>
      <c r="H247" s="0" t="s">
        <v>21</v>
      </c>
      <c r="I247" s="2" t="s">
        <v>22</v>
      </c>
      <c r="J247" s="2" t="s">
        <v>524</v>
      </c>
      <c r="K247" s="0" t="s">
        <v>615</v>
      </c>
      <c r="L247" s="0" t="s">
        <v>25</v>
      </c>
      <c r="M247" s="0" t="s">
        <v>616</v>
      </c>
      <c r="N247" s="0" t="s">
        <v>619</v>
      </c>
      <c r="O247" s="0" t="n">
        <v>1</v>
      </c>
      <c r="R247" s="3"/>
      <c r="S247" s="2" t="s">
        <v>28</v>
      </c>
    </row>
    <row r="248" customFormat="false" ht="15" hidden="false" customHeight="false" outlineLevel="0" collapsed="false">
      <c r="A248" s="0" t="n">
        <v>247</v>
      </c>
      <c r="D248" s="0" t="s">
        <v>620</v>
      </c>
      <c r="E248" s="0" t="s">
        <v>20</v>
      </c>
      <c r="H248" s="0" t="s">
        <v>21</v>
      </c>
      <c r="I248" s="2" t="s">
        <v>22</v>
      </c>
      <c r="J248" s="2" t="s">
        <v>524</v>
      </c>
      <c r="K248" s="0" t="s">
        <v>615</v>
      </c>
      <c r="L248" s="0" t="s">
        <v>25</v>
      </c>
      <c r="M248" s="0" t="s">
        <v>616</v>
      </c>
      <c r="N248" s="0" t="s">
        <v>621</v>
      </c>
      <c r="O248" s="0" t="n">
        <v>1</v>
      </c>
      <c r="R248" s="3"/>
      <c r="S248" s="2" t="s">
        <v>28</v>
      </c>
    </row>
    <row r="249" customFormat="false" ht="15" hidden="false" customHeight="false" outlineLevel="0" collapsed="false">
      <c r="A249" s="0" t="n">
        <v>248</v>
      </c>
      <c r="D249" s="0" t="s">
        <v>622</v>
      </c>
      <c r="E249" s="0" t="s">
        <v>20</v>
      </c>
      <c r="H249" s="0" t="s">
        <v>21</v>
      </c>
      <c r="I249" s="2" t="s">
        <v>22</v>
      </c>
      <c r="J249" s="2" t="s">
        <v>524</v>
      </c>
      <c r="K249" s="0" t="s">
        <v>615</v>
      </c>
      <c r="L249" s="0" t="s">
        <v>25</v>
      </c>
      <c r="M249" s="0" t="s">
        <v>616</v>
      </c>
      <c r="N249" s="0" t="s">
        <v>623</v>
      </c>
      <c r="O249" s="0" t="n">
        <v>1</v>
      </c>
      <c r="R249" s="3"/>
      <c r="S249" s="2" t="s">
        <v>28</v>
      </c>
    </row>
    <row r="250" customFormat="false" ht="15" hidden="false" customHeight="false" outlineLevel="0" collapsed="false">
      <c r="A250" s="0" t="n">
        <v>249</v>
      </c>
      <c r="D250" s="0" t="s">
        <v>624</v>
      </c>
      <c r="E250" s="0" t="s">
        <v>20</v>
      </c>
      <c r="H250" s="0" t="s">
        <v>21</v>
      </c>
      <c r="I250" s="2" t="s">
        <v>22</v>
      </c>
      <c r="J250" s="2" t="s">
        <v>524</v>
      </c>
      <c r="K250" s="0" t="s">
        <v>615</v>
      </c>
      <c r="L250" s="0" t="s">
        <v>25</v>
      </c>
      <c r="M250" s="0" t="s">
        <v>616</v>
      </c>
      <c r="N250" s="0" t="s">
        <v>625</v>
      </c>
      <c r="O250" s="0" t="n">
        <v>1</v>
      </c>
      <c r="R250" s="3"/>
      <c r="S250" s="2" t="s">
        <v>28</v>
      </c>
    </row>
    <row r="251" customFormat="false" ht="15" hidden="false" customHeight="false" outlineLevel="0" collapsed="false">
      <c r="A251" s="0" t="n">
        <v>250</v>
      </c>
      <c r="D251" s="0" t="s">
        <v>626</v>
      </c>
      <c r="E251" s="0" t="s">
        <v>20</v>
      </c>
      <c r="H251" s="0" t="s">
        <v>21</v>
      </c>
      <c r="I251" s="2" t="s">
        <v>22</v>
      </c>
      <c r="J251" s="2" t="s">
        <v>524</v>
      </c>
      <c r="K251" s="0" t="s">
        <v>615</v>
      </c>
      <c r="L251" s="0" t="s">
        <v>25</v>
      </c>
      <c r="M251" s="0" t="s">
        <v>616</v>
      </c>
      <c r="N251" s="0" t="s">
        <v>627</v>
      </c>
      <c r="O251" s="0" t="n">
        <v>1</v>
      </c>
      <c r="R251" s="3"/>
      <c r="S251" s="2" t="s">
        <v>28</v>
      </c>
    </row>
    <row r="252" customFormat="false" ht="15" hidden="false" customHeight="false" outlineLevel="0" collapsed="false">
      <c r="A252" s="0" t="n">
        <v>251</v>
      </c>
      <c r="D252" s="0" t="s">
        <v>628</v>
      </c>
      <c r="E252" s="0" t="s">
        <v>20</v>
      </c>
      <c r="H252" s="0" t="s">
        <v>21</v>
      </c>
      <c r="I252" s="2" t="s">
        <v>22</v>
      </c>
      <c r="J252" s="2" t="s">
        <v>524</v>
      </c>
      <c r="K252" s="0" t="s">
        <v>615</v>
      </c>
      <c r="L252" s="0" t="s">
        <v>25</v>
      </c>
      <c r="M252" s="0" t="s">
        <v>616</v>
      </c>
      <c r="N252" s="0" t="s">
        <v>629</v>
      </c>
      <c r="O252" s="0" t="n">
        <v>1</v>
      </c>
      <c r="R252" s="3"/>
      <c r="S252" s="2" t="s">
        <v>28</v>
      </c>
    </row>
    <row r="253" customFormat="false" ht="15" hidden="false" customHeight="false" outlineLevel="0" collapsed="false">
      <c r="A253" s="0" t="n">
        <v>252</v>
      </c>
      <c r="D253" s="0" t="s">
        <v>630</v>
      </c>
      <c r="E253" s="0" t="s">
        <v>20</v>
      </c>
      <c r="H253" s="0" t="s">
        <v>21</v>
      </c>
      <c r="I253" s="2" t="s">
        <v>22</v>
      </c>
      <c r="J253" s="2" t="s">
        <v>524</v>
      </c>
      <c r="K253" s="0" t="s">
        <v>615</v>
      </c>
      <c r="L253" s="0" t="s">
        <v>25</v>
      </c>
      <c r="M253" s="0" t="s">
        <v>616</v>
      </c>
      <c r="N253" s="0" t="s">
        <v>631</v>
      </c>
      <c r="O253" s="0" t="n">
        <v>1</v>
      </c>
      <c r="R253" s="3"/>
      <c r="S253" s="2" t="s">
        <v>28</v>
      </c>
    </row>
    <row r="254" customFormat="false" ht="15" hidden="false" customHeight="false" outlineLevel="0" collapsed="false">
      <c r="A254" s="0" t="n">
        <v>253</v>
      </c>
      <c r="D254" s="0" t="s">
        <v>632</v>
      </c>
      <c r="E254" s="0" t="s">
        <v>20</v>
      </c>
      <c r="H254" s="0" t="s">
        <v>21</v>
      </c>
      <c r="I254" s="2" t="s">
        <v>22</v>
      </c>
      <c r="J254" s="2" t="s">
        <v>524</v>
      </c>
      <c r="K254" s="0" t="s">
        <v>615</v>
      </c>
      <c r="L254" s="0" t="s">
        <v>25</v>
      </c>
      <c r="M254" s="0" t="s">
        <v>616</v>
      </c>
      <c r="N254" s="0" t="s">
        <v>633</v>
      </c>
      <c r="O254" s="0" t="n">
        <v>1</v>
      </c>
      <c r="R254" s="3"/>
      <c r="S254" s="2" t="s">
        <v>28</v>
      </c>
    </row>
    <row r="255" customFormat="false" ht="15" hidden="false" customHeight="false" outlineLevel="0" collapsed="false">
      <c r="A255" s="0" t="n">
        <v>254</v>
      </c>
      <c r="D255" s="0" t="s">
        <v>634</v>
      </c>
      <c r="E255" s="0" t="s">
        <v>20</v>
      </c>
      <c r="H255" s="0" t="s">
        <v>21</v>
      </c>
      <c r="I255" s="2" t="s">
        <v>22</v>
      </c>
      <c r="J255" s="2" t="s">
        <v>524</v>
      </c>
      <c r="K255" s="0" t="s">
        <v>615</v>
      </c>
      <c r="L255" s="0" t="s">
        <v>25</v>
      </c>
      <c r="M255" s="0" t="s">
        <v>616</v>
      </c>
      <c r="N255" s="0" t="s">
        <v>635</v>
      </c>
      <c r="O255" s="0" t="n">
        <v>1</v>
      </c>
      <c r="R255" s="3"/>
      <c r="S255" s="2" t="s">
        <v>28</v>
      </c>
    </row>
    <row r="256" customFormat="false" ht="15" hidden="false" customHeight="false" outlineLevel="0" collapsed="false">
      <c r="A256" s="0" t="n">
        <v>255</v>
      </c>
      <c r="D256" s="0" t="s">
        <v>636</v>
      </c>
      <c r="E256" s="0" t="s">
        <v>20</v>
      </c>
      <c r="H256" s="0" t="s">
        <v>21</v>
      </c>
      <c r="I256" s="2" t="s">
        <v>22</v>
      </c>
      <c r="J256" s="2" t="s">
        <v>524</v>
      </c>
      <c r="K256" s="0" t="s">
        <v>615</v>
      </c>
      <c r="L256" s="0" t="s">
        <v>25</v>
      </c>
      <c r="M256" s="0" t="s">
        <v>616</v>
      </c>
      <c r="N256" s="0" t="s">
        <v>637</v>
      </c>
      <c r="O256" s="0" t="n">
        <v>1</v>
      </c>
      <c r="R256" s="3"/>
      <c r="S256" s="2" t="s">
        <v>28</v>
      </c>
    </row>
    <row r="257" customFormat="false" ht="15" hidden="false" customHeight="false" outlineLevel="0" collapsed="false">
      <c r="A257" s="0" t="n">
        <v>256</v>
      </c>
      <c r="D257" s="0" t="s">
        <v>638</v>
      </c>
      <c r="E257" s="0" t="s">
        <v>20</v>
      </c>
      <c r="H257" s="0" t="s">
        <v>21</v>
      </c>
      <c r="I257" s="2" t="s">
        <v>22</v>
      </c>
      <c r="J257" s="2" t="s">
        <v>524</v>
      </c>
      <c r="K257" s="0" t="s">
        <v>615</v>
      </c>
      <c r="L257" s="0" t="s">
        <v>25</v>
      </c>
      <c r="M257" s="0" t="s">
        <v>616</v>
      </c>
      <c r="N257" s="0" t="s">
        <v>639</v>
      </c>
      <c r="O257" s="0" t="n">
        <v>1</v>
      </c>
      <c r="R257" s="3"/>
      <c r="S257" s="2" t="s">
        <v>28</v>
      </c>
    </row>
    <row r="258" customFormat="false" ht="15" hidden="false" customHeight="false" outlineLevel="0" collapsed="false">
      <c r="A258" s="0" t="n">
        <v>257</v>
      </c>
      <c r="D258" s="0" t="s">
        <v>640</v>
      </c>
      <c r="E258" s="0" t="s">
        <v>20</v>
      </c>
      <c r="H258" s="0" t="s">
        <v>21</v>
      </c>
      <c r="I258" s="2" t="s">
        <v>22</v>
      </c>
      <c r="J258" s="2" t="s">
        <v>524</v>
      </c>
      <c r="K258" s="0" t="s">
        <v>615</v>
      </c>
      <c r="L258" s="0" t="s">
        <v>25</v>
      </c>
      <c r="M258" s="0" t="s">
        <v>616</v>
      </c>
      <c r="N258" s="0" t="s">
        <v>641</v>
      </c>
      <c r="O258" s="0" t="n">
        <v>1</v>
      </c>
      <c r="R258" s="3"/>
      <c r="S258" s="2" t="s">
        <v>28</v>
      </c>
    </row>
    <row r="259" customFormat="false" ht="15" hidden="false" customHeight="false" outlineLevel="0" collapsed="false">
      <c r="A259" s="0" t="n">
        <v>258</v>
      </c>
      <c r="D259" s="0" t="s">
        <v>642</v>
      </c>
      <c r="E259" s="0" t="s">
        <v>20</v>
      </c>
      <c r="H259" s="0" t="s">
        <v>21</v>
      </c>
      <c r="I259" s="2" t="s">
        <v>22</v>
      </c>
      <c r="J259" s="2" t="s">
        <v>524</v>
      </c>
      <c r="K259" s="0" t="s">
        <v>615</v>
      </c>
      <c r="L259" s="0" t="s">
        <v>25</v>
      </c>
      <c r="M259" s="0" t="s">
        <v>616</v>
      </c>
      <c r="N259" s="0" t="s">
        <v>643</v>
      </c>
      <c r="O259" s="0" t="n">
        <v>1</v>
      </c>
      <c r="R259" s="3"/>
      <c r="S259" s="2" t="s">
        <v>28</v>
      </c>
    </row>
    <row r="260" customFormat="false" ht="15" hidden="false" customHeight="false" outlineLevel="0" collapsed="false">
      <c r="A260" s="0" t="n">
        <v>259</v>
      </c>
      <c r="D260" s="0" t="s">
        <v>644</v>
      </c>
      <c r="E260" s="0" t="s">
        <v>287</v>
      </c>
      <c r="F260" s="0" t="s">
        <v>645</v>
      </c>
      <c r="H260" s="0" t="s">
        <v>21</v>
      </c>
      <c r="I260" s="2" t="s">
        <v>22</v>
      </c>
      <c r="J260" s="2" t="s">
        <v>524</v>
      </c>
      <c r="K260" s="0" t="s">
        <v>615</v>
      </c>
      <c r="L260" s="0" t="s">
        <v>646</v>
      </c>
      <c r="M260" s="0" t="s">
        <v>616</v>
      </c>
      <c r="N260" s="0" t="s">
        <v>647</v>
      </c>
      <c r="O260" s="0" t="n">
        <v>1</v>
      </c>
      <c r="P260" s="0" t="s">
        <v>287</v>
      </c>
      <c r="Q260" s="0" t="s">
        <v>648</v>
      </c>
      <c r="R260" s="3" t="s">
        <v>649</v>
      </c>
      <c r="S260" s="2" t="s">
        <v>650</v>
      </c>
    </row>
    <row r="261" customFormat="false" ht="15" hidden="false" customHeight="false" outlineLevel="0" collapsed="false">
      <c r="A261" s="0" t="n">
        <v>260</v>
      </c>
      <c r="D261" s="0" t="s">
        <v>651</v>
      </c>
      <c r="E261" s="0" t="s">
        <v>20</v>
      </c>
      <c r="F261" s="0" t="s">
        <v>652</v>
      </c>
      <c r="H261" s="0" t="s">
        <v>21</v>
      </c>
      <c r="I261" s="2" t="s">
        <v>22</v>
      </c>
      <c r="J261" s="2" t="s">
        <v>524</v>
      </c>
      <c r="K261" s="0" t="s">
        <v>615</v>
      </c>
      <c r="L261" s="0" t="s">
        <v>653</v>
      </c>
      <c r="M261" s="0" t="s">
        <v>616</v>
      </c>
      <c r="N261" s="0" t="s">
        <v>654</v>
      </c>
      <c r="O261" s="0" t="n">
        <v>1</v>
      </c>
      <c r="Q261" s="0" t="s">
        <v>655</v>
      </c>
      <c r="R261" s="3" t="s">
        <v>656</v>
      </c>
      <c r="S261" s="2" t="s">
        <v>657</v>
      </c>
    </row>
    <row r="262" customFormat="false" ht="15" hidden="false" customHeight="false" outlineLevel="0" collapsed="false">
      <c r="A262" s="0" t="n">
        <v>261</v>
      </c>
      <c r="D262" s="0" t="s">
        <v>658</v>
      </c>
      <c r="E262" s="0" t="s">
        <v>20</v>
      </c>
      <c r="H262" s="0" t="s">
        <v>21</v>
      </c>
      <c r="I262" s="2" t="s">
        <v>22</v>
      </c>
      <c r="J262" s="2" t="s">
        <v>524</v>
      </c>
      <c r="K262" s="0" t="s">
        <v>615</v>
      </c>
      <c r="L262" s="0" t="s">
        <v>25</v>
      </c>
      <c r="M262" s="0" t="s">
        <v>616</v>
      </c>
      <c r="N262" s="0" t="s">
        <v>659</v>
      </c>
      <c r="O262" s="0" t="n">
        <v>1</v>
      </c>
      <c r="R262" s="3"/>
      <c r="S262" s="2" t="s">
        <v>28</v>
      </c>
    </row>
    <row r="263" customFormat="false" ht="15" hidden="false" customHeight="false" outlineLevel="0" collapsed="false">
      <c r="A263" s="0" t="n">
        <v>262</v>
      </c>
      <c r="D263" s="0" t="s">
        <v>660</v>
      </c>
      <c r="E263" s="0" t="s">
        <v>20</v>
      </c>
      <c r="H263" s="0" t="s">
        <v>21</v>
      </c>
      <c r="I263" s="2" t="s">
        <v>22</v>
      </c>
      <c r="J263" s="2" t="s">
        <v>524</v>
      </c>
      <c r="K263" s="0" t="s">
        <v>661</v>
      </c>
      <c r="L263" s="0" t="s">
        <v>25</v>
      </c>
      <c r="M263" s="0" t="s">
        <v>662</v>
      </c>
      <c r="N263" s="0" t="s">
        <v>663</v>
      </c>
      <c r="O263" s="0" t="n">
        <v>1</v>
      </c>
      <c r="R263" s="3"/>
      <c r="S263" s="2" t="s">
        <v>28</v>
      </c>
    </row>
    <row r="264" customFormat="false" ht="15" hidden="false" customHeight="false" outlineLevel="0" collapsed="false">
      <c r="A264" s="0" t="n">
        <v>263</v>
      </c>
      <c r="D264" s="0" t="s">
        <v>664</v>
      </c>
      <c r="E264" s="0" t="s">
        <v>20</v>
      </c>
      <c r="H264" s="0" t="s">
        <v>21</v>
      </c>
      <c r="I264" s="2" t="s">
        <v>22</v>
      </c>
      <c r="J264" s="2" t="s">
        <v>524</v>
      </c>
      <c r="K264" s="0" t="s">
        <v>661</v>
      </c>
      <c r="L264" s="0" t="s">
        <v>25</v>
      </c>
      <c r="M264" s="0" t="s">
        <v>662</v>
      </c>
      <c r="N264" s="0" t="s">
        <v>665</v>
      </c>
      <c r="O264" s="0" t="n">
        <v>1</v>
      </c>
      <c r="R264" s="3"/>
      <c r="S264" s="2" t="s">
        <v>28</v>
      </c>
    </row>
    <row r="265" customFormat="false" ht="15" hidden="false" customHeight="false" outlineLevel="0" collapsed="false">
      <c r="A265" s="0" t="n">
        <v>264</v>
      </c>
      <c r="D265" s="0" t="s">
        <v>666</v>
      </c>
      <c r="E265" s="0" t="s">
        <v>20</v>
      </c>
      <c r="H265" s="0" t="s">
        <v>21</v>
      </c>
      <c r="I265" s="2" t="s">
        <v>22</v>
      </c>
      <c r="J265" s="2" t="s">
        <v>524</v>
      </c>
      <c r="K265" s="0" t="s">
        <v>661</v>
      </c>
      <c r="L265" s="0" t="s">
        <v>25</v>
      </c>
      <c r="M265" s="0" t="s">
        <v>662</v>
      </c>
      <c r="N265" s="0" t="s">
        <v>667</v>
      </c>
      <c r="O265" s="0" t="n">
        <v>1</v>
      </c>
      <c r="R265" s="3"/>
      <c r="S265" s="2" t="s">
        <v>28</v>
      </c>
    </row>
    <row r="266" customFormat="false" ht="15" hidden="false" customHeight="false" outlineLevel="0" collapsed="false">
      <c r="A266" s="0" t="n">
        <v>265</v>
      </c>
      <c r="D266" s="0" t="s">
        <v>668</v>
      </c>
      <c r="E266" s="0" t="s">
        <v>20</v>
      </c>
      <c r="H266" s="0" t="s">
        <v>21</v>
      </c>
      <c r="I266" s="2" t="s">
        <v>22</v>
      </c>
      <c r="J266" s="2" t="s">
        <v>524</v>
      </c>
      <c r="K266" s="0" t="s">
        <v>661</v>
      </c>
      <c r="L266" s="0" t="s">
        <v>204</v>
      </c>
      <c r="M266" s="0" t="s">
        <v>662</v>
      </c>
      <c r="N266" s="0" t="s">
        <v>669</v>
      </c>
      <c r="O266" s="0" t="n">
        <v>1</v>
      </c>
      <c r="P266" s="0" t="s">
        <v>206</v>
      </c>
      <c r="R266" s="3"/>
      <c r="S266" s="2" t="s">
        <v>28</v>
      </c>
    </row>
    <row r="267" customFormat="false" ht="15" hidden="false" customHeight="false" outlineLevel="0" collapsed="false">
      <c r="A267" s="0" t="n">
        <v>266</v>
      </c>
      <c r="D267" s="0" t="s">
        <v>670</v>
      </c>
      <c r="E267" s="0" t="s">
        <v>20</v>
      </c>
      <c r="H267" s="0" t="s">
        <v>21</v>
      </c>
      <c r="I267" s="2" t="s">
        <v>22</v>
      </c>
      <c r="J267" s="2" t="s">
        <v>524</v>
      </c>
      <c r="K267" s="0" t="s">
        <v>661</v>
      </c>
      <c r="L267" s="0" t="s">
        <v>25</v>
      </c>
      <c r="M267" s="0" t="s">
        <v>662</v>
      </c>
      <c r="N267" s="0" t="s">
        <v>671</v>
      </c>
      <c r="O267" s="0" t="n">
        <v>1</v>
      </c>
      <c r="R267" s="3"/>
      <c r="S267" s="2" t="s">
        <v>28</v>
      </c>
    </row>
    <row r="268" customFormat="false" ht="15" hidden="false" customHeight="false" outlineLevel="0" collapsed="false">
      <c r="A268" s="0" t="n">
        <v>267</v>
      </c>
      <c r="D268" s="0" t="s">
        <v>672</v>
      </c>
      <c r="E268" s="0" t="s">
        <v>188</v>
      </c>
      <c r="H268" s="0" t="s">
        <v>21</v>
      </c>
      <c r="I268" s="2" t="s">
        <v>22</v>
      </c>
      <c r="J268" s="2" t="s">
        <v>524</v>
      </c>
      <c r="K268" s="0" t="s">
        <v>661</v>
      </c>
      <c r="L268" s="0" t="s">
        <v>25</v>
      </c>
      <c r="M268" s="0" t="s">
        <v>662</v>
      </c>
      <c r="N268" s="0" t="s">
        <v>673</v>
      </c>
      <c r="O268" s="0" t="n">
        <v>1</v>
      </c>
      <c r="P268" s="0" t="s">
        <v>188</v>
      </c>
      <c r="R268" s="3"/>
      <c r="S268" s="2" t="s">
        <v>28</v>
      </c>
    </row>
    <row r="269" customFormat="false" ht="15" hidden="false" customHeight="false" outlineLevel="0" collapsed="false">
      <c r="A269" s="0" t="n">
        <v>268</v>
      </c>
      <c r="D269" s="0" t="s">
        <v>674</v>
      </c>
      <c r="E269" s="0" t="s">
        <v>20</v>
      </c>
      <c r="H269" s="0" t="s">
        <v>21</v>
      </c>
      <c r="I269" s="2" t="s">
        <v>22</v>
      </c>
      <c r="J269" s="2" t="s">
        <v>524</v>
      </c>
      <c r="K269" s="0" t="s">
        <v>661</v>
      </c>
      <c r="L269" s="0" t="s">
        <v>25</v>
      </c>
      <c r="M269" s="0" t="s">
        <v>662</v>
      </c>
      <c r="N269" s="0" t="s">
        <v>675</v>
      </c>
      <c r="O269" s="0" t="n">
        <v>1</v>
      </c>
      <c r="R269" s="3"/>
      <c r="S269" s="2" t="s">
        <v>28</v>
      </c>
    </row>
    <row r="270" customFormat="false" ht="15" hidden="false" customHeight="false" outlineLevel="0" collapsed="false">
      <c r="A270" s="0" t="n">
        <v>269</v>
      </c>
      <c r="D270" s="0" t="s">
        <v>676</v>
      </c>
      <c r="E270" s="0" t="s">
        <v>20</v>
      </c>
      <c r="F270" s="0" t="s">
        <v>677</v>
      </c>
      <c r="H270" s="0" t="s">
        <v>21</v>
      </c>
      <c r="I270" s="2" t="s">
        <v>22</v>
      </c>
      <c r="J270" s="2" t="s">
        <v>524</v>
      </c>
      <c r="K270" s="0" t="s">
        <v>661</v>
      </c>
      <c r="L270" s="0" t="s">
        <v>678</v>
      </c>
      <c r="M270" s="0" t="s">
        <v>662</v>
      </c>
      <c r="N270" s="0" t="s">
        <v>679</v>
      </c>
      <c r="O270" s="0" t="n">
        <v>1</v>
      </c>
      <c r="Q270" s="0" t="s">
        <v>680</v>
      </c>
      <c r="R270" s="3" t="s">
        <v>681</v>
      </c>
      <c r="S270" s="2" t="s">
        <v>682</v>
      </c>
    </row>
    <row r="271" customFormat="false" ht="15" hidden="false" customHeight="false" outlineLevel="0" collapsed="false">
      <c r="A271" s="0" t="n">
        <v>270</v>
      </c>
      <c r="D271" s="0" t="s">
        <v>683</v>
      </c>
      <c r="E271" s="0" t="s">
        <v>20</v>
      </c>
      <c r="F271" s="0" t="s">
        <v>684</v>
      </c>
      <c r="H271" s="0" t="s">
        <v>21</v>
      </c>
      <c r="I271" s="2" t="s">
        <v>22</v>
      </c>
      <c r="J271" s="2" t="s">
        <v>524</v>
      </c>
      <c r="K271" s="0" t="s">
        <v>661</v>
      </c>
      <c r="L271" s="0" t="s">
        <v>685</v>
      </c>
      <c r="M271" s="0" t="s">
        <v>662</v>
      </c>
      <c r="N271" s="0" t="s">
        <v>686</v>
      </c>
      <c r="O271" s="0" t="n">
        <v>1</v>
      </c>
      <c r="Q271" s="0" t="s">
        <v>687</v>
      </c>
      <c r="R271" s="3" t="s">
        <v>688</v>
      </c>
      <c r="S271" s="2" t="s">
        <v>689</v>
      </c>
    </row>
    <row r="272" customFormat="false" ht="15" hidden="false" customHeight="false" outlineLevel="0" collapsed="false">
      <c r="A272" s="0" t="n">
        <v>271</v>
      </c>
      <c r="D272" s="0" t="s">
        <v>690</v>
      </c>
      <c r="E272" s="0" t="s">
        <v>20</v>
      </c>
      <c r="H272" s="0" t="s">
        <v>21</v>
      </c>
      <c r="I272" s="2" t="s">
        <v>22</v>
      </c>
      <c r="J272" s="2" t="s">
        <v>524</v>
      </c>
      <c r="K272" s="0" t="s">
        <v>661</v>
      </c>
      <c r="L272" s="0" t="s">
        <v>25</v>
      </c>
      <c r="M272" s="0" t="s">
        <v>662</v>
      </c>
      <c r="N272" s="0" t="s">
        <v>691</v>
      </c>
      <c r="O272" s="0" t="n">
        <v>1</v>
      </c>
      <c r="R272" s="3"/>
      <c r="S272" s="2" t="s">
        <v>28</v>
      </c>
    </row>
    <row r="273" customFormat="false" ht="15" hidden="false" customHeight="false" outlineLevel="0" collapsed="false">
      <c r="A273" s="0" t="n">
        <v>272</v>
      </c>
      <c r="D273" s="0" t="s">
        <v>692</v>
      </c>
      <c r="E273" s="0" t="s">
        <v>20</v>
      </c>
      <c r="H273" s="0" t="s">
        <v>21</v>
      </c>
      <c r="I273" s="2" t="s">
        <v>22</v>
      </c>
      <c r="J273" s="2" t="s">
        <v>524</v>
      </c>
      <c r="K273" s="0" t="s">
        <v>661</v>
      </c>
      <c r="L273" s="0" t="s">
        <v>25</v>
      </c>
      <c r="M273" s="0" t="s">
        <v>662</v>
      </c>
      <c r="N273" s="0" t="s">
        <v>693</v>
      </c>
      <c r="O273" s="0" t="n">
        <v>1</v>
      </c>
      <c r="R273" s="3"/>
      <c r="S273" s="2" t="s">
        <v>28</v>
      </c>
    </row>
    <row r="274" customFormat="false" ht="15" hidden="false" customHeight="false" outlineLevel="0" collapsed="false">
      <c r="A274" s="0" t="n">
        <v>273</v>
      </c>
      <c r="D274" s="0" t="s">
        <v>694</v>
      </c>
      <c r="E274" s="0" t="s">
        <v>20</v>
      </c>
      <c r="H274" s="0" t="s">
        <v>21</v>
      </c>
      <c r="I274" s="2" t="s">
        <v>22</v>
      </c>
      <c r="J274" s="2" t="s">
        <v>524</v>
      </c>
      <c r="K274" s="0" t="s">
        <v>661</v>
      </c>
      <c r="L274" s="0" t="s">
        <v>25</v>
      </c>
      <c r="M274" s="0" t="s">
        <v>662</v>
      </c>
      <c r="N274" s="0" t="s">
        <v>695</v>
      </c>
      <c r="O274" s="0" t="n">
        <v>1</v>
      </c>
      <c r="R274" s="3"/>
      <c r="S274" s="2" t="s">
        <v>28</v>
      </c>
    </row>
    <row r="275" customFormat="false" ht="15" hidden="false" customHeight="false" outlineLevel="0" collapsed="false">
      <c r="A275" s="0" t="n">
        <v>274</v>
      </c>
      <c r="D275" s="0" t="s">
        <v>696</v>
      </c>
      <c r="E275" s="0" t="s">
        <v>68</v>
      </c>
      <c r="H275" s="0" t="s">
        <v>21</v>
      </c>
      <c r="I275" s="2" t="s">
        <v>22</v>
      </c>
      <c r="J275" s="2" t="s">
        <v>524</v>
      </c>
      <c r="K275" s="0" t="s">
        <v>661</v>
      </c>
      <c r="L275" s="0" t="s">
        <v>25</v>
      </c>
      <c r="M275" s="0" t="s">
        <v>662</v>
      </c>
      <c r="N275" s="0" t="s">
        <v>697</v>
      </c>
      <c r="O275" s="0" t="n">
        <v>1</v>
      </c>
      <c r="P275" s="0" t="s">
        <v>68</v>
      </c>
      <c r="R275" s="3"/>
      <c r="S275" s="2" t="s">
        <v>28</v>
      </c>
    </row>
    <row r="276" customFormat="false" ht="15" hidden="false" customHeight="false" outlineLevel="0" collapsed="false">
      <c r="A276" s="0" t="n">
        <v>275</v>
      </c>
      <c r="D276" s="0" t="s">
        <v>698</v>
      </c>
      <c r="E276" s="0" t="s">
        <v>68</v>
      </c>
      <c r="H276" s="0" t="s">
        <v>21</v>
      </c>
      <c r="I276" s="2" t="s">
        <v>22</v>
      </c>
      <c r="J276" s="2" t="s">
        <v>524</v>
      </c>
      <c r="K276" s="0" t="s">
        <v>661</v>
      </c>
      <c r="L276" s="0" t="s">
        <v>25</v>
      </c>
      <c r="M276" s="0" t="s">
        <v>662</v>
      </c>
      <c r="N276" s="0" t="s">
        <v>699</v>
      </c>
      <c r="O276" s="0" t="n">
        <v>1</v>
      </c>
      <c r="P276" s="0" t="s">
        <v>68</v>
      </c>
      <c r="R276" s="3"/>
      <c r="S276" s="2" t="s">
        <v>28</v>
      </c>
    </row>
    <row r="277" customFormat="false" ht="15" hidden="false" customHeight="false" outlineLevel="0" collapsed="false">
      <c r="A277" s="0" t="n">
        <v>276</v>
      </c>
      <c r="D277" s="0" t="s">
        <v>700</v>
      </c>
      <c r="E277" s="0" t="s">
        <v>20</v>
      </c>
      <c r="H277" s="0" t="s">
        <v>21</v>
      </c>
      <c r="I277" s="2" t="s">
        <v>22</v>
      </c>
      <c r="J277" s="2" t="s">
        <v>524</v>
      </c>
      <c r="K277" s="0" t="s">
        <v>661</v>
      </c>
      <c r="L277" s="0" t="s">
        <v>25</v>
      </c>
      <c r="M277" s="0" t="s">
        <v>662</v>
      </c>
      <c r="N277" s="0" t="s">
        <v>701</v>
      </c>
      <c r="O277" s="0" t="n">
        <v>1</v>
      </c>
      <c r="R277" s="3"/>
      <c r="S277" s="2" t="s">
        <v>28</v>
      </c>
    </row>
    <row r="278" customFormat="false" ht="15" hidden="false" customHeight="false" outlineLevel="0" collapsed="false">
      <c r="A278" s="0" t="n">
        <v>277</v>
      </c>
      <c r="D278" s="0" t="s">
        <v>702</v>
      </c>
      <c r="E278" s="0" t="s">
        <v>20</v>
      </c>
      <c r="H278" s="0" t="s">
        <v>21</v>
      </c>
      <c r="I278" s="2" t="s">
        <v>22</v>
      </c>
      <c r="J278" s="2" t="s">
        <v>524</v>
      </c>
      <c r="K278" s="0" t="s">
        <v>661</v>
      </c>
      <c r="L278" s="0" t="s">
        <v>25</v>
      </c>
      <c r="M278" s="0" t="s">
        <v>662</v>
      </c>
      <c r="N278" s="0" t="s">
        <v>703</v>
      </c>
      <c r="O278" s="0" t="n">
        <v>1</v>
      </c>
      <c r="R278" s="3"/>
      <c r="S278" s="2" t="s">
        <v>28</v>
      </c>
    </row>
    <row r="279" customFormat="false" ht="15" hidden="false" customHeight="false" outlineLevel="0" collapsed="false">
      <c r="A279" s="0" t="n">
        <v>278</v>
      </c>
      <c r="D279" s="0" t="s">
        <v>704</v>
      </c>
      <c r="E279" s="0" t="s">
        <v>20</v>
      </c>
      <c r="H279" s="0" t="s">
        <v>21</v>
      </c>
      <c r="I279" s="2" t="s">
        <v>22</v>
      </c>
      <c r="J279" s="2" t="s">
        <v>524</v>
      </c>
      <c r="K279" s="0" t="s">
        <v>661</v>
      </c>
      <c r="L279" s="0" t="s">
        <v>25</v>
      </c>
      <c r="M279" s="0" t="s">
        <v>662</v>
      </c>
      <c r="N279" s="0" t="s">
        <v>705</v>
      </c>
      <c r="O279" s="0" t="n">
        <v>1</v>
      </c>
      <c r="R279" s="3"/>
      <c r="S279" s="2" t="s">
        <v>28</v>
      </c>
    </row>
    <row r="280" customFormat="false" ht="15" hidden="false" customHeight="false" outlineLevel="0" collapsed="false">
      <c r="A280" s="0" t="n">
        <v>279</v>
      </c>
      <c r="D280" s="0" t="s">
        <v>706</v>
      </c>
      <c r="E280" s="0" t="s">
        <v>20</v>
      </c>
      <c r="H280" s="0" t="s">
        <v>21</v>
      </c>
      <c r="I280" s="2" t="s">
        <v>22</v>
      </c>
      <c r="J280" s="2" t="s">
        <v>524</v>
      </c>
      <c r="K280" s="0" t="s">
        <v>661</v>
      </c>
      <c r="L280" s="0" t="s">
        <v>25</v>
      </c>
      <c r="M280" s="0" t="s">
        <v>662</v>
      </c>
      <c r="N280" s="0" t="s">
        <v>707</v>
      </c>
      <c r="O280" s="0" t="n">
        <v>1</v>
      </c>
      <c r="R280" s="3"/>
      <c r="S280" s="2" t="s">
        <v>28</v>
      </c>
    </row>
    <row r="281" customFormat="false" ht="15" hidden="false" customHeight="false" outlineLevel="0" collapsed="false">
      <c r="A281" s="0" t="n">
        <v>280</v>
      </c>
      <c r="D281" s="0" t="s">
        <v>708</v>
      </c>
      <c r="E281" s="0" t="s">
        <v>20</v>
      </c>
      <c r="H281" s="0" t="s">
        <v>21</v>
      </c>
      <c r="I281" s="2" t="s">
        <v>22</v>
      </c>
      <c r="J281" s="2" t="s">
        <v>524</v>
      </c>
      <c r="K281" s="0" t="s">
        <v>661</v>
      </c>
      <c r="L281" s="0" t="s">
        <v>25</v>
      </c>
      <c r="M281" s="0" t="s">
        <v>662</v>
      </c>
      <c r="N281" s="0" t="s">
        <v>709</v>
      </c>
      <c r="O281" s="0" t="n">
        <v>1</v>
      </c>
      <c r="R281" s="3"/>
      <c r="S281" s="2" t="s">
        <v>28</v>
      </c>
    </row>
    <row r="282" customFormat="false" ht="15" hidden="false" customHeight="false" outlineLevel="0" collapsed="false">
      <c r="A282" s="0" t="n">
        <v>281</v>
      </c>
      <c r="D282" s="0" t="s">
        <v>710</v>
      </c>
      <c r="E282" s="0" t="s">
        <v>20</v>
      </c>
      <c r="H282" s="0" t="s">
        <v>21</v>
      </c>
      <c r="I282" s="2" t="s">
        <v>22</v>
      </c>
      <c r="J282" s="2" t="s">
        <v>524</v>
      </c>
      <c r="K282" s="0" t="s">
        <v>661</v>
      </c>
      <c r="L282" s="0" t="s">
        <v>25</v>
      </c>
      <c r="M282" s="0" t="s">
        <v>662</v>
      </c>
      <c r="N282" s="0" t="s">
        <v>711</v>
      </c>
      <c r="O282" s="0" t="n">
        <v>1</v>
      </c>
      <c r="R282" s="3"/>
      <c r="S282" s="2" t="s">
        <v>28</v>
      </c>
    </row>
    <row r="283" customFormat="false" ht="15" hidden="false" customHeight="false" outlineLevel="0" collapsed="false">
      <c r="A283" s="0" t="n">
        <v>282</v>
      </c>
      <c r="B283" s="0" t="s">
        <v>712</v>
      </c>
      <c r="D283" s="0" t="s">
        <v>713</v>
      </c>
      <c r="E283" s="0" t="s">
        <v>20</v>
      </c>
      <c r="F283" s="0" t="s">
        <v>714</v>
      </c>
      <c r="H283" s="0" t="s">
        <v>21</v>
      </c>
      <c r="I283" s="2" t="s">
        <v>22</v>
      </c>
      <c r="J283" s="2" t="s">
        <v>524</v>
      </c>
      <c r="K283" s="0" t="s">
        <v>661</v>
      </c>
      <c r="L283" s="0" t="s">
        <v>715</v>
      </c>
      <c r="M283" s="0" t="s">
        <v>662</v>
      </c>
      <c r="N283" s="0" t="s">
        <v>716</v>
      </c>
      <c r="O283" s="0" t="n">
        <v>1</v>
      </c>
      <c r="Q283" s="0" t="s">
        <v>717</v>
      </c>
      <c r="R283" s="3" t="s">
        <v>718</v>
      </c>
      <c r="S283" s="2" t="s">
        <v>719</v>
      </c>
    </row>
    <row r="284" customFormat="false" ht="15" hidden="false" customHeight="false" outlineLevel="0" collapsed="false">
      <c r="A284" s="0" t="n">
        <v>283</v>
      </c>
      <c r="D284" s="0" t="s">
        <v>720</v>
      </c>
      <c r="E284" s="0" t="s">
        <v>20</v>
      </c>
      <c r="H284" s="0" t="s">
        <v>21</v>
      </c>
      <c r="I284" s="2" t="s">
        <v>22</v>
      </c>
      <c r="J284" s="2" t="s">
        <v>524</v>
      </c>
      <c r="K284" s="0" t="s">
        <v>721</v>
      </c>
      <c r="L284" s="0" t="s">
        <v>25</v>
      </c>
      <c r="M284" s="0" t="s">
        <v>722</v>
      </c>
      <c r="N284" s="0" t="s">
        <v>723</v>
      </c>
      <c r="O284" s="0" t="n">
        <v>1</v>
      </c>
      <c r="R284" s="3"/>
      <c r="S284" s="2" t="s">
        <v>28</v>
      </c>
    </row>
    <row r="285" customFormat="false" ht="15" hidden="false" customHeight="false" outlineLevel="0" collapsed="false">
      <c r="A285" s="0" t="n">
        <v>284</v>
      </c>
      <c r="D285" s="0" t="s">
        <v>724</v>
      </c>
      <c r="E285" s="0" t="s">
        <v>20</v>
      </c>
      <c r="H285" s="0" t="s">
        <v>21</v>
      </c>
      <c r="I285" s="2" t="s">
        <v>22</v>
      </c>
      <c r="J285" s="2" t="s">
        <v>524</v>
      </c>
      <c r="K285" s="0" t="s">
        <v>721</v>
      </c>
      <c r="L285" s="0" t="s">
        <v>25</v>
      </c>
      <c r="M285" s="0" t="s">
        <v>722</v>
      </c>
      <c r="N285" s="0" t="s">
        <v>725</v>
      </c>
      <c r="O285" s="0" t="n">
        <v>1</v>
      </c>
      <c r="R285" s="3"/>
      <c r="S285" s="2" t="s">
        <v>28</v>
      </c>
    </row>
    <row r="286" customFormat="false" ht="15" hidden="false" customHeight="false" outlineLevel="0" collapsed="false">
      <c r="A286" s="0" t="n">
        <v>285</v>
      </c>
      <c r="D286" s="0" t="s">
        <v>726</v>
      </c>
      <c r="E286" s="0" t="s">
        <v>20</v>
      </c>
      <c r="H286" s="0" t="s">
        <v>21</v>
      </c>
      <c r="I286" s="2" t="s">
        <v>22</v>
      </c>
      <c r="J286" s="2" t="s">
        <v>524</v>
      </c>
      <c r="K286" s="0" t="s">
        <v>721</v>
      </c>
      <c r="L286" s="0" t="s">
        <v>25</v>
      </c>
      <c r="M286" s="0" t="s">
        <v>722</v>
      </c>
      <c r="N286" s="0" t="s">
        <v>727</v>
      </c>
      <c r="O286" s="0" t="n">
        <v>1</v>
      </c>
      <c r="R286" s="3"/>
      <c r="S286" s="2" t="s">
        <v>28</v>
      </c>
    </row>
    <row r="287" customFormat="false" ht="15" hidden="false" customHeight="false" outlineLevel="0" collapsed="false">
      <c r="A287" s="0" t="n">
        <v>286</v>
      </c>
      <c r="D287" s="0" t="s">
        <v>728</v>
      </c>
      <c r="E287" s="0" t="s">
        <v>20</v>
      </c>
      <c r="H287" s="0" t="s">
        <v>21</v>
      </c>
      <c r="I287" s="2" t="s">
        <v>22</v>
      </c>
      <c r="J287" s="2" t="s">
        <v>524</v>
      </c>
      <c r="K287" s="0" t="s">
        <v>721</v>
      </c>
      <c r="L287" s="0" t="s">
        <v>25</v>
      </c>
      <c r="M287" s="0" t="s">
        <v>722</v>
      </c>
      <c r="N287" s="0" t="s">
        <v>729</v>
      </c>
      <c r="O287" s="0" t="n">
        <v>1</v>
      </c>
      <c r="R287" s="3"/>
      <c r="S287" s="2" t="s">
        <v>28</v>
      </c>
    </row>
    <row r="288" customFormat="false" ht="15" hidden="false" customHeight="false" outlineLevel="0" collapsed="false">
      <c r="A288" s="0" t="n">
        <v>287</v>
      </c>
      <c r="D288" s="0" t="s">
        <v>730</v>
      </c>
      <c r="E288" s="0" t="s">
        <v>20</v>
      </c>
      <c r="H288" s="0" t="s">
        <v>21</v>
      </c>
      <c r="I288" s="2" t="s">
        <v>22</v>
      </c>
      <c r="J288" s="2" t="s">
        <v>524</v>
      </c>
      <c r="K288" s="0" t="s">
        <v>721</v>
      </c>
      <c r="L288" s="0" t="s">
        <v>25</v>
      </c>
      <c r="M288" s="0" t="s">
        <v>722</v>
      </c>
      <c r="N288" s="0" t="s">
        <v>731</v>
      </c>
      <c r="O288" s="0" t="n">
        <v>1</v>
      </c>
      <c r="R288" s="3"/>
      <c r="S288" s="2" t="s">
        <v>28</v>
      </c>
    </row>
    <row r="289" customFormat="false" ht="15" hidden="false" customHeight="false" outlineLevel="0" collapsed="false">
      <c r="A289" s="0" t="n">
        <v>288</v>
      </c>
      <c r="D289" s="0" t="s">
        <v>732</v>
      </c>
      <c r="E289" s="0" t="s">
        <v>20</v>
      </c>
      <c r="H289" s="0" t="s">
        <v>21</v>
      </c>
      <c r="I289" s="2" t="s">
        <v>22</v>
      </c>
      <c r="J289" s="2" t="s">
        <v>524</v>
      </c>
      <c r="K289" s="0" t="s">
        <v>721</v>
      </c>
      <c r="L289" s="0" t="s">
        <v>25</v>
      </c>
      <c r="M289" s="0" t="s">
        <v>722</v>
      </c>
      <c r="N289" s="0" t="s">
        <v>731</v>
      </c>
      <c r="O289" s="0" t="n">
        <v>1</v>
      </c>
      <c r="R289" s="3"/>
      <c r="S289" s="2" t="s">
        <v>28</v>
      </c>
    </row>
    <row r="290" customFormat="false" ht="15" hidden="false" customHeight="false" outlineLevel="0" collapsed="false">
      <c r="A290" s="0" t="n">
        <v>289</v>
      </c>
      <c r="D290" s="0" t="s">
        <v>733</v>
      </c>
      <c r="E290" s="0" t="s">
        <v>20</v>
      </c>
      <c r="H290" s="0" t="s">
        <v>21</v>
      </c>
      <c r="I290" s="2" t="s">
        <v>22</v>
      </c>
      <c r="J290" s="2" t="s">
        <v>524</v>
      </c>
      <c r="K290" s="0" t="s">
        <v>721</v>
      </c>
      <c r="L290" s="0" t="s">
        <v>25</v>
      </c>
      <c r="M290" s="0" t="s">
        <v>722</v>
      </c>
      <c r="N290" s="0" t="s">
        <v>734</v>
      </c>
      <c r="O290" s="0" t="n">
        <v>1</v>
      </c>
      <c r="R290" s="3"/>
      <c r="S290" s="2" t="s">
        <v>28</v>
      </c>
    </row>
    <row r="291" customFormat="false" ht="15" hidden="false" customHeight="false" outlineLevel="0" collapsed="false">
      <c r="A291" s="0" t="n">
        <v>290</v>
      </c>
      <c r="D291" s="0" t="s">
        <v>735</v>
      </c>
      <c r="E291" s="0" t="s">
        <v>210</v>
      </c>
      <c r="H291" s="0" t="s">
        <v>21</v>
      </c>
      <c r="I291" s="2" t="s">
        <v>22</v>
      </c>
      <c r="J291" s="2" t="s">
        <v>524</v>
      </c>
      <c r="K291" s="0" t="s">
        <v>736</v>
      </c>
      <c r="L291" s="0" t="s">
        <v>25</v>
      </c>
      <c r="M291" s="0" t="s">
        <v>737</v>
      </c>
      <c r="N291" s="0" t="s">
        <v>738</v>
      </c>
      <c r="O291" s="0" t="n">
        <v>1</v>
      </c>
      <c r="P291" s="0" t="s">
        <v>210</v>
      </c>
      <c r="R291" s="3"/>
      <c r="S291" s="2" t="s">
        <v>28</v>
      </c>
    </row>
    <row r="292" customFormat="false" ht="15" hidden="false" customHeight="false" outlineLevel="0" collapsed="false">
      <c r="A292" s="0" t="n">
        <v>291</v>
      </c>
      <c r="D292" s="0" t="s">
        <v>739</v>
      </c>
      <c r="E292" s="0" t="s">
        <v>301</v>
      </c>
      <c r="H292" s="0" t="s">
        <v>21</v>
      </c>
      <c r="I292" s="2" t="s">
        <v>22</v>
      </c>
      <c r="J292" s="2" t="s">
        <v>524</v>
      </c>
      <c r="K292" s="0" t="s">
        <v>736</v>
      </c>
      <c r="L292" s="0" t="s">
        <v>25</v>
      </c>
      <c r="M292" s="0" t="s">
        <v>737</v>
      </c>
      <c r="N292" s="0" t="s">
        <v>740</v>
      </c>
      <c r="O292" s="0" t="n">
        <v>1</v>
      </c>
      <c r="P292" s="0" t="s">
        <v>301</v>
      </c>
      <c r="R292" s="3"/>
      <c r="S292" s="2" t="s">
        <v>28</v>
      </c>
    </row>
    <row r="293" customFormat="false" ht="15" hidden="false" customHeight="false" outlineLevel="0" collapsed="false">
      <c r="A293" s="0" t="n">
        <v>292</v>
      </c>
      <c r="D293" s="0" t="s">
        <v>741</v>
      </c>
      <c r="E293" s="0" t="s">
        <v>20</v>
      </c>
      <c r="H293" s="0" t="s">
        <v>21</v>
      </c>
      <c r="I293" s="2" t="s">
        <v>22</v>
      </c>
      <c r="J293" s="2" t="s">
        <v>524</v>
      </c>
      <c r="K293" s="0" t="s">
        <v>736</v>
      </c>
      <c r="L293" s="0" t="s">
        <v>25</v>
      </c>
      <c r="M293" s="0" t="s">
        <v>737</v>
      </c>
      <c r="N293" s="0" t="s">
        <v>742</v>
      </c>
      <c r="O293" s="0" t="n">
        <v>1</v>
      </c>
      <c r="R293" s="3"/>
      <c r="S293" s="2" t="s">
        <v>28</v>
      </c>
    </row>
    <row r="294" customFormat="false" ht="15" hidden="false" customHeight="false" outlineLevel="0" collapsed="false">
      <c r="A294" s="0" t="n">
        <v>293</v>
      </c>
      <c r="D294" s="0" t="s">
        <v>743</v>
      </c>
      <c r="E294" s="0" t="s">
        <v>173</v>
      </c>
      <c r="H294" s="0" t="s">
        <v>21</v>
      </c>
      <c r="I294" s="2" t="s">
        <v>22</v>
      </c>
      <c r="J294" s="2" t="s">
        <v>524</v>
      </c>
      <c r="K294" s="0" t="s">
        <v>736</v>
      </c>
      <c r="L294" s="0" t="s">
        <v>25</v>
      </c>
      <c r="M294" s="0" t="s">
        <v>737</v>
      </c>
      <c r="N294" s="0" t="s">
        <v>744</v>
      </c>
      <c r="O294" s="0" t="n">
        <v>1</v>
      </c>
      <c r="P294" s="0" t="s">
        <v>173</v>
      </c>
      <c r="R294" s="3"/>
      <c r="S294" s="2" t="s">
        <v>28</v>
      </c>
    </row>
    <row r="295" customFormat="false" ht="15" hidden="false" customHeight="false" outlineLevel="0" collapsed="false">
      <c r="A295" s="0" t="n">
        <v>294</v>
      </c>
      <c r="D295" s="0" t="s">
        <v>745</v>
      </c>
      <c r="E295" s="0" t="s">
        <v>20</v>
      </c>
      <c r="H295" s="0" t="s">
        <v>21</v>
      </c>
      <c r="I295" s="2" t="s">
        <v>22</v>
      </c>
      <c r="J295" s="2" t="s">
        <v>524</v>
      </c>
      <c r="K295" s="0" t="s">
        <v>736</v>
      </c>
      <c r="L295" s="0" t="s">
        <v>25</v>
      </c>
      <c r="M295" s="0" t="s">
        <v>737</v>
      </c>
      <c r="N295" s="0" t="s">
        <v>746</v>
      </c>
      <c r="O295" s="0" t="n">
        <v>1</v>
      </c>
      <c r="R295" s="3"/>
      <c r="S295" s="2" t="s">
        <v>28</v>
      </c>
    </row>
    <row r="296" customFormat="false" ht="15" hidden="false" customHeight="false" outlineLevel="0" collapsed="false">
      <c r="A296" s="0" t="n">
        <v>295</v>
      </c>
      <c r="D296" s="0" t="s">
        <v>747</v>
      </c>
      <c r="E296" s="0" t="s">
        <v>20</v>
      </c>
      <c r="H296" s="0" t="s">
        <v>21</v>
      </c>
      <c r="I296" s="2" t="s">
        <v>22</v>
      </c>
      <c r="J296" s="2" t="s">
        <v>524</v>
      </c>
      <c r="K296" s="0" t="s">
        <v>736</v>
      </c>
      <c r="L296" s="0" t="s">
        <v>25</v>
      </c>
      <c r="M296" s="0" t="s">
        <v>737</v>
      </c>
      <c r="N296" s="0" t="s">
        <v>748</v>
      </c>
      <c r="O296" s="0" t="n">
        <v>1</v>
      </c>
      <c r="R296" s="3"/>
      <c r="S296" s="2" t="s">
        <v>28</v>
      </c>
    </row>
    <row r="297" customFormat="false" ht="15" hidden="false" customHeight="false" outlineLevel="0" collapsed="false">
      <c r="A297" s="0" t="n">
        <v>296</v>
      </c>
      <c r="D297" s="0" t="s">
        <v>749</v>
      </c>
      <c r="E297" s="0" t="s">
        <v>253</v>
      </c>
      <c r="H297" s="0" t="s">
        <v>21</v>
      </c>
      <c r="I297" s="2" t="s">
        <v>22</v>
      </c>
      <c r="J297" s="2" t="s">
        <v>524</v>
      </c>
      <c r="K297" s="0" t="s">
        <v>736</v>
      </c>
      <c r="L297" s="0" t="s">
        <v>25</v>
      </c>
      <c r="M297" s="0" t="s">
        <v>737</v>
      </c>
      <c r="N297" s="0" t="s">
        <v>750</v>
      </c>
      <c r="O297" s="0" t="n">
        <v>1</v>
      </c>
      <c r="P297" s="0" t="s">
        <v>253</v>
      </c>
      <c r="R297" s="3"/>
      <c r="S297" s="2" t="s">
        <v>28</v>
      </c>
    </row>
    <row r="298" customFormat="false" ht="15" hidden="false" customHeight="false" outlineLevel="0" collapsed="false">
      <c r="A298" s="0" t="n">
        <v>297</v>
      </c>
      <c r="D298" s="0" t="s">
        <v>751</v>
      </c>
      <c r="E298" s="0" t="s">
        <v>20</v>
      </c>
      <c r="H298" s="0" t="s">
        <v>21</v>
      </c>
      <c r="I298" s="2" t="s">
        <v>22</v>
      </c>
      <c r="J298" s="2" t="s">
        <v>524</v>
      </c>
      <c r="K298" s="0" t="s">
        <v>736</v>
      </c>
      <c r="L298" s="0" t="s">
        <v>25</v>
      </c>
      <c r="M298" s="0" t="s">
        <v>737</v>
      </c>
      <c r="N298" s="0" t="s">
        <v>752</v>
      </c>
      <c r="O298" s="0" t="n">
        <v>1</v>
      </c>
      <c r="R298" s="3"/>
      <c r="S298" s="2" t="s">
        <v>28</v>
      </c>
    </row>
    <row r="299" customFormat="false" ht="15" hidden="false" customHeight="false" outlineLevel="0" collapsed="false">
      <c r="A299" s="0" t="n">
        <v>298</v>
      </c>
      <c r="D299" s="0" t="s">
        <v>753</v>
      </c>
      <c r="E299" s="0" t="s">
        <v>68</v>
      </c>
      <c r="H299" s="0" t="s">
        <v>21</v>
      </c>
      <c r="I299" s="2" t="s">
        <v>22</v>
      </c>
      <c r="J299" s="2" t="s">
        <v>524</v>
      </c>
      <c r="K299" s="0" t="s">
        <v>736</v>
      </c>
      <c r="L299" s="0" t="s">
        <v>25</v>
      </c>
      <c r="M299" s="0" t="s">
        <v>737</v>
      </c>
      <c r="N299" s="0" t="s">
        <v>754</v>
      </c>
      <c r="O299" s="0" t="n">
        <v>1</v>
      </c>
      <c r="P299" s="0" t="s">
        <v>68</v>
      </c>
      <c r="R299" s="3"/>
      <c r="S299" s="2" t="s">
        <v>28</v>
      </c>
    </row>
    <row r="300" customFormat="false" ht="15" hidden="false" customHeight="false" outlineLevel="0" collapsed="false">
      <c r="A300" s="0" t="n">
        <v>299</v>
      </c>
      <c r="D300" s="0" t="s">
        <v>755</v>
      </c>
      <c r="E300" s="0" t="s">
        <v>555</v>
      </c>
      <c r="H300" s="0" t="s">
        <v>21</v>
      </c>
      <c r="I300" s="2" t="s">
        <v>22</v>
      </c>
      <c r="J300" s="2" t="s">
        <v>524</v>
      </c>
      <c r="K300" s="0" t="s">
        <v>736</v>
      </c>
      <c r="L300" s="0" t="s">
        <v>25</v>
      </c>
      <c r="M300" s="0" t="s">
        <v>737</v>
      </c>
      <c r="N300" s="0" t="s">
        <v>756</v>
      </c>
      <c r="O300" s="0" t="n">
        <v>1</v>
      </c>
      <c r="P300" s="0" t="s">
        <v>555</v>
      </c>
      <c r="R300" s="3"/>
      <c r="S300" s="2" t="s">
        <v>28</v>
      </c>
    </row>
    <row r="301" customFormat="false" ht="15" hidden="false" customHeight="false" outlineLevel="0" collapsed="false">
      <c r="A301" s="0" t="n">
        <v>300</v>
      </c>
      <c r="D301" s="0" t="s">
        <v>757</v>
      </c>
      <c r="E301" s="0" t="s">
        <v>568</v>
      </c>
      <c r="H301" s="0" t="s">
        <v>21</v>
      </c>
      <c r="I301" s="2" t="s">
        <v>22</v>
      </c>
      <c r="J301" s="2" t="s">
        <v>524</v>
      </c>
      <c r="K301" s="0" t="s">
        <v>736</v>
      </c>
      <c r="L301" s="0" t="s">
        <v>25</v>
      </c>
      <c r="M301" s="0" t="s">
        <v>737</v>
      </c>
      <c r="N301" s="0" t="s">
        <v>758</v>
      </c>
      <c r="O301" s="0" t="n">
        <v>1</v>
      </c>
      <c r="P301" s="0" t="s">
        <v>568</v>
      </c>
      <c r="R301" s="3"/>
      <c r="S301" s="2" t="s">
        <v>28</v>
      </c>
    </row>
    <row r="302" customFormat="false" ht="15" hidden="false" customHeight="false" outlineLevel="0" collapsed="false">
      <c r="A302" s="0" t="n">
        <v>301</v>
      </c>
      <c r="D302" s="0" t="s">
        <v>759</v>
      </c>
      <c r="E302" s="0" t="s">
        <v>568</v>
      </c>
      <c r="H302" s="0" t="s">
        <v>21</v>
      </c>
      <c r="I302" s="2" t="s">
        <v>22</v>
      </c>
      <c r="J302" s="2" t="s">
        <v>524</v>
      </c>
      <c r="K302" s="0" t="s">
        <v>736</v>
      </c>
      <c r="L302" s="0" t="s">
        <v>25</v>
      </c>
      <c r="M302" s="0" t="s">
        <v>737</v>
      </c>
      <c r="N302" s="0" t="s">
        <v>760</v>
      </c>
      <c r="O302" s="0" t="n">
        <v>1</v>
      </c>
      <c r="P302" s="0" t="s">
        <v>568</v>
      </c>
      <c r="R302" s="3"/>
      <c r="S302" s="2" t="s">
        <v>28</v>
      </c>
    </row>
    <row r="303" customFormat="false" ht="15" hidden="false" customHeight="false" outlineLevel="0" collapsed="false">
      <c r="A303" s="0" t="n">
        <v>302</v>
      </c>
      <c r="D303" s="0" t="s">
        <v>761</v>
      </c>
      <c r="E303" s="0" t="s">
        <v>577</v>
      </c>
      <c r="H303" s="0" t="s">
        <v>21</v>
      </c>
      <c r="I303" s="2" t="s">
        <v>22</v>
      </c>
      <c r="J303" s="2" t="s">
        <v>524</v>
      </c>
      <c r="K303" s="0" t="s">
        <v>736</v>
      </c>
      <c r="L303" s="0" t="s">
        <v>25</v>
      </c>
      <c r="M303" s="0" t="s">
        <v>737</v>
      </c>
      <c r="N303" s="0" t="s">
        <v>762</v>
      </c>
      <c r="O303" s="0" t="n">
        <v>1</v>
      </c>
      <c r="P303" s="0" t="s">
        <v>577</v>
      </c>
      <c r="R303" s="3"/>
      <c r="S303" s="2" t="s">
        <v>28</v>
      </c>
    </row>
    <row r="304" customFormat="false" ht="15" hidden="false" customHeight="false" outlineLevel="0" collapsed="false">
      <c r="A304" s="0" t="n">
        <v>303</v>
      </c>
      <c r="D304" s="0" t="s">
        <v>763</v>
      </c>
      <c r="E304" s="0" t="s">
        <v>410</v>
      </c>
      <c r="H304" s="0" t="s">
        <v>21</v>
      </c>
      <c r="I304" s="2" t="s">
        <v>22</v>
      </c>
      <c r="J304" s="2" t="s">
        <v>524</v>
      </c>
      <c r="K304" s="0" t="s">
        <v>736</v>
      </c>
      <c r="L304" s="0" t="s">
        <v>25</v>
      </c>
      <c r="M304" s="0" t="s">
        <v>737</v>
      </c>
      <c r="N304" s="0" t="s">
        <v>411</v>
      </c>
      <c r="O304" s="0" t="n">
        <v>1</v>
      </c>
      <c r="P304" s="0" t="s">
        <v>410</v>
      </c>
      <c r="R304" s="3"/>
      <c r="S304" s="2" t="s">
        <v>28</v>
      </c>
    </row>
    <row r="305" customFormat="false" ht="15" hidden="false" customHeight="false" outlineLevel="0" collapsed="false">
      <c r="A305" s="0" t="n">
        <v>304</v>
      </c>
      <c r="D305" s="0" t="s">
        <v>764</v>
      </c>
      <c r="E305" s="0" t="s">
        <v>73</v>
      </c>
      <c r="H305" s="0" t="s">
        <v>21</v>
      </c>
      <c r="I305" s="2" t="s">
        <v>22</v>
      </c>
      <c r="J305" s="2" t="s">
        <v>524</v>
      </c>
      <c r="K305" s="0" t="s">
        <v>736</v>
      </c>
      <c r="L305" s="0" t="s">
        <v>25</v>
      </c>
      <c r="M305" s="0" t="s">
        <v>737</v>
      </c>
      <c r="N305" s="0" t="s">
        <v>765</v>
      </c>
      <c r="O305" s="0" t="n">
        <v>1</v>
      </c>
      <c r="P305" s="0" t="s">
        <v>73</v>
      </c>
      <c r="R305" s="3"/>
      <c r="S305" s="2" t="s">
        <v>28</v>
      </c>
    </row>
    <row r="306" customFormat="false" ht="15" hidden="false" customHeight="false" outlineLevel="0" collapsed="false">
      <c r="A306" s="0" t="n">
        <v>305</v>
      </c>
      <c r="D306" s="0" t="s">
        <v>766</v>
      </c>
      <c r="E306" s="0" t="s">
        <v>20</v>
      </c>
      <c r="H306" s="0" t="s">
        <v>21</v>
      </c>
      <c r="I306" s="2" t="s">
        <v>22</v>
      </c>
      <c r="J306" s="2" t="s">
        <v>524</v>
      </c>
      <c r="K306" s="0" t="s">
        <v>736</v>
      </c>
      <c r="L306" s="0" t="s">
        <v>25</v>
      </c>
      <c r="M306" s="0" t="s">
        <v>737</v>
      </c>
      <c r="N306" s="0" t="s">
        <v>767</v>
      </c>
      <c r="O306" s="0" t="n">
        <v>1</v>
      </c>
      <c r="R306" s="3"/>
      <c r="S306" s="2" t="s">
        <v>28</v>
      </c>
    </row>
    <row r="307" customFormat="false" ht="15" hidden="false" customHeight="false" outlineLevel="0" collapsed="false">
      <c r="A307" s="0" t="n">
        <v>306</v>
      </c>
      <c r="D307" s="0" t="s">
        <v>768</v>
      </c>
      <c r="E307" s="0" t="s">
        <v>20</v>
      </c>
      <c r="H307" s="0" t="s">
        <v>21</v>
      </c>
      <c r="I307" s="2" t="s">
        <v>22</v>
      </c>
      <c r="J307" s="2" t="s">
        <v>524</v>
      </c>
      <c r="K307" s="0" t="s">
        <v>736</v>
      </c>
      <c r="L307" s="0" t="s">
        <v>25</v>
      </c>
      <c r="M307" s="0" t="s">
        <v>737</v>
      </c>
      <c r="N307" s="0" t="s">
        <v>769</v>
      </c>
      <c r="O307" s="0" t="n">
        <v>1</v>
      </c>
      <c r="R307" s="3"/>
      <c r="S307" s="2" t="s">
        <v>28</v>
      </c>
    </row>
    <row r="308" customFormat="false" ht="15" hidden="false" customHeight="false" outlineLevel="0" collapsed="false">
      <c r="A308" s="0" t="n">
        <v>307</v>
      </c>
      <c r="D308" s="0" t="s">
        <v>770</v>
      </c>
      <c r="E308" s="0" t="s">
        <v>20</v>
      </c>
      <c r="H308" s="0" t="s">
        <v>21</v>
      </c>
      <c r="I308" s="2" t="s">
        <v>22</v>
      </c>
      <c r="J308" s="2" t="s">
        <v>524</v>
      </c>
      <c r="K308" s="0" t="s">
        <v>736</v>
      </c>
      <c r="L308" s="0" t="s">
        <v>25</v>
      </c>
      <c r="M308" s="0" t="s">
        <v>737</v>
      </c>
      <c r="N308" s="0" t="s">
        <v>771</v>
      </c>
      <c r="O308" s="0" t="n">
        <v>1</v>
      </c>
      <c r="R308" s="3"/>
      <c r="S308" s="2" t="s">
        <v>28</v>
      </c>
    </row>
    <row r="309" customFormat="false" ht="15" hidden="false" customHeight="false" outlineLevel="0" collapsed="false">
      <c r="A309" s="0" t="n">
        <v>308</v>
      </c>
      <c r="D309" s="0" t="s">
        <v>772</v>
      </c>
      <c r="E309" s="0" t="s">
        <v>20</v>
      </c>
      <c r="H309" s="0" t="s">
        <v>21</v>
      </c>
      <c r="I309" s="2" t="s">
        <v>22</v>
      </c>
      <c r="J309" s="2" t="s">
        <v>524</v>
      </c>
      <c r="K309" s="0" t="s">
        <v>736</v>
      </c>
      <c r="L309" s="0" t="s">
        <v>25</v>
      </c>
      <c r="M309" s="0" t="s">
        <v>737</v>
      </c>
      <c r="N309" s="0" t="s">
        <v>773</v>
      </c>
      <c r="O309" s="0" t="n">
        <v>1</v>
      </c>
      <c r="R309" s="3"/>
      <c r="S309" s="2" t="s">
        <v>28</v>
      </c>
    </row>
    <row r="310" customFormat="false" ht="15" hidden="false" customHeight="false" outlineLevel="0" collapsed="false">
      <c r="A310" s="0" t="n">
        <v>309</v>
      </c>
      <c r="D310" s="0" t="s">
        <v>774</v>
      </c>
      <c r="E310" s="0" t="s">
        <v>20</v>
      </c>
      <c r="H310" s="0" t="s">
        <v>21</v>
      </c>
      <c r="I310" s="2" t="s">
        <v>22</v>
      </c>
      <c r="J310" s="2" t="s">
        <v>524</v>
      </c>
      <c r="K310" s="0" t="s">
        <v>736</v>
      </c>
      <c r="L310" s="0" t="s">
        <v>25</v>
      </c>
      <c r="M310" s="0" t="s">
        <v>737</v>
      </c>
      <c r="N310" s="0" t="s">
        <v>775</v>
      </c>
      <c r="O310" s="0" t="n">
        <v>1</v>
      </c>
      <c r="R310" s="3"/>
      <c r="S310" s="2" t="s">
        <v>28</v>
      </c>
    </row>
    <row r="311" customFormat="false" ht="15" hidden="false" customHeight="false" outlineLevel="0" collapsed="false">
      <c r="A311" s="0" t="n">
        <v>310</v>
      </c>
      <c r="D311" s="0" t="s">
        <v>776</v>
      </c>
      <c r="E311" s="0" t="s">
        <v>20</v>
      </c>
      <c r="H311" s="0" t="s">
        <v>21</v>
      </c>
      <c r="I311" s="2" t="s">
        <v>22</v>
      </c>
      <c r="J311" s="2" t="s">
        <v>524</v>
      </c>
      <c r="K311" s="0" t="s">
        <v>736</v>
      </c>
      <c r="L311" s="0" t="s">
        <v>25</v>
      </c>
      <c r="M311" s="0" t="s">
        <v>737</v>
      </c>
      <c r="N311" s="0" t="s">
        <v>777</v>
      </c>
      <c r="O311" s="0" t="n">
        <v>1</v>
      </c>
      <c r="R311" s="3"/>
      <c r="S311" s="2" t="s">
        <v>28</v>
      </c>
    </row>
    <row r="312" customFormat="false" ht="15" hidden="false" customHeight="false" outlineLevel="0" collapsed="false">
      <c r="A312" s="0" t="n">
        <v>311</v>
      </c>
      <c r="D312" s="0" t="s">
        <v>778</v>
      </c>
      <c r="E312" s="0" t="s">
        <v>20</v>
      </c>
      <c r="H312" s="0" t="s">
        <v>21</v>
      </c>
      <c r="I312" s="2" t="s">
        <v>22</v>
      </c>
      <c r="J312" s="2" t="s">
        <v>524</v>
      </c>
      <c r="K312" s="0" t="s">
        <v>736</v>
      </c>
      <c r="L312" s="0" t="s">
        <v>25</v>
      </c>
      <c r="M312" s="0" t="s">
        <v>737</v>
      </c>
      <c r="N312" s="0" t="s">
        <v>779</v>
      </c>
      <c r="O312" s="0" t="n">
        <v>1</v>
      </c>
      <c r="R312" s="3"/>
      <c r="S312" s="2" t="s">
        <v>28</v>
      </c>
    </row>
    <row r="313" customFormat="false" ht="15" hidden="false" customHeight="false" outlineLevel="0" collapsed="false">
      <c r="A313" s="0" t="n">
        <v>312</v>
      </c>
      <c r="D313" s="0" t="s">
        <v>780</v>
      </c>
      <c r="E313" s="0" t="s">
        <v>577</v>
      </c>
      <c r="H313" s="0" t="s">
        <v>21</v>
      </c>
      <c r="I313" s="2" t="s">
        <v>22</v>
      </c>
      <c r="J313" s="2" t="s">
        <v>524</v>
      </c>
      <c r="K313" s="0" t="s">
        <v>736</v>
      </c>
      <c r="L313" s="0" t="s">
        <v>25</v>
      </c>
      <c r="M313" s="0" t="s">
        <v>737</v>
      </c>
      <c r="N313" s="0" t="s">
        <v>762</v>
      </c>
      <c r="O313" s="0" t="n">
        <v>1</v>
      </c>
      <c r="P313" s="0" t="s">
        <v>577</v>
      </c>
      <c r="R313" s="3"/>
      <c r="S313" s="2" t="s">
        <v>28</v>
      </c>
    </row>
    <row r="314" customFormat="false" ht="15" hidden="false" customHeight="false" outlineLevel="0" collapsed="false">
      <c r="A314" s="0" t="n">
        <v>313</v>
      </c>
      <c r="D314" s="0" t="s">
        <v>781</v>
      </c>
      <c r="E314" s="0" t="s">
        <v>20</v>
      </c>
      <c r="H314" s="0" t="s">
        <v>21</v>
      </c>
      <c r="I314" s="2" t="s">
        <v>22</v>
      </c>
      <c r="J314" s="2" t="s">
        <v>524</v>
      </c>
      <c r="K314" s="0" t="s">
        <v>736</v>
      </c>
      <c r="L314" s="0" t="s">
        <v>25</v>
      </c>
      <c r="M314" s="0" t="s">
        <v>737</v>
      </c>
      <c r="N314" s="0" t="s">
        <v>782</v>
      </c>
      <c r="O314" s="0" t="n">
        <v>1</v>
      </c>
      <c r="R314" s="3"/>
      <c r="S314" s="2" t="s">
        <v>28</v>
      </c>
    </row>
    <row r="315" customFormat="false" ht="15" hidden="false" customHeight="false" outlineLevel="0" collapsed="false">
      <c r="A315" s="0" t="n">
        <v>314</v>
      </c>
      <c r="D315" s="0" t="s">
        <v>783</v>
      </c>
      <c r="E315" s="0" t="s">
        <v>522</v>
      </c>
      <c r="H315" s="0" t="s">
        <v>21</v>
      </c>
      <c r="I315" s="2" t="s">
        <v>22</v>
      </c>
      <c r="J315" s="2" t="s">
        <v>524</v>
      </c>
      <c r="K315" s="0" t="s">
        <v>736</v>
      </c>
      <c r="L315" s="0" t="s">
        <v>25</v>
      </c>
      <c r="M315" s="0" t="s">
        <v>737</v>
      </c>
      <c r="N315" s="0" t="s">
        <v>784</v>
      </c>
      <c r="O315" s="0" t="n">
        <v>1</v>
      </c>
      <c r="P315" s="0" t="s">
        <v>522</v>
      </c>
      <c r="R315" s="3"/>
      <c r="S315" s="2" t="s">
        <v>28</v>
      </c>
    </row>
    <row r="316" customFormat="false" ht="15" hidden="false" customHeight="false" outlineLevel="0" collapsed="false">
      <c r="A316" s="0" t="n">
        <v>315</v>
      </c>
      <c r="D316" s="0" t="s">
        <v>785</v>
      </c>
      <c r="E316" s="0" t="s">
        <v>20</v>
      </c>
      <c r="H316" s="0" t="s">
        <v>21</v>
      </c>
      <c r="I316" s="2" t="s">
        <v>22</v>
      </c>
      <c r="J316" s="2" t="s">
        <v>524</v>
      </c>
      <c r="K316" s="0" t="s">
        <v>736</v>
      </c>
      <c r="L316" s="0" t="s">
        <v>25</v>
      </c>
      <c r="M316" s="0" t="s">
        <v>737</v>
      </c>
      <c r="N316" s="0" t="s">
        <v>786</v>
      </c>
      <c r="O316" s="0" t="n">
        <v>1</v>
      </c>
      <c r="R316" s="3"/>
      <c r="S316" s="2" t="s">
        <v>28</v>
      </c>
    </row>
    <row r="317" customFormat="false" ht="15" hidden="false" customHeight="false" outlineLevel="0" collapsed="false">
      <c r="A317" s="0" t="n">
        <v>316</v>
      </c>
      <c r="D317" s="0" t="s">
        <v>787</v>
      </c>
      <c r="E317" s="0" t="s">
        <v>20</v>
      </c>
      <c r="H317" s="0" t="s">
        <v>21</v>
      </c>
      <c r="I317" s="2" t="s">
        <v>22</v>
      </c>
      <c r="J317" s="2" t="s">
        <v>524</v>
      </c>
      <c r="K317" s="0" t="s">
        <v>736</v>
      </c>
      <c r="L317" s="0" t="s">
        <v>25</v>
      </c>
      <c r="M317" s="0" t="s">
        <v>737</v>
      </c>
      <c r="N317" s="0" t="s">
        <v>788</v>
      </c>
      <c r="O317" s="0" t="n">
        <v>1</v>
      </c>
      <c r="R317" s="3"/>
      <c r="S317" s="2" t="s">
        <v>28</v>
      </c>
    </row>
    <row r="318" customFormat="false" ht="15" hidden="false" customHeight="false" outlineLevel="0" collapsed="false">
      <c r="A318" s="0" t="n">
        <v>317</v>
      </c>
      <c r="D318" s="0" t="s">
        <v>789</v>
      </c>
      <c r="E318" s="0" t="s">
        <v>301</v>
      </c>
      <c r="H318" s="0" t="s">
        <v>21</v>
      </c>
      <c r="I318" s="2" t="s">
        <v>22</v>
      </c>
      <c r="J318" s="2" t="s">
        <v>524</v>
      </c>
      <c r="K318" s="0" t="s">
        <v>736</v>
      </c>
      <c r="L318" s="0" t="s">
        <v>25</v>
      </c>
      <c r="M318" s="0" t="s">
        <v>737</v>
      </c>
      <c r="N318" s="0" t="s">
        <v>790</v>
      </c>
      <c r="O318" s="0" t="n">
        <v>1</v>
      </c>
      <c r="P318" s="0" t="s">
        <v>301</v>
      </c>
      <c r="R318" s="3"/>
      <c r="S318" s="2" t="s">
        <v>28</v>
      </c>
    </row>
    <row r="319" customFormat="false" ht="15" hidden="false" customHeight="false" outlineLevel="0" collapsed="false">
      <c r="A319" s="0" t="n">
        <v>318</v>
      </c>
      <c r="D319" s="0" t="s">
        <v>791</v>
      </c>
      <c r="E319" s="0" t="s">
        <v>268</v>
      </c>
      <c r="H319" s="0" t="s">
        <v>21</v>
      </c>
      <c r="I319" s="2" t="s">
        <v>22</v>
      </c>
      <c r="J319" s="2" t="s">
        <v>524</v>
      </c>
      <c r="K319" s="0" t="s">
        <v>736</v>
      </c>
      <c r="L319" s="0" t="s">
        <v>25</v>
      </c>
      <c r="M319" s="0" t="s">
        <v>737</v>
      </c>
      <c r="N319" s="0" t="s">
        <v>792</v>
      </c>
      <c r="O319" s="0" t="n">
        <v>1</v>
      </c>
      <c r="P319" s="0" t="s">
        <v>293</v>
      </c>
      <c r="R319" s="3"/>
      <c r="S319" s="2" t="s">
        <v>28</v>
      </c>
    </row>
    <row r="320" customFormat="false" ht="15" hidden="false" customHeight="false" outlineLevel="0" collapsed="false">
      <c r="A320" s="0" t="n">
        <v>319</v>
      </c>
      <c r="D320" s="0" t="s">
        <v>793</v>
      </c>
      <c r="E320" s="0" t="s">
        <v>20</v>
      </c>
      <c r="H320" s="0" t="s">
        <v>21</v>
      </c>
      <c r="I320" s="2" t="s">
        <v>22</v>
      </c>
      <c r="J320" s="2" t="s">
        <v>524</v>
      </c>
      <c r="K320" s="0" t="s">
        <v>736</v>
      </c>
      <c r="L320" s="0" t="s">
        <v>25</v>
      </c>
      <c r="M320" s="0" t="s">
        <v>737</v>
      </c>
      <c r="N320" s="0" t="s">
        <v>794</v>
      </c>
      <c r="O320" s="0" t="n">
        <v>1</v>
      </c>
      <c r="R320" s="3"/>
      <c r="S320" s="2" t="s">
        <v>28</v>
      </c>
    </row>
    <row r="321" customFormat="false" ht="15" hidden="false" customHeight="false" outlineLevel="0" collapsed="false">
      <c r="A321" s="0" t="n">
        <v>320</v>
      </c>
      <c r="D321" s="0" t="s">
        <v>795</v>
      </c>
      <c r="E321" s="0" t="s">
        <v>20</v>
      </c>
      <c r="H321" s="0" t="s">
        <v>21</v>
      </c>
      <c r="I321" s="2" t="s">
        <v>22</v>
      </c>
      <c r="J321" s="2" t="s">
        <v>524</v>
      </c>
      <c r="K321" s="0" t="s">
        <v>736</v>
      </c>
      <c r="L321" s="0" t="s">
        <v>25</v>
      </c>
      <c r="M321" s="0" t="s">
        <v>737</v>
      </c>
      <c r="N321" s="0" t="s">
        <v>796</v>
      </c>
      <c r="O321" s="0" t="n">
        <v>1</v>
      </c>
      <c r="R321" s="3"/>
      <c r="S321" s="2" t="s">
        <v>28</v>
      </c>
    </row>
    <row r="322" customFormat="false" ht="15" hidden="false" customHeight="false" outlineLevel="0" collapsed="false">
      <c r="A322" s="0" t="n">
        <v>321</v>
      </c>
      <c r="D322" s="0" t="s">
        <v>797</v>
      </c>
      <c r="E322" s="0" t="s">
        <v>387</v>
      </c>
      <c r="H322" s="0" t="s">
        <v>21</v>
      </c>
      <c r="I322" s="2" t="s">
        <v>22</v>
      </c>
      <c r="J322" s="2" t="s">
        <v>524</v>
      </c>
      <c r="K322" s="0" t="s">
        <v>736</v>
      </c>
      <c r="L322" s="0" t="s">
        <v>25</v>
      </c>
      <c r="M322" s="0" t="s">
        <v>737</v>
      </c>
      <c r="N322" s="0" t="s">
        <v>798</v>
      </c>
      <c r="O322" s="0" t="n">
        <v>1</v>
      </c>
      <c r="P322" s="0" t="s">
        <v>387</v>
      </c>
      <c r="R322" s="3"/>
      <c r="S322" s="2" t="s">
        <v>28</v>
      </c>
    </row>
    <row r="323" customFormat="false" ht="15" hidden="false" customHeight="false" outlineLevel="0" collapsed="false">
      <c r="A323" s="0" t="n">
        <v>322</v>
      </c>
      <c r="D323" s="0" t="s">
        <v>799</v>
      </c>
      <c r="E323" s="0" t="s">
        <v>73</v>
      </c>
      <c r="H323" s="0" t="s">
        <v>21</v>
      </c>
      <c r="I323" s="2" t="s">
        <v>22</v>
      </c>
      <c r="J323" s="2" t="s">
        <v>524</v>
      </c>
      <c r="K323" s="0" t="s">
        <v>736</v>
      </c>
      <c r="L323" s="0" t="s">
        <v>25</v>
      </c>
      <c r="M323" s="0" t="s">
        <v>737</v>
      </c>
      <c r="N323" s="0" t="s">
        <v>800</v>
      </c>
      <c r="O323" s="0" t="n">
        <v>1</v>
      </c>
      <c r="R323" s="3"/>
      <c r="S323" s="2" t="s">
        <v>28</v>
      </c>
    </row>
    <row r="324" customFormat="false" ht="15" hidden="false" customHeight="false" outlineLevel="0" collapsed="false">
      <c r="A324" s="0" t="n">
        <v>323</v>
      </c>
      <c r="D324" s="0" t="s">
        <v>801</v>
      </c>
      <c r="E324" s="0" t="s">
        <v>268</v>
      </c>
      <c r="H324" s="0" t="s">
        <v>21</v>
      </c>
      <c r="I324" s="2" t="s">
        <v>22</v>
      </c>
      <c r="J324" s="2" t="s">
        <v>524</v>
      </c>
      <c r="K324" s="0" t="s">
        <v>736</v>
      </c>
      <c r="L324" s="0" t="s">
        <v>25</v>
      </c>
      <c r="M324" s="0" t="s">
        <v>737</v>
      </c>
      <c r="N324" s="0" t="s">
        <v>448</v>
      </c>
      <c r="O324" s="0" t="n">
        <v>1</v>
      </c>
      <c r="P324" s="0" t="s">
        <v>268</v>
      </c>
      <c r="R324" s="3"/>
      <c r="S324" s="2" t="s">
        <v>28</v>
      </c>
    </row>
    <row r="325" customFormat="false" ht="15" hidden="false" customHeight="false" outlineLevel="0" collapsed="false">
      <c r="A325" s="0" t="n">
        <v>324</v>
      </c>
      <c r="D325" s="0" t="s">
        <v>802</v>
      </c>
      <c r="E325" s="0" t="s">
        <v>501</v>
      </c>
      <c r="H325" s="0" t="s">
        <v>21</v>
      </c>
      <c r="I325" s="2" t="s">
        <v>22</v>
      </c>
      <c r="J325" s="2" t="s">
        <v>524</v>
      </c>
      <c r="K325" s="0" t="s">
        <v>736</v>
      </c>
      <c r="L325" s="0" t="s">
        <v>25</v>
      </c>
      <c r="M325" s="0" t="s">
        <v>737</v>
      </c>
      <c r="N325" s="0" t="s">
        <v>803</v>
      </c>
      <c r="O325" s="0" t="n">
        <v>1</v>
      </c>
      <c r="P325" s="0" t="s">
        <v>501</v>
      </c>
      <c r="R325" s="3"/>
      <c r="S325" s="2" t="s">
        <v>28</v>
      </c>
    </row>
    <row r="326" customFormat="false" ht="15" hidden="false" customHeight="false" outlineLevel="0" collapsed="false">
      <c r="A326" s="0" t="n">
        <v>325</v>
      </c>
      <c r="D326" s="0" t="s">
        <v>804</v>
      </c>
      <c r="E326" s="0" t="s">
        <v>20</v>
      </c>
      <c r="H326" s="0" t="s">
        <v>21</v>
      </c>
      <c r="I326" s="2" t="s">
        <v>22</v>
      </c>
      <c r="J326" s="2" t="s">
        <v>524</v>
      </c>
      <c r="K326" s="0" t="s">
        <v>736</v>
      </c>
      <c r="L326" s="0" t="s">
        <v>25</v>
      </c>
      <c r="M326" s="0" t="s">
        <v>737</v>
      </c>
      <c r="N326" s="0" t="s">
        <v>805</v>
      </c>
      <c r="O326" s="0" t="n">
        <v>1</v>
      </c>
      <c r="R326" s="3"/>
      <c r="S326" s="2" t="s">
        <v>28</v>
      </c>
    </row>
    <row r="327" customFormat="false" ht="15" hidden="false" customHeight="false" outlineLevel="0" collapsed="false">
      <c r="A327" s="0" t="n">
        <v>326</v>
      </c>
      <c r="D327" s="0" t="s">
        <v>806</v>
      </c>
      <c r="E327" s="0" t="s">
        <v>188</v>
      </c>
      <c r="H327" s="0" t="s">
        <v>21</v>
      </c>
      <c r="I327" s="2" t="s">
        <v>22</v>
      </c>
      <c r="J327" s="2" t="s">
        <v>524</v>
      </c>
      <c r="K327" s="0" t="s">
        <v>736</v>
      </c>
      <c r="L327" s="0" t="s">
        <v>25</v>
      </c>
      <c r="M327" s="0" t="s">
        <v>737</v>
      </c>
      <c r="N327" s="0" t="s">
        <v>807</v>
      </c>
      <c r="O327" s="0" t="n">
        <v>1</v>
      </c>
      <c r="P327" s="0" t="s">
        <v>188</v>
      </c>
      <c r="R327" s="3"/>
      <c r="S327" s="2" t="s">
        <v>28</v>
      </c>
    </row>
    <row r="328" customFormat="false" ht="15" hidden="false" customHeight="false" outlineLevel="0" collapsed="false">
      <c r="A328" s="0" t="n">
        <v>327</v>
      </c>
      <c r="D328" s="0" t="s">
        <v>808</v>
      </c>
      <c r="E328" s="0" t="s">
        <v>20</v>
      </c>
      <c r="H328" s="0" t="s">
        <v>21</v>
      </c>
      <c r="I328" s="2" t="s">
        <v>22</v>
      </c>
      <c r="J328" s="2" t="s">
        <v>524</v>
      </c>
      <c r="K328" s="0" t="s">
        <v>736</v>
      </c>
      <c r="L328" s="0" t="s">
        <v>25</v>
      </c>
      <c r="M328" s="0" t="s">
        <v>737</v>
      </c>
      <c r="N328" s="0" t="s">
        <v>809</v>
      </c>
      <c r="O328" s="0" t="n">
        <v>1</v>
      </c>
      <c r="R328" s="3"/>
      <c r="S328" s="2" t="s">
        <v>28</v>
      </c>
    </row>
    <row r="329" customFormat="false" ht="15" hidden="false" customHeight="false" outlineLevel="0" collapsed="false">
      <c r="A329" s="0" t="n">
        <v>328</v>
      </c>
      <c r="D329" s="0" t="s">
        <v>810</v>
      </c>
      <c r="E329" s="0" t="s">
        <v>20</v>
      </c>
      <c r="H329" s="0" t="s">
        <v>21</v>
      </c>
      <c r="I329" s="2" t="s">
        <v>22</v>
      </c>
      <c r="J329" s="2" t="s">
        <v>524</v>
      </c>
      <c r="K329" s="0" t="s">
        <v>736</v>
      </c>
      <c r="L329" s="0" t="s">
        <v>25</v>
      </c>
      <c r="M329" s="0" t="s">
        <v>737</v>
      </c>
      <c r="N329" s="0" t="s">
        <v>811</v>
      </c>
      <c r="O329" s="0" t="n">
        <v>1</v>
      </c>
      <c r="R329" s="3"/>
      <c r="S329" s="2" t="s">
        <v>28</v>
      </c>
    </row>
    <row r="330" customFormat="false" ht="15" hidden="false" customHeight="false" outlineLevel="0" collapsed="false">
      <c r="A330" s="0" t="n">
        <v>329</v>
      </c>
      <c r="D330" s="0" t="s">
        <v>812</v>
      </c>
      <c r="E330" s="0" t="s">
        <v>287</v>
      </c>
      <c r="H330" s="0" t="s">
        <v>21</v>
      </c>
      <c r="I330" s="2" t="s">
        <v>22</v>
      </c>
      <c r="J330" s="2" t="s">
        <v>524</v>
      </c>
      <c r="K330" s="0" t="s">
        <v>736</v>
      </c>
      <c r="L330" s="0" t="s">
        <v>25</v>
      </c>
      <c r="M330" s="0" t="s">
        <v>737</v>
      </c>
      <c r="N330" s="0" t="s">
        <v>813</v>
      </c>
      <c r="O330" s="0" t="n">
        <v>1</v>
      </c>
      <c r="P330" s="0" t="s">
        <v>287</v>
      </c>
      <c r="R330" s="3"/>
      <c r="S330" s="2" t="s">
        <v>28</v>
      </c>
    </row>
    <row r="331" customFormat="false" ht="15" hidden="false" customHeight="false" outlineLevel="0" collapsed="false">
      <c r="A331" s="0" t="n">
        <v>330</v>
      </c>
      <c r="D331" s="0" t="s">
        <v>814</v>
      </c>
      <c r="E331" s="0" t="s">
        <v>301</v>
      </c>
      <c r="H331" s="0" t="s">
        <v>21</v>
      </c>
      <c r="I331" s="2" t="s">
        <v>22</v>
      </c>
      <c r="J331" s="2" t="s">
        <v>524</v>
      </c>
      <c r="K331" s="0" t="s">
        <v>736</v>
      </c>
      <c r="L331" s="0" t="s">
        <v>25</v>
      </c>
      <c r="M331" s="0" t="s">
        <v>737</v>
      </c>
      <c r="N331" s="0" t="s">
        <v>815</v>
      </c>
      <c r="O331" s="0" t="n">
        <v>1</v>
      </c>
      <c r="P331" s="0" t="s">
        <v>301</v>
      </c>
      <c r="R331" s="3"/>
      <c r="S331" s="2" t="s">
        <v>28</v>
      </c>
    </row>
    <row r="332" customFormat="false" ht="15" hidden="false" customHeight="false" outlineLevel="0" collapsed="false">
      <c r="A332" s="0" t="n">
        <v>331</v>
      </c>
      <c r="D332" s="0" t="s">
        <v>816</v>
      </c>
      <c r="E332" s="0" t="s">
        <v>20</v>
      </c>
      <c r="H332" s="0" t="s">
        <v>21</v>
      </c>
      <c r="I332" s="2" t="s">
        <v>22</v>
      </c>
      <c r="J332" s="2" t="s">
        <v>524</v>
      </c>
      <c r="K332" s="0" t="s">
        <v>736</v>
      </c>
      <c r="L332" s="0" t="s">
        <v>25</v>
      </c>
      <c r="M332" s="0" t="s">
        <v>737</v>
      </c>
      <c r="N332" s="0" t="s">
        <v>817</v>
      </c>
      <c r="O332" s="0" t="n">
        <v>1</v>
      </c>
      <c r="R332" s="3"/>
      <c r="S332" s="2" t="s">
        <v>28</v>
      </c>
    </row>
    <row r="333" customFormat="false" ht="15" hidden="false" customHeight="false" outlineLevel="0" collapsed="false">
      <c r="A333" s="0" t="n">
        <v>332</v>
      </c>
      <c r="D333" s="0" t="s">
        <v>818</v>
      </c>
      <c r="E333" s="0" t="s">
        <v>268</v>
      </c>
      <c r="H333" s="0" t="s">
        <v>21</v>
      </c>
      <c r="I333" s="2" t="s">
        <v>22</v>
      </c>
      <c r="J333" s="2" t="s">
        <v>524</v>
      </c>
      <c r="K333" s="0" t="s">
        <v>736</v>
      </c>
      <c r="L333" s="0" t="s">
        <v>25</v>
      </c>
      <c r="M333" s="0" t="s">
        <v>737</v>
      </c>
      <c r="N333" s="0" t="s">
        <v>819</v>
      </c>
      <c r="O333" s="0" t="n">
        <v>1</v>
      </c>
      <c r="P333" s="0" t="s">
        <v>268</v>
      </c>
      <c r="R333" s="3"/>
      <c r="S333" s="2" t="s">
        <v>28</v>
      </c>
    </row>
    <row r="334" customFormat="false" ht="15" hidden="false" customHeight="false" outlineLevel="0" collapsed="false">
      <c r="A334" s="0" t="n">
        <v>333</v>
      </c>
      <c r="D334" s="0" t="s">
        <v>820</v>
      </c>
      <c r="E334" s="0" t="s">
        <v>20</v>
      </c>
      <c r="H334" s="0" t="s">
        <v>21</v>
      </c>
      <c r="I334" s="2" t="s">
        <v>22</v>
      </c>
      <c r="J334" s="2" t="s">
        <v>524</v>
      </c>
      <c r="K334" s="0" t="s">
        <v>736</v>
      </c>
      <c r="L334" s="0" t="s">
        <v>25</v>
      </c>
      <c r="M334" s="0" t="s">
        <v>737</v>
      </c>
      <c r="N334" s="0" t="s">
        <v>821</v>
      </c>
      <c r="O334" s="0" t="n">
        <v>1</v>
      </c>
      <c r="R334" s="3"/>
      <c r="S334" s="2" t="s">
        <v>28</v>
      </c>
    </row>
    <row r="335" customFormat="false" ht="15" hidden="false" customHeight="false" outlineLevel="0" collapsed="false">
      <c r="A335" s="0" t="n">
        <v>334</v>
      </c>
      <c r="D335" s="0" t="s">
        <v>822</v>
      </c>
      <c r="E335" s="0" t="s">
        <v>20</v>
      </c>
      <c r="H335" s="0" t="s">
        <v>21</v>
      </c>
      <c r="I335" s="2" t="s">
        <v>22</v>
      </c>
      <c r="J335" s="2" t="s">
        <v>524</v>
      </c>
      <c r="K335" s="0" t="s">
        <v>736</v>
      </c>
      <c r="L335" s="0" t="s">
        <v>25</v>
      </c>
      <c r="M335" s="0" t="s">
        <v>737</v>
      </c>
      <c r="N335" s="0" t="s">
        <v>823</v>
      </c>
      <c r="O335" s="0" t="n">
        <v>1</v>
      </c>
      <c r="R335" s="3"/>
      <c r="S335" s="2" t="s">
        <v>28</v>
      </c>
    </row>
    <row r="336" customFormat="false" ht="15" hidden="false" customHeight="false" outlineLevel="0" collapsed="false">
      <c r="A336" s="0" t="n">
        <v>335</v>
      </c>
      <c r="D336" s="0" t="s">
        <v>824</v>
      </c>
      <c r="E336" s="0" t="s">
        <v>376</v>
      </c>
      <c r="H336" s="0" t="s">
        <v>21</v>
      </c>
      <c r="I336" s="2" t="s">
        <v>22</v>
      </c>
      <c r="J336" s="2" t="s">
        <v>524</v>
      </c>
      <c r="K336" s="0" t="s">
        <v>736</v>
      </c>
      <c r="L336" s="0" t="s">
        <v>25</v>
      </c>
      <c r="M336" s="0" t="s">
        <v>737</v>
      </c>
      <c r="N336" s="0" t="s">
        <v>825</v>
      </c>
      <c r="O336" s="0" t="n">
        <v>1</v>
      </c>
      <c r="P336" s="0" t="s">
        <v>376</v>
      </c>
      <c r="R336" s="3"/>
      <c r="S336" s="2" t="s">
        <v>28</v>
      </c>
    </row>
    <row r="337" customFormat="false" ht="15" hidden="false" customHeight="false" outlineLevel="0" collapsed="false">
      <c r="A337" s="0" t="n">
        <v>336</v>
      </c>
      <c r="D337" s="0" t="s">
        <v>826</v>
      </c>
      <c r="E337" s="0" t="s">
        <v>268</v>
      </c>
      <c r="H337" s="0" t="s">
        <v>21</v>
      </c>
      <c r="I337" s="2" t="s">
        <v>22</v>
      </c>
      <c r="J337" s="2" t="s">
        <v>524</v>
      </c>
      <c r="K337" s="0" t="s">
        <v>736</v>
      </c>
      <c r="L337" s="0" t="s">
        <v>25</v>
      </c>
      <c r="M337" s="0" t="s">
        <v>737</v>
      </c>
      <c r="N337" s="0" t="s">
        <v>827</v>
      </c>
      <c r="O337" s="0" t="n">
        <v>1</v>
      </c>
      <c r="P337" s="0" t="s">
        <v>268</v>
      </c>
      <c r="R337" s="3"/>
      <c r="S337" s="2" t="s">
        <v>28</v>
      </c>
    </row>
    <row r="338" customFormat="false" ht="15" hidden="false" customHeight="false" outlineLevel="0" collapsed="false">
      <c r="A338" s="0" t="n">
        <v>337</v>
      </c>
      <c r="D338" s="0" t="s">
        <v>828</v>
      </c>
      <c r="E338" s="0" t="s">
        <v>829</v>
      </c>
      <c r="H338" s="0" t="s">
        <v>21</v>
      </c>
      <c r="I338" s="2" t="s">
        <v>22</v>
      </c>
      <c r="J338" s="2" t="s">
        <v>524</v>
      </c>
      <c r="K338" s="0" t="s">
        <v>736</v>
      </c>
      <c r="L338" s="0" t="s">
        <v>25</v>
      </c>
      <c r="M338" s="0" t="s">
        <v>737</v>
      </c>
      <c r="N338" s="0" t="s">
        <v>830</v>
      </c>
      <c r="O338" s="0" t="n">
        <v>1</v>
      </c>
      <c r="P338" s="0" t="s">
        <v>829</v>
      </c>
      <c r="R338" s="3"/>
      <c r="S338" s="2" t="s">
        <v>28</v>
      </c>
    </row>
    <row r="339" customFormat="false" ht="15" hidden="false" customHeight="false" outlineLevel="0" collapsed="false">
      <c r="A339" s="0" t="n">
        <v>338</v>
      </c>
      <c r="D339" s="0" t="s">
        <v>831</v>
      </c>
      <c r="E339" s="0" t="s">
        <v>20</v>
      </c>
      <c r="H339" s="0" t="s">
        <v>21</v>
      </c>
      <c r="I339" s="2" t="s">
        <v>22</v>
      </c>
      <c r="J339" s="2" t="s">
        <v>524</v>
      </c>
      <c r="K339" s="0" t="s">
        <v>736</v>
      </c>
      <c r="L339" s="0" t="s">
        <v>25</v>
      </c>
      <c r="M339" s="0" t="s">
        <v>737</v>
      </c>
      <c r="N339" s="0" t="s">
        <v>832</v>
      </c>
      <c r="O339" s="0" t="n">
        <v>1</v>
      </c>
      <c r="R339" s="3"/>
      <c r="S339" s="2" t="s">
        <v>28</v>
      </c>
    </row>
    <row r="340" customFormat="false" ht="15" hidden="false" customHeight="false" outlineLevel="0" collapsed="false">
      <c r="A340" s="0" t="n">
        <v>339</v>
      </c>
      <c r="D340" s="0" t="s">
        <v>833</v>
      </c>
      <c r="E340" s="0" t="s">
        <v>301</v>
      </c>
      <c r="H340" s="0" t="s">
        <v>21</v>
      </c>
      <c r="I340" s="2" t="s">
        <v>22</v>
      </c>
      <c r="J340" s="2" t="s">
        <v>524</v>
      </c>
      <c r="K340" s="0" t="s">
        <v>736</v>
      </c>
      <c r="L340" s="0" t="s">
        <v>25</v>
      </c>
      <c r="M340" s="0" t="s">
        <v>737</v>
      </c>
      <c r="N340" s="0" t="s">
        <v>834</v>
      </c>
      <c r="O340" s="0" t="n">
        <v>1</v>
      </c>
      <c r="P340" s="0" t="s">
        <v>301</v>
      </c>
      <c r="R340" s="3"/>
      <c r="S340" s="2" t="s">
        <v>28</v>
      </c>
    </row>
    <row r="341" customFormat="false" ht="15" hidden="false" customHeight="false" outlineLevel="0" collapsed="false">
      <c r="A341" s="0" t="n">
        <v>340</v>
      </c>
      <c r="D341" s="0" t="s">
        <v>835</v>
      </c>
      <c r="E341" s="0" t="s">
        <v>73</v>
      </c>
      <c r="H341" s="0" t="s">
        <v>21</v>
      </c>
      <c r="I341" s="2" t="s">
        <v>22</v>
      </c>
      <c r="J341" s="2" t="s">
        <v>524</v>
      </c>
      <c r="K341" s="0" t="s">
        <v>736</v>
      </c>
      <c r="L341" s="0" t="s">
        <v>25</v>
      </c>
      <c r="M341" s="0" t="s">
        <v>737</v>
      </c>
      <c r="N341" s="0" t="s">
        <v>836</v>
      </c>
      <c r="O341" s="0" t="n">
        <v>1</v>
      </c>
      <c r="P341" s="0" t="s">
        <v>73</v>
      </c>
      <c r="R341" s="3"/>
      <c r="S341" s="2" t="s">
        <v>28</v>
      </c>
    </row>
    <row r="342" customFormat="false" ht="15" hidden="false" customHeight="false" outlineLevel="0" collapsed="false">
      <c r="A342" s="0" t="n">
        <v>341</v>
      </c>
      <c r="D342" s="0" t="s">
        <v>837</v>
      </c>
      <c r="E342" s="0" t="s">
        <v>20</v>
      </c>
      <c r="H342" s="0" t="s">
        <v>21</v>
      </c>
      <c r="I342" s="2" t="s">
        <v>22</v>
      </c>
      <c r="J342" s="2" t="s">
        <v>524</v>
      </c>
      <c r="K342" s="0" t="s">
        <v>736</v>
      </c>
      <c r="L342" s="0" t="s">
        <v>25</v>
      </c>
      <c r="M342" s="0" t="s">
        <v>737</v>
      </c>
      <c r="N342" s="0" t="s">
        <v>838</v>
      </c>
      <c r="O342" s="0" t="n">
        <v>1</v>
      </c>
      <c r="R342" s="3"/>
      <c r="S342" s="2" t="s">
        <v>28</v>
      </c>
    </row>
    <row r="343" customFormat="false" ht="15" hidden="false" customHeight="false" outlineLevel="0" collapsed="false">
      <c r="A343" s="0" t="n">
        <v>342</v>
      </c>
      <c r="D343" s="0" t="s">
        <v>839</v>
      </c>
      <c r="E343" s="0" t="s">
        <v>20</v>
      </c>
      <c r="H343" s="0" t="s">
        <v>21</v>
      </c>
      <c r="I343" s="2" t="s">
        <v>22</v>
      </c>
      <c r="J343" s="2" t="s">
        <v>524</v>
      </c>
      <c r="K343" s="0" t="s">
        <v>736</v>
      </c>
      <c r="L343" s="0" t="s">
        <v>25</v>
      </c>
      <c r="M343" s="0" t="s">
        <v>737</v>
      </c>
      <c r="N343" s="0" t="s">
        <v>840</v>
      </c>
      <c r="O343" s="0" t="n">
        <v>1</v>
      </c>
      <c r="R343" s="3"/>
      <c r="S343" s="2" t="s">
        <v>28</v>
      </c>
    </row>
    <row r="344" customFormat="false" ht="15" hidden="false" customHeight="false" outlineLevel="0" collapsed="false">
      <c r="A344" s="0" t="n">
        <v>343</v>
      </c>
      <c r="D344" s="0" t="s">
        <v>841</v>
      </c>
      <c r="E344" s="0" t="s">
        <v>20</v>
      </c>
      <c r="H344" s="0" t="s">
        <v>21</v>
      </c>
      <c r="I344" s="2" t="s">
        <v>22</v>
      </c>
      <c r="J344" s="2" t="s">
        <v>524</v>
      </c>
      <c r="K344" s="0" t="s">
        <v>736</v>
      </c>
      <c r="L344" s="0" t="s">
        <v>25</v>
      </c>
      <c r="M344" s="0" t="s">
        <v>737</v>
      </c>
      <c r="N344" s="0" t="s">
        <v>842</v>
      </c>
      <c r="O344" s="0" t="n">
        <v>1</v>
      </c>
      <c r="R344" s="3"/>
      <c r="S344" s="2" t="s">
        <v>28</v>
      </c>
    </row>
    <row r="345" customFormat="false" ht="15" hidden="false" customHeight="false" outlineLevel="0" collapsed="false">
      <c r="A345" s="0" t="n">
        <v>344</v>
      </c>
      <c r="D345" s="0" t="s">
        <v>843</v>
      </c>
      <c r="E345" s="0" t="s">
        <v>20</v>
      </c>
      <c r="H345" s="0" t="s">
        <v>21</v>
      </c>
      <c r="I345" s="2" t="s">
        <v>22</v>
      </c>
      <c r="J345" s="2" t="s">
        <v>524</v>
      </c>
      <c r="K345" s="0" t="s">
        <v>736</v>
      </c>
      <c r="L345" s="0" t="s">
        <v>25</v>
      </c>
      <c r="M345" s="0" t="s">
        <v>737</v>
      </c>
      <c r="N345" s="0" t="s">
        <v>844</v>
      </c>
      <c r="O345" s="0" t="n">
        <v>1</v>
      </c>
      <c r="R345" s="3"/>
      <c r="S345" s="2" t="s">
        <v>28</v>
      </c>
    </row>
    <row r="346" customFormat="false" ht="15" hidden="false" customHeight="false" outlineLevel="0" collapsed="false">
      <c r="A346" s="0" t="n">
        <v>345</v>
      </c>
      <c r="D346" s="0" t="s">
        <v>845</v>
      </c>
      <c r="E346" s="0" t="s">
        <v>20</v>
      </c>
      <c r="H346" s="0" t="s">
        <v>21</v>
      </c>
      <c r="I346" s="2" t="s">
        <v>22</v>
      </c>
      <c r="J346" s="2" t="s">
        <v>524</v>
      </c>
      <c r="K346" s="0" t="s">
        <v>736</v>
      </c>
      <c r="L346" s="0" t="s">
        <v>25</v>
      </c>
      <c r="M346" s="0" t="s">
        <v>737</v>
      </c>
      <c r="N346" s="0" t="s">
        <v>846</v>
      </c>
      <c r="O346" s="0" t="n">
        <v>1</v>
      </c>
      <c r="R346" s="3"/>
      <c r="S346" s="2" t="s">
        <v>28</v>
      </c>
    </row>
    <row r="347" customFormat="false" ht="15" hidden="false" customHeight="false" outlineLevel="0" collapsed="false">
      <c r="A347" s="0" t="n">
        <v>346</v>
      </c>
      <c r="D347" s="0" t="s">
        <v>847</v>
      </c>
      <c r="E347" s="0" t="s">
        <v>253</v>
      </c>
      <c r="H347" s="0" t="s">
        <v>21</v>
      </c>
      <c r="I347" s="2" t="s">
        <v>22</v>
      </c>
      <c r="J347" s="2" t="s">
        <v>524</v>
      </c>
      <c r="K347" s="0" t="s">
        <v>736</v>
      </c>
      <c r="L347" s="0" t="s">
        <v>25</v>
      </c>
      <c r="M347" s="0" t="s">
        <v>737</v>
      </c>
      <c r="N347" s="0" t="s">
        <v>848</v>
      </c>
      <c r="O347" s="0" t="n">
        <v>1</v>
      </c>
      <c r="P347" s="0" t="s">
        <v>253</v>
      </c>
      <c r="R347" s="3"/>
      <c r="S347" s="2" t="s">
        <v>28</v>
      </c>
    </row>
    <row r="348" customFormat="false" ht="15" hidden="false" customHeight="false" outlineLevel="0" collapsed="false">
      <c r="A348" s="0" t="n">
        <v>347</v>
      </c>
      <c r="D348" s="0" t="s">
        <v>849</v>
      </c>
      <c r="E348" s="0" t="s">
        <v>68</v>
      </c>
      <c r="H348" s="0" t="s">
        <v>21</v>
      </c>
      <c r="I348" s="2" t="s">
        <v>22</v>
      </c>
      <c r="J348" s="2" t="s">
        <v>524</v>
      </c>
      <c r="K348" s="0" t="s">
        <v>736</v>
      </c>
      <c r="L348" s="0" t="s">
        <v>25</v>
      </c>
      <c r="M348" s="0" t="s">
        <v>737</v>
      </c>
      <c r="N348" s="0" t="s">
        <v>850</v>
      </c>
      <c r="O348" s="0" t="n">
        <v>1</v>
      </c>
      <c r="P348" s="0" t="s">
        <v>68</v>
      </c>
      <c r="R348" s="3"/>
      <c r="S348" s="2" t="s">
        <v>28</v>
      </c>
    </row>
    <row r="349" customFormat="false" ht="15" hidden="false" customHeight="false" outlineLevel="0" collapsed="false">
      <c r="A349" s="0" t="n">
        <v>348</v>
      </c>
      <c r="D349" s="0" t="s">
        <v>851</v>
      </c>
      <c r="E349" s="0" t="s">
        <v>20</v>
      </c>
      <c r="H349" s="0" t="s">
        <v>21</v>
      </c>
      <c r="I349" s="2" t="s">
        <v>22</v>
      </c>
      <c r="J349" s="2" t="s">
        <v>524</v>
      </c>
      <c r="K349" s="0" t="s">
        <v>736</v>
      </c>
      <c r="L349" s="0" t="s">
        <v>25</v>
      </c>
      <c r="M349" s="0" t="s">
        <v>737</v>
      </c>
      <c r="N349" s="0" t="s">
        <v>852</v>
      </c>
      <c r="O349" s="0" t="n">
        <v>1</v>
      </c>
      <c r="R349" s="3"/>
      <c r="S349" s="2" t="s">
        <v>28</v>
      </c>
    </row>
    <row r="350" customFormat="false" ht="15" hidden="false" customHeight="false" outlineLevel="0" collapsed="false">
      <c r="A350" s="0" t="n">
        <v>349</v>
      </c>
      <c r="D350" s="0" t="s">
        <v>853</v>
      </c>
      <c r="E350" s="0" t="s">
        <v>20</v>
      </c>
      <c r="H350" s="0" t="s">
        <v>21</v>
      </c>
      <c r="I350" s="2" t="s">
        <v>22</v>
      </c>
      <c r="J350" s="2" t="s">
        <v>854</v>
      </c>
      <c r="K350" s="0" t="s">
        <v>855</v>
      </c>
      <c r="L350" s="0" t="s">
        <v>856</v>
      </c>
      <c r="M350" s="0" t="s">
        <v>857</v>
      </c>
      <c r="N350" s="0" t="s">
        <v>858</v>
      </c>
      <c r="O350" s="0" t="n">
        <v>2</v>
      </c>
      <c r="R350" s="3"/>
      <c r="S350" s="2" t="s">
        <v>28</v>
      </c>
    </row>
    <row r="351" customFormat="false" ht="15" hidden="false" customHeight="false" outlineLevel="0" collapsed="false">
      <c r="A351" s="0" t="n">
        <v>350</v>
      </c>
      <c r="D351" s="0" t="s">
        <v>859</v>
      </c>
      <c r="E351" s="0" t="s">
        <v>20</v>
      </c>
      <c r="H351" s="0" t="s">
        <v>21</v>
      </c>
      <c r="I351" s="2" t="s">
        <v>22</v>
      </c>
      <c r="J351" s="2" t="s">
        <v>854</v>
      </c>
      <c r="K351" s="0" t="s">
        <v>855</v>
      </c>
      <c r="L351" s="0" t="s">
        <v>232</v>
      </c>
      <c r="M351" s="0" t="s">
        <v>857</v>
      </c>
      <c r="N351" s="0" t="s">
        <v>860</v>
      </c>
      <c r="O351" s="0" t="n">
        <v>2</v>
      </c>
      <c r="P351" s="0" t="s">
        <v>235</v>
      </c>
      <c r="R351" s="3"/>
      <c r="S351" s="2" t="s">
        <v>28</v>
      </c>
    </row>
    <row r="352" customFormat="false" ht="15" hidden="false" customHeight="false" outlineLevel="0" collapsed="false">
      <c r="A352" s="0" t="n">
        <v>351</v>
      </c>
      <c r="D352" s="0" t="s">
        <v>861</v>
      </c>
      <c r="E352" s="0" t="s">
        <v>20</v>
      </c>
      <c r="H352" s="0" t="s">
        <v>21</v>
      </c>
      <c r="I352" s="2" t="s">
        <v>22</v>
      </c>
      <c r="J352" s="2" t="s">
        <v>854</v>
      </c>
      <c r="K352" s="0" t="s">
        <v>855</v>
      </c>
      <c r="L352" s="0" t="s">
        <v>856</v>
      </c>
      <c r="M352" s="0" t="s">
        <v>857</v>
      </c>
      <c r="N352" s="0" t="s">
        <v>862</v>
      </c>
      <c r="O352" s="0" t="n">
        <v>2</v>
      </c>
      <c r="R352" s="3"/>
      <c r="S352" s="2" t="s">
        <v>28</v>
      </c>
    </row>
    <row r="353" customFormat="false" ht="15" hidden="false" customHeight="false" outlineLevel="0" collapsed="false">
      <c r="A353" s="0" t="n">
        <v>352</v>
      </c>
      <c r="D353" s="0" t="s">
        <v>863</v>
      </c>
      <c r="E353" s="0" t="s">
        <v>20</v>
      </c>
      <c r="H353" s="0" t="s">
        <v>21</v>
      </c>
      <c r="I353" s="2" t="s">
        <v>22</v>
      </c>
      <c r="J353" s="2" t="s">
        <v>854</v>
      </c>
      <c r="K353" s="0" t="s">
        <v>855</v>
      </c>
      <c r="L353" s="0" t="s">
        <v>232</v>
      </c>
      <c r="M353" s="0" t="s">
        <v>857</v>
      </c>
      <c r="N353" s="0" t="s">
        <v>864</v>
      </c>
      <c r="O353" s="0" t="n">
        <v>2</v>
      </c>
      <c r="P353" s="0" t="s">
        <v>184</v>
      </c>
      <c r="R353" s="3"/>
      <c r="S353" s="2" t="s">
        <v>28</v>
      </c>
    </row>
    <row r="354" customFormat="false" ht="15" hidden="false" customHeight="false" outlineLevel="0" collapsed="false">
      <c r="A354" s="0" t="n">
        <v>353</v>
      </c>
      <c r="D354" s="0" t="s">
        <v>865</v>
      </c>
      <c r="E354" s="0" t="s">
        <v>253</v>
      </c>
      <c r="H354" s="0" t="s">
        <v>21</v>
      </c>
      <c r="I354" s="2" t="s">
        <v>22</v>
      </c>
      <c r="J354" s="2" t="s">
        <v>854</v>
      </c>
      <c r="K354" s="0" t="s">
        <v>855</v>
      </c>
      <c r="L354" s="0" t="s">
        <v>25</v>
      </c>
      <c r="M354" s="0" t="s">
        <v>857</v>
      </c>
      <c r="N354" s="0" t="s">
        <v>866</v>
      </c>
      <c r="O354" s="0" t="n">
        <v>1</v>
      </c>
      <c r="P354" s="0" t="s">
        <v>253</v>
      </c>
      <c r="R354" s="3"/>
      <c r="S354" s="2" t="s">
        <v>28</v>
      </c>
    </row>
    <row r="355" customFormat="false" ht="15" hidden="false" customHeight="false" outlineLevel="0" collapsed="false">
      <c r="A355" s="0" t="n">
        <v>354</v>
      </c>
      <c r="D355" s="0" t="s">
        <v>867</v>
      </c>
      <c r="E355" s="0" t="s">
        <v>173</v>
      </c>
      <c r="H355" s="0" t="s">
        <v>21</v>
      </c>
      <c r="I355" s="2" t="s">
        <v>22</v>
      </c>
      <c r="J355" s="2" t="s">
        <v>854</v>
      </c>
      <c r="K355" s="0" t="s">
        <v>855</v>
      </c>
      <c r="L355" s="0" t="s">
        <v>25</v>
      </c>
      <c r="M355" s="0" t="s">
        <v>857</v>
      </c>
      <c r="N355" s="0" t="s">
        <v>868</v>
      </c>
      <c r="O355" s="0" t="n">
        <v>1</v>
      </c>
      <c r="P355" s="0" t="s">
        <v>173</v>
      </c>
      <c r="R355" s="3"/>
      <c r="S355" s="2" t="s">
        <v>28</v>
      </c>
    </row>
    <row r="356" customFormat="false" ht="15" hidden="false" customHeight="false" outlineLevel="0" collapsed="false">
      <c r="A356" s="0" t="n">
        <v>355</v>
      </c>
      <c r="D356" s="0" t="s">
        <v>869</v>
      </c>
      <c r="E356" s="0" t="s">
        <v>287</v>
      </c>
      <c r="H356" s="0" t="s">
        <v>21</v>
      </c>
      <c r="I356" s="2" t="s">
        <v>22</v>
      </c>
      <c r="J356" s="2" t="s">
        <v>854</v>
      </c>
      <c r="K356" s="0" t="s">
        <v>855</v>
      </c>
      <c r="L356" s="0" t="s">
        <v>25</v>
      </c>
      <c r="M356" s="0" t="s">
        <v>857</v>
      </c>
      <c r="N356" s="0" t="s">
        <v>870</v>
      </c>
      <c r="O356" s="0" t="n">
        <v>1</v>
      </c>
      <c r="P356" s="0" t="s">
        <v>287</v>
      </c>
      <c r="R356" s="3"/>
      <c r="S356" s="2" t="s">
        <v>28</v>
      </c>
    </row>
    <row r="357" customFormat="false" ht="15" hidden="false" customHeight="false" outlineLevel="0" collapsed="false">
      <c r="A357" s="0" t="n">
        <v>356</v>
      </c>
      <c r="D357" s="0" t="s">
        <v>871</v>
      </c>
      <c r="E357" s="0" t="s">
        <v>20</v>
      </c>
      <c r="H357" s="0" t="s">
        <v>21</v>
      </c>
      <c r="I357" s="2" t="s">
        <v>22</v>
      </c>
      <c r="J357" s="2" t="s">
        <v>854</v>
      </c>
      <c r="K357" s="0" t="s">
        <v>855</v>
      </c>
      <c r="L357" s="0" t="s">
        <v>25</v>
      </c>
      <c r="M357" s="0" t="s">
        <v>857</v>
      </c>
      <c r="N357" s="0" t="s">
        <v>872</v>
      </c>
      <c r="O357" s="0" t="n">
        <v>1</v>
      </c>
      <c r="R357" s="3"/>
      <c r="S357" s="2" t="s">
        <v>28</v>
      </c>
    </row>
    <row r="358" customFormat="false" ht="15" hidden="false" customHeight="false" outlineLevel="0" collapsed="false">
      <c r="A358" s="0" t="n">
        <v>357</v>
      </c>
      <c r="D358" s="0" t="s">
        <v>873</v>
      </c>
      <c r="E358" s="0" t="s">
        <v>20</v>
      </c>
      <c r="H358" s="0" t="s">
        <v>21</v>
      </c>
      <c r="I358" s="2" t="s">
        <v>22</v>
      </c>
      <c r="J358" s="2" t="s">
        <v>854</v>
      </c>
      <c r="K358" s="0" t="s">
        <v>855</v>
      </c>
      <c r="L358" s="0" t="s">
        <v>25</v>
      </c>
      <c r="M358" s="0" t="s">
        <v>857</v>
      </c>
      <c r="N358" s="0" t="s">
        <v>874</v>
      </c>
      <c r="O358" s="0" t="n">
        <v>1</v>
      </c>
      <c r="P358" s="0" t="s">
        <v>43</v>
      </c>
      <c r="R358" s="3"/>
      <c r="S358" s="2" t="s">
        <v>28</v>
      </c>
    </row>
    <row r="359" customFormat="false" ht="15" hidden="false" customHeight="false" outlineLevel="0" collapsed="false">
      <c r="A359" s="0" t="n">
        <v>358</v>
      </c>
      <c r="D359" s="0" t="s">
        <v>875</v>
      </c>
      <c r="E359" s="0" t="s">
        <v>68</v>
      </c>
      <c r="H359" s="0" t="s">
        <v>21</v>
      </c>
      <c r="I359" s="2" t="s">
        <v>22</v>
      </c>
      <c r="J359" s="2" t="s">
        <v>854</v>
      </c>
      <c r="K359" s="0" t="s">
        <v>855</v>
      </c>
      <c r="L359" s="0" t="s">
        <v>25</v>
      </c>
      <c r="M359" s="0" t="s">
        <v>857</v>
      </c>
      <c r="N359" s="0" t="s">
        <v>876</v>
      </c>
      <c r="O359" s="0" t="n">
        <v>1</v>
      </c>
      <c r="P359" s="0" t="s">
        <v>68</v>
      </c>
      <c r="R359" s="3"/>
      <c r="S359" s="2" t="s">
        <v>28</v>
      </c>
    </row>
    <row r="360" customFormat="false" ht="15" hidden="false" customHeight="false" outlineLevel="0" collapsed="false">
      <c r="A360" s="0" t="n">
        <v>359</v>
      </c>
      <c r="D360" s="0" t="s">
        <v>877</v>
      </c>
      <c r="E360" s="0" t="s">
        <v>253</v>
      </c>
      <c r="H360" s="0" t="s">
        <v>21</v>
      </c>
      <c r="I360" s="2" t="s">
        <v>22</v>
      </c>
      <c r="J360" s="2" t="s">
        <v>854</v>
      </c>
      <c r="K360" s="0" t="s">
        <v>855</v>
      </c>
      <c r="L360" s="0" t="s">
        <v>25</v>
      </c>
      <c r="M360" s="0" t="s">
        <v>857</v>
      </c>
      <c r="N360" s="0" t="s">
        <v>878</v>
      </c>
      <c r="O360" s="0" t="n">
        <v>1</v>
      </c>
      <c r="P360" s="0" t="s">
        <v>253</v>
      </c>
      <c r="R360" s="3"/>
      <c r="S360" s="2" t="s">
        <v>28</v>
      </c>
    </row>
    <row r="361" customFormat="false" ht="15" hidden="false" customHeight="false" outlineLevel="0" collapsed="false">
      <c r="A361" s="0" t="n">
        <v>360</v>
      </c>
      <c r="D361" s="0" t="s">
        <v>879</v>
      </c>
      <c r="E361" s="0" t="s">
        <v>20</v>
      </c>
      <c r="H361" s="0" t="s">
        <v>21</v>
      </c>
      <c r="I361" s="2" t="s">
        <v>22</v>
      </c>
      <c r="J361" s="2" t="s">
        <v>854</v>
      </c>
      <c r="K361" s="0" t="s">
        <v>855</v>
      </c>
      <c r="L361" s="0" t="s">
        <v>420</v>
      </c>
      <c r="M361" s="0" t="s">
        <v>857</v>
      </c>
      <c r="N361" s="0" t="s">
        <v>880</v>
      </c>
      <c r="O361" s="0" t="n">
        <v>1</v>
      </c>
      <c r="P361" s="0" t="s">
        <v>422</v>
      </c>
      <c r="R361" s="3"/>
      <c r="S361" s="2" t="s">
        <v>28</v>
      </c>
    </row>
    <row r="362" customFormat="false" ht="15" hidden="false" customHeight="false" outlineLevel="0" collapsed="false">
      <c r="A362" s="0" t="n">
        <v>361</v>
      </c>
      <c r="D362" s="0" t="s">
        <v>881</v>
      </c>
      <c r="E362" s="0" t="s">
        <v>410</v>
      </c>
      <c r="F362" s="0" t="s">
        <v>882</v>
      </c>
      <c r="H362" s="0" t="s">
        <v>21</v>
      </c>
      <c r="I362" s="2" t="s">
        <v>22</v>
      </c>
      <c r="J362" s="2" t="s">
        <v>854</v>
      </c>
      <c r="K362" s="0" t="s">
        <v>855</v>
      </c>
      <c r="L362" s="0" t="s">
        <v>883</v>
      </c>
      <c r="M362" s="0" t="s">
        <v>857</v>
      </c>
      <c r="N362" s="0" t="s">
        <v>411</v>
      </c>
      <c r="O362" s="0" t="n">
        <v>1</v>
      </c>
      <c r="P362" s="0" t="s">
        <v>410</v>
      </c>
      <c r="Q362" s="0" t="s">
        <v>884</v>
      </c>
      <c r="R362" s="3" t="s">
        <v>885</v>
      </c>
      <c r="S362" s="2" t="s">
        <v>886</v>
      </c>
    </row>
    <row r="363" customFormat="false" ht="15" hidden="false" customHeight="false" outlineLevel="0" collapsed="false">
      <c r="A363" s="0" t="n">
        <v>362</v>
      </c>
      <c r="D363" s="0" t="s">
        <v>887</v>
      </c>
      <c r="E363" s="0" t="s">
        <v>888</v>
      </c>
      <c r="H363" s="0" t="s">
        <v>21</v>
      </c>
      <c r="I363" s="2" t="s">
        <v>22</v>
      </c>
      <c r="J363" s="2" t="s">
        <v>854</v>
      </c>
      <c r="K363" s="0" t="s">
        <v>855</v>
      </c>
      <c r="L363" s="0" t="s">
        <v>889</v>
      </c>
      <c r="M363" s="0" t="s">
        <v>857</v>
      </c>
      <c r="N363" s="0" t="s">
        <v>890</v>
      </c>
      <c r="O363" s="0" t="n">
        <v>1</v>
      </c>
      <c r="P363" s="0" t="s">
        <v>43</v>
      </c>
      <c r="R363" s="3"/>
      <c r="S363" s="2" t="s">
        <v>28</v>
      </c>
    </row>
    <row r="364" customFormat="false" ht="15" hidden="false" customHeight="false" outlineLevel="0" collapsed="false">
      <c r="A364" s="0" t="n">
        <v>363</v>
      </c>
      <c r="D364" s="0" t="s">
        <v>891</v>
      </c>
      <c r="E364" s="0" t="s">
        <v>20</v>
      </c>
      <c r="H364" s="0" t="s">
        <v>21</v>
      </c>
      <c r="I364" s="2" t="s">
        <v>22</v>
      </c>
      <c r="J364" s="2" t="s">
        <v>854</v>
      </c>
      <c r="K364" s="0" t="s">
        <v>855</v>
      </c>
      <c r="L364" s="0" t="s">
        <v>25</v>
      </c>
      <c r="M364" s="0" t="s">
        <v>857</v>
      </c>
      <c r="N364" s="0" t="s">
        <v>892</v>
      </c>
      <c r="O364" s="0" t="n">
        <v>1</v>
      </c>
      <c r="R364" s="3"/>
      <c r="S364" s="2" t="s">
        <v>28</v>
      </c>
    </row>
    <row r="365" customFormat="false" ht="15" hidden="false" customHeight="false" outlineLevel="0" collapsed="false">
      <c r="A365" s="0" t="n">
        <v>364</v>
      </c>
      <c r="D365" s="0" t="s">
        <v>893</v>
      </c>
      <c r="E365" s="0" t="s">
        <v>501</v>
      </c>
      <c r="H365" s="0" t="s">
        <v>21</v>
      </c>
      <c r="I365" s="2" t="s">
        <v>22</v>
      </c>
      <c r="J365" s="2" t="s">
        <v>854</v>
      </c>
      <c r="K365" s="0" t="s">
        <v>855</v>
      </c>
      <c r="L365" s="0" t="s">
        <v>25</v>
      </c>
      <c r="M365" s="0" t="s">
        <v>857</v>
      </c>
      <c r="N365" s="0" t="s">
        <v>894</v>
      </c>
      <c r="O365" s="0" t="n">
        <v>1</v>
      </c>
      <c r="P365" s="0" t="s">
        <v>501</v>
      </c>
      <c r="R365" s="3"/>
      <c r="S365" s="2" t="s">
        <v>28</v>
      </c>
    </row>
    <row r="366" customFormat="false" ht="15" hidden="false" customHeight="false" outlineLevel="0" collapsed="false">
      <c r="A366" s="0" t="n">
        <v>365</v>
      </c>
      <c r="D366" s="0" t="s">
        <v>895</v>
      </c>
      <c r="E366" s="0" t="s">
        <v>20</v>
      </c>
      <c r="H366" s="0" t="s">
        <v>21</v>
      </c>
      <c r="I366" s="2" t="s">
        <v>22</v>
      </c>
      <c r="J366" s="2" t="s">
        <v>854</v>
      </c>
      <c r="K366" s="0" t="s">
        <v>855</v>
      </c>
      <c r="L366" s="0" t="s">
        <v>25</v>
      </c>
      <c r="M366" s="0" t="s">
        <v>857</v>
      </c>
      <c r="N366" s="0" t="s">
        <v>896</v>
      </c>
      <c r="O366" s="0" t="n">
        <v>1</v>
      </c>
      <c r="R366" s="3"/>
      <c r="S366" s="2" t="s">
        <v>28</v>
      </c>
    </row>
    <row r="367" customFormat="false" ht="15" hidden="false" customHeight="false" outlineLevel="0" collapsed="false">
      <c r="A367" s="0" t="n">
        <v>366</v>
      </c>
      <c r="D367" s="0" t="s">
        <v>897</v>
      </c>
      <c r="E367" s="0" t="s">
        <v>188</v>
      </c>
      <c r="H367" s="0" t="s">
        <v>21</v>
      </c>
      <c r="I367" s="2" t="s">
        <v>22</v>
      </c>
      <c r="J367" s="2" t="s">
        <v>854</v>
      </c>
      <c r="K367" s="0" t="s">
        <v>855</v>
      </c>
      <c r="L367" s="0" t="s">
        <v>25</v>
      </c>
      <c r="M367" s="0" t="s">
        <v>857</v>
      </c>
      <c r="N367" s="0" t="s">
        <v>898</v>
      </c>
      <c r="O367" s="0" t="n">
        <v>1</v>
      </c>
      <c r="P367" s="0" t="s">
        <v>188</v>
      </c>
      <c r="R367" s="3"/>
      <c r="S367" s="2" t="s">
        <v>28</v>
      </c>
    </row>
    <row r="368" customFormat="false" ht="15" hidden="false" customHeight="false" outlineLevel="0" collapsed="false">
      <c r="A368" s="0" t="n">
        <v>367</v>
      </c>
      <c r="D368" s="0" t="s">
        <v>899</v>
      </c>
      <c r="E368" s="0" t="s">
        <v>73</v>
      </c>
      <c r="F368" s="0" t="s">
        <v>900</v>
      </c>
      <c r="H368" s="0" t="s">
        <v>21</v>
      </c>
      <c r="I368" s="2" t="s">
        <v>22</v>
      </c>
      <c r="J368" s="2" t="s">
        <v>854</v>
      </c>
      <c r="K368" s="0" t="s">
        <v>855</v>
      </c>
      <c r="L368" s="0" t="s">
        <v>901</v>
      </c>
      <c r="M368" s="0" t="s">
        <v>857</v>
      </c>
      <c r="N368" s="0" t="s">
        <v>902</v>
      </c>
      <c r="O368" s="0" t="n">
        <v>1</v>
      </c>
      <c r="P368" s="0" t="s">
        <v>73</v>
      </c>
      <c r="Q368" s="0" t="s">
        <v>903</v>
      </c>
      <c r="R368" s="3" t="s">
        <v>904</v>
      </c>
      <c r="S368" s="2" t="s">
        <v>905</v>
      </c>
    </row>
    <row r="369" customFormat="false" ht="15" hidden="false" customHeight="false" outlineLevel="0" collapsed="false">
      <c r="A369" s="0" t="n">
        <v>368</v>
      </c>
      <c r="D369" s="0" t="s">
        <v>906</v>
      </c>
      <c r="E369" s="0" t="s">
        <v>829</v>
      </c>
      <c r="H369" s="0" t="s">
        <v>21</v>
      </c>
      <c r="I369" s="2" t="s">
        <v>22</v>
      </c>
      <c r="J369" s="2" t="s">
        <v>854</v>
      </c>
      <c r="K369" s="0" t="s">
        <v>855</v>
      </c>
      <c r="L369" s="0" t="s">
        <v>25</v>
      </c>
      <c r="M369" s="0" t="s">
        <v>857</v>
      </c>
      <c r="N369" s="0" t="s">
        <v>907</v>
      </c>
      <c r="O369" s="0" t="n">
        <v>1</v>
      </c>
      <c r="P369" s="0" t="s">
        <v>829</v>
      </c>
      <c r="R369" s="3"/>
      <c r="S369" s="2" t="s">
        <v>28</v>
      </c>
    </row>
    <row r="370" customFormat="false" ht="15" hidden="false" customHeight="false" outlineLevel="0" collapsed="false">
      <c r="A370" s="0" t="n">
        <v>369</v>
      </c>
      <c r="D370" s="0" t="s">
        <v>908</v>
      </c>
      <c r="E370" s="0" t="s">
        <v>210</v>
      </c>
      <c r="H370" s="0" t="s">
        <v>21</v>
      </c>
      <c r="I370" s="2" t="s">
        <v>22</v>
      </c>
      <c r="J370" s="2" t="s">
        <v>854</v>
      </c>
      <c r="K370" s="0" t="s">
        <v>855</v>
      </c>
      <c r="L370" s="0" t="s">
        <v>25</v>
      </c>
      <c r="M370" s="0" t="s">
        <v>857</v>
      </c>
      <c r="N370" s="0" t="s">
        <v>909</v>
      </c>
      <c r="O370" s="0" t="n">
        <v>1</v>
      </c>
      <c r="P370" s="0" t="s">
        <v>210</v>
      </c>
      <c r="R370" s="3"/>
      <c r="S370" s="2" t="s">
        <v>28</v>
      </c>
    </row>
    <row r="371" customFormat="false" ht="15" hidden="false" customHeight="false" outlineLevel="0" collapsed="false">
      <c r="A371" s="0" t="n">
        <v>370</v>
      </c>
      <c r="D371" s="0" t="s">
        <v>910</v>
      </c>
      <c r="E371" s="0" t="s">
        <v>20</v>
      </c>
      <c r="H371" s="0" t="s">
        <v>21</v>
      </c>
      <c r="I371" s="2" t="s">
        <v>22</v>
      </c>
      <c r="J371" s="2" t="s">
        <v>854</v>
      </c>
      <c r="K371" s="0" t="s">
        <v>855</v>
      </c>
      <c r="L371" s="0" t="s">
        <v>25</v>
      </c>
      <c r="M371" s="0" t="s">
        <v>857</v>
      </c>
      <c r="N371" s="0" t="s">
        <v>911</v>
      </c>
      <c r="O371" s="0" t="n">
        <v>1</v>
      </c>
      <c r="R371" s="3"/>
      <c r="S371" s="2" t="s">
        <v>28</v>
      </c>
    </row>
    <row r="372" customFormat="false" ht="15" hidden="false" customHeight="false" outlineLevel="0" collapsed="false">
      <c r="A372" s="0" t="n">
        <v>371</v>
      </c>
      <c r="D372" s="0" t="s">
        <v>912</v>
      </c>
      <c r="E372" s="0" t="s">
        <v>20</v>
      </c>
      <c r="H372" s="0" t="s">
        <v>21</v>
      </c>
      <c r="I372" s="2" t="s">
        <v>22</v>
      </c>
      <c r="J372" s="2" t="s">
        <v>854</v>
      </c>
      <c r="K372" s="0" t="s">
        <v>855</v>
      </c>
      <c r="L372" s="0" t="s">
        <v>25</v>
      </c>
      <c r="M372" s="0" t="s">
        <v>857</v>
      </c>
      <c r="N372" s="0" t="s">
        <v>913</v>
      </c>
      <c r="O372" s="0" t="n">
        <v>1</v>
      </c>
      <c r="P372" s="0" t="s">
        <v>43</v>
      </c>
      <c r="R372" s="3"/>
      <c r="S372" s="2" t="s">
        <v>28</v>
      </c>
    </row>
    <row r="373" customFormat="false" ht="15" hidden="false" customHeight="false" outlineLevel="0" collapsed="false">
      <c r="A373" s="0" t="n">
        <v>372</v>
      </c>
      <c r="D373" s="0" t="s">
        <v>914</v>
      </c>
      <c r="E373" s="0" t="s">
        <v>410</v>
      </c>
      <c r="H373" s="0" t="s">
        <v>21</v>
      </c>
      <c r="I373" s="2" t="s">
        <v>22</v>
      </c>
      <c r="J373" s="2" t="s">
        <v>854</v>
      </c>
      <c r="K373" s="0" t="s">
        <v>855</v>
      </c>
      <c r="L373" s="0" t="s">
        <v>25</v>
      </c>
      <c r="M373" s="0" t="s">
        <v>857</v>
      </c>
      <c r="N373" s="0" t="s">
        <v>915</v>
      </c>
      <c r="O373" s="0" t="n">
        <v>1</v>
      </c>
      <c r="P373" s="0" t="s">
        <v>410</v>
      </c>
      <c r="R373" s="3"/>
      <c r="S373" s="2" t="s">
        <v>28</v>
      </c>
    </row>
    <row r="374" customFormat="false" ht="15" hidden="false" customHeight="false" outlineLevel="0" collapsed="false">
      <c r="A374" s="0" t="n">
        <v>373</v>
      </c>
      <c r="D374" s="0" t="s">
        <v>916</v>
      </c>
      <c r="E374" s="0" t="s">
        <v>20</v>
      </c>
      <c r="H374" s="0" t="s">
        <v>21</v>
      </c>
      <c r="I374" s="2" t="s">
        <v>22</v>
      </c>
      <c r="J374" s="2" t="s">
        <v>854</v>
      </c>
      <c r="K374" s="0" t="s">
        <v>855</v>
      </c>
      <c r="L374" s="0" t="s">
        <v>25</v>
      </c>
      <c r="M374" s="0" t="s">
        <v>857</v>
      </c>
      <c r="N374" s="0" t="s">
        <v>917</v>
      </c>
      <c r="O374" s="0" t="n">
        <v>1</v>
      </c>
      <c r="R374" s="3"/>
      <c r="S374" s="2" t="s">
        <v>28</v>
      </c>
    </row>
    <row r="375" customFormat="false" ht="15" hidden="false" customHeight="false" outlineLevel="0" collapsed="false">
      <c r="A375" s="0" t="n">
        <v>374</v>
      </c>
      <c r="D375" s="0" t="s">
        <v>918</v>
      </c>
      <c r="E375" s="0" t="s">
        <v>20</v>
      </c>
      <c r="H375" s="0" t="s">
        <v>21</v>
      </c>
      <c r="I375" s="2" t="s">
        <v>22</v>
      </c>
      <c r="J375" s="2" t="s">
        <v>854</v>
      </c>
      <c r="K375" s="0" t="s">
        <v>855</v>
      </c>
      <c r="L375" s="0" t="s">
        <v>420</v>
      </c>
      <c r="M375" s="0" t="s">
        <v>857</v>
      </c>
      <c r="N375" s="0" t="s">
        <v>919</v>
      </c>
      <c r="O375" s="0" t="n">
        <v>1</v>
      </c>
      <c r="P375" s="0" t="s">
        <v>422</v>
      </c>
      <c r="R375" s="3"/>
      <c r="S375" s="2" t="s">
        <v>28</v>
      </c>
    </row>
    <row r="376" customFormat="false" ht="15" hidden="false" customHeight="false" outlineLevel="0" collapsed="false">
      <c r="A376" s="0" t="n">
        <v>375</v>
      </c>
      <c r="D376" s="0" t="s">
        <v>920</v>
      </c>
      <c r="E376" s="0" t="s">
        <v>568</v>
      </c>
      <c r="H376" s="0" t="s">
        <v>21</v>
      </c>
      <c r="I376" s="2" t="s">
        <v>22</v>
      </c>
      <c r="J376" s="2" t="s">
        <v>854</v>
      </c>
      <c r="K376" s="0" t="s">
        <v>855</v>
      </c>
      <c r="L376" s="0" t="s">
        <v>25</v>
      </c>
      <c r="M376" s="0" t="s">
        <v>857</v>
      </c>
      <c r="N376" s="0" t="s">
        <v>921</v>
      </c>
      <c r="O376" s="0" t="n">
        <v>1</v>
      </c>
      <c r="P376" s="0" t="s">
        <v>568</v>
      </c>
      <c r="R376" s="3"/>
      <c r="S376" s="2" t="s">
        <v>28</v>
      </c>
    </row>
    <row r="377" customFormat="false" ht="15" hidden="false" customHeight="false" outlineLevel="0" collapsed="false">
      <c r="A377" s="0" t="n">
        <v>376</v>
      </c>
      <c r="D377" s="0" t="s">
        <v>922</v>
      </c>
      <c r="E377" s="0" t="s">
        <v>20</v>
      </c>
      <c r="H377" s="0" t="s">
        <v>21</v>
      </c>
      <c r="I377" s="2" t="s">
        <v>22</v>
      </c>
      <c r="J377" s="2" t="s">
        <v>854</v>
      </c>
      <c r="K377" s="0" t="s">
        <v>855</v>
      </c>
      <c r="L377" s="0" t="s">
        <v>182</v>
      </c>
      <c r="M377" s="0" t="s">
        <v>857</v>
      </c>
      <c r="N377" s="0" t="s">
        <v>923</v>
      </c>
      <c r="O377" s="0" t="n">
        <v>1</v>
      </c>
      <c r="P377" s="0" t="s">
        <v>184</v>
      </c>
      <c r="R377" s="3"/>
      <c r="S377" s="2" t="s">
        <v>28</v>
      </c>
    </row>
    <row r="378" customFormat="false" ht="15" hidden="false" customHeight="false" outlineLevel="0" collapsed="false">
      <c r="A378" s="0" t="n">
        <v>377</v>
      </c>
      <c r="D378" s="0" t="s">
        <v>924</v>
      </c>
      <c r="E378" s="0" t="s">
        <v>20</v>
      </c>
      <c r="H378" s="0" t="s">
        <v>21</v>
      </c>
      <c r="I378" s="2" t="s">
        <v>22</v>
      </c>
      <c r="J378" s="2" t="s">
        <v>854</v>
      </c>
      <c r="K378" s="0" t="s">
        <v>855</v>
      </c>
      <c r="L378" s="0" t="s">
        <v>25</v>
      </c>
      <c r="M378" s="0" t="s">
        <v>857</v>
      </c>
      <c r="N378" s="0" t="s">
        <v>925</v>
      </c>
      <c r="O378" s="0" t="n">
        <v>1</v>
      </c>
      <c r="R378" s="3"/>
      <c r="S378" s="2" t="s">
        <v>28</v>
      </c>
    </row>
    <row r="379" customFormat="false" ht="15" hidden="false" customHeight="false" outlineLevel="0" collapsed="false">
      <c r="A379" s="0" t="n">
        <v>378</v>
      </c>
      <c r="D379" s="0" t="s">
        <v>926</v>
      </c>
      <c r="E379" s="0" t="s">
        <v>20</v>
      </c>
      <c r="H379" s="0" t="s">
        <v>21</v>
      </c>
      <c r="I379" s="2" t="s">
        <v>22</v>
      </c>
      <c r="J379" s="2" t="s">
        <v>854</v>
      </c>
      <c r="K379" s="0" t="s">
        <v>855</v>
      </c>
      <c r="L379" s="0" t="s">
        <v>25</v>
      </c>
      <c r="M379" s="0" t="s">
        <v>857</v>
      </c>
      <c r="N379" s="0" t="s">
        <v>927</v>
      </c>
      <c r="O379" s="0" t="n">
        <v>1</v>
      </c>
      <c r="R379" s="3"/>
      <c r="S379" s="2" t="s">
        <v>28</v>
      </c>
    </row>
    <row r="380" customFormat="false" ht="15" hidden="false" customHeight="false" outlineLevel="0" collapsed="false">
      <c r="A380" s="0" t="n">
        <v>379</v>
      </c>
      <c r="D380" s="0" t="s">
        <v>928</v>
      </c>
      <c r="E380" s="0" t="s">
        <v>253</v>
      </c>
      <c r="H380" s="0" t="s">
        <v>21</v>
      </c>
      <c r="I380" s="2" t="s">
        <v>22</v>
      </c>
      <c r="J380" s="2" t="s">
        <v>854</v>
      </c>
      <c r="K380" s="0" t="s">
        <v>855</v>
      </c>
      <c r="L380" s="0" t="s">
        <v>929</v>
      </c>
      <c r="M380" s="0" t="s">
        <v>857</v>
      </c>
      <c r="N380" s="0" t="s">
        <v>930</v>
      </c>
      <c r="O380" s="0" t="n">
        <v>1</v>
      </c>
      <c r="P380" s="0" t="s">
        <v>253</v>
      </c>
      <c r="Q380" s="0" t="s">
        <v>931</v>
      </c>
      <c r="R380" s="3"/>
      <c r="S380" s="2" t="s">
        <v>932</v>
      </c>
    </row>
    <row r="381" customFormat="false" ht="15" hidden="false" customHeight="false" outlineLevel="0" collapsed="false">
      <c r="A381" s="0" t="n">
        <v>380</v>
      </c>
      <c r="D381" s="0" t="s">
        <v>933</v>
      </c>
      <c r="E381" s="0" t="s">
        <v>20</v>
      </c>
      <c r="H381" s="0" t="s">
        <v>21</v>
      </c>
      <c r="I381" s="2" t="s">
        <v>22</v>
      </c>
      <c r="J381" s="2" t="s">
        <v>854</v>
      </c>
      <c r="K381" s="0" t="s">
        <v>855</v>
      </c>
      <c r="L381" s="0" t="s">
        <v>25</v>
      </c>
      <c r="M381" s="0" t="s">
        <v>857</v>
      </c>
      <c r="N381" s="0" t="s">
        <v>934</v>
      </c>
      <c r="O381" s="0" t="n">
        <v>1</v>
      </c>
      <c r="P381" s="0" t="s">
        <v>43</v>
      </c>
      <c r="R381" s="3"/>
      <c r="S381" s="2" t="s">
        <v>28</v>
      </c>
    </row>
    <row r="382" customFormat="false" ht="15" hidden="false" customHeight="false" outlineLevel="0" collapsed="false">
      <c r="A382" s="0" t="n">
        <v>381</v>
      </c>
      <c r="D382" s="0" t="s">
        <v>935</v>
      </c>
      <c r="E382" s="0" t="s">
        <v>268</v>
      </c>
      <c r="H382" s="0" t="s">
        <v>21</v>
      </c>
      <c r="I382" s="2" t="s">
        <v>22</v>
      </c>
      <c r="J382" s="2" t="s">
        <v>854</v>
      </c>
      <c r="K382" s="0" t="s">
        <v>855</v>
      </c>
      <c r="L382" s="0" t="s">
        <v>25</v>
      </c>
      <c r="M382" s="0" t="s">
        <v>857</v>
      </c>
      <c r="N382" s="0" t="s">
        <v>936</v>
      </c>
      <c r="O382" s="0" t="n">
        <v>1</v>
      </c>
      <c r="P382" s="0" t="s">
        <v>293</v>
      </c>
      <c r="R382" s="3"/>
      <c r="S382" s="2" t="s">
        <v>28</v>
      </c>
    </row>
    <row r="383" customFormat="false" ht="15" hidden="false" customHeight="false" outlineLevel="0" collapsed="false">
      <c r="A383" s="0" t="n">
        <v>382</v>
      </c>
      <c r="D383" s="0" t="s">
        <v>937</v>
      </c>
      <c r="E383" s="0" t="s">
        <v>68</v>
      </c>
      <c r="H383" s="0" t="s">
        <v>21</v>
      </c>
      <c r="I383" s="2" t="s">
        <v>22</v>
      </c>
      <c r="J383" s="2" t="s">
        <v>854</v>
      </c>
      <c r="K383" s="0" t="s">
        <v>855</v>
      </c>
      <c r="L383" s="0" t="s">
        <v>25</v>
      </c>
      <c r="M383" s="0" t="s">
        <v>857</v>
      </c>
      <c r="N383" s="0" t="s">
        <v>938</v>
      </c>
      <c r="O383" s="0" t="n">
        <v>1</v>
      </c>
      <c r="P383" s="0" t="s">
        <v>68</v>
      </c>
      <c r="R383" s="3"/>
      <c r="S383" s="2" t="s">
        <v>28</v>
      </c>
    </row>
    <row r="384" customFormat="false" ht="15" hidden="false" customHeight="false" outlineLevel="0" collapsed="false">
      <c r="A384" s="0" t="n">
        <v>383</v>
      </c>
      <c r="D384" s="0" t="s">
        <v>939</v>
      </c>
      <c r="E384" s="0" t="s">
        <v>522</v>
      </c>
      <c r="H384" s="0" t="s">
        <v>21</v>
      </c>
      <c r="I384" s="2" t="s">
        <v>22</v>
      </c>
      <c r="J384" s="2" t="s">
        <v>854</v>
      </c>
      <c r="K384" s="0" t="s">
        <v>855</v>
      </c>
      <c r="L384" s="0" t="s">
        <v>25</v>
      </c>
      <c r="M384" s="0" t="s">
        <v>857</v>
      </c>
      <c r="N384" s="0" t="s">
        <v>940</v>
      </c>
      <c r="O384" s="0" t="n">
        <v>1</v>
      </c>
      <c r="P384" s="0" t="s">
        <v>522</v>
      </c>
      <c r="R384" s="3"/>
      <c r="S384" s="2" t="s">
        <v>28</v>
      </c>
    </row>
    <row r="385" customFormat="false" ht="15" hidden="false" customHeight="false" outlineLevel="0" collapsed="false">
      <c r="A385" s="0" t="n">
        <v>384</v>
      </c>
      <c r="D385" s="0" t="s">
        <v>941</v>
      </c>
      <c r="E385" s="0" t="s">
        <v>20</v>
      </c>
      <c r="H385" s="0" t="s">
        <v>21</v>
      </c>
      <c r="I385" s="2" t="s">
        <v>22</v>
      </c>
      <c r="J385" s="2" t="s">
        <v>854</v>
      </c>
      <c r="K385" s="0" t="s">
        <v>855</v>
      </c>
      <c r="L385" s="0" t="s">
        <v>25</v>
      </c>
      <c r="M385" s="0" t="s">
        <v>857</v>
      </c>
      <c r="N385" s="0" t="s">
        <v>942</v>
      </c>
      <c r="O385" s="0" t="n">
        <v>1</v>
      </c>
      <c r="R385" s="3"/>
      <c r="S385" s="2" t="s">
        <v>28</v>
      </c>
    </row>
    <row r="386" customFormat="false" ht="15" hidden="false" customHeight="false" outlineLevel="0" collapsed="false">
      <c r="A386" s="0" t="n">
        <v>385</v>
      </c>
      <c r="D386" s="0" t="s">
        <v>943</v>
      </c>
      <c r="E386" s="0" t="s">
        <v>173</v>
      </c>
      <c r="H386" s="0" t="s">
        <v>21</v>
      </c>
      <c r="I386" s="2" t="s">
        <v>22</v>
      </c>
      <c r="J386" s="2" t="s">
        <v>854</v>
      </c>
      <c r="K386" s="0" t="s">
        <v>855</v>
      </c>
      <c r="L386" s="0" t="s">
        <v>25</v>
      </c>
      <c r="M386" s="0" t="s">
        <v>857</v>
      </c>
      <c r="N386" s="0" t="s">
        <v>944</v>
      </c>
      <c r="O386" s="0" t="n">
        <v>1</v>
      </c>
      <c r="P386" s="0" t="s">
        <v>173</v>
      </c>
      <c r="R386" s="3"/>
      <c r="S386" s="2" t="s">
        <v>28</v>
      </c>
    </row>
    <row r="387" customFormat="false" ht="15" hidden="false" customHeight="false" outlineLevel="0" collapsed="false">
      <c r="A387" s="0" t="n">
        <v>386</v>
      </c>
      <c r="D387" s="0" t="s">
        <v>945</v>
      </c>
      <c r="E387" s="0" t="s">
        <v>20</v>
      </c>
      <c r="H387" s="0" t="s">
        <v>21</v>
      </c>
      <c r="I387" s="2" t="s">
        <v>22</v>
      </c>
      <c r="J387" s="2" t="s">
        <v>854</v>
      </c>
      <c r="K387" s="0" t="s">
        <v>855</v>
      </c>
      <c r="L387" s="0" t="s">
        <v>25</v>
      </c>
      <c r="M387" s="0" t="s">
        <v>857</v>
      </c>
      <c r="N387" s="0" t="s">
        <v>946</v>
      </c>
      <c r="O387" s="0" t="n">
        <v>1</v>
      </c>
      <c r="R387" s="3"/>
      <c r="S387" s="2" t="s">
        <v>28</v>
      </c>
    </row>
    <row r="388" customFormat="false" ht="15" hidden="false" customHeight="false" outlineLevel="0" collapsed="false">
      <c r="A388" s="0" t="n">
        <v>387</v>
      </c>
      <c r="D388" s="0" t="s">
        <v>947</v>
      </c>
      <c r="E388" s="0" t="s">
        <v>287</v>
      </c>
      <c r="H388" s="0" t="s">
        <v>21</v>
      </c>
      <c r="I388" s="2" t="s">
        <v>22</v>
      </c>
      <c r="J388" s="2" t="s">
        <v>854</v>
      </c>
      <c r="K388" s="0" t="s">
        <v>855</v>
      </c>
      <c r="L388" s="0" t="s">
        <v>25</v>
      </c>
      <c r="M388" s="0" t="s">
        <v>857</v>
      </c>
      <c r="N388" s="0" t="s">
        <v>948</v>
      </c>
      <c r="O388" s="0" t="n">
        <v>1</v>
      </c>
      <c r="P388" s="0" t="s">
        <v>287</v>
      </c>
      <c r="R388" s="3"/>
      <c r="S388" s="2" t="s">
        <v>28</v>
      </c>
    </row>
    <row r="389" customFormat="false" ht="15" hidden="false" customHeight="false" outlineLevel="0" collapsed="false">
      <c r="A389" s="0" t="n">
        <v>388</v>
      </c>
      <c r="D389" s="0" t="s">
        <v>949</v>
      </c>
      <c r="E389" s="0" t="s">
        <v>20</v>
      </c>
      <c r="H389" s="0" t="s">
        <v>21</v>
      </c>
      <c r="I389" s="2" t="s">
        <v>22</v>
      </c>
      <c r="J389" s="2" t="s">
        <v>854</v>
      </c>
      <c r="K389" s="0" t="s">
        <v>855</v>
      </c>
      <c r="L389" s="0" t="s">
        <v>25</v>
      </c>
      <c r="M389" s="0" t="s">
        <v>857</v>
      </c>
      <c r="N389" s="0" t="s">
        <v>950</v>
      </c>
      <c r="O389" s="0" t="n">
        <v>1</v>
      </c>
      <c r="P389" s="0" t="s">
        <v>43</v>
      </c>
      <c r="R389" s="3"/>
      <c r="S389" s="2" t="s">
        <v>28</v>
      </c>
    </row>
    <row r="390" customFormat="false" ht="15" hidden="false" customHeight="false" outlineLevel="0" collapsed="false">
      <c r="A390" s="0" t="n">
        <v>389</v>
      </c>
      <c r="D390" s="0" t="s">
        <v>951</v>
      </c>
      <c r="E390" s="0" t="s">
        <v>20</v>
      </c>
      <c r="H390" s="0" t="s">
        <v>21</v>
      </c>
      <c r="I390" s="2" t="s">
        <v>22</v>
      </c>
      <c r="J390" s="2" t="s">
        <v>854</v>
      </c>
      <c r="K390" s="0" t="s">
        <v>855</v>
      </c>
      <c r="L390" s="0" t="s">
        <v>25</v>
      </c>
      <c r="M390" s="0" t="s">
        <v>857</v>
      </c>
      <c r="N390" s="0" t="s">
        <v>952</v>
      </c>
      <c r="O390" s="0" t="n">
        <v>1</v>
      </c>
      <c r="R390" s="3"/>
      <c r="S390" s="2" t="s">
        <v>28</v>
      </c>
    </row>
    <row r="391" customFormat="false" ht="15" hidden="false" customHeight="false" outlineLevel="0" collapsed="false">
      <c r="A391" s="0" t="n">
        <v>390</v>
      </c>
      <c r="D391" s="0" t="s">
        <v>953</v>
      </c>
      <c r="E391" s="0" t="s">
        <v>20</v>
      </c>
      <c r="H391" s="0" t="s">
        <v>21</v>
      </c>
      <c r="I391" s="2" t="s">
        <v>22</v>
      </c>
      <c r="J391" s="2" t="s">
        <v>854</v>
      </c>
      <c r="K391" s="0" t="s">
        <v>855</v>
      </c>
      <c r="L391" s="0" t="s">
        <v>25</v>
      </c>
      <c r="M391" s="0" t="s">
        <v>857</v>
      </c>
      <c r="N391" s="0" t="s">
        <v>954</v>
      </c>
      <c r="O391" s="0" t="n">
        <v>1</v>
      </c>
      <c r="R391" s="3"/>
      <c r="S391" s="2" t="s">
        <v>28</v>
      </c>
    </row>
    <row r="392" customFormat="false" ht="15" hidden="false" customHeight="false" outlineLevel="0" collapsed="false">
      <c r="A392" s="0" t="n">
        <v>391</v>
      </c>
      <c r="D392" s="0" t="s">
        <v>955</v>
      </c>
      <c r="E392" s="0" t="s">
        <v>20</v>
      </c>
      <c r="H392" s="0" t="s">
        <v>21</v>
      </c>
      <c r="I392" s="2" t="s">
        <v>22</v>
      </c>
      <c r="J392" s="2" t="s">
        <v>854</v>
      </c>
      <c r="K392" s="0" t="s">
        <v>855</v>
      </c>
      <c r="L392" s="0" t="s">
        <v>25</v>
      </c>
      <c r="M392" s="0" t="s">
        <v>857</v>
      </c>
      <c r="N392" s="0" t="s">
        <v>956</v>
      </c>
      <c r="O392" s="0" t="n">
        <v>1</v>
      </c>
      <c r="R392" s="3"/>
      <c r="S392" s="2" t="s">
        <v>28</v>
      </c>
    </row>
    <row r="393" customFormat="false" ht="15" hidden="false" customHeight="false" outlineLevel="0" collapsed="false">
      <c r="A393" s="0" t="n">
        <v>392</v>
      </c>
      <c r="D393" s="0" t="s">
        <v>957</v>
      </c>
      <c r="E393" s="0" t="s">
        <v>287</v>
      </c>
      <c r="H393" s="0" t="s">
        <v>21</v>
      </c>
      <c r="I393" s="2" t="s">
        <v>22</v>
      </c>
      <c r="J393" s="2" t="s">
        <v>854</v>
      </c>
      <c r="K393" s="0" t="s">
        <v>855</v>
      </c>
      <c r="L393" s="0" t="s">
        <v>25</v>
      </c>
      <c r="M393" s="0" t="s">
        <v>857</v>
      </c>
      <c r="N393" s="0" t="s">
        <v>958</v>
      </c>
      <c r="O393" s="0" t="n">
        <v>1</v>
      </c>
      <c r="P393" s="0" t="s">
        <v>287</v>
      </c>
      <c r="R393" s="3"/>
      <c r="S393" s="2" t="s">
        <v>28</v>
      </c>
    </row>
    <row r="394" customFormat="false" ht="15" hidden="false" customHeight="false" outlineLevel="0" collapsed="false">
      <c r="A394" s="0" t="n">
        <v>393</v>
      </c>
      <c r="D394" s="0" t="s">
        <v>959</v>
      </c>
      <c r="E394" s="0" t="s">
        <v>20</v>
      </c>
      <c r="H394" s="0" t="s">
        <v>21</v>
      </c>
      <c r="I394" s="2" t="s">
        <v>22</v>
      </c>
      <c r="J394" s="2" t="s">
        <v>854</v>
      </c>
      <c r="K394" s="0" t="s">
        <v>855</v>
      </c>
      <c r="L394" s="0" t="s">
        <v>25</v>
      </c>
      <c r="M394" s="0" t="s">
        <v>857</v>
      </c>
      <c r="N394" s="0" t="s">
        <v>960</v>
      </c>
      <c r="O394" s="0" t="n">
        <v>1</v>
      </c>
      <c r="R394" s="3"/>
      <c r="S394" s="2" t="s">
        <v>28</v>
      </c>
    </row>
    <row r="395" customFormat="false" ht="15" hidden="false" customHeight="false" outlineLevel="0" collapsed="false">
      <c r="A395" s="0" t="n">
        <v>394</v>
      </c>
      <c r="D395" s="0" t="s">
        <v>961</v>
      </c>
      <c r="E395" s="0" t="s">
        <v>73</v>
      </c>
      <c r="H395" s="0" t="s">
        <v>21</v>
      </c>
      <c r="I395" s="2" t="s">
        <v>22</v>
      </c>
      <c r="J395" s="2" t="s">
        <v>854</v>
      </c>
      <c r="K395" s="0" t="s">
        <v>855</v>
      </c>
      <c r="L395" s="0" t="s">
        <v>25</v>
      </c>
      <c r="M395" s="0" t="s">
        <v>857</v>
      </c>
      <c r="N395" s="0" t="s">
        <v>962</v>
      </c>
      <c r="O395" s="0" t="n">
        <v>1</v>
      </c>
      <c r="P395" s="0" t="s">
        <v>73</v>
      </c>
      <c r="R395" s="3"/>
      <c r="S395" s="2" t="s">
        <v>28</v>
      </c>
    </row>
    <row r="396" customFormat="false" ht="15" hidden="false" customHeight="false" outlineLevel="0" collapsed="false">
      <c r="A396" s="0" t="n">
        <v>395</v>
      </c>
      <c r="D396" s="0" t="s">
        <v>963</v>
      </c>
      <c r="E396" s="0" t="s">
        <v>20</v>
      </c>
      <c r="H396" s="0" t="s">
        <v>21</v>
      </c>
      <c r="I396" s="2" t="s">
        <v>22</v>
      </c>
      <c r="J396" s="2" t="s">
        <v>854</v>
      </c>
      <c r="K396" s="0" t="s">
        <v>855</v>
      </c>
      <c r="L396" s="0" t="s">
        <v>25</v>
      </c>
      <c r="M396" s="0" t="s">
        <v>857</v>
      </c>
      <c r="N396" s="0" t="s">
        <v>964</v>
      </c>
      <c r="O396" s="0" t="n">
        <v>1</v>
      </c>
      <c r="R396" s="3"/>
      <c r="S396" s="2" t="s">
        <v>28</v>
      </c>
    </row>
    <row r="397" customFormat="false" ht="15" hidden="false" customHeight="false" outlineLevel="0" collapsed="false">
      <c r="A397" s="0" t="n">
        <v>396</v>
      </c>
      <c r="D397" s="0" t="s">
        <v>965</v>
      </c>
      <c r="E397" s="0" t="s">
        <v>20</v>
      </c>
      <c r="H397" s="0" t="s">
        <v>21</v>
      </c>
      <c r="I397" s="2" t="s">
        <v>22</v>
      </c>
      <c r="J397" s="2" t="s">
        <v>854</v>
      </c>
      <c r="K397" s="0" t="s">
        <v>855</v>
      </c>
      <c r="L397" s="0" t="s">
        <v>25</v>
      </c>
      <c r="M397" s="0" t="s">
        <v>857</v>
      </c>
      <c r="N397" s="0" t="s">
        <v>966</v>
      </c>
      <c r="O397" s="0" t="n">
        <v>1</v>
      </c>
      <c r="R397" s="3"/>
      <c r="S397" s="2" t="s">
        <v>28</v>
      </c>
    </row>
    <row r="398" customFormat="false" ht="15" hidden="false" customHeight="false" outlineLevel="0" collapsed="false">
      <c r="A398" s="0" t="n">
        <v>397</v>
      </c>
      <c r="D398" s="0" t="s">
        <v>967</v>
      </c>
      <c r="E398" s="0" t="s">
        <v>20</v>
      </c>
      <c r="H398" s="0" t="s">
        <v>21</v>
      </c>
      <c r="I398" s="2" t="s">
        <v>22</v>
      </c>
      <c r="J398" s="2" t="s">
        <v>854</v>
      </c>
      <c r="K398" s="0" t="s">
        <v>855</v>
      </c>
      <c r="L398" s="0" t="s">
        <v>25</v>
      </c>
      <c r="M398" s="0" t="s">
        <v>857</v>
      </c>
      <c r="N398" s="0" t="s">
        <v>968</v>
      </c>
      <c r="O398" s="0" t="n">
        <v>1</v>
      </c>
      <c r="R398" s="3"/>
      <c r="S398" s="2" t="s">
        <v>28</v>
      </c>
    </row>
    <row r="399" customFormat="false" ht="15" hidden="false" customHeight="false" outlineLevel="0" collapsed="false">
      <c r="A399" s="0" t="n">
        <v>398</v>
      </c>
      <c r="D399" s="0" t="s">
        <v>969</v>
      </c>
      <c r="E399" s="0" t="s">
        <v>20</v>
      </c>
      <c r="H399" s="0" t="s">
        <v>21</v>
      </c>
      <c r="I399" s="2" t="s">
        <v>22</v>
      </c>
      <c r="J399" s="2" t="s">
        <v>854</v>
      </c>
      <c r="K399" s="0" t="s">
        <v>855</v>
      </c>
      <c r="L399" s="0" t="s">
        <v>25</v>
      </c>
      <c r="M399" s="0" t="s">
        <v>857</v>
      </c>
      <c r="N399" s="0" t="s">
        <v>970</v>
      </c>
      <c r="O399" s="0" t="n">
        <v>1</v>
      </c>
      <c r="R399" s="3"/>
      <c r="S399" s="2" t="s">
        <v>28</v>
      </c>
    </row>
    <row r="400" customFormat="false" ht="15" hidden="false" customHeight="false" outlineLevel="0" collapsed="false">
      <c r="A400" s="0" t="n">
        <v>399</v>
      </c>
      <c r="D400" s="0" t="s">
        <v>971</v>
      </c>
      <c r="E400" s="0" t="s">
        <v>20</v>
      </c>
      <c r="H400" s="0" t="s">
        <v>21</v>
      </c>
      <c r="I400" s="2" t="s">
        <v>22</v>
      </c>
      <c r="J400" s="2" t="s">
        <v>854</v>
      </c>
      <c r="K400" s="0" t="s">
        <v>855</v>
      </c>
      <c r="L400" s="0" t="s">
        <v>25</v>
      </c>
      <c r="M400" s="0" t="s">
        <v>857</v>
      </c>
      <c r="N400" s="0" t="s">
        <v>972</v>
      </c>
      <c r="O400" s="0" t="n">
        <v>1</v>
      </c>
      <c r="P400" s="0" t="s">
        <v>43</v>
      </c>
      <c r="R400" s="3"/>
      <c r="S400" s="2" t="s">
        <v>28</v>
      </c>
    </row>
    <row r="401" customFormat="false" ht="15" hidden="false" customHeight="false" outlineLevel="0" collapsed="false">
      <c r="A401" s="0" t="n">
        <v>400</v>
      </c>
      <c r="D401" s="0" t="s">
        <v>973</v>
      </c>
      <c r="E401" s="0" t="s">
        <v>253</v>
      </c>
      <c r="H401" s="0" t="s">
        <v>21</v>
      </c>
      <c r="I401" s="2" t="s">
        <v>22</v>
      </c>
      <c r="J401" s="2" t="s">
        <v>854</v>
      </c>
      <c r="K401" s="0" t="s">
        <v>855</v>
      </c>
      <c r="L401" s="0" t="s">
        <v>25</v>
      </c>
      <c r="M401" s="0" t="s">
        <v>857</v>
      </c>
      <c r="N401" s="0" t="s">
        <v>974</v>
      </c>
      <c r="O401" s="0" t="n">
        <v>1</v>
      </c>
      <c r="R401" s="3"/>
      <c r="S401" s="2" t="s">
        <v>28</v>
      </c>
    </row>
    <row r="402" customFormat="false" ht="15" hidden="false" customHeight="false" outlineLevel="0" collapsed="false">
      <c r="A402" s="0" t="n">
        <v>401</v>
      </c>
      <c r="D402" s="0" t="s">
        <v>975</v>
      </c>
      <c r="E402" s="0" t="s">
        <v>253</v>
      </c>
      <c r="H402" s="0" t="s">
        <v>21</v>
      </c>
      <c r="I402" s="2" t="s">
        <v>22</v>
      </c>
      <c r="J402" s="2" t="s">
        <v>854</v>
      </c>
      <c r="K402" s="0" t="s">
        <v>855</v>
      </c>
      <c r="L402" s="0" t="s">
        <v>25</v>
      </c>
      <c r="M402" s="0" t="s">
        <v>857</v>
      </c>
      <c r="N402" s="0" t="s">
        <v>976</v>
      </c>
      <c r="O402" s="0" t="n">
        <v>1</v>
      </c>
      <c r="P402" s="0" t="s">
        <v>253</v>
      </c>
      <c r="R402" s="3"/>
      <c r="S402" s="2" t="s">
        <v>28</v>
      </c>
    </row>
    <row r="403" customFormat="false" ht="15" hidden="false" customHeight="false" outlineLevel="0" collapsed="false">
      <c r="A403" s="0" t="n">
        <v>402</v>
      </c>
      <c r="D403" s="0" t="s">
        <v>977</v>
      </c>
      <c r="E403" s="0" t="s">
        <v>20</v>
      </c>
      <c r="H403" s="0" t="s">
        <v>21</v>
      </c>
      <c r="I403" s="2" t="s">
        <v>22</v>
      </c>
      <c r="J403" s="2" t="s">
        <v>854</v>
      </c>
      <c r="K403" s="0" t="s">
        <v>855</v>
      </c>
      <c r="L403" s="0" t="s">
        <v>25</v>
      </c>
      <c r="M403" s="0" t="s">
        <v>857</v>
      </c>
      <c r="N403" s="0" t="s">
        <v>978</v>
      </c>
      <c r="O403" s="0" t="n">
        <v>1</v>
      </c>
      <c r="R403" s="3"/>
      <c r="S403" s="2" t="s">
        <v>28</v>
      </c>
    </row>
    <row r="404" customFormat="false" ht="15" hidden="false" customHeight="false" outlineLevel="0" collapsed="false">
      <c r="A404" s="0" t="n">
        <v>403</v>
      </c>
      <c r="D404" s="0" t="s">
        <v>979</v>
      </c>
      <c r="E404" s="0" t="s">
        <v>253</v>
      </c>
      <c r="H404" s="0" t="s">
        <v>21</v>
      </c>
      <c r="I404" s="2" t="s">
        <v>22</v>
      </c>
      <c r="J404" s="2" t="s">
        <v>854</v>
      </c>
      <c r="K404" s="0" t="s">
        <v>855</v>
      </c>
      <c r="L404" s="0" t="s">
        <v>980</v>
      </c>
      <c r="M404" s="0" t="s">
        <v>857</v>
      </c>
      <c r="N404" s="0" t="s">
        <v>981</v>
      </c>
      <c r="O404" s="0" t="n">
        <v>1</v>
      </c>
      <c r="P404" s="0" t="s">
        <v>253</v>
      </c>
      <c r="Q404" s="0" t="s">
        <v>982</v>
      </c>
      <c r="R404" s="3"/>
      <c r="S404" s="2" t="s">
        <v>983</v>
      </c>
    </row>
    <row r="405" customFormat="false" ht="15" hidden="false" customHeight="false" outlineLevel="0" collapsed="false">
      <c r="A405" s="0" t="n">
        <v>404</v>
      </c>
      <c r="D405" s="0" t="s">
        <v>984</v>
      </c>
      <c r="E405" s="0" t="s">
        <v>253</v>
      </c>
      <c r="H405" s="0" t="s">
        <v>21</v>
      </c>
      <c r="I405" s="2" t="s">
        <v>22</v>
      </c>
      <c r="J405" s="2" t="s">
        <v>854</v>
      </c>
      <c r="K405" s="0" t="s">
        <v>855</v>
      </c>
      <c r="L405" s="0" t="s">
        <v>25</v>
      </c>
      <c r="M405" s="0" t="s">
        <v>857</v>
      </c>
      <c r="N405" s="0" t="s">
        <v>985</v>
      </c>
      <c r="O405" s="0" t="n">
        <v>1</v>
      </c>
      <c r="P405" s="0" t="s">
        <v>253</v>
      </c>
      <c r="R405" s="3"/>
      <c r="S405" s="2" t="s">
        <v>28</v>
      </c>
    </row>
    <row r="406" customFormat="false" ht="15" hidden="false" customHeight="false" outlineLevel="0" collapsed="false">
      <c r="A406" s="0" t="n">
        <v>405</v>
      </c>
      <c r="D406" s="0" t="s">
        <v>986</v>
      </c>
      <c r="E406" s="0" t="s">
        <v>210</v>
      </c>
      <c r="H406" s="0" t="s">
        <v>21</v>
      </c>
      <c r="I406" s="2" t="s">
        <v>22</v>
      </c>
      <c r="J406" s="2" t="s">
        <v>854</v>
      </c>
      <c r="K406" s="0" t="s">
        <v>855</v>
      </c>
      <c r="L406" s="0" t="s">
        <v>25</v>
      </c>
      <c r="M406" s="0" t="s">
        <v>857</v>
      </c>
      <c r="N406" s="0" t="s">
        <v>987</v>
      </c>
      <c r="O406" s="0" t="n">
        <v>1</v>
      </c>
      <c r="P406" s="0" t="s">
        <v>210</v>
      </c>
      <c r="R406" s="3"/>
      <c r="S406" s="2" t="s">
        <v>28</v>
      </c>
    </row>
    <row r="407" customFormat="false" ht="15" hidden="false" customHeight="false" outlineLevel="0" collapsed="false">
      <c r="A407" s="0" t="n">
        <v>406</v>
      </c>
      <c r="D407" s="0" t="s">
        <v>988</v>
      </c>
      <c r="E407" s="0" t="s">
        <v>20</v>
      </c>
      <c r="H407" s="0" t="s">
        <v>21</v>
      </c>
      <c r="I407" s="2" t="s">
        <v>22</v>
      </c>
      <c r="J407" s="2" t="s">
        <v>854</v>
      </c>
      <c r="K407" s="0" t="s">
        <v>855</v>
      </c>
      <c r="L407" s="0" t="s">
        <v>25</v>
      </c>
      <c r="M407" s="0" t="s">
        <v>857</v>
      </c>
      <c r="N407" s="0" t="s">
        <v>989</v>
      </c>
      <c r="O407" s="0" t="n">
        <v>1</v>
      </c>
      <c r="R407" s="3"/>
      <c r="S407" s="2" t="s">
        <v>28</v>
      </c>
    </row>
    <row r="408" customFormat="false" ht="15" hidden="false" customHeight="false" outlineLevel="0" collapsed="false">
      <c r="A408" s="0" t="n">
        <v>407</v>
      </c>
      <c r="D408" s="0" t="s">
        <v>990</v>
      </c>
      <c r="E408" s="0" t="s">
        <v>188</v>
      </c>
      <c r="H408" s="0" t="s">
        <v>21</v>
      </c>
      <c r="I408" s="2" t="s">
        <v>22</v>
      </c>
      <c r="J408" s="2" t="s">
        <v>854</v>
      </c>
      <c r="K408" s="0" t="s">
        <v>855</v>
      </c>
      <c r="L408" s="0" t="s">
        <v>25</v>
      </c>
      <c r="M408" s="0" t="s">
        <v>857</v>
      </c>
      <c r="N408" s="0" t="s">
        <v>991</v>
      </c>
      <c r="O408" s="0" t="n">
        <v>1</v>
      </c>
      <c r="P408" s="0" t="s">
        <v>188</v>
      </c>
      <c r="R408" s="3"/>
      <c r="S408" s="2" t="s">
        <v>28</v>
      </c>
    </row>
    <row r="409" customFormat="false" ht="15" hidden="false" customHeight="false" outlineLevel="0" collapsed="false">
      <c r="A409" s="0" t="n">
        <v>408</v>
      </c>
      <c r="D409" s="0" t="s">
        <v>992</v>
      </c>
      <c r="E409" s="0" t="s">
        <v>20</v>
      </c>
      <c r="H409" s="0" t="s">
        <v>21</v>
      </c>
      <c r="I409" s="2" t="s">
        <v>22</v>
      </c>
      <c r="J409" s="2" t="s">
        <v>854</v>
      </c>
      <c r="K409" s="0" t="s">
        <v>855</v>
      </c>
      <c r="L409" s="0" t="s">
        <v>25</v>
      </c>
      <c r="M409" s="0" t="s">
        <v>857</v>
      </c>
      <c r="N409" s="0" t="s">
        <v>993</v>
      </c>
      <c r="O409" s="0" t="n">
        <v>1</v>
      </c>
      <c r="R409" s="3"/>
      <c r="S409" s="2" t="s">
        <v>28</v>
      </c>
    </row>
    <row r="410" customFormat="false" ht="15" hidden="false" customHeight="false" outlineLevel="0" collapsed="false">
      <c r="A410" s="0" t="n">
        <v>409</v>
      </c>
      <c r="D410" s="0" t="s">
        <v>994</v>
      </c>
      <c r="E410" s="0" t="s">
        <v>20</v>
      </c>
      <c r="H410" s="0" t="s">
        <v>21</v>
      </c>
      <c r="I410" s="2" t="s">
        <v>22</v>
      </c>
      <c r="J410" s="2" t="s">
        <v>854</v>
      </c>
      <c r="K410" s="0" t="s">
        <v>855</v>
      </c>
      <c r="L410" s="0" t="s">
        <v>25</v>
      </c>
      <c r="M410" s="0" t="s">
        <v>857</v>
      </c>
      <c r="N410" s="0" t="s">
        <v>995</v>
      </c>
      <c r="O410" s="0" t="n">
        <v>1</v>
      </c>
      <c r="R410" s="3"/>
      <c r="S410" s="2" t="s">
        <v>28</v>
      </c>
    </row>
    <row r="411" customFormat="false" ht="15" hidden="false" customHeight="false" outlineLevel="0" collapsed="false">
      <c r="A411" s="0" t="n">
        <v>410</v>
      </c>
      <c r="D411" s="0" t="s">
        <v>996</v>
      </c>
      <c r="E411" s="0" t="s">
        <v>20</v>
      </c>
      <c r="H411" s="0" t="s">
        <v>21</v>
      </c>
      <c r="I411" s="2" t="s">
        <v>22</v>
      </c>
      <c r="J411" s="2" t="s">
        <v>854</v>
      </c>
      <c r="K411" s="0" t="s">
        <v>855</v>
      </c>
      <c r="L411" s="0" t="s">
        <v>25</v>
      </c>
      <c r="M411" s="0" t="s">
        <v>857</v>
      </c>
      <c r="N411" s="0" t="s">
        <v>997</v>
      </c>
      <c r="O411" s="0" t="n">
        <v>1</v>
      </c>
      <c r="R411" s="3"/>
      <c r="S411" s="2" t="s">
        <v>28</v>
      </c>
    </row>
    <row r="412" customFormat="false" ht="15" hidden="false" customHeight="false" outlineLevel="0" collapsed="false">
      <c r="A412" s="0" t="n">
        <v>411</v>
      </c>
      <c r="D412" s="0" t="s">
        <v>998</v>
      </c>
      <c r="E412" s="0" t="s">
        <v>287</v>
      </c>
      <c r="H412" s="0" t="s">
        <v>21</v>
      </c>
      <c r="I412" s="2" t="s">
        <v>22</v>
      </c>
      <c r="J412" s="2" t="s">
        <v>854</v>
      </c>
      <c r="K412" s="0" t="s">
        <v>855</v>
      </c>
      <c r="L412" s="0" t="s">
        <v>999</v>
      </c>
      <c r="M412" s="0" t="s">
        <v>857</v>
      </c>
      <c r="N412" s="0" t="s">
        <v>1000</v>
      </c>
      <c r="O412" s="0" t="n">
        <v>1</v>
      </c>
      <c r="P412" s="0" t="s">
        <v>287</v>
      </c>
      <c r="Q412" s="0" t="s">
        <v>1001</v>
      </c>
      <c r="R412" s="3"/>
      <c r="S412" s="2" t="s">
        <v>1002</v>
      </c>
    </row>
    <row r="413" customFormat="false" ht="15" hidden="false" customHeight="false" outlineLevel="0" collapsed="false">
      <c r="A413" s="0" t="n">
        <v>412</v>
      </c>
      <c r="D413" s="0" t="s">
        <v>1003</v>
      </c>
      <c r="E413" s="0" t="s">
        <v>20</v>
      </c>
      <c r="H413" s="0" t="s">
        <v>21</v>
      </c>
      <c r="I413" s="2" t="s">
        <v>22</v>
      </c>
      <c r="J413" s="2" t="s">
        <v>854</v>
      </c>
      <c r="K413" s="0" t="s">
        <v>855</v>
      </c>
      <c r="L413" s="0" t="s">
        <v>25</v>
      </c>
      <c r="M413" s="0" t="s">
        <v>857</v>
      </c>
      <c r="N413" s="0" t="s">
        <v>1004</v>
      </c>
      <c r="O413" s="0" t="n">
        <v>1</v>
      </c>
      <c r="R413" s="3"/>
      <c r="S413" s="2" t="s">
        <v>28</v>
      </c>
    </row>
    <row r="414" customFormat="false" ht="15" hidden="false" customHeight="false" outlineLevel="0" collapsed="false">
      <c r="A414" s="0" t="n">
        <v>413</v>
      </c>
      <c r="D414" s="0" t="s">
        <v>1005</v>
      </c>
      <c r="E414" s="0" t="s">
        <v>188</v>
      </c>
      <c r="H414" s="0" t="s">
        <v>21</v>
      </c>
      <c r="I414" s="2" t="s">
        <v>22</v>
      </c>
      <c r="J414" s="2" t="s">
        <v>854</v>
      </c>
      <c r="K414" s="0" t="s">
        <v>855</v>
      </c>
      <c r="L414" s="0" t="s">
        <v>25</v>
      </c>
      <c r="M414" s="0" t="s">
        <v>857</v>
      </c>
      <c r="N414" s="0" t="s">
        <v>1006</v>
      </c>
      <c r="O414" s="0" t="n">
        <v>1</v>
      </c>
      <c r="P414" s="0" t="s">
        <v>188</v>
      </c>
      <c r="R414" s="3"/>
      <c r="S414" s="2" t="s">
        <v>28</v>
      </c>
    </row>
    <row r="415" customFormat="false" ht="15" hidden="false" customHeight="false" outlineLevel="0" collapsed="false">
      <c r="A415" s="0" t="n">
        <v>414</v>
      </c>
      <c r="D415" s="0" t="s">
        <v>1007</v>
      </c>
      <c r="E415" s="0" t="s">
        <v>287</v>
      </c>
      <c r="H415" s="0" t="s">
        <v>21</v>
      </c>
      <c r="I415" s="2" t="s">
        <v>22</v>
      </c>
      <c r="J415" s="2" t="s">
        <v>854</v>
      </c>
      <c r="K415" s="0" t="s">
        <v>855</v>
      </c>
      <c r="L415" s="0" t="s">
        <v>25</v>
      </c>
      <c r="M415" s="0" t="s">
        <v>857</v>
      </c>
      <c r="N415" s="0" t="s">
        <v>1008</v>
      </c>
      <c r="O415" s="0" t="n">
        <v>1</v>
      </c>
      <c r="P415" s="0" t="s">
        <v>287</v>
      </c>
      <c r="R415" s="3"/>
      <c r="S415" s="2" t="s">
        <v>28</v>
      </c>
    </row>
    <row r="416" customFormat="false" ht="15" hidden="false" customHeight="false" outlineLevel="0" collapsed="false">
      <c r="A416" s="0" t="n">
        <v>415</v>
      </c>
      <c r="D416" s="0" t="s">
        <v>1009</v>
      </c>
      <c r="E416" s="0" t="s">
        <v>20</v>
      </c>
      <c r="H416" s="0" t="s">
        <v>21</v>
      </c>
      <c r="I416" s="2" t="s">
        <v>22</v>
      </c>
      <c r="J416" s="2" t="s">
        <v>854</v>
      </c>
      <c r="K416" s="0" t="s">
        <v>855</v>
      </c>
      <c r="L416" s="0" t="s">
        <v>25</v>
      </c>
      <c r="M416" s="0" t="s">
        <v>857</v>
      </c>
      <c r="N416" s="0" t="s">
        <v>1010</v>
      </c>
      <c r="O416" s="0" t="n">
        <v>1</v>
      </c>
      <c r="R416" s="3"/>
      <c r="S416" s="2" t="s">
        <v>28</v>
      </c>
    </row>
    <row r="417" customFormat="false" ht="15" hidden="false" customHeight="false" outlineLevel="0" collapsed="false">
      <c r="A417" s="0" t="n">
        <v>416</v>
      </c>
      <c r="D417" s="0" t="s">
        <v>1011</v>
      </c>
      <c r="E417" s="0" t="s">
        <v>287</v>
      </c>
      <c r="H417" s="0" t="s">
        <v>21</v>
      </c>
      <c r="I417" s="2" t="s">
        <v>22</v>
      </c>
      <c r="J417" s="2" t="s">
        <v>854</v>
      </c>
      <c r="K417" s="0" t="s">
        <v>855</v>
      </c>
      <c r="L417" s="0" t="s">
        <v>25</v>
      </c>
      <c r="M417" s="0" t="s">
        <v>857</v>
      </c>
      <c r="N417" s="0" t="s">
        <v>1012</v>
      </c>
      <c r="O417" s="0" t="n">
        <v>1</v>
      </c>
      <c r="P417" s="0" t="s">
        <v>287</v>
      </c>
      <c r="R417" s="3"/>
      <c r="S417" s="2" t="s">
        <v>28</v>
      </c>
    </row>
    <row r="418" customFormat="false" ht="15" hidden="false" customHeight="false" outlineLevel="0" collapsed="false">
      <c r="A418" s="0" t="n">
        <v>417</v>
      </c>
      <c r="D418" s="0" t="s">
        <v>1013</v>
      </c>
      <c r="E418" s="0" t="s">
        <v>20</v>
      </c>
      <c r="H418" s="0" t="s">
        <v>21</v>
      </c>
      <c r="I418" s="2" t="s">
        <v>22</v>
      </c>
      <c r="J418" s="2" t="s">
        <v>854</v>
      </c>
      <c r="K418" s="0" t="s">
        <v>855</v>
      </c>
      <c r="L418" s="0" t="s">
        <v>25</v>
      </c>
      <c r="M418" s="0" t="s">
        <v>857</v>
      </c>
      <c r="N418" s="0" t="s">
        <v>1014</v>
      </c>
      <c r="O418" s="0" t="n">
        <v>1</v>
      </c>
      <c r="R418" s="3"/>
      <c r="S418" s="2" t="s">
        <v>28</v>
      </c>
    </row>
    <row r="419" customFormat="false" ht="15" hidden="false" customHeight="false" outlineLevel="0" collapsed="false">
      <c r="A419" s="0" t="n">
        <v>418</v>
      </c>
      <c r="D419" s="0" t="s">
        <v>1015</v>
      </c>
      <c r="E419" s="0" t="s">
        <v>20</v>
      </c>
      <c r="H419" s="0" t="s">
        <v>21</v>
      </c>
      <c r="I419" s="2" t="s">
        <v>22</v>
      </c>
      <c r="J419" s="2" t="s">
        <v>854</v>
      </c>
      <c r="K419" s="0" t="s">
        <v>855</v>
      </c>
      <c r="L419" s="0" t="s">
        <v>25</v>
      </c>
      <c r="M419" s="0" t="s">
        <v>857</v>
      </c>
      <c r="N419" s="0" t="s">
        <v>1016</v>
      </c>
      <c r="O419" s="0" t="n">
        <v>1</v>
      </c>
      <c r="R419" s="3"/>
      <c r="S419" s="2" t="s">
        <v>28</v>
      </c>
    </row>
    <row r="420" customFormat="false" ht="15" hidden="false" customHeight="false" outlineLevel="0" collapsed="false">
      <c r="A420" s="0" t="n">
        <v>419</v>
      </c>
      <c r="D420" s="0" t="s">
        <v>1017</v>
      </c>
      <c r="E420" s="0" t="s">
        <v>20</v>
      </c>
      <c r="H420" s="0" t="s">
        <v>21</v>
      </c>
      <c r="I420" s="2" t="s">
        <v>22</v>
      </c>
      <c r="J420" s="2" t="s">
        <v>854</v>
      </c>
      <c r="K420" s="0" t="s">
        <v>855</v>
      </c>
      <c r="L420" s="0" t="s">
        <v>25</v>
      </c>
      <c r="M420" s="0" t="s">
        <v>857</v>
      </c>
      <c r="N420" s="0" t="s">
        <v>1018</v>
      </c>
      <c r="O420" s="0" t="n">
        <v>1</v>
      </c>
      <c r="R420" s="3"/>
      <c r="S420" s="2" t="s">
        <v>28</v>
      </c>
    </row>
    <row r="421" customFormat="false" ht="15" hidden="false" customHeight="false" outlineLevel="0" collapsed="false">
      <c r="A421" s="0" t="n">
        <v>420</v>
      </c>
      <c r="D421" s="0" t="s">
        <v>1019</v>
      </c>
      <c r="E421" s="0" t="s">
        <v>73</v>
      </c>
      <c r="H421" s="0" t="s">
        <v>21</v>
      </c>
      <c r="I421" s="2" t="s">
        <v>22</v>
      </c>
      <c r="J421" s="2" t="s">
        <v>854</v>
      </c>
      <c r="K421" s="0" t="s">
        <v>855</v>
      </c>
      <c r="L421" s="0" t="s">
        <v>25</v>
      </c>
      <c r="M421" s="0" t="s">
        <v>857</v>
      </c>
      <c r="N421" s="0" t="s">
        <v>1020</v>
      </c>
      <c r="O421" s="0" t="n">
        <v>1</v>
      </c>
      <c r="P421" s="0" t="s">
        <v>73</v>
      </c>
      <c r="R421" s="3"/>
      <c r="S421" s="2" t="s">
        <v>28</v>
      </c>
    </row>
    <row r="422" customFormat="false" ht="15" hidden="false" customHeight="false" outlineLevel="0" collapsed="false">
      <c r="A422" s="0" t="n">
        <v>421</v>
      </c>
      <c r="D422" s="0" t="s">
        <v>1021</v>
      </c>
      <c r="E422" s="0" t="s">
        <v>20</v>
      </c>
      <c r="H422" s="0" t="s">
        <v>21</v>
      </c>
      <c r="I422" s="2" t="s">
        <v>22</v>
      </c>
      <c r="J422" s="2" t="s">
        <v>854</v>
      </c>
      <c r="K422" s="0" t="s">
        <v>855</v>
      </c>
      <c r="L422" s="0" t="s">
        <v>25</v>
      </c>
      <c r="M422" s="0" t="s">
        <v>857</v>
      </c>
      <c r="N422" s="0" t="s">
        <v>1022</v>
      </c>
      <c r="O422" s="0" t="n">
        <v>1</v>
      </c>
      <c r="R422" s="3"/>
      <c r="S422" s="2" t="s">
        <v>28</v>
      </c>
    </row>
    <row r="423" customFormat="false" ht="15" hidden="false" customHeight="false" outlineLevel="0" collapsed="false">
      <c r="A423" s="0" t="n">
        <v>422</v>
      </c>
      <c r="D423" s="0" t="s">
        <v>1023</v>
      </c>
      <c r="E423" s="0" t="s">
        <v>20</v>
      </c>
      <c r="H423" s="0" t="s">
        <v>21</v>
      </c>
      <c r="I423" s="2" t="s">
        <v>22</v>
      </c>
      <c r="J423" s="2" t="s">
        <v>854</v>
      </c>
      <c r="K423" s="0" t="s">
        <v>855</v>
      </c>
      <c r="L423" s="0" t="s">
        <v>25</v>
      </c>
      <c r="M423" s="0" t="s">
        <v>857</v>
      </c>
      <c r="N423" s="0" t="s">
        <v>1024</v>
      </c>
      <c r="O423" s="0" t="n">
        <v>1</v>
      </c>
      <c r="R423" s="3"/>
      <c r="S423" s="2" t="s">
        <v>28</v>
      </c>
    </row>
    <row r="424" customFormat="false" ht="15" hidden="false" customHeight="false" outlineLevel="0" collapsed="false">
      <c r="A424" s="0" t="n">
        <v>423</v>
      </c>
      <c r="D424" s="0" t="s">
        <v>1025</v>
      </c>
      <c r="E424" s="0" t="s">
        <v>20</v>
      </c>
      <c r="H424" s="0" t="s">
        <v>21</v>
      </c>
      <c r="I424" s="2" t="s">
        <v>22</v>
      </c>
      <c r="J424" s="2" t="s">
        <v>854</v>
      </c>
      <c r="K424" s="0" t="s">
        <v>855</v>
      </c>
      <c r="L424" s="0" t="s">
        <v>25</v>
      </c>
      <c r="M424" s="0" t="s">
        <v>857</v>
      </c>
      <c r="N424" s="0" t="s">
        <v>1026</v>
      </c>
      <c r="O424" s="0" t="n">
        <v>1</v>
      </c>
      <c r="R424" s="3"/>
      <c r="S424" s="2" t="s">
        <v>28</v>
      </c>
    </row>
    <row r="425" customFormat="false" ht="15" hidden="false" customHeight="false" outlineLevel="0" collapsed="false">
      <c r="A425" s="0" t="n">
        <v>424</v>
      </c>
      <c r="D425" s="0" t="s">
        <v>1027</v>
      </c>
      <c r="E425" s="0" t="s">
        <v>173</v>
      </c>
      <c r="H425" s="0" t="s">
        <v>21</v>
      </c>
      <c r="I425" s="2" t="s">
        <v>22</v>
      </c>
      <c r="J425" s="2" t="s">
        <v>854</v>
      </c>
      <c r="K425" s="0" t="s">
        <v>855</v>
      </c>
      <c r="L425" s="0" t="s">
        <v>25</v>
      </c>
      <c r="M425" s="0" t="s">
        <v>857</v>
      </c>
      <c r="N425" s="0" t="s">
        <v>1028</v>
      </c>
      <c r="O425" s="0" t="n">
        <v>1</v>
      </c>
      <c r="P425" s="0" t="s">
        <v>173</v>
      </c>
      <c r="R425" s="3"/>
      <c r="S425" s="2" t="s">
        <v>28</v>
      </c>
    </row>
    <row r="426" customFormat="false" ht="15" hidden="false" customHeight="false" outlineLevel="0" collapsed="false">
      <c r="A426" s="0" t="n">
        <v>425</v>
      </c>
      <c r="D426" s="0" t="s">
        <v>1029</v>
      </c>
      <c r="E426" s="0" t="s">
        <v>287</v>
      </c>
      <c r="H426" s="0" t="s">
        <v>21</v>
      </c>
      <c r="I426" s="2" t="s">
        <v>22</v>
      </c>
      <c r="J426" s="2" t="s">
        <v>854</v>
      </c>
      <c r="K426" s="0" t="s">
        <v>855</v>
      </c>
      <c r="L426" s="0" t="s">
        <v>25</v>
      </c>
      <c r="M426" s="0" t="s">
        <v>857</v>
      </c>
      <c r="N426" s="0" t="s">
        <v>1030</v>
      </c>
      <c r="O426" s="0" t="n">
        <v>1</v>
      </c>
      <c r="P426" s="0" t="s">
        <v>287</v>
      </c>
      <c r="R426" s="3"/>
      <c r="S426" s="2" t="s">
        <v>28</v>
      </c>
    </row>
    <row r="427" customFormat="false" ht="15" hidden="false" customHeight="false" outlineLevel="0" collapsed="false">
      <c r="A427" s="0" t="n">
        <v>426</v>
      </c>
      <c r="D427" s="0" t="s">
        <v>1031</v>
      </c>
      <c r="E427" s="0" t="s">
        <v>188</v>
      </c>
      <c r="H427" s="0" t="s">
        <v>21</v>
      </c>
      <c r="I427" s="2" t="s">
        <v>22</v>
      </c>
      <c r="J427" s="2" t="s">
        <v>854</v>
      </c>
      <c r="K427" s="0" t="s">
        <v>855</v>
      </c>
      <c r="L427" s="0" t="s">
        <v>25</v>
      </c>
      <c r="M427" s="0" t="s">
        <v>857</v>
      </c>
      <c r="N427" s="0" t="s">
        <v>1032</v>
      </c>
      <c r="O427" s="0" t="n">
        <v>1</v>
      </c>
      <c r="P427" s="0" t="s">
        <v>188</v>
      </c>
      <c r="R427" s="3"/>
      <c r="S427" s="2" t="s">
        <v>28</v>
      </c>
    </row>
    <row r="428" customFormat="false" ht="15" hidden="false" customHeight="false" outlineLevel="0" collapsed="false">
      <c r="A428" s="0" t="n">
        <v>427</v>
      </c>
      <c r="D428" s="0" t="s">
        <v>1033</v>
      </c>
      <c r="E428" s="0" t="s">
        <v>555</v>
      </c>
      <c r="H428" s="0" t="s">
        <v>21</v>
      </c>
      <c r="I428" s="2" t="s">
        <v>22</v>
      </c>
      <c r="J428" s="2" t="s">
        <v>854</v>
      </c>
      <c r="K428" s="0" t="s">
        <v>855</v>
      </c>
      <c r="L428" s="0" t="s">
        <v>25</v>
      </c>
      <c r="M428" s="0" t="s">
        <v>857</v>
      </c>
      <c r="N428" s="0" t="s">
        <v>1034</v>
      </c>
      <c r="O428" s="0" t="n">
        <v>1</v>
      </c>
      <c r="P428" s="0" t="s">
        <v>555</v>
      </c>
      <c r="R428" s="3"/>
      <c r="S428" s="2" t="s">
        <v>28</v>
      </c>
    </row>
    <row r="429" customFormat="false" ht="15" hidden="false" customHeight="false" outlineLevel="0" collapsed="false">
      <c r="A429" s="0" t="n">
        <v>428</v>
      </c>
      <c r="D429" s="0" t="s">
        <v>1035</v>
      </c>
      <c r="E429" s="0" t="s">
        <v>20</v>
      </c>
      <c r="H429" s="0" t="s">
        <v>21</v>
      </c>
      <c r="I429" s="2" t="s">
        <v>22</v>
      </c>
      <c r="J429" s="2" t="s">
        <v>854</v>
      </c>
      <c r="K429" s="0" t="s">
        <v>855</v>
      </c>
      <c r="L429" s="0" t="s">
        <v>25</v>
      </c>
      <c r="M429" s="0" t="s">
        <v>857</v>
      </c>
      <c r="N429" s="0" t="s">
        <v>1036</v>
      </c>
      <c r="O429" s="0" t="n">
        <v>1</v>
      </c>
      <c r="R429" s="3"/>
      <c r="S429" s="2" t="s">
        <v>28</v>
      </c>
    </row>
    <row r="430" customFormat="false" ht="15" hidden="false" customHeight="false" outlineLevel="0" collapsed="false">
      <c r="A430" s="0" t="n">
        <v>429</v>
      </c>
      <c r="D430" s="0" t="s">
        <v>1037</v>
      </c>
      <c r="E430" s="0" t="s">
        <v>20</v>
      </c>
      <c r="H430" s="0" t="s">
        <v>21</v>
      </c>
      <c r="I430" s="2" t="s">
        <v>22</v>
      </c>
      <c r="J430" s="2" t="s">
        <v>854</v>
      </c>
      <c r="K430" s="0" t="s">
        <v>855</v>
      </c>
      <c r="L430" s="0" t="s">
        <v>25</v>
      </c>
      <c r="M430" s="0" t="s">
        <v>857</v>
      </c>
      <c r="N430" s="0" t="s">
        <v>1038</v>
      </c>
      <c r="O430" s="0" t="n">
        <v>1</v>
      </c>
      <c r="R430" s="3"/>
      <c r="S430" s="2" t="s">
        <v>28</v>
      </c>
    </row>
    <row r="431" customFormat="false" ht="15" hidden="false" customHeight="false" outlineLevel="0" collapsed="false">
      <c r="A431" s="0" t="n">
        <v>430</v>
      </c>
      <c r="D431" s="0" t="s">
        <v>1039</v>
      </c>
      <c r="E431" s="0" t="s">
        <v>20</v>
      </c>
      <c r="H431" s="0" t="s">
        <v>21</v>
      </c>
      <c r="I431" s="2" t="s">
        <v>22</v>
      </c>
      <c r="J431" s="2" t="s">
        <v>854</v>
      </c>
      <c r="K431" s="0" t="s">
        <v>855</v>
      </c>
      <c r="L431" s="0" t="s">
        <v>25</v>
      </c>
      <c r="M431" s="0" t="s">
        <v>857</v>
      </c>
      <c r="N431" s="0" t="s">
        <v>1040</v>
      </c>
      <c r="O431" s="0" t="n">
        <v>1</v>
      </c>
      <c r="R431" s="3"/>
      <c r="S431" s="2" t="s">
        <v>28</v>
      </c>
    </row>
    <row r="432" customFormat="false" ht="15" hidden="false" customHeight="false" outlineLevel="0" collapsed="false">
      <c r="A432" s="0" t="n">
        <v>431</v>
      </c>
      <c r="D432" s="0" t="s">
        <v>1041</v>
      </c>
      <c r="E432" s="0" t="s">
        <v>210</v>
      </c>
      <c r="H432" s="0" t="s">
        <v>21</v>
      </c>
      <c r="I432" s="2" t="s">
        <v>22</v>
      </c>
      <c r="J432" s="2" t="s">
        <v>854</v>
      </c>
      <c r="K432" s="0" t="s">
        <v>855</v>
      </c>
      <c r="L432" s="0" t="s">
        <v>25</v>
      </c>
      <c r="M432" s="0" t="s">
        <v>857</v>
      </c>
      <c r="N432" s="0" t="s">
        <v>1042</v>
      </c>
      <c r="O432" s="0" t="n">
        <v>1</v>
      </c>
      <c r="P432" s="0" t="s">
        <v>210</v>
      </c>
      <c r="R432" s="3"/>
      <c r="S432" s="2" t="s">
        <v>28</v>
      </c>
    </row>
    <row r="433" customFormat="false" ht="15" hidden="false" customHeight="false" outlineLevel="0" collapsed="false">
      <c r="A433" s="0" t="n">
        <v>432</v>
      </c>
      <c r="D433" s="0" t="s">
        <v>1043</v>
      </c>
      <c r="E433" s="0" t="s">
        <v>20</v>
      </c>
      <c r="H433" s="0" t="s">
        <v>21</v>
      </c>
      <c r="I433" s="2" t="s">
        <v>22</v>
      </c>
      <c r="J433" s="2" t="s">
        <v>854</v>
      </c>
      <c r="K433" s="0" t="s">
        <v>855</v>
      </c>
      <c r="L433" s="0" t="s">
        <v>25</v>
      </c>
      <c r="M433" s="0" t="s">
        <v>857</v>
      </c>
      <c r="N433" s="0" t="s">
        <v>1044</v>
      </c>
      <c r="O433" s="0" t="n">
        <v>1</v>
      </c>
      <c r="R433" s="3"/>
      <c r="S433" s="2" t="s">
        <v>28</v>
      </c>
    </row>
    <row r="434" customFormat="false" ht="15" hidden="false" customHeight="false" outlineLevel="0" collapsed="false">
      <c r="A434" s="0" t="n">
        <v>433</v>
      </c>
      <c r="D434" s="0" t="s">
        <v>1045</v>
      </c>
      <c r="E434" s="0" t="s">
        <v>20</v>
      </c>
      <c r="H434" s="0" t="s">
        <v>21</v>
      </c>
      <c r="I434" s="2" t="s">
        <v>22</v>
      </c>
      <c r="J434" s="2" t="s">
        <v>854</v>
      </c>
      <c r="K434" s="0" t="s">
        <v>855</v>
      </c>
      <c r="L434" s="0" t="s">
        <v>25</v>
      </c>
      <c r="M434" s="0" t="s">
        <v>857</v>
      </c>
      <c r="N434" s="0" t="s">
        <v>1046</v>
      </c>
      <c r="O434" s="0" t="n">
        <v>1</v>
      </c>
      <c r="R434" s="3"/>
      <c r="S434" s="2" t="s">
        <v>28</v>
      </c>
    </row>
    <row r="435" customFormat="false" ht="15" hidden="false" customHeight="false" outlineLevel="0" collapsed="false">
      <c r="A435" s="0" t="n">
        <v>434</v>
      </c>
      <c r="D435" s="0" t="s">
        <v>1047</v>
      </c>
      <c r="E435" s="0" t="s">
        <v>287</v>
      </c>
      <c r="H435" s="0" t="s">
        <v>21</v>
      </c>
      <c r="I435" s="2" t="s">
        <v>22</v>
      </c>
      <c r="J435" s="2" t="s">
        <v>854</v>
      </c>
      <c r="K435" s="0" t="s">
        <v>855</v>
      </c>
      <c r="L435" s="0" t="s">
        <v>25</v>
      </c>
      <c r="M435" s="0" t="s">
        <v>857</v>
      </c>
      <c r="N435" s="0" t="s">
        <v>1048</v>
      </c>
      <c r="O435" s="0" t="n">
        <v>1</v>
      </c>
      <c r="P435" s="0" t="s">
        <v>287</v>
      </c>
      <c r="R435" s="3"/>
      <c r="S435" s="2" t="s">
        <v>28</v>
      </c>
    </row>
    <row r="436" customFormat="false" ht="15" hidden="false" customHeight="false" outlineLevel="0" collapsed="false">
      <c r="A436" s="0" t="n">
        <v>435</v>
      </c>
      <c r="D436" s="0" t="s">
        <v>1049</v>
      </c>
      <c r="E436" s="0" t="s">
        <v>253</v>
      </c>
      <c r="H436" s="0" t="s">
        <v>21</v>
      </c>
      <c r="I436" s="2" t="s">
        <v>22</v>
      </c>
      <c r="J436" s="2" t="s">
        <v>854</v>
      </c>
      <c r="K436" s="0" t="s">
        <v>855</v>
      </c>
      <c r="L436" s="0" t="s">
        <v>25</v>
      </c>
      <c r="M436" s="0" t="s">
        <v>857</v>
      </c>
      <c r="N436" s="0" t="s">
        <v>1050</v>
      </c>
      <c r="O436" s="0" t="n">
        <v>1</v>
      </c>
      <c r="P436" s="0" t="s">
        <v>253</v>
      </c>
      <c r="R436" s="3"/>
      <c r="S436" s="2" t="s">
        <v>28</v>
      </c>
    </row>
    <row r="437" customFormat="false" ht="15" hidden="false" customHeight="false" outlineLevel="0" collapsed="false">
      <c r="A437" s="0" t="n">
        <v>436</v>
      </c>
      <c r="D437" s="0" t="s">
        <v>1051</v>
      </c>
      <c r="E437" s="0" t="s">
        <v>253</v>
      </c>
      <c r="H437" s="0" t="s">
        <v>21</v>
      </c>
      <c r="I437" s="2" t="s">
        <v>22</v>
      </c>
      <c r="J437" s="2" t="s">
        <v>854</v>
      </c>
      <c r="K437" s="0" t="s">
        <v>855</v>
      </c>
      <c r="L437" s="0" t="s">
        <v>1052</v>
      </c>
      <c r="M437" s="0" t="s">
        <v>857</v>
      </c>
      <c r="N437" s="0" t="s">
        <v>1053</v>
      </c>
      <c r="O437" s="0" t="n">
        <v>1</v>
      </c>
      <c r="P437" s="0" t="s">
        <v>253</v>
      </c>
      <c r="Q437" s="0" t="s">
        <v>1054</v>
      </c>
      <c r="R437" s="3"/>
      <c r="S437" s="2" t="s">
        <v>1055</v>
      </c>
    </row>
    <row r="438" customFormat="false" ht="15" hidden="false" customHeight="false" outlineLevel="0" collapsed="false">
      <c r="A438" s="0" t="n">
        <v>437</v>
      </c>
      <c r="D438" s="0" t="s">
        <v>1056</v>
      </c>
      <c r="E438" s="0" t="s">
        <v>301</v>
      </c>
      <c r="H438" s="0" t="s">
        <v>21</v>
      </c>
      <c r="I438" s="2" t="s">
        <v>22</v>
      </c>
      <c r="J438" s="2" t="s">
        <v>854</v>
      </c>
      <c r="K438" s="0" t="s">
        <v>855</v>
      </c>
      <c r="L438" s="0" t="s">
        <v>25</v>
      </c>
      <c r="M438" s="0" t="s">
        <v>857</v>
      </c>
      <c r="N438" s="0" t="s">
        <v>1057</v>
      </c>
      <c r="O438" s="0" t="n">
        <v>1</v>
      </c>
      <c r="P438" s="0" t="s">
        <v>301</v>
      </c>
      <c r="R438" s="3"/>
      <c r="S438" s="2" t="s">
        <v>28</v>
      </c>
    </row>
    <row r="439" customFormat="false" ht="15" hidden="false" customHeight="false" outlineLevel="0" collapsed="false">
      <c r="A439" s="0" t="n">
        <v>438</v>
      </c>
      <c r="D439" s="0" t="s">
        <v>1058</v>
      </c>
      <c r="E439" s="0" t="s">
        <v>20</v>
      </c>
      <c r="H439" s="0" t="s">
        <v>21</v>
      </c>
      <c r="I439" s="2" t="s">
        <v>22</v>
      </c>
      <c r="J439" s="2" t="s">
        <v>854</v>
      </c>
      <c r="K439" s="0" t="s">
        <v>855</v>
      </c>
      <c r="L439" s="0" t="s">
        <v>25</v>
      </c>
      <c r="M439" s="0" t="s">
        <v>857</v>
      </c>
      <c r="N439" s="0" t="s">
        <v>1059</v>
      </c>
      <c r="O439" s="0" t="n">
        <v>1</v>
      </c>
      <c r="R439" s="3"/>
      <c r="S439" s="2" t="s">
        <v>28</v>
      </c>
    </row>
    <row r="440" customFormat="false" ht="15" hidden="false" customHeight="false" outlineLevel="0" collapsed="false">
      <c r="A440" s="0" t="n">
        <v>439</v>
      </c>
      <c r="D440" s="0" t="s">
        <v>1060</v>
      </c>
      <c r="E440" s="0" t="s">
        <v>173</v>
      </c>
      <c r="H440" s="0" t="s">
        <v>21</v>
      </c>
      <c r="I440" s="2" t="s">
        <v>22</v>
      </c>
      <c r="J440" s="2" t="s">
        <v>854</v>
      </c>
      <c r="K440" s="0" t="s">
        <v>855</v>
      </c>
      <c r="L440" s="0" t="s">
        <v>25</v>
      </c>
      <c r="M440" s="0" t="s">
        <v>857</v>
      </c>
      <c r="N440" s="0" t="s">
        <v>1061</v>
      </c>
      <c r="O440" s="0" t="n">
        <v>1</v>
      </c>
      <c r="P440" s="0" t="s">
        <v>173</v>
      </c>
      <c r="R440" s="3"/>
      <c r="S440" s="2" t="s">
        <v>28</v>
      </c>
    </row>
    <row r="441" customFormat="false" ht="15" hidden="false" customHeight="false" outlineLevel="0" collapsed="false">
      <c r="A441" s="0" t="n">
        <v>440</v>
      </c>
      <c r="D441" s="0" t="s">
        <v>1062</v>
      </c>
      <c r="E441" s="0" t="s">
        <v>253</v>
      </c>
      <c r="H441" s="0" t="s">
        <v>21</v>
      </c>
      <c r="I441" s="2" t="s">
        <v>22</v>
      </c>
      <c r="J441" s="2" t="s">
        <v>854</v>
      </c>
      <c r="K441" s="0" t="s">
        <v>855</v>
      </c>
      <c r="L441" s="0" t="s">
        <v>25</v>
      </c>
      <c r="M441" s="0" t="s">
        <v>857</v>
      </c>
      <c r="N441" s="0" t="s">
        <v>1063</v>
      </c>
      <c r="O441" s="0" t="n">
        <v>1</v>
      </c>
      <c r="P441" s="0" t="s">
        <v>253</v>
      </c>
      <c r="R441" s="3"/>
      <c r="S441" s="2" t="s">
        <v>28</v>
      </c>
    </row>
    <row r="442" customFormat="false" ht="15" hidden="false" customHeight="false" outlineLevel="0" collapsed="false">
      <c r="A442" s="0" t="n">
        <v>441</v>
      </c>
      <c r="D442" s="0" t="s">
        <v>1064</v>
      </c>
      <c r="E442" s="0" t="s">
        <v>253</v>
      </c>
      <c r="H442" s="0" t="s">
        <v>21</v>
      </c>
      <c r="I442" s="2" t="s">
        <v>22</v>
      </c>
      <c r="J442" s="2" t="s">
        <v>854</v>
      </c>
      <c r="K442" s="0" t="s">
        <v>855</v>
      </c>
      <c r="L442" s="0" t="s">
        <v>25</v>
      </c>
      <c r="M442" s="0" t="s">
        <v>857</v>
      </c>
      <c r="N442" s="0" t="s">
        <v>1065</v>
      </c>
      <c r="O442" s="0" t="n">
        <v>1</v>
      </c>
      <c r="P442" s="0" t="s">
        <v>253</v>
      </c>
      <c r="R442" s="3"/>
      <c r="S442" s="2" t="s">
        <v>28</v>
      </c>
    </row>
    <row r="443" customFormat="false" ht="15" hidden="false" customHeight="false" outlineLevel="0" collapsed="false">
      <c r="A443" s="0" t="n">
        <v>442</v>
      </c>
      <c r="D443" s="0" t="s">
        <v>1066</v>
      </c>
      <c r="E443" s="0" t="s">
        <v>20</v>
      </c>
      <c r="H443" s="0" t="s">
        <v>21</v>
      </c>
      <c r="I443" s="2" t="s">
        <v>22</v>
      </c>
      <c r="J443" s="2" t="s">
        <v>854</v>
      </c>
      <c r="K443" s="0" t="s">
        <v>855</v>
      </c>
      <c r="L443" s="0" t="s">
        <v>25</v>
      </c>
      <c r="M443" s="0" t="s">
        <v>857</v>
      </c>
      <c r="N443" s="0" t="s">
        <v>1067</v>
      </c>
      <c r="O443" s="0" t="n">
        <v>1</v>
      </c>
      <c r="R443" s="3"/>
      <c r="S443" s="2" t="s">
        <v>28</v>
      </c>
    </row>
    <row r="444" customFormat="false" ht="15" hidden="false" customHeight="false" outlineLevel="0" collapsed="false">
      <c r="A444" s="0" t="n">
        <v>443</v>
      </c>
      <c r="D444" s="0" t="s">
        <v>1068</v>
      </c>
      <c r="E444" s="0" t="s">
        <v>20</v>
      </c>
      <c r="H444" s="0" t="s">
        <v>21</v>
      </c>
      <c r="I444" s="2" t="s">
        <v>22</v>
      </c>
      <c r="J444" s="2" t="s">
        <v>854</v>
      </c>
      <c r="K444" s="0" t="s">
        <v>855</v>
      </c>
      <c r="L444" s="0" t="s">
        <v>25</v>
      </c>
      <c r="M444" s="0" t="s">
        <v>857</v>
      </c>
      <c r="N444" s="0" t="s">
        <v>1069</v>
      </c>
      <c r="O444" s="0" t="n">
        <v>1</v>
      </c>
      <c r="R444" s="3"/>
      <c r="S444" s="2" t="s">
        <v>28</v>
      </c>
    </row>
    <row r="445" customFormat="false" ht="15" hidden="false" customHeight="false" outlineLevel="0" collapsed="false">
      <c r="A445" s="0" t="n">
        <v>444</v>
      </c>
      <c r="D445" s="0" t="s">
        <v>1070</v>
      </c>
      <c r="E445" s="0" t="s">
        <v>173</v>
      </c>
      <c r="H445" s="0" t="s">
        <v>21</v>
      </c>
      <c r="I445" s="2" t="s">
        <v>22</v>
      </c>
      <c r="J445" s="2" t="s">
        <v>854</v>
      </c>
      <c r="K445" s="0" t="s">
        <v>855</v>
      </c>
      <c r="L445" s="0" t="s">
        <v>25</v>
      </c>
      <c r="M445" s="0" t="s">
        <v>857</v>
      </c>
      <c r="N445" s="0" t="s">
        <v>1071</v>
      </c>
      <c r="O445" s="0" t="n">
        <v>1</v>
      </c>
      <c r="P445" s="0" t="s">
        <v>173</v>
      </c>
      <c r="R445" s="3"/>
      <c r="S445" s="2" t="s">
        <v>28</v>
      </c>
    </row>
    <row r="446" customFormat="false" ht="15" hidden="false" customHeight="false" outlineLevel="0" collapsed="false">
      <c r="A446" s="0" t="n">
        <v>445</v>
      </c>
      <c r="D446" s="0" t="s">
        <v>1072</v>
      </c>
      <c r="E446" s="0" t="s">
        <v>301</v>
      </c>
      <c r="H446" s="0" t="s">
        <v>21</v>
      </c>
      <c r="I446" s="2" t="s">
        <v>22</v>
      </c>
      <c r="J446" s="2" t="s">
        <v>854</v>
      </c>
      <c r="K446" s="0" t="s">
        <v>855</v>
      </c>
      <c r="L446" s="0" t="s">
        <v>25</v>
      </c>
      <c r="M446" s="0" t="s">
        <v>857</v>
      </c>
      <c r="N446" s="0" t="s">
        <v>1073</v>
      </c>
      <c r="O446" s="0" t="n">
        <v>1</v>
      </c>
      <c r="P446" s="0" t="s">
        <v>301</v>
      </c>
      <c r="R446" s="3"/>
      <c r="S446" s="2" t="s">
        <v>28</v>
      </c>
    </row>
    <row r="447" customFormat="false" ht="15" hidden="false" customHeight="false" outlineLevel="0" collapsed="false">
      <c r="A447" s="0" t="n">
        <v>446</v>
      </c>
      <c r="D447" s="0" t="s">
        <v>1074</v>
      </c>
      <c r="E447" s="0" t="s">
        <v>173</v>
      </c>
      <c r="H447" s="0" t="s">
        <v>21</v>
      </c>
      <c r="I447" s="2" t="s">
        <v>22</v>
      </c>
      <c r="J447" s="2" t="s">
        <v>854</v>
      </c>
      <c r="K447" s="0" t="s">
        <v>855</v>
      </c>
      <c r="L447" s="0" t="s">
        <v>25</v>
      </c>
      <c r="M447" s="0" t="s">
        <v>857</v>
      </c>
      <c r="N447" s="0" t="s">
        <v>1075</v>
      </c>
      <c r="O447" s="0" t="n">
        <v>1</v>
      </c>
      <c r="P447" s="0" t="s">
        <v>173</v>
      </c>
      <c r="R447" s="3"/>
      <c r="S447" s="2" t="s">
        <v>28</v>
      </c>
    </row>
    <row r="448" customFormat="false" ht="15" hidden="false" customHeight="false" outlineLevel="0" collapsed="false">
      <c r="A448" s="0" t="n">
        <v>447</v>
      </c>
      <c r="D448" s="0" t="s">
        <v>1076</v>
      </c>
      <c r="E448" s="0" t="s">
        <v>210</v>
      </c>
      <c r="H448" s="0" t="s">
        <v>21</v>
      </c>
      <c r="I448" s="2" t="s">
        <v>22</v>
      </c>
      <c r="J448" s="2" t="s">
        <v>854</v>
      </c>
      <c r="K448" s="0" t="s">
        <v>855</v>
      </c>
      <c r="L448" s="0" t="s">
        <v>25</v>
      </c>
      <c r="M448" s="0" t="s">
        <v>857</v>
      </c>
      <c r="N448" s="0" t="s">
        <v>1077</v>
      </c>
      <c r="O448" s="0" t="n">
        <v>1</v>
      </c>
      <c r="P448" s="0" t="s">
        <v>210</v>
      </c>
      <c r="R448" s="3"/>
      <c r="S448" s="2" t="s">
        <v>28</v>
      </c>
    </row>
    <row r="449" customFormat="false" ht="15" hidden="false" customHeight="false" outlineLevel="0" collapsed="false">
      <c r="A449" s="0" t="n">
        <v>448</v>
      </c>
      <c r="D449" s="0" t="s">
        <v>1078</v>
      </c>
      <c r="E449" s="0" t="s">
        <v>253</v>
      </c>
      <c r="H449" s="0" t="s">
        <v>21</v>
      </c>
      <c r="I449" s="2" t="s">
        <v>22</v>
      </c>
      <c r="J449" s="2" t="s">
        <v>854</v>
      </c>
      <c r="K449" s="0" t="s">
        <v>855</v>
      </c>
      <c r="L449" s="0" t="s">
        <v>25</v>
      </c>
      <c r="M449" s="0" t="s">
        <v>857</v>
      </c>
      <c r="N449" s="0" t="s">
        <v>1079</v>
      </c>
      <c r="O449" s="0" t="n">
        <v>1</v>
      </c>
      <c r="P449" s="0" t="s">
        <v>253</v>
      </c>
      <c r="R449" s="3"/>
      <c r="S449" s="2" t="s">
        <v>28</v>
      </c>
    </row>
    <row r="450" customFormat="false" ht="15" hidden="false" customHeight="false" outlineLevel="0" collapsed="false">
      <c r="A450" s="0" t="n">
        <v>449</v>
      </c>
      <c r="D450" s="0" t="s">
        <v>1080</v>
      </c>
      <c r="E450" s="0" t="s">
        <v>173</v>
      </c>
      <c r="H450" s="0" t="s">
        <v>21</v>
      </c>
      <c r="I450" s="2" t="s">
        <v>22</v>
      </c>
      <c r="J450" s="2" t="s">
        <v>854</v>
      </c>
      <c r="K450" s="0" t="s">
        <v>855</v>
      </c>
      <c r="L450" s="0" t="s">
        <v>25</v>
      </c>
      <c r="M450" s="0" t="s">
        <v>857</v>
      </c>
      <c r="N450" s="0" t="s">
        <v>1081</v>
      </c>
      <c r="O450" s="0" t="n">
        <v>1</v>
      </c>
      <c r="P450" s="0" t="s">
        <v>173</v>
      </c>
      <c r="R450" s="3"/>
      <c r="S450" s="2" t="s">
        <v>28</v>
      </c>
    </row>
    <row r="451" customFormat="false" ht="15" hidden="false" customHeight="false" outlineLevel="0" collapsed="false">
      <c r="A451" s="0" t="n">
        <v>450</v>
      </c>
      <c r="D451" s="0" t="s">
        <v>1082</v>
      </c>
      <c r="E451" s="0" t="s">
        <v>20</v>
      </c>
      <c r="H451" s="0" t="s">
        <v>21</v>
      </c>
      <c r="I451" s="2" t="s">
        <v>22</v>
      </c>
      <c r="J451" s="2" t="s">
        <v>854</v>
      </c>
      <c r="K451" s="0" t="s">
        <v>855</v>
      </c>
      <c r="L451" s="0" t="s">
        <v>25</v>
      </c>
      <c r="M451" s="0" t="s">
        <v>857</v>
      </c>
      <c r="N451" s="0" t="s">
        <v>1083</v>
      </c>
      <c r="O451" s="0" t="n">
        <v>1</v>
      </c>
      <c r="R451" s="3"/>
      <c r="S451" s="2" t="s">
        <v>28</v>
      </c>
    </row>
    <row r="452" customFormat="false" ht="15" hidden="false" customHeight="false" outlineLevel="0" collapsed="false">
      <c r="A452" s="0" t="n">
        <v>451</v>
      </c>
      <c r="D452" s="0" t="s">
        <v>1084</v>
      </c>
      <c r="E452" s="0" t="s">
        <v>173</v>
      </c>
      <c r="H452" s="0" t="s">
        <v>21</v>
      </c>
      <c r="I452" s="2" t="s">
        <v>22</v>
      </c>
      <c r="J452" s="2" t="s">
        <v>854</v>
      </c>
      <c r="K452" s="0" t="s">
        <v>855</v>
      </c>
      <c r="L452" s="0" t="s">
        <v>25</v>
      </c>
      <c r="M452" s="0" t="s">
        <v>857</v>
      </c>
      <c r="N452" s="0" t="s">
        <v>1085</v>
      </c>
      <c r="O452" s="0" t="n">
        <v>1</v>
      </c>
      <c r="P452" s="0" t="s">
        <v>173</v>
      </c>
      <c r="R452" s="3"/>
      <c r="S452" s="2" t="s">
        <v>28</v>
      </c>
    </row>
    <row r="453" customFormat="false" ht="15" hidden="false" customHeight="false" outlineLevel="0" collapsed="false">
      <c r="A453" s="0" t="n">
        <v>452</v>
      </c>
      <c r="D453" s="0" t="s">
        <v>1086</v>
      </c>
      <c r="E453" s="0" t="s">
        <v>20</v>
      </c>
      <c r="H453" s="0" t="s">
        <v>21</v>
      </c>
      <c r="I453" s="2" t="s">
        <v>22</v>
      </c>
      <c r="J453" s="2" t="s">
        <v>854</v>
      </c>
      <c r="K453" s="0" t="s">
        <v>855</v>
      </c>
      <c r="L453" s="0" t="s">
        <v>25</v>
      </c>
      <c r="M453" s="0" t="s">
        <v>857</v>
      </c>
      <c r="N453" s="0" t="s">
        <v>1087</v>
      </c>
      <c r="O453" s="0" t="n">
        <v>1</v>
      </c>
      <c r="R453" s="3"/>
      <c r="S453" s="2" t="s">
        <v>28</v>
      </c>
    </row>
    <row r="454" customFormat="false" ht="15" hidden="false" customHeight="false" outlineLevel="0" collapsed="false">
      <c r="A454" s="0" t="n">
        <v>453</v>
      </c>
      <c r="D454" s="0" t="s">
        <v>1088</v>
      </c>
      <c r="E454" s="0" t="s">
        <v>20</v>
      </c>
      <c r="H454" s="0" t="s">
        <v>21</v>
      </c>
      <c r="I454" s="2" t="s">
        <v>22</v>
      </c>
      <c r="J454" s="2" t="s">
        <v>854</v>
      </c>
      <c r="K454" s="0" t="s">
        <v>855</v>
      </c>
      <c r="L454" s="0" t="s">
        <v>25</v>
      </c>
      <c r="M454" s="0" t="s">
        <v>857</v>
      </c>
      <c r="N454" s="0" t="s">
        <v>1089</v>
      </c>
      <c r="O454" s="0" t="n">
        <v>1</v>
      </c>
      <c r="R454" s="3"/>
      <c r="S454" s="2" t="s">
        <v>28</v>
      </c>
    </row>
    <row r="455" customFormat="false" ht="15" hidden="false" customHeight="false" outlineLevel="0" collapsed="false">
      <c r="A455" s="0" t="n">
        <v>454</v>
      </c>
      <c r="D455" s="0" t="s">
        <v>1090</v>
      </c>
      <c r="E455" s="0" t="s">
        <v>20</v>
      </c>
      <c r="H455" s="0" t="s">
        <v>21</v>
      </c>
      <c r="I455" s="2" t="s">
        <v>22</v>
      </c>
      <c r="J455" s="2" t="s">
        <v>854</v>
      </c>
      <c r="K455" s="0" t="s">
        <v>855</v>
      </c>
      <c r="L455" s="0" t="s">
        <v>25</v>
      </c>
      <c r="M455" s="0" t="s">
        <v>857</v>
      </c>
      <c r="N455" s="0" t="s">
        <v>1091</v>
      </c>
      <c r="O455" s="0" t="n">
        <v>1</v>
      </c>
      <c r="R455" s="3"/>
      <c r="S455" s="2" t="s">
        <v>28</v>
      </c>
    </row>
    <row r="456" customFormat="false" ht="15" hidden="false" customHeight="false" outlineLevel="0" collapsed="false">
      <c r="A456" s="0" t="n">
        <v>455</v>
      </c>
      <c r="D456" s="0" t="s">
        <v>1092</v>
      </c>
      <c r="E456" s="0" t="s">
        <v>20</v>
      </c>
      <c r="H456" s="0" t="s">
        <v>21</v>
      </c>
      <c r="I456" s="2" t="s">
        <v>22</v>
      </c>
      <c r="J456" s="2" t="s">
        <v>854</v>
      </c>
      <c r="K456" s="0" t="s">
        <v>855</v>
      </c>
      <c r="L456" s="0" t="s">
        <v>25</v>
      </c>
      <c r="M456" s="0" t="s">
        <v>857</v>
      </c>
      <c r="N456" s="0" t="s">
        <v>1093</v>
      </c>
      <c r="O456" s="0" t="n">
        <v>1</v>
      </c>
      <c r="R456" s="3"/>
      <c r="S456" s="2" t="s">
        <v>28</v>
      </c>
    </row>
    <row r="457" customFormat="false" ht="15" hidden="false" customHeight="false" outlineLevel="0" collapsed="false">
      <c r="A457" s="0" t="n">
        <v>456</v>
      </c>
      <c r="D457" s="0" t="s">
        <v>1094</v>
      </c>
      <c r="E457" s="0" t="s">
        <v>387</v>
      </c>
      <c r="H457" s="0" t="s">
        <v>21</v>
      </c>
      <c r="I457" s="2" t="s">
        <v>22</v>
      </c>
      <c r="J457" s="2" t="s">
        <v>854</v>
      </c>
      <c r="K457" s="0" t="s">
        <v>855</v>
      </c>
      <c r="L457" s="0" t="s">
        <v>25</v>
      </c>
      <c r="M457" s="0" t="s">
        <v>857</v>
      </c>
      <c r="N457" s="0" t="s">
        <v>1095</v>
      </c>
      <c r="O457" s="0" t="n">
        <v>1</v>
      </c>
      <c r="P457" s="0" t="s">
        <v>387</v>
      </c>
      <c r="R457" s="3"/>
      <c r="S457" s="2" t="s">
        <v>28</v>
      </c>
    </row>
    <row r="458" customFormat="false" ht="15" hidden="false" customHeight="false" outlineLevel="0" collapsed="false">
      <c r="A458" s="0" t="n">
        <v>457</v>
      </c>
      <c r="D458" s="0" t="s">
        <v>1096</v>
      </c>
      <c r="E458" s="0" t="s">
        <v>20</v>
      </c>
      <c r="H458" s="0" t="s">
        <v>21</v>
      </c>
      <c r="I458" s="2" t="s">
        <v>22</v>
      </c>
      <c r="J458" s="2" t="s">
        <v>854</v>
      </c>
      <c r="K458" s="0" t="s">
        <v>855</v>
      </c>
      <c r="L458" s="0" t="s">
        <v>25</v>
      </c>
      <c r="M458" s="0" t="s">
        <v>857</v>
      </c>
      <c r="N458" s="0" t="s">
        <v>1097</v>
      </c>
      <c r="O458" s="0" t="n">
        <v>1</v>
      </c>
      <c r="R458" s="3"/>
      <c r="S458" s="2" t="s">
        <v>28</v>
      </c>
    </row>
    <row r="459" customFormat="false" ht="15" hidden="false" customHeight="false" outlineLevel="0" collapsed="false">
      <c r="A459" s="0" t="n">
        <v>458</v>
      </c>
      <c r="D459" s="0" t="s">
        <v>1098</v>
      </c>
      <c r="E459" s="0" t="s">
        <v>20</v>
      </c>
      <c r="H459" s="0" t="s">
        <v>21</v>
      </c>
      <c r="I459" s="2" t="s">
        <v>22</v>
      </c>
      <c r="J459" s="2" t="s">
        <v>854</v>
      </c>
      <c r="K459" s="0" t="s">
        <v>855</v>
      </c>
      <c r="L459" s="0" t="s">
        <v>25</v>
      </c>
      <c r="M459" s="0" t="s">
        <v>857</v>
      </c>
      <c r="N459" s="0" t="s">
        <v>1099</v>
      </c>
      <c r="O459" s="0" t="n">
        <v>1</v>
      </c>
      <c r="R459" s="3"/>
      <c r="S459" s="2" t="s">
        <v>28</v>
      </c>
    </row>
    <row r="460" customFormat="false" ht="15" hidden="false" customHeight="false" outlineLevel="0" collapsed="false">
      <c r="A460" s="0" t="n">
        <v>459</v>
      </c>
      <c r="D460" s="0" t="s">
        <v>1100</v>
      </c>
      <c r="E460" s="0" t="s">
        <v>173</v>
      </c>
      <c r="H460" s="0" t="s">
        <v>21</v>
      </c>
      <c r="I460" s="2" t="s">
        <v>22</v>
      </c>
      <c r="J460" s="2" t="s">
        <v>854</v>
      </c>
      <c r="K460" s="0" t="s">
        <v>855</v>
      </c>
      <c r="L460" s="0" t="s">
        <v>25</v>
      </c>
      <c r="M460" s="0" t="s">
        <v>857</v>
      </c>
      <c r="N460" s="0" t="s">
        <v>1101</v>
      </c>
      <c r="O460" s="0" t="n">
        <v>1</v>
      </c>
      <c r="P460" s="0" t="s">
        <v>173</v>
      </c>
      <c r="R460" s="3"/>
      <c r="S460" s="2" t="s">
        <v>28</v>
      </c>
    </row>
    <row r="461" customFormat="false" ht="15" hidden="false" customHeight="false" outlineLevel="0" collapsed="false">
      <c r="A461" s="0" t="n">
        <v>460</v>
      </c>
      <c r="D461" s="0" t="s">
        <v>1102</v>
      </c>
      <c r="E461" s="0" t="s">
        <v>173</v>
      </c>
      <c r="H461" s="0" t="s">
        <v>21</v>
      </c>
      <c r="I461" s="2" t="s">
        <v>22</v>
      </c>
      <c r="J461" s="2" t="s">
        <v>854</v>
      </c>
      <c r="K461" s="0" t="s">
        <v>855</v>
      </c>
      <c r="L461" s="0" t="s">
        <v>1103</v>
      </c>
      <c r="M461" s="0" t="s">
        <v>857</v>
      </c>
      <c r="N461" s="0" t="s">
        <v>1104</v>
      </c>
      <c r="O461" s="0" t="n">
        <v>1</v>
      </c>
      <c r="P461" s="0" t="s">
        <v>173</v>
      </c>
      <c r="Q461" s="0" t="s">
        <v>1105</v>
      </c>
      <c r="R461" s="3"/>
      <c r="S461" s="2" t="s">
        <v>1106</v>
      </c>
    </row>
    <row r="462" customFormat="false" ht="15" hidden="false" customHeight="false" outlineLevel="0" collapsed="false">
      <c r="A462" s="0" t="n">
        <v>461</v>
      </c>
      <c r="D462" s="0" t="s">
        <v>1107</v>
      </c>
      <c r="E462" s="0" t="s">
        <v>20</v>
      </c>
      <c r="H462" s="0" t="s">
        <v>21</v>
      </c>
      <c r="I462" s="2" t="s">
        <v>22</v>
      </c>
      <c r="J462" s="2" t="s">
        <v>854</v>
      </c>
      <c r="K462" s="0" t="s">
        <v>855</v>
      </c>
      <c r="L462" s="0" t="s">
        <v>25</v>
      </c>
      <c r="M462" s="0" t="s">
        <v>857</v>
      </c>
      <c r="N462" s="0" t="s">
        <v>1108</v>
      </c>
      <c r="O462" s="0" t="n">
        <v>1</v>
      </c>
      <c r="R462" s="3"/>
      <c r="S462" s="2" t="s">
        <v>28</v>
      </c>
    </row>
    <row r="463" customFormat="false" ht="15" hidden="false" customHeight="false" outlineLevel="0" collapsed="false">
      <c r="A463" s="0" t="n">
        <v>462</v>
      </c>
      <c r="D463" s="0" t="s">
        <v>1109</v>
      </c>
      <c r="E463" s="0" t="s">
        <v>20</v>
      </c>
      <c r="H463" s="0" t="s">
        <v>21</v>
      </c>
      <c r="I463" s="2" t="s">
        <v>22</v>
      </c>
      <c r="J463" s="2" t="s">
        <v>854</v>
      </c>
      <c r="K463" s="0" t="s">
        <v>855</v>
      </c>
      <c r="L463" s="0" t="s">
        <v>25</v>
      </c>
      <c r="M463" s="0" t="s">
        <v>857</v>
      </c>
      <c r="N463" s="0" t="s">
        <v>1110</v>
      </c>
      <c r="O463" s="0" t="n">
        <v>1</v>
      </c>
      <c r="P463" s="0" t="s">
        <v>43</v>
      </c>
      <c r="R463" s="3"/>
      <c r="S463" s="2" t="s">
        <v>28</v>
      </c>
    </row>
    <row r="464" customFormat="false" ht="15" hidden="false" customHeight="false" outlineLevel="0" collapsed="false">
      <c r="A464" s="0" t="n">
        <v>463</v>
      </c>
      <c r="D464" s="0" t="s">
        <v>1111</v>
      </c>
      <c r="E464" s="0" t="s">
        <v>210</v>
      </c>
      <c r="H464" s="0" t="s">
        <v>21</v>
      </c>
      <c r="I464" s="2" t="s">
        <v>22</v>
      </c>
      <c r="J464" s="2" t="s">
        <v>854</v>
      </c>
      <c r="K464" s="0" t="s">
        <v>855</v>
      </c>
      <c r="L464" s="0" t="s">
        <v>25</v>
      </c>
      <c r="M464" s="0" t="s">
        <v>857</v>
      </c>
      <c r="N464" s="0" t="s">
        <v>1112</v>
      </c>
      <c r="O464" s="0" t="n">
        <v>1</v>
      </c>
      <c r="P464" s="0" t="s">
        <v>210</v>
      </c>
      <c r="R464" s="3"/>
      <c r="S464" s="2" t="s">
        <v>28</v>
      </c>
    </row>
    <row r="465" customFormat="false" ht="15" hidden="false" customHeight="false" outlineLevel="0" collapsed="false">
      <c r="A465" s="0" t="n">
        <v>464</v>
      </c>
      <c r="D465" s="0" t="s">
        <v>1113</v>
      </c>
      <c r="E465" s="0" t="s">
        <v>287</v>
      </c>
      <c r="H465" s="0" t="s">
        <v>21</v>
      </c>
      <c r="I465" s="2" t="s">
        <v>22</v>
      </c>
      <c r="J465" s="2" t="s">
        <v>854</v>
      </c>
      <c r="K465" s="0" t="s">
        <v>855</v>
      </c>
      <c r="L465" s="0" t="s">
        <v>25</v>
      </c>
      <c r="M465" s="0" t="s">
        <v>857</v>
      </c>
      <c r="N465" s="0" t="s">
        <v>1114</v>
      </c>
      <c r="O465" s="0" t="n">
        <v>1</v>
      </c>
      <c r="P465" s="0" t="s">
        <v>287</v>
      </c>
      <c r="R465" s="3"/>
      <c r="S465" s="2" t="s">
        <v>28</v>
      </c>
    </row>
    <row r="466" customFormat="false" ht="15" hidden="false" customHeight="false" outlineLevel="0" collapsed="false">
      <c r="A466" s="0" t="n">
        <v>465</v>
      </c>
      <c r="D466" s="0" t="s">
        <v>1115</v>
      </c>
      <c r="E466" s="0" t="s">
        <v>210</v>
      </c>
      <c r="H466" s="0" t="s">
        <v>21</v>
      </c>
      <c r="I466" s="2" t="s">
        <v>22</v>
      </c>
      <c r="J466" s="2" t="s">
        <v>854</v>
      </c>
      <c r="K466" s="0" t="s">
        <v>855</v>
      </c>
      <c r="L466" s="0" t="s">
        <v>25</v>
      </c>
      <c r="M466" s="0" t="s">
        <v>857</v>
      </c>
      <c r="N466" s="0" t="s">
        <v>1116</v>
      </c>
      <c r="O466" s="0" t="n">
        <v>1</v>
      </c>
      <c r="P466" s="0" t="s">
        <v>210</v>
      </c>
      <c r="R466" s="3"/>
      <c r="S466" s="2" t="s">
        <v>28</v>
      </c>
    </row>
    <row r="467" customFormat="false" ht="15" hidden="false" customHeight="false" outlineLevel="0" collapsed="false">
      <c r="A467" s="0" t="n">
        <v>466</v>
      </c>
      <c r="D467" s="0" t="s">
        <v>1117</v>
      </c>
      <c r="E467" s="0" t="s">
        <v>20</v>
      </c>
      <c r="H467" s="0" t="s">
        <v>21</v>
      </c>
      <c r="I467" s="2" t="s">
        <v>22</v>
      </c>
      <c r="J467" s="2" t="s">
        <v>854</v>
      </c>
      <c r="K467" s="0" t="s">
        <v>855</v>
      </c>
      <c r="L467" s="0" t="s">
        <v>25</v>
      </c>
      <c r="M467" s="0" t="s">
        <v>857</v>
      </c>
      <c r="N467" s="0" t="s">
        <v>1118</v>
      </c>
      <c r="O467" s="0" t="n">
        <v>1</v>
      </c>
      <c r="R467" s="3"/>
      <c r="S467" s="2" t="s">
        <v>28</v>
      </c>
    </row>
    <row r="468" customFormat="false" ht="15" hidden="false" customHeight="false" outlineLevel="0" collapsed="false">
      <c r="A468" s="0" t="n">
        <v>467</v>
      </c>
      <c r="D468" s="0" t="s">
        <v>1119</v>
      </c>
      <c r="E468" s="0" t="s">
        <v>20</v>
      </c>
      <c r="H468" s="0" t="s">
        <v>21</v>
      </c>
      <c r="I468" s="2" t="s">
        <v>22</v>
      </c>
      <c r="J468" s="2" t="s">
        <v>854</v>
      </c>
      <c r="K468" s="0" t="s">
        <v>855</v>
      </c>
      <c r="L468" s="0" t="s">
        <v>25</v>
      </c>
      <c r="M468" s="0" t="s">
        <v>857</v>
      </c>
      <c r="N468" s="0" t="s">
        <v>1120</v>
      </c>
      <c r="O468" s="0" t="n">
        <v>1</v>
      </c>
      <c r="P468" s="0" t="s">
        <v>43</v>
      </c>
      <c r="R468" s="3"/>
      <c r="S468" s="2" t="s">
        <v>28</v>
      </c>
    </row>
    <row r="469" customFormat="false" ht="15" hidden="false" customHeight="false" outlineLevel="0" collapsed="false">
      <c r="A469" s="0" t="n">
        <v>468</v>
      </c>
      <c r="D469" s="0" t="s">
        <v>1121</v>
      </c>
      <c r="E469" s="0" t="s">
        <v>20</v>
      </c>
      <c r="H469" s="0" t="s">
        <v>21</v>
      </c>
      <c r="I469" s="2" t="s">
        <v>22</v>
      </c>
      <c r="J469" s="2" t="s">
        <v>854</v>
      </c>
      <c r="K469" s="0" t="s">
        <v>855</v>
      </c>
      <c r="L469" s="0" t="s">
        <v>25</v>
      </c>
      <c r="M469" s="0" t="s">
        <v>857</v>
      </c>
      <c r="N469" s="0" t="s">
        <v>1122</v>
      </c>
      <c r="O469" s="0" t="n">
        <v>1</v>
      </c>
      <c r="P469" s="0" t="s">
        <v>43</v>
      </c>
      <c r="R469" s="3"/>
      <c r="S469" s="2" t="s">
        <v>28</v>
      </c>
    </row>
    <row r="470" customFormat="false" ht="15" hidden="false" customHeight="false" outlineLevel="0" collapsed="false">
      <c r="A470" s="0" t="n">
        <v>469</v>
      </c>
      <c r="D470" s="0" t="s">
        <v>1123</v>
      </c>
      <c r="E470" s="0" t="s">
        <v>20</v>
      </c>
      <c r="H470" s="0" t="s">
        <v>21</v>
      </c>
      <c r="I470" s="2" t="s">
        <v>22</v>
      </c>
      <c r="J470" s="2" t="s">
        <v>854</v>
      </c>
      <c r="K470" s="0" t="s">
        <v>855</v>
      </c>
      <c r="L470" s="0" t="s">
        <v>25</v>
      </c>
      <c r="M470" s="0" t="s">
        <v>857</v>
      </c>
      <c r="N470" s="0" t="s">
        <v>1124</v>
      </c>
      <c r="O470" s="0" t="n">
        <v>1</v>
      </c>
      <c r="R470" s="3"/>
      <c r="S470" s="2" t="s">
        <v>28</v>
      </c>
    </row>
    <row r="471" customFormat="false" ht="15" hidden="false" customHeight="false" outlineLevel="0" collapsed="false">
      <c r="A471" s="0" t="n">
        <v>470</v>
      </c>
      <c r="D471" s="0" t="s">
        <v>1125</v>
      </c>
      <c r="E471" s="0" t="s">
        <v>501</v>
      </c>
      <c r="H471" s="0" t="s">
        <v>21</v>
      </c>
      <c r="I471" s="2" t="s">
        <v>22</v>
      </c>
      <c r="J471" s="2" t="s">
        <v>854</v>
      </c>
      <c r="K471" s="0" t="s">
        <v>855</v>
      </c>
      <c r="L471" s="0" t="s">
        <v>25</v>
      </c>
      <c r="M471" s="0" t="s">
        <v>857</v>
      </c>
      <c r="N471" s="0" t="s">
        <v>1126</v>
      </c>
      <c r="O471" s="0" t="n">
        <v>1</v>
      </c>
      <c r="P471" s="0" t="s">
        <v>501</v>
      </c>
      <c r="R471" s="3"/>
      <c r="S471" s="2" t="s">
        <v>28</v>
      </c>
    </row>
    <row r="472" customFormat="false" ht="15" hidden="false" customHeight="false" outlineLevel="0" collapsed="false">
      <c r="A472" s="0" t="n">
        <v>471</v>
      </c>
      <c r="D472" s="0" t="s">
        <v>1127</v>
      </c>
      <c r="E472" s="0" t="s">
        <v>410</v>
      </c>
      <c r="H472" s="0" t="s">
        <v>21</v>
      </c>
      <c r="I472" s="2" t="s">
        <v>22</v>
      </c>
      <c r="J472" s="2" t="s">
        <v>854</v>
      </c>
      <c r="K472" s="0" t="s">
        <v>855</v>
      </c>
      <c r="L472" s="0" t="s">
        <v>25</v>
      </c>
      <c r="M472" s="0" t="s">
        <v>857</v>
      </c>
      <c r="N472" s="0" t="s">
        <v>1128</v>
      </c>
      <c r="O472" s="0" t="n">
        <v>1</v>
      </c>
      <c r="P472" s="0" t="s">
        <v>410</v>
      </c>
      <c r="R472" s="3"/>
      <c r="S472" s="2" t="s">
        <v>28</v>
      </c>
    </row>
    <row r="473" customFormat="false" ht="15" hidden="false" customHeight="false" outlineLevel="0" collapsed="false">
      <c r="A473" s="0" t="n">
        <v>472</v>
      </c>
      <c r="D473" s="0" t="s">
        <v>1129</v>
      </c>
      <c r="E473" s="0" t="s">
        <v>20</v>
      </c>
      <c r="H473" s="0" t="s">
        <v>21</v>
      </c>
      <c r="I473" s="2" t="s">
        <v>22</v>
      </c>
      <c r="J473" s="2" t="s">
        <v>854</v>
      </c>
      <c r="K473" s="0" t="s">
        <v>855</v>
      </c>
      <c r="L473" s="0" t="s">
        <v>25</v>
      </c>
      <c r="M473" s="0" t="s">
        <v>857</v>
      </c>
      <c r="N473" s="0" t="s">
        <v>1130</v>
      </c>
      <c r="O473" s="0" t="n">
        <v>1</v>
      </c>
      <c r="R473" s="3"/>
      <c r="S473" s="2" t="s">
        <v>28</v>
      </c>
    </row>
    <row r="474" customFormat="false" ht="15" hidden="false" customHeight="false" outlineLevel="0" collapsed="false">
      <c r="A474" s="0" t="n">
        <v>473</v>
      </c>
      <c r="D474" s="0" t="s">
        <v>1131</v>
      </c>
      <c r="E474" s="0" t="s">
        <v>20</v>
      </c>
      <c r="H474" s="0" t="s">
        <v>21</v>
      </c>
      <c r="I474" s="2" t="s">
        <v>22</v>
      </c>
      <c r="J474" s="2" t="s">
        <v>854</v>
      </c>
      <c r="K474" s="0" t="s">
        <v>855</v>
      </c>
      <c r="L474" s="0" t="s">
        <v>25</v>
      </c>
      <c r="M474" s="0" t="s">
        <v>857</v>
      </c>
      <c r="N474" s="0" t="s">
        <v>1132</v>
      </c>
      <c r="O474" s="0" t="n">
        <v>1</v>
      </c>
      <c r="R474" s="3"/>
      <c r="S474" s="2" t="s">
        <v>28</v>
      </c>
    </row>
    <row r="475" customFormat="false" ht="15" hidden="false" customHeight="false" outlineLevel="0" collapsed="false">
      <c r="A475" s="0" t="n">
        <v>474</v>
      </c>
      <c r="D475" s="0" t="s">
        <v>1133</v>
      </c>
      <c r="E475" s="0" t="s">
        <v>20</v>
      </c>
      <c r="H475" s="0" t="s">
        <v>21</v>
      </c>
      <c r="I475" s="2" t="s">
        <v>22</v>
      </c>
      <c r="J475" s="2" t="s">
        <v>854</v>
      </c>
      <c r="K475" s="0" t="s">
        <v>855</v>
      </c>
      <c r="L475" s="0" t="s">
        <v>204</v>
      </c>
      <c r="M475" s="0" t="s">
        <v>857</v>
      </c>
      <c r="N475" s="0" t="s">
        <v>1134</v>
      </c>
      <c r="O475" s="0" t="n">
        <v>1</v>
      </c>
      <c r="P475" s="0" t="s">
        <v>206</v>
      </c>
      <c r="R475" s="3"/>
      <c r="S475" s="2" t="s">
        <v>28</v>
      </c>
    </row>
    <row r="476" customFormat="false" ht="15" hidden="false" customHeight="false" outlineLevel="0" collapsed="false">
      <c r="A476" s="0" t="n">
        <v>475</v>
      </c>
      <c r="D476" s="0" t="s">
        <v>1135</v>
      </c>
      <c r="E476" s="0" t="s">
        <v>20</v>
      </c>
      <c r="H476" s="0" t="s">
        <v>21</v>
      </c>
      <c r="I476" s="2" t="s">
        <v>22</v>
      </c>
      <c r="J476" s="2" t="s">
        <v>854</v>
      </c>
      <c r="K476" s="0" t="s">
        <v>855</v>
      </c>
      <c r="L476" s="0" t="s">
        <v>25</v>
      </c>
      <c r="M476" s="0" t="s">
        <v>857</v>
      </c>
      <c r="N476" s="0" t="s">
        <v>1136</v>
      </c>
      <c r="O476" s="0" t="n">
        <v>1</v>
      </c>
      <c r="R476" s="3"/>
      <c r="S476" s="2" t="s">
        <v>28</v>
      </c>
    </row>
    <row r="477" customFormat="false" ht="15" hidden="false" customHeight="false" outlineLevel="0" collapsed="false">
      <c r="A477" s="0" t="n">
        <v>476</v>
      </c>
      <c r="D477" s="0" t="s">
        <v>1137</v>
      </c>
      <c r="E477" s="0" t="s">
        <v>20</v>
      </c>
      <c r="H477" s="0" t="s">
        <v>21</v>
      </c>
      <c r="I477" s="2" t="s">
        <v>22</v>
      </c>
      <c r="J477" s="2" t="s">
        <v>854</v>
      </c>
      <c r="K477" s="0" t="s">
        <v>855</v>
      </c>
      <c r="L477" s="0" t="s">
        <v>25</v>
      </c>
      <c r="M477" s="0" t="s">
        <v>857</v>
      </c>
      <c r="N477" s="0" t="s">
        <v>1138</v>
      </c>
      <c r="O477" s="0" t="n">
        <v>1</v>
      </c>
      <c r="R477" s="3"/>
      <c r="S477" s="2" t="s">
        <v>28</v>
      </c>
    </row>
    <row r="478" customFormat="false" ht="15" hidden="false" customHeight="false" outlineLevel="0" collapsed="false">
      <c r="A478" s="0" t="n">
        <v>477</v>
      </c>
      <c r="D478" s="0" t="s">
        <v>1139</v>
      </c>
      <c r="E478" s="0" t="s">
        <v>20</v>
      </c>
      <c r="H478" s="0" t="s">
        <v>21</v>
      </c>
      <c r="I478" s="2" t="s">
        <v>22</v>
      </c>
      <c r="J478" s="2" t="s">
        <v>854</v>
      </c>
      <c r="K478" s="0" t="s">
        <v>855</v>
      </c>
      <c r="L478" s="0" t="s">
        <v>25</v>
      </c>
      <c r="M478" s="0" t="s">
        <v>857</v>
      </c>
      <c r="N478" s="0" t="s">
        <v>1140</v>
      </c>
      <c r="O478" s="0" t="n">
        <v>1</v>
      </c>
      <c r="R478" s="3"/>
      <c r="S478" s="2" t="s">
        <v>28</v>
      </c>
    </row>
    <row r="479" customFormat="false" ht="15" hidden="false" customHeight="false" outlineLevel="0" collapsed="false">
      <c r="A479" s="0" t="n">
        <v>478</v>
      </c>
      <c r="D479" s="0" t="s">
        <v>1141</v>
      </c>
      <c r="E479" s="0" t="s">
        <v>301</v>
      </c>
      <c r="H479" s="0" t="s">
        <v>21</v>
      </c>
      <c r="I479" s="2" t="s">
        <v>22</v>
      </c>
      <c r="J479" s="2" t="s">
        <v>854</v>
      </c>
      <c r="K479" s="0" t="s">
        <v>855</v>
      </c>
      <c r="L479" s="0" t="s">
        <v>25</v>
      </c>
      <c r="M479" s="0" t="s">
        <v>857</v>
      </c>
      <c r="N479" s="0" t="s">
        <v>1142</v>
      </c>
      <c r="O479" s="0" t="n">
        <v>1</v>
      </c>
      <c r="P479" s="0" t="s">
        <v>301</v>
      </c>
      <c r="R479" s="3"/>
      <c r="S479" s="2" t="s">
        <v>28</v>
      </c>
    </row>
    <row r="480" customFormat="false" ht="15" hidden="false" customHeight="false" outlineLevel="0" collapsed="false">
      <c r="A480" s="0" t="n">
        <v>479</v>
      </c>
      <c r="D480" s="0" t="s">
        <v>1143</v>
      </c>
      <c r="E480" s="0" t="s">
        <v>20</v>
      </c>
      <c r="H480" s="0" t="s">
        <v>21</v>
      </c>
      <c r="I480" s="2" t="s">
        <v>22</v>
      </c>
      <c r="J480" s="2" t="s">
        <v>854</v>
      </c>
      <c r="K480" s="0" t="s">
        <v>855</v>
      </c>
      <c r="L480" s="0" t="s">
        <v>204</v>
      </c>
      <c r="M480" s="0" t="s">
        <v>857</v>
      </c>
      <c r="N480" s="0" t="s">
        <v>1144</v>
      </c>
      <c r="O480" s="0" t="n">
        <v>1</v>
      </c>
      <c r="P480" s="0" t="s">
        <v>206</v>
      </c>
      <c r="R480" s="3"/>
      <c r="S480" s="2" t="s">
        <v>28</v>
      </c>
    </row>
    <row r="481" customFormat="false" ht="15" hidden="false" customHeight="false" outlineLevel="0" collapsed="false">
      <c r="A481" s="0" t="n">
        <v>480</v>
      </c>
      <c r="D481" s="0" t="s">
        <v>1145</v>
      </c>
      <c r="E481" s="0" t="s">
        <v>268</v>
      </c>
      <c r="H481" s="0" t="s">
        <v>21</v>
      </c>
      <c r="I481" s="2" t="s">
        <v>22</v>
      </c>
      <c r="J481" s="2" t="s">
        <v>854</v>
      </c>
      <c r="K481" s="0" t="s">
        <v>855</v>
      </c>
      <c r="L481" s="0" t="s">
        <v>25</v>
      </c>
      <c r="M481" s="0" t="s">
        <v>857</v>
      </c>
      <c r="N481" s="0" t="s">
        <v>1146</v>
      </c>
      <c r="O481" s="0" t="n">
        <v>1</v>
      </c>
      <c r="P481" s="0" t="s">
        <v>268</v>
      </c>
      <c r="R481" s="3"/>
      <c r="S481" s="2" t="s">
        <v>28</v>
      </c>
    </row>
    <row r="482" customFormat="false" ht="15" hidden="false" customHeight="false" outlineLevel="0" collapsed="false">
      <c r="A482" s="0" t="n">
        <v>481</v>
      </c>
      <c r="D482" s="0" t="s">
        <v>1147</v>
      </c>
      <c r="E482" s="0" t="s">
        <v>20</v>
      </c>
      <c r="H482" s="0" t="s">
        <v>21</v>
      </c>
      <c r="I482" s="2" t="s">
        <v>22</v>
      </c>
      <c r="J482" s="2" t="s">
        <v>854</v>
      </c>
      <c r="K482" s="0" t="s">
        <v>855</v>
      </c>
      <c r="L482" s="0" t="s">
        <v>25</v>
      </c>
      <c r="M482" s="0" t="s">
        <v>857</v>
      </c>
      <c r="N482" s="0" t="s">
        <v>1148</v>
      </c>
      <c r="O482" s="0" t="n">
        <v>1</v>
      </c>
      <c r="R482" s="3"/>
      <c r="S482" s="2" t="s">
        <v>28</v>
      </c>
    </row>
    <row r="483" customFormat="false" ht="15" hidden="false" customHeight="false" outlineLevel="0" collapsed="false">
      <c r="A483" s="0" t="n">
        <v>482</v>
      </c>
      <c r="D483" s="0" t="s">
        <v>1149</v>
      </c>
      <c r="E483" s="0" t="s">
        <v>20</v>
      </c>
      <c r="H483" s="0" t="s">
        <v>21</v>
      </c>
      <c r="I483" s="2" t="s">
        <v>22</v>
      </c>
      <c r="J483" s="2" t="s">
        <v>854</v>
      </c>
      <c r="K483" s="0" t="s">
        <v>855</v>
      </c>
      <c r="L483" s="0" t="s">
        <v>25</v>
      </c>
      <c r="M483" s="0" t="s">
        <v>857</v>
      </c>
      <c r="N483" s="0" t="s">
        <v>1150</v>
      </c>
      <c r="O483" s="0" t="n">
        <v>1</v>
      </c>
      <c r="R483" s="3"/>
      <c r="S483" s="2" t="s">
        <v>28</v>
      </c>
    </row>
    <row r="484" customFormat="false" ht="15" hidden="false" customHeight="false" outlineLevel="0" collapsed="false">
      <c r="A484" s="0" t="n">
        <v>483</v>
      </c>
      <c r="D484" s="0" t="s">
        <v>1151</v>
      </c>
      <c r="E484" s="0" t="s">
        <v>253</v>
      </c>
      <c r="H484" s="0" t="s">
        <v>21</v>
      </c>
      <c r="I484" s="2" t="s">
        <v>22</v>
      </c>
      <c r="J484" s="2" t="s">
        <v>854</v>
      </c>
      <c r="K484" s="0" t="s">
        <v>855</v>
      </c>
      <c r="L484" s="0" t="s">
        <v>25</v>
      </c>
      <c r="M484" s="0" t="s">
        <v>857</v>
      </c>
      <c r="N484" s="0" t="s">
        <v>1152</v>
      </c>
      <c r="O484" s="0" t="n">
        <v>1</v>
      </c>
      <c r="R484" s="3"/>
      <c r="S484" s="2" t="s">
        <v>28</v>
      </c>
    </row>
    <row r="485" customFormat="false" ht="15" hidden="false" customHeight="false" outlineLevel="0" collapsed="false">
      <c r="A485" s="0" t="n">
        <v>484</v>
      </c>
      <c r="D485" s="0" t="s">
        <v>1153</v>
      </c>
      <c r="E485" s="0" t="s">
        <v>20</v>
      </c>
      <c r="H485" s="0" t="s">
        <v>21</v>
      </c>
      <c r="I485" s="2" t="s">
        <v>22</v>
      </c>
      <c r="J485" s="2" t="s">
        <v>854</v>
      </c>
      <c r="K485" s="0" t="s">
        <v>855</v>
      </c>
      <c r="L485" s="0" t="s">
        <v>25</v>
      </c>
      <c r="M485" s="0" t="s">
        <v>857</v>
      </c>
      <c r="N485" s="0" t="s">
        <v>1154</v>
      </c>
      <c r="O485" s="0" t="n">
        <v>1</v>
      </c>
      <c r="P485" s="0" t="s">
        <v>43</v>
      </c>
      <c r="R485" s="3"/>
      <c r="S485" s="2" t="s">
        <v>28</v>
      </c>
    </row>
    <row r="486" customFormat="false" ht="15" hidden="false" customHeight="false" outlineLevel="0" collapsed="false">
      <c r="A486" s="0" t="n">
        <v>485</v>
      </c>
      <c r="D486" s="0" t="s">
        <v>1155</v>
      </c>
      <c r="E486" s="0" t="s">
        <v>20</v>
      </c>
      <c r="H486" s="0" t="s">
        <v>21</v>
      </c>
      <c r="I486" s="2" t="s">
        <v>22</v>
      </c>
      <c r="J486" s="2" t="s">
        <v>854</v>
      </c>
      <c r="K486" s="0" t="s">
        <v>855</v>
      </c>
      <c r="L486" s="0" t="s">
        <v>420</v>
      </c>
      <c r="M486" s="0" t="s">
        <v>857</v>
      </c>
      <c r="N486" s="0" t="s">
        <v>1156</v>
      </c>
      <c r="O486" s="0" t="n">
        <v>1</v>
      </c>
      <c r="P486" s="0" t="s">
        <v>422</v>
      </c>
      <c r="R486" s="3"/>
      <c r="S486" s="2" t="s">
        <v>28</v>
      </c>
    </row>
    <row r="487" customFormat="false" ht="15" hidden="false" customHeight="false" outlineLevel="0" collapsed="false">
      <c r="A487" s="0" t="n">
        <v>486</v>
      </c>
      <c r="D487" s="0" t="s">
        <v>1157</v>
      </c>
      <c r="E487" s="0" t="s">
        <v>20</v>
      </c>
      <c r="H487" s="0" t="s">
        <v>21</v>
      </c>
      <c r="I487" s="2" t="s">
        <v>22</v>
      </c>
      <c r="J487" s="2" t="s">
        <v>854</v>
      </c>
      <c r="K487" s="0" t="s">
        <v>855</v>
      </c>
      <c r="L487" s="0" t="s">
        <v>25</v>
      </c>
      <c r="M487" s="0" t="s">
        <v>857</v>
      </c>
      <c r="N487" s="0" t="s">
        <v>1158</v>
      </c>
      <c r="O487" s="0" t="n">
        <v>1</v>
      </c>
      <c r="R487" s="3"/>
      <c r="S487" s="2" t="s">
        <v>28</v>
      </c>
    </row>
    <row r="488" customFormat="false" ht="15" hidden="false" customHeight="false" outlineLevel="0" collapsed="false">
      <c r="A488" s="0" t="n">
        <v>487</v>
      </c>
      <c r="D488" s="0" t="s">
        <v>1159</v>
      </c>
      <c r="E488" s="0" t="s">
        <v>20</v>
      </c>
      <c r="H488" s="0" t="s">
        <v>21</v>
      </c>
      <c r="I488" s="2" t="s">
        <v>22</v>
      </c>
      <c r="J488" s="2" t="s">
        <v>854</v>
      </c>
      <c r="K488" s="0" t="s">
        <v>855</v>
      </c>
      <c r="L488" s="0" t="s">
        <v>25</v>
      </c>
      <c r="M488" s="0" t="s">
        <v>857</v>
      </c>
      <c r="N488" s="0" t="s">
        <v>1160</v>
      </c>
      <c r="O488" s="0" t="n">
        <v>1</v>
      </c>
      <c r="R488" s="3"/>
      <c r="S488" s="2" t="s">
        <v>28</v>
      </c>
    </row>
    <row r="489" customFormat="false" ht="15" hidden="false" customHeight="false" outlineLevel="0" collapsed="false">
      <c r="A489" s="0" t="n">
        <v>488</v>
      </c>
      <c r="D489" s="0" t="s">
        <v>1161</v>
      </c>
      <c r="E489" s="0" t="s">
        <v>555</v>
      </c>
      <c r="H489" s="0" t="s">
        <v>21</v>
      </c>
      <c r="I489" s="2" t="s">
        <v>22</v>
      </c>
      <c r="J489" s="2" t="s">
        <v>854</v>
      </c>
      <c r="K489" s="0" t="s">
        <v>855</v>
      </c>
      <c r="L489" s="0" t="s">
        <v>25</v>
      </c>
      <c r="M489" s="0" t="s">
        <v>857</v>
      </c>
      <c r="N489" s="0" t="s">
        <v>1162</v>
      </c>
      <c r="O489" s="0" t="n">
        <v>1</v>
      </c>
      <c r="P489" s="0" t="s">
        <v>555</v>
      </c>
      <c r="R489" s="3"/>
      <c r="S489" s="2" t="s">
        <v>28</v>
      </c>
    </row>
    <row r="490" customFormat="false" ht="15" hidden="false" customHeight="false" outlineLevel="0" collapsed="false">
      <c r="A490" s="0" t="n">
        <v>489</v>
      </c>
      <c r="D490" s="0" t="s">
        <v>1163</v>
      </c>
      <c r="E490" s="0" t="s">
        <v>20</v>
      </c>
      <c r="H490" s="0" t="s">
        <v>21</v>
      </c>
      <c r="I490" s="2" t="s">
        <v>22</v>
      </c>
      <c r="J490" s="2" t="s">
        <v>854</v>
      </c>
      <c r="K490" s="0" t="s">
        <v>855</v>
      </c>
      <c r="L490" s="0" t="s">
        <v>25</v>
      </c>
      <c r="M490" s="0" t="s">
        <v>857</v>
      </c>
      <c r="N490" s="0" t="s">
        <v>1164</v>
      </c>
      <c r="O490" s="0" t="n">
        <v>1</v>
      </c>
      <c r="R490" s="3"/>
      <c r="S490" s="2" t="s">
        <v>28</v>
      </c>
    </row>
    <row r="491" customFormat="false" ht="15" hidden="false" customHeight="false" outlineLevel="0" collapsed="false">
      <c r="A491" s="0" t="n">
        <v>490</v>
      </c>
      <c r="D491" s="0" t="s">
        <v>1165</v>
      </c>
      <c r="E491" s="0" t="s">
        <v>577</v>
      </c>
      <c r="H491" s="0" t="s">
        <v>21</v>
      </c>
      <c r="I491" s="2" t="s">
        <v>22</v>
      </c>
      <c r="J491" s="2" t="s">
        <v>854</v>
      </c>
      <c r="K491" s="0" t="s">
        <v>855</v>
      </c>
      <c r="L491" s="0" t="s">
        <v>25</v>
      </c>
      <c r="M491" s="0" t="s">
        <v>857</v>
      </c>
      <c r="N491" s="0" t="s">
        <v>1166</v>
      </c>
      <c r="O491" s="0" t="n">
        <v>1</v>
      </c>
      <c r="P491" s="0" t="s">
        <v>577</v>
      </c>
      <c r="R491" s="3"/>
      <c r="S491" s="2" t="s">
        <v>28</v>
      </c>
    </row>
    <row r="492" customFormat="false" ht="15" hidden="false" customHeight="false" outlineLevel="0" collapsed="false">
      <c r="A492" s="0" t="n">
        <v>491</v>
      </c>
      <c r="D492" s="0" t="s">
        <v>1167</v>
      </c>
      <c r="E492" s="0" t="s">
        <v>253</v>
      </c>
      <c r="H492" s="0" t="s">
        <v>21</v>
      </c>
      <c r="I492" s="2" t="s">
        <v>22</v>
      </c>
      <c r="J492" s="2" t="s">
        <v>854</v>
      </c>
      <c r="K492" s="0" t="s">
        <v>855</v>
      </c>
      <c r="L492" s="0" t="s">
        <v>1168</v>
      </c>
      <c r="M492" s="0" t="s">
        <v>857</v>
      </c>
      <c r="N492" s="0" t="s">
        <v>1169</v>
      </c>
      <c r="O492" s="0" t="n">
        <v>1</v>
      </c>
      <c r="Q492" s="0" t="s">
        <v>1170</v>
      </c>
      <c r="R492" s="3"/>
      <c r="S492" s="2" t="s">
        <v>1171</v>
      </c>
    </row>
    <row r="493" customFormat="false" ht="15" hidden="false" customHeight="false" outlineLevel="0" collapsed="false">
      <c r="A493" s="0" t="n">
        <v>492</v>
      </c>
      <c r="D493" s="0" t="s">
        <v>1172</v>
      </c>
      <c r="E493" s="0" t="s">
        <v>253</v>
      </c>
      <c r="H493" s="0" t="s">
        <v>21</v>
      </c>
      <c r="I493" s="2" t="s">
        <v>22</v>
      </c>
      <c r="J493" s="2" t="s">
        <v>854</v>
      </c>
      <c r="K493" s="0" t="s">
        <v>855</v>
      </c>
      <c r="L493" s="0" t="s">
        <v>25</v>
      </c>
      <c r="M493" s="0" t="s">
        <v>857</v>
      </c>
      <c r="N493" s="0" t="s">
        <v>1173</v>
      </c>
      <c r="O493" s="0" t="n">
        <v>1</v>
      </c>
      <c r="P493" s="0" t="s">
        <v>253</v>
      </c>
      <c r="R493" s="3"/>
      <c r="S493" s="2" t="s">
        <v>28</v>
      </c>
    </row>
    <row r="494" customFormat="false" ht="15" hidden="false" customHeight="false" outlineLevel="0" collapsed="false">
      <c r="A494" s="0" t="n">
        <v>493</v>
      </c>
      <c r="D494" s="0" t="s">
        <v>1174</v>
      </c>
      <c r="E494" s="0" t="s">
        <v>253</v>
      </c>
      <c r="H494" s="0" t="s">
        <v>21</v>
      </c>
      <c r="I494" s="2" t="s">
        <v>22</v>
      </c>
      <c r="J494" s="2" t="s">
        <v>854</v>
      </c>
      <c r="K494" s="0" t="s">
        <v>855</v>
      </c>
      <c r="L494" s="0" t="s">
        <v>25</v>
      </c>
      <c r="M494" s="0" t="s">
        <v>857</v>
      </c>
      <c r="N494" s="0" t="s">
        <v>1175</v>
      </c>
      <c r="O494" s="0" t="n">
        <v>1</v>
      </c>
      <c r="P494" s="0" t="s">
        <v>253</v>
      </c>
      <c r="R494" s="3"/>
      <c r="S494" s="2" t="s">
        <v>28</v>
      </c>
    </row>
    <row r="495" customFormat="false" ht="15" hidden="false" customHeight="false" outlineLevel="0" collapsed="false">
      <c r="A495" s="0" t="n">
        <v>494</v>
      </c>
      <c r="D495" s="0" t="s">
        <v>1176</v>
      </c>
      <c r="E495" s="0" t="s">
        <v>268</v>
      </c>
      <c r="H495" s="0" t="s">
        <v>21</v>
      </c>
      <c r="I495" s="2" t="s">
        <v>22</v>
      </c>
      <c r="J495" s="2" t="s">
        <v>854</v>
      </c>
      <c r="K495" s="0" t="s">
        <v>855</v>
      </c>
      <c r="L495" s="0" t="s">
        <v>25</v>
      </c>
      <c r="M495" s="0" t="s">
        <v>857</v>
      </c>
      <c r="N495" s="0" t="s">
        <v>1177</v>
      </c>
      <c r="O495" s="0" t="n">
        <v>1</v>
      </c>
      <c r="P495" s="0" t="s">
        <v>293</v>
      </c>
      <c r="R495" s="3"/>
      <c r="S495" s="2" t="s">
        <v>28</v>
      </c>
    </row>
    <row r="496" customFormat="false" ht="15" hidden="false" customHeight="false" outlineLevel="0" collapsed="false">
      <c r="A496" s="0" t="n">
        <v>495</v>
      </c>
      <c r="D496" s="0" t="s">
        <v>1178</v>
      </c>
      <c r="E496" s="0" t="s">
        <v>253</v>
      </c>
      <c r="H496" s="0" t="s">
        <v>21</v>
      </c>
      <c r="I496" s="2" t="s">
        <v>22</v>
      </c>
      <c r="J496" s="2" t="s">
        <v>854</v>
      </c>
      <c r="K496" s="0" t="s">
        <v>855</v>
      </c>
      <c r="L496" s="0" t="s">
        <v>1179</v>
      </c>
      <c r="M496" s="0" t="s">
        <v>857</v>
      </c>
      <c r="N496" s="0" t="s">
        <v>1180</v>
      </c>
      <c r="O496" s="0" t="n">
        <v>1</v>
      </c>
      <c r="P496" s="0" t="s">
        <v>253</v>
      </c>
      <c r="Q496" s="0" t="s">
        <v>1181</v>
      </c>
      <c r="R496" s="3"/>
      <c r="S496" s="2" t="s">
        <v>1182</v>
      </c>
    </row>
    <row r="497" customFormat="false" ht="15" hidden="false" customHeight="false" outlineLevel="0" collapsed="false">
      <c r="A497" s="0" t="n">
        <v>496</v>
      </c>
      <c r="D497" s="0" t="s">
        <v>1183</v>
      </c>
      <c r="E497" s="0" t="s">
        <v>188</v>
      </c>
      <c r="H497" s="0" t="s">
        <v>21</v>
      </c>
      <c r="I497" s="2" t="s">
        <v>22</v>
      </c>
      <c r="J497" s="2" t="s">
        <v>854</v>
      </c>
      <c r="K497" s="0" t="s">
        <v>855</v>
      </c>
      <c r="L497" s="0" t="s">
        <v>25</v>
      </c>
      <c r="M497" s="0" t="s">
        <v>857</v>
      </c>
      <c r="N497" s="0" t="s">
        <v>1184</v>
      </c>
      <c r="O497" s="0" t="n">
        <v>1</v>
      </c>
      <c r="P497" s="0" t="s">
        <v>188</v>
      </c>
      <c r="R497" s="3"/>
      <c r="S497" s="2" t="s">
        <v>28</v>
      </c>
    </row>
    <row r="498" customFormat="false" ht="15" hidden="false" customHeight="false" outlineLevel="0" collapsed="false">
      <c r="A498" s="0" t="n">
        <v>497</v>
      </c>
      <c r="D498" s="0" t="s">
        <v>1185</v>
      </c>
      <c r="E498" s="0" t="s">
        <v>20</v>
      </c>
      <c r="H498" s="0" t="s">
        <v>21</v>
      </c>
      <c r="I498" s="2" t="s">
        <v>22</v>
      </c>
      <c r="J498" s="2" t="s">
        <v>854</v>
      </c>
      <c r="K498" s="0" t="s">
        <v>855</v>
      </c>
      <c r="L498" s="0" t="s">
        <v>25</v>
      </c>
      <c r="M498" s="0" t="s">
        <v>857</v>
      </c>
      <c r="N498" s="0" t="s">
        <v>1186</v>
      </c>
      <c r="O498" s="0" t="n">
        <v>1</v>
      </c>
      <c r="R498" s="3"/>
      <c r="S498" s="2" t="s">
        <v>28</v>
      </c>
    </row>
    <row r="499" customFormat="false" ht="15" hidden="false" customHeight="false" outlineLevel="0" collapsed="false">
      <c r="A499" s="0" t="n">
        <v>498</v>
      </c>
      <c r="D499" s="0" t="s">
        <v>1187</v>
      </c>
      <c r="E499" s="0" t="s">
        <v>20</v>
      </c>
      <c r="H499" s="0" t="s">
        <v>21</v>
      </c>
      <c r="I499" s="2" t="s">
        <v>22</v>
      </c>
      <c r="J499" s="2" t="s">
        <v>854</v>
      </c>
      <c r="K499" s="0" t="s">
        <v>855</v>
      </c>
      <c r="L499" s="0" t="s">
        <v>25</v>
      </c>
      <c r="M499" s="0" t="s">
        <v>857</v>
      </c>
      <c r="N499" s="0" t="s">
        <v>1188</v>
      </c>
      <c r="O499" s="0" t="n">
        <v>1</v>
      </c>
      <c r="R499" s="3"/>
      <c r="S499" s="2" t="s">
        <v>28</v>
      </c>
    </row>
    <row r="500" customFormat="false" ht="15" hidden="false" customHeight="false" outlineLevel="0" collapsed="false">
      <c r="A500" s="0" t="n">
        <v>499</v>
      </c>
      <c r="D500" s="0" t="s">
        <v>1189</v>
      </c>
      <c r="E500" s="0" t="s">
        <v>73</v>
      </c>
      <c r="H500" s="0" t="s">
        <v>21</v>
      </c>
      <c r="I500" s="2" t="s">
        <v>22</v>
      </c>
      <c r="J500" s="2" t="s">
        <v>854</v>
      </c>
      <c r="K500" s="0" t="s">
        <v>855</v>
      </c>
      <c r="L500" s="0" t="s">
        <v>25</v>
      </c>
      <c r="M500" s="0" t="s">
        <v>857</v>
      </c>
      <c r="N500" s="0" t="s">
        <v>1190</v>
      </c>
      <c r="O500" s="0" t="n">
        <v>1</v>
      </c>
      <c r="P500" s="0" t="s">
        <v>73</v>
      </c>
      <c r="R500" s="3"/>
      <c r="S500" s="2" t="s">
        <v>28</v>
      </c>
    </row>
    <row r="501" customFormat="false" ht="15" hidden="false" customHeight="false" outlineLevel="0" collapsed="false">
      <c r="A501" s="0" t="n">
        <v>500</v>
      </c>
      <c r="D501" s="0" t="s">
        <v>1191</v>
      </c>
      <c r="E501" s="0" t="s">
        <v>253</v>
      </c>
      <c r="H501" s="0" t="s">
        <v>21</v>
      </c>
      <c r="I501" s="2" t="s">
        <v>22</v>
      </c>
      <c r="J501" s="2" t="s">
        <v>854</v>
      </c>
      <c r="K501" s="0" t="s">
        <v>855</v>
      </c>
      <c r="L501" s="0" t="s">
        <v>25</v>
      </c>
      <c r="M501" s="0" t="s">
        <v>857</v>
      </c>
      <c r="N501" s="0" t="s">
        <v>1192</v>
      </c>
      <c r="O501" s="0" t="n">
        <v>1</v>
      </c>
      <c r="P501" s="0" t="s">
        <v>253</v>
      </c>
      <c r="R501" s="3"/>
      <c r="S501" s="2" t="s">
        <v>28</v>
      </c>
    </row>
    <row r="502" customFormat="false" ht="15" hidden="false" customHeight="false" outlineLevel="0" collapsed="false">
      <c r="A502" s="0" t="n">
        <v>501</v>
      </c>
      <c r="D502" s="0" t="s">
        <v>1193</v>
      </c>
      <c r="E502" s="0" t="s">
        <v>20</v>
      </c>
      <c r="H502" s="0" t="s">
        <v>21</v>
      </c>
      <c r="I502" s="2" t="s">
        <v>22</v>
      </c>
      <c r="J502" s="2" t="s">
        <v>854</v>
      </c>
      <c r="K502" s="0" t="s">
        <v>855</v>
      </c>
      <c r="L502" s="0" t="s">
        <v>25</v>
      </c>
      <c r="M502" s="0" t="s">
        <v>857</v>
      </c>
      <c r="N502" s="0" t="s">
        <v>1194</v>
      </c>
      <c r="O502" s="0" t="n">
        <v>1</v>
      </c>
      <c r="R502" s="3"/>
      <c r="S502" s="2" t="s">
        <v>28</v>
      </c>
    </row>
    <row r="503" customFormat="false" ht="15" hidden="false" customHeight="false" outlineLevel="0" collapsed="false">
      <c r="A503" s="0" t="n">
        <v>502</v>
      </c>
      <c r="D503" s="0" t="s">
        <v>1195</v>
      </c>
      <c r="E503" s="0" t="s">
        <v>20</v>
      </c>
      <c r="H503" s="0" t="s">
        <v>21</v>
      </c>
      <c r="I503" s="2" t="s">
        <v>22</v>
      </c>
      <c r="J503" s="2" t="s">
        <v>854</v>
      </c>
      <c r="K503" s="0" t="s">
        <v>855</v>
      </c>
      <c r="L503" s="0" t="s">
        <v>25</v>
      </c>
      <c r="M503" s="0" t="s">
        <v>857</v>
      </c>
      <c r="N503" s="0" t="s">
        <v>1196</v>
      </c>
      <c r="O503" s="0" t="n">
        <v>1</v>
      </c>
      <c r="R503" s="3"/>
      <c r="S503" s="2" t="s">
        <v>28</v>
      </c>
    </row>
    <row r="504" customFormat="false" ht="15" hidden="false" customHeight="false" outlineLevel="0" collapsed="false">
      <c r="A504" s="0" t="n">
        <v>503</v>
      </c>
      <c r="D504" s="0" t="s">
        <v>1197</v>
      </c>
      <c r="E504" s="0" t="s">
        <v>253</v>
      </c>
      <c r="H504" s="0" t="s">
        <v>21</v>
      </c>
      <c r="I504" s="2" t="s">
        <v>22</v>
      </c>
      <c r="J504" s="2" t="s">
        <v>854</v>
      </c>
      <c r="K504" s="0" t="s">
        <v>855</v>
      </c>
      <c r="L504" s="0" t="s">
        <v>25</v>
      </c>
      <c r="M504" s="0" t="s">
        <v>857</v>
      </c>
      <c r="N504" s="0" t="s">
        <v>1198</v>
      </c>
      <c r="O504" s="0" t="n">
        <v>1</v>
      </c>
      <c r="P504" s="0" t="s">
        <v>253</v>
      </c>
      <c r="R504" s="3"/>
      <c r="S504" s="2" t="s">
        <v>28</v>
      </c>
    </row>
    <row r="505" customFormat="false" ht="15" hidden="false" customHeight="false" outlineLevel="0" collapsed="false">
      <c r="A505" s="0" t="n">
        <v>504</v>
      </c>
      <c r="D505" s="0" t="s">
        <v>1199</v>
      </c>
      <c r="E505" s="0" t="s">
        <v>20</v>
      </c>
      <c r="H505" s="0" t="s">
        <v>21</v>
      </c>
      <c r="I505" s="2" t="s">
        <v>22</v>
      </c>
      <c r="J505" s="2" t="s">
        <v>854</v>
      </c>
      <c r="K505" s="0" t="s">
        <v>855</v>
      </c>
      <c r="L505" s="0" t="s">
        <v>25</v>
      </c>
      <c r="M505" s="0" t="s">
        <v>857</v>
      </c>
      <c r="N505" s="0" t="s">
        <v>1200</v>
      </c>
      <c r="O505" s="0" t="n">
        <v>1</v>
      </c>
      <c r="R505" s="3"/>
      <c r="S505" s="2" t="s">
        <v>28</v>
      </c>
    </row>
    <row r="506" customFormat="false" ht="15" hidden="false" customHeight="false" outlineLevel="0" collapsed="false">
      <c r="A506" s="0" t="n">
        <v>505</v>
      </c>
      <c r="D506" s="0" t="s">
        <v>1201</v>
      </c>
      <c r="E506" s="0" t="s">
        <v>20</v>
      </c>
      <c r="H506" s="0" t="s">
        <v>21</v>
      </c>
      <c r="I506" s="2" t="s">
        <v>22</v>
      </c>
      <c r="J506" s="2" t="s">
        <v>854</v>
      </c>
      <c r="K506" s="0" t="s">
        <v>855</v>
      </c>
      <c r="L506" s="0" t="s">
        <v>25</v>
      </c>
      <c r="M506" s="0" t="s">
        <v>857</v>
      </c>
      <c r="N506" s="0" t="s">
        <v>1202</v>
      </c>
      <c r="O506" s="0" t="n">
        <v>1</v>
      </c>
      <c r="R506" s="3"/>
      <c r="S506" s="2" t="s">
        <v>28</v>
      </c>
    </row>
    <row r="507" customFormat="false" ht="15" hidden="false" customHeight="false" outlineLevel="0" collapsed="false">
      <c r="A507" s="0" t="n">
        <v>506</v>
      </c>
      <c r="D507" s="0" t="s">
        <v>1203</v>
      </c>
      <c r="E507" s="0" t="s">
        <v>20</v>
      </c>
      <c r="H507" s="0" t="s">
        <v>21</v>
      </c>
      <c r="I507" s="2" t="s">
        <v>22</v>
      </c>
      <c r="J507" s="2" t="s">
        <v>854</v>
      </c>
      <c r="K507" s="0" t="s">
        <v>855</v>
      </c>
      <c r="L507" s="0" t="s">
        <v>204</v>
      </c>
      <c r="M507" s="0" t="s">
        <v>857</v>
      </c>
      <c r="N507" s="0" t="s">
        <v>1204</v>
      </c>
      <c r="O507" s="0" t="n">
        <v>1</v>
      </c>
      <c r="P507" s="0" t="s">
        <v>206</v>
      </c>
      <c r="R507" s="3"/>
      <c r="S507" s="2" t="s">
        <v>28</v>
      </c>
    </row>
    <row r="508" customFormat="false" ht="15" hidden="false" customHeight="false" outlineLevel="0" collapsed="false">
      <c r="A508" s="0" t="n">
        <v>507</v>
      </c>
      <c r="D508" s="0" t="s">
        <v>1205</v>
      </c>
      <c r="E508" s="0" t="s">
        <v>20</v>
      </c>
      <c r="H508" s="0" t="s">
        <v>21</v>
      </c>
      <c r="I508" s="2" t="s">
        <v>22</v>
      </c>
      <c r="J508" s="2" t="s">
        <v>854</v>
      </c>
      <c r="K508" s="0" t="s">
        <v>855</v>
      </c>
      <c r="L508" s="0" t="s">
        <v>25</v>
      </c>
      <c r="M508" s="0" t="s">
        <v>857</v>
      </c>
      <c r="N508" s="0" t="s">
        <v>1206</v>
      </c>
      <c r="O508" s="0" t="n">
        <v>1</v>
      </c>
      <c r="R508" s="3"/>
      <c r="S508" s="2" t="s">
        <v>28</v>
      </c>
    </row>
    <row r="509" customFormat="false" ht="15" hidden="false" customHeight="false" outlineLevel="0" collapsed="false">
      <c r="A509" s="0" t="n">
        <v>508</v>
      </c>
      <c r="D509" s="0" t="s">
        <v>1207</v>
      </c>
      <c r="E509" s="0" t="s">
        <v>253</v>
      </c>
      <c r="H509" s="0" t="s">
        <v>21</v>
      </c>
      <c r="I509" s="2" t="s">
        <v>22</v>
      </c>
      <c r="J509" s="2" t="s">
        <v>854</v>
      </c>
      <c r="K509" s="0" t="s">
        <v>855</v>
      </c>
      <c r="L509" s="0" t="s">
        <v>1208</v>
      </c>
      <c r="M509" s="0" t="s">
        <v>857</v>
      </c>
      <c r="N509" s="0" t="s">
        <v>1209</v>
      </c>
      <c r="O509" s="0" t="n">
        <v>1</v>
      </c>
      <c r="P509" s="0" t="s">
        <v>253</v>
      </c>
      <c r="Q509" s="0" t="s">
        <v>1210</v>
      </c>
      <c r="R509" s="3"/>
      <c r="S509" s="2" t="s">
        <v>1211</v>
      </c>
    </row>
    <row r="510" customFormat="false" ht="15" hidden="false" customHeight="false" outlineLevel="0" collapsed="false">
      <c r="A510" s="0" t="n">
        <v>509</v>
      </c>
      <c r="D510" s="0" t="s">
        <v>1212</v>
      </c>
      <c r="E510" s="0" t="s">
        <v>20</v>
      </c>
      <c r="H510" s="0" t="s">
        <v>21</v>
      </c>
      <c r="I510" s="2" t="s">
        <v>22</v>
      </c>
      <c r="J510" s="2" t="s">
        <v>854</v>
      </c>
      <c r="K510" s="0" t="s">
        <v>855</v>
      </c>
      <c r="L510" s="0" t="s">
        <v>25</v>
      </c>
      <c r="M510" s="0" t="s">
        <v>857</v>
      </c>
      <c r="N510" s="0" t="s">
        <v>1213</v>
      </c>
      <c r="O510" s="0" t="n">
        <v>1</v>
      </c>
      <c r="R510" s="3"/>
      <c r="S510" s="2" t="s">
        <v>28</v>
      </c>
    </row>
    <row r="511" customFormat="false" ht="15" hidden="false" customHeight="false" outlineLevel="0" collapsed="false">
      <c r="A511" s="0" t="n">
        <v>510</v>
      </c>
      <c r="D511" s="0" t="s">
        <v>1214</v>
      </c>
      <c r="E511" s="0" t="s">
        <v>20</v>
      </c>
      <c r="H511" s="0" t="s">
        <v>21</v>
      </c>
      <c r="I511" s="2" t="s">
        <v>22</v>
      </c>
      <c r="J511" s="2" t="s">
        <v>854</v>
      </c>
      <c r="K511" s="0" t="s">
        <v>855</v>
      </c>
      <c r="L511" s="0" t="s">
        <v>25</v>
      </c>
      <c r="M511" s="0" t="s">
        <v>857</v>
      </c>
      <c r="N511" s="0" t="s">
        <v>1215</v>
      </c>
      <c r="O511" s="0" t="n">
        <v>1</v>
      </c>
      <c r="R511" s="3"/>
      <c r="S511" s="2" t="s">
        <v>28</v>
      </c>
    </row>
    <row r="512" customFormat="false" ht="15" hidden="false" customHeight="false" outlineLevel="0" collapsed="false">
      <c r="A512" s="0" t="n">
        <v>511</v>
      </c>
      <c r="D512" s="0" t="s">
        <v>1216</v>
      </c>
      <c r="E512" s="0" t="s">
        <v>20</v>
      </c>
      <c r="H512" s="0" t="s">
        <v>21</v>
      </c>
      <c r="I512" s="2" t="s">
        <v>22</v>
      </c>
      <c r="J512" s="2" t="s">
        <v>854</v>
      </c>
      <c r="K512" s="0" t="s">
        <v>855</v>
      </c>
      <c r="L512" s="0" t="s">
        <v>1217</v>
      </c>
      <c r="M512" s="0" t="s">
        <v>857</v>
      </c>
      <c r="N512" s="0" t="s">
        <v>1218</v>
      </c>
      <c r="O512" s="0" t="n">
        <v>1</v>
      </c>
      <c r="Q512" s="0" t="s">
        <v>1219</v>
      </c>
      <c r="R512" s="3"/>
      <c r="S512" s="2" t="s">
        <v>1220</v>
      </c>
    </row>
    <row r="513" customFormat="false" ht="15" hidden="false" customHeight="false" outlineLevel="0" collapsed="false">
      <c r="A513" s="0" t="n">
        <v>512</v>
      </c>
      <c r="D513" s="0" t="s">
        <v>1221</v>
      </c>
      <c r="E513" s="0" t="s">
        <v>287</v>
      </c>
      <c r="H513" s="0" t="s">
        <v>21</v>
      </c>
      <c r="I513" s="2" t="s">
        <v>22</v>
      </c>
      <c r="J513" s="2" t="s">
        <v>854</v>
      </c>
      <c r="K513" s="0" t="s">
        <v>855</v>
      </c>
      <c r="L513" s="0" t="s">
        <v>25</v>
      </c>
      <c r="M513" s="0" t="s">
        <v>857</v>
      </c>
      <c r="N513" s="0" t="s">
        <v>1222</v>
      </c>
      <c r="O513" s="0" t="n">
        <v>1</v>
      </c>
      <c r="P513" s="0" t="s">
        <v>287</v>
      </c>
      <c r="R513" s="3"/>
      <c r="S513" s="2" t="s">
        <v>28</v>
      </c>
    </row>
    <row r="514" customFormat="false" ht="15" hidden="false" customHeight="false" outlineLevel="0" collapsed="false">
      <c r="A514" s="0" t="n">
        <v>513</v>
      </c>
      <c r="D514" s="0" t="s">
        <v>1223</v>
      </c>
      <c r="E514" s="0" t="s">
        <v>20</v>
      </c>
      <c r="H514" s="0" t="s">
        <v>21</v>
      </c>
      <c r="I514" s="2" t="s">
        <v>22</v>
      </c>
      <c r="J514" s="2" t="s">
        <v>854</v>
      </c>
      <c r="K514" s="0" t="s">
        <v>855</v>
      </c>
      <c r="L514" s="0" t="s">
        <v>1224</v>
      </c>
      <c r="M514" s="0" t="s">
        <v>857</v>
      </c>
      <c r="N514" s="0" t="s">
        <v>1225</v>
      </c>
      <c r="O514" s="0" t="n">
        <v>1</v>
      </c>
      <c r="Q514" s="0" t="s">
        <v>1226</v>
      </c>
      <c r="R514" s="3"/>
      <c r="S514" s="2" t="s">
        <v>1227</v>
      </c>
    </row>
    <row r="515" customFormat="false" ht="15" hidden="false" customHeight="false" outlineLevel="0" collapsed="false">
      <c r="A515" s="0" t="n">
        <v>514</v>
      </c>
      <c r="D515" s="0" t="s">
        <v>1228</v>
      </c>
      <c r="E515" s="0" t="s">
        <v>20</v>
      </c>
      <c r="H515" s="0" t="s">
        <v>21</v>
      </c>
      <c r="I515" s="2" t="s">
        <v>22</v>
      </c>
      <c r="J515" s="2" t="s">
        <v>854</v>
      </c>
      <c r="K515" s="0" t="s">
        <v>855</v>
      </c>
      <c r="L515" s="0" t="s">
        <v>25</v>
      </c>
      <c r="M515" s="0" t="s">
        <v>857</v>
      </c>
      <c r="N515" s="0" t="s">
        <v>1229</v>
      </c>
      <c r="O515" s="0" t="n">
        <v>1</v>
      </c>
      <c r="R515" s="3"/>
      <c r="S515" s="2" t="s">
        <v>28</v>
      </c>
    </row>
    <row r="516" customFormat="false" ht="15" hidden="false" customHeight="false" outlineLevel="0" collapsed="false">
      <c r="A516" s="0" t="n">
        <v>515</v>
      </c>
      <c r="D516" s="0" t="s">
        <v>1230</v>
      </c>
      <c r="E516" s="0" t="s">
        <v>20</v>
      </c>
      <c r="H516" s="0" t="s">
        <v>21</v>
      </c>
      <c r="I516" s="2" t="s">
        <v>22</v>
      </c>
      <c r="J516" s="2" t="s">
        <v>854</v>
      </c>
      <c r="K516" s="0" t="s">
        <v>855</v>
      </c>
      <c r="L516" s="0" t="s">
        <v>25</v>
      </c>
      <c r="M516" s="0" t="s">
        <v>857</v>
      </c>
      <c r="N516" s="0" t="s">
        <v>1231</v>
      </c>
      <c r="O516" s="0" t="n">
        <v>1</v>
      </c>
      <c r="R516" s="3"/>
      <c r="S516" s="2" t="s">
        <v>28</v>
      </c>
    </row>
    <row r="517" customFormat="false" ht="15" hidden="false" customHeight="false" outlineLevel="0" collapsed="false">
      <c r="A517" s="0" t="n">
        <v>516</v>
      </c>
      <c r="D517" s="0" t="s">
        <v>1232</v>
      </c>
      <c r="E517" s="0" t="s">
        <v>20</v>
      </c>
      <c r="H517" s="0" t="s">
        <v>21</v>
      </c>
      <c r="I517" s="2" t="s">
        <v>22</v>
      </c>
      <c r="J517" s="2" t="s">
        <v>854</v>
      </c>
      <c r="K517" s="0" t="s">
        <v>855</v>
      </c>
      <c r="L517" s="0" t="s">
        <v>25</v>
      </c>
      <c r="M517" s="0" t="s">
        <v>857</v>
      </c>
      <c r="N517" s="0" t="s">
        <v>1233</v>
      </c>
      <c r="O517" s="0" t="n">
        <v>1</v>
      </c>
      <c r="R517" s="3"/>
      <c r="S517" s="2" t="s">
        <v>28</v>
      </c>
    </row>
    <row r="518" customFormat="false" ht="15" hidden="false" customHeight="false" outlineLevel="0" collapsed="false">
      <c r="A518" s="0" t="n">
        <v>517</v>
      </c>
      <c r="D518" s="0" t="s">
        <v>1234</v>
      </c>
      <c r="E518" s="0" t="s">
        <v>20</v>
      </c>
      <c r="H518" s="0" t="s">
        <v>21</v>
      </c>
      <c r="I518" s="2" t="s">
        <v>22</v>
      </c>
      <c r="J518" s="2" t="s">
        <v>854</v>
      </c>
      <c r="K518" s="0" t="s">
        <v>855</v>
      </c>
      <c r="L518" s="0" t="s">
        <v>25</v>
      </c>
      <c r="M518" s="0" t="s">
        <v>857</v>
      </c>
      <c r="N518" s="0" t="s">
        <v>1235</v>
      </c>
      <c r="O518" s="0" t="n">
        <v>1</v>
      </c>
      <c r="R518" s="3"/>
      <c r="S518" s="2" t="s">
        <v>28</v>
      </c>
    </row>
    <row r="519" customFormat="false" ht="15" hidden="false" customHeight="false" outlineLevel="0" collapsed="false">
      <c r="A519" s="0" t="n">
        <v>518</v>
      </c>
      <c r="D519" s="0" t="s">
        <v>1236</v>
      </c>
      <c r="E519" s="0" t="s">
        <v>20</v>
      </c>
      <c r="H519" s="0" t="s">
        <v>21</v>
      </c>
      <c r="I519" s="2" t="s">
        <v>22</v>
      </c>
      <c r="J519" s="2" t="s">
        <v>854</v>
      </c>
      <c r="K519" s="0" t="s">
        <v>855</v>
      </c>
      <c r="L519" s="0" t="s">
        <v>25</v>
      </c>
      <c r="M519" s="0" t="s">
        <v>857</v>
      </c>
      <c r="N519" s="0" t="s">
        <v>1237</v>
      </c>
      <c r="O519" s="0" t="n">
        <v>1</v>
      </c>
      <c r="R519" s="3"/>
      <c r="S519" s="2" t="s">
        <v>28</v>
      </c>
    </row>
    <row r="520" customFormat="false" ht="15" hidden="false" customHeight="false" outlineLevel="0" collapsed="false">
      <c r="A520" s="0" t="n">
        <v>519</v>
      </c>
      <c r="D520" s="0" t="s">
        <v>1238</v>
      </c>
      <c r="E520" s="0" t="s">
        <v>20</v>
      </c>
      <c r="H520" s="0" t="s">
        <v>21</v>
      </c>
      <c r="I520" s="2" t="s">
        <v>22</v>
      </c>
      <c r="J520" s="2" t="s">
        <v>854</v>
      </c>
      <c r="K520" s="0" t="s">
        <v>855</v>
      </c>
      <c r="L520" s="0" t="s">
        <v>25</v>
      </c>
      <c r="M520" s="0" t="s">
        <v>857</v>
      </c>
      <c r="N520" s="0" t="s">
        <v>1239</v>
      </c>
      <c r="O520" s="0" t="n">
        <v>1</v>
      </c>
      <c r="R520" s="3"/>
      <c r="S520" s="2" t="s">
        <v>28</v>
      </c>
    </row>
    <row r="521" customFormat="false" ht="15" hidden="false" customHeight="false" outlineLevel="0" collapsed="false">
      <c r="A521" s="0" t="n">
        <v>520</v>
      </c>
      <c r="D521" s="0" t="s">
        <v>1240</v>
      </c>
      <c r="E521" s="0" t="s">
        <v>20</v>
      </c>
      <c r="H521" s="0" t="s">
        <v>21</v>
      </c>
      <c r="I521" s="2" t="s">
        <v>22</v>
      </c>
      <c r="J521" s="2" t="s">
        <v>854</v>
      </c>
      <c r="K521" s="0" t="s">
        <v>855</v>
      </c>
      <c r="L521" s="0" t="s">
        <v>25</v>
      </c>
      <c r="M521" s="0" t="s">
        <v>857</v>
      </c>
      <c r="N521" s="0" t="s">
        <v>1241</v>
      </c>
      <c r="O521" s="0" t="n">
        <v>1</v>
      </c>
      <c r="R521" s="3"/>
      <c r="S521" s="2" t="s">
        <v>28</v>
      </c>
    </row>
    <row r="522" customFormat="false" ht="15" hidden="false" customHeight="false" outlineLevel="0" collapsed="false">
      <c r="A522" s="0" t="n">
        <v>521</v>
      </c>
      <c r="D522" s="0" t="s">
        <v>1242</v>
      </c>
      <c r="E522" s="0" t="s">
        <v>20</v>
      </c>
      <c r="H522" s="0" t="s">
        <v>21</v>
      </c>
      <c r="I522" s="2" t="s">
        <v>22</v>
      </c>
      <c r="J522" s="2" t="s">
        <v>854</v>
      </c>
      <c r="K522" s="0" t="s">
        <v>855</v>
      </c>
      <c r="L522" s="0" t="s">
        <v>25</v>
      </c>
      <c r="M522" s="0" t="s">
        <v>857</v>
      </c>
      <c r="N522" s="0" t="s">
        <v>1243</v>
      </c>
      <c r="O522" s="0" t="n">
        <v>1</v>
      </c>
      <c r="R522" s="3"/>
      <c r="S522" s="2" t="s">
        <v>28</v>
      </c>
    </row>
    <row r="523" customFormat="false" ht="15" hidden="false" customHeight="false" outlineLevel="0" collapsed="false">
      <c r="A523" s="0" t="n">
        <v>522</v>
      </c>
      <c r="D523" s="0" t="s">
        <v>1244</v>
      </c>
      <c r="E523" s="0" t="s">
        <v>20</v>
      </c>
      <c r="H523" s="0" t="s">
        <v>21</v>
      </c>
      <c r="I523" s="2" t="s">
        <v>22</v>
      </c>
      <c r="J523" s="2" t="s">
        <v>854</v>
      </c>
      <c r="K523" s="0" t="s">
        <v>855</v>
      </c>
      <c r="L523" s="0" t="s">
        <v>25</v>
      </c>
      <c r="M523" s="0" t="s">
        <v>857</v>
      </c>
      <c r="N523" s="0" t="s">
        <v>1194</v>
      </c>
      <c r="O523" s="0" t="n">
        <v>1</v>
      </c>
      <c r="R523" s="3"/>
      <c r="S523" s="2" t="s">
        <v>28</v>
      </c>
    </row>
    <row r="524" customFormat="false" ht="15" hidden="false" customHeight="false" outlineLevel="0" collapsed="false">
      <c r="A524" s="0" t="n">
        <v>523</v>
      </c>
      <c r="D524" s="0" t="s">
        <v>1245</v>
      </c>
      <c r="E524" s="0" t="s">
        <v>20</v>
      </c>
      <c r="H524" s="0" t="s">
        <v>21</v>
      </c>
      <c r="I524" s="2" t="s">
        <v>22</v>
      </c>
      <c r="J524" s="2" t="s">
        <v>854</v>
      </c>
      <c r="K524" s="0" t="s">
        <v>855</v>
      </c>
      <c r="L524" s="0" t="s">
        <v>1246</v>
      </c>
      <c r="M524" s="0" t="s">
        <v>857</v>
      </c>
      <c r="N524" s="0" t="s">
        <v>1247</v>
      </c>
      <c r="O524" s="0" t="n">
        <v>1</v>
      </c>
      <c r="Q524" s="0" t="s">
        <v>1248</v>
      </c>
      <c r="R524" s="3"/>
      <c r="S524" s="2" t="s">
        <v>1249</v>
      </c>
    </row>
    <row r="525" customFormat="false" ht="15" hidden="false" customHeight="false" outlineLevel="0" collapsed="false">
      <c r="A525" s="0" t="n">
        <v>524</v>
      </c>
      <c r="D525" s="0" t="s">
        <v>1250</v>
      </c>
      <c r="E525" s="0" t="s">
        <v>20</v>
      </c>
      <c r="H525" s="0" t="s">
        <v>21</v>
      </c>
      <c r="I525" s="2" t="s">
        <v>22</v>
      </c>
      <c r="J525" s="2" t="s">
        <v>854</v>
      </c>
      <c r="K525" s="0" t="s">
        <v>855</v>
      </c>
      <c r="L525" s="0" t="s">
        <v>25</v>
      </c>
      <c r="M525" s="0" t="s">
        <v>857</v>
      </c>
      <c r="N525" s="0" t="s">
        <v>1251</v>
      </c>
      <c r="O525" s="0" t="n">
        <v>1</v>
      </c>
      <c r="R525" s="3"/>
      <c r="S525" s="2" t="s">
        <v>28</v>
      </c>
    </row>
    <row r="526" customFormat="false" ht="15" hidden="false" customHeight="false" outlineLevel="0" collapsed="false">
      <c r="A526" s="0" t="n">
        <v>525</v>
      </c>
      <c r="D526" s="0" t="s">
        <v>1252</v>
      </c>
      <c r="E526" s="0" t="s">
        <v>20</v>
      </c>
      <c r="H526" s="0" t="s">
        <v>21</v>
      </c>
      <c r="I526" s="2" t="s">
        <v>22</v>
      </c>
      <c r="J526" s="2" t="s">
        <v>854</v>
      </c>
      <c r="K526" s="0" t="s">
        <v>855</v>
      </c>
      <c r="L526" s="0" t="s">
        <v>25</v>
      </c>
      <c r="M526" s="0" t="s">
        <v>857</v>
      </c>
      <c r="N526" s="0" t="s">
        <v>1253</v>
      </c>
      <c r="O526" s="0" t="n">
        <v>1</v>
      </c>
      <c r="R526" s="3"/>
      <c r="S526" s="2" t="s">
        <v>28</v>
      </c>
    </row>
    <row r="527" customFormat="false" ht="15" hidden="false" customHeight="false" outlineLevel="0" collapsed="false">
      <c r="A527" s="0" t="n">
        <v>526</v>
      </c>
      <c r="D527" s="0" t="s">
        <v>1254</v>
      </c>
      <c r="E527" s="0" t="s">
        <v>68</v>
      </c>
      <c r="H527" s="0" t="s">
        <v>21</v>
      </c>
      <c r="I527" s="2" t="s">
        <v>22</v>
      </c>
      <c r="J527" s="2" t="s">
        <v>854</v>
      </c>
      <c r="K527" s="0" t="s">
        <v>855</v>
      </c>
      <c r="L527" s="0" t="s">
        <v>25</v>
      </c>
      <c r="M527" s="0" t="s">
        <v>857</v>
      </c>
      <c r="N527" s="0" t="s">
        <v>1255</v>
      </c>
      <c r="O527" s="0" t="n">
        <v>1</v>
      </c>
      <c r="P527" s="0" t="s">
        <v>68</v>
      </c>
      <c r="R527" s="3"/>
      <c r="S527" s="2" t="s">
        <v>28</v>
      </c>
    </row>
    <row r="528" customFormat="false" ht="15" hidden="false" customHeight="false" outlineLevel="0" collapsed="false">
      <c r="A528" s="0" t="n">
        <v>527</v>
      </c>
      <c r="D528" s="0" t="s">
        <v>1256</v>
      </c>
      <c r="E528" s="0" t="s">
        <v>20</v>
      </c>
      <c r="H528" s="0" t="s">
        <v>21</v>
      </c>
      <c r="I528" s="2" t="s">
        <v>22</v>
      </c>
      <c r="J528" s="2" t="s">
        <v>854</v>
      </c>
      <c r="K528" s="0" t="s">
        <v>855</v>
      </c>
      <c r="L528" s="0" t="s">
        <v>25</v>
      </c>
      <c r="M528" s="0" t="s">
        <v>857</v>
      </c>
      <c r="N528" s="0" t="s">
        <v>1257</v>
      </c>
      <c r="O528" s="0" t="n">
        <v>1</v>
      </c>
      <c r="R528" s="3"/>
      <c r="S528" s="2" t="s">
        <v>28</v>
      </c>
    </row>
    <row r="529" customFormat="false" ht="15" hidden="false" customHeight="false" outlineLevel="0" collapsed="false">
      <c r="A529" s="0" t="n">
        <v>528</v>
      </c>
      <c r="D529" s="0" t="s">
        <v>1258</v>
      </c>
      <c r="E529" s="0" t="s">
        <v>829</v>
      </c>
      <c r="H529" s="0" t="s">
        <v>21</v>
      </c>
      <c r="I529" s="2" t="s">
        <v>22</v>
      </c>
      <c r="J529" s="2" t="s">
        <v>854</v>
      </c>
      <c r="K529" s="0" t="s">
        <v>855</v>
      </c>
      <c r="L529" s="0" t="s">
        <v>25</v>
      </c>
      <c r="M529" s="0" t="s">
        <v>857</v>
      </c>
      <c r="N529" s="0" t="s">
        <v>1259</v>
      </c>
      <c r="O529" s="0" t="n">
        <v>1</v>
      </c>
      <c r="P529" s="0" t="s">
        <v>829</v>
      </c>
      <c r="R529" s="3"/>
      <c r="S529" s="2" t="s">
        <v>28</v>
      </c>
    </row>
    <row r="530" customFormat="false" ht="15" hidden="false" customHeight="false" outlineLevel="0" collapsed="false">
      <c r="A530" s="0" t="n">
        <v>529</v>
      </c>
      <c r="D530" s="0" t="s">
        <v>1260</v>
      </c>
      <c r="E530" s="0" t="s">
        <v>20</v>
      </c>
      <c r="H530" s="0" t="s">
        <v>21</v>
      </c>
      <c r="I530" s="2" t="s">
        <v>22</v>
      </c>
      <c r="J530" s="2" t="s">
        <v>854</v>
      </c>
      <c r="K530" s="0" t="s">
        <v>855</v>
      </c>
      <c r="L530" s="0" t="s">
        <v>25</v>
      </c>
      <c r="M530" s="0" t="s">
        <v>857</v>
      </c>
      <c r="N530" s="0" t="s">
        <v>1261</v>
      </c>
      <c r="O530" s="0" t="n">
        <v>1</v>
      </c>
      <c r="R530" s="3"/>
      <c r="S530" s="2" t="s">
        <v>28</v>
      </c>
    </row>
    <row r="531" customFormat="false" ht="15" hidden="false" customHeight="false" outlineLevel="0" collapsed="false">
      <c r="A531" s="0" t="n">
        <v>530</v>
      </c>
      <c r="D531" s="0" t="s">
        <v>1262</v>
      </c>
      <c r="E531" s="0" t="s">
        <v>287</v>
      </c>
      <c r="H531" s="0" t="s">
        <v>21</v>
      </c>
      <c r="I531" s="2" t="s">
        <v>22</v>
      </c>
      <c r="J531" s="2" t="s">
        <v>854</v>
      </c>
      <c r="K531" s="0" t="s">
        <v>855</v>
      </c>
      <c r="L531" s="0" t="s">
        <v>25</v>
      </c>
      <c r="M531" s="0" t="s">
        <v>857</v>
      </c>
      <c r="N531" s="0" t="s">
        <v>1263</v>
      </c>
      <c r="O531" s="0" t="n">
        <v>1</v>
      </c>
      <c r="P531" s="0" t="s">
        <v>287</v>
      </c>
      <c r="R531" s="3"/>
      <c r="S531" s="2" t="s">
        <v>28</v>
      </c>
    </row>
    <row r="532" customFormat="false" ht="15" hidden="false" customHeight="false" outlineLevel="0" collapsed="false">
      <c r="A532" s="0" t="n">
        <v>531</v>
      </c>
      <c r="D532" s="0" t="s">
        <v>1264</v>
      </c>
      <c r="E532" s="0" t="s">
        <v>20</v>
      </c>
      <c r="H532" s="0" t="s">
        <v>21</v>
      </c>
      <c r="I532" s="2" t="s">
        <v>22</v>
      </c>
      <c r="J532" s="2" t="s">
        <v>854</v>
      </c>
      <c r="K532" s="0" t="s">
        <v>855</v>
      </c>
      <c r="L532" s="0" t="s">
        <v>25</v>
      </c>
      <c r="M532" s="0" t="s">
        <v>857</v>
      </c>
      <c r="N532" s="0" t="s">
        <v>1265</v>
      </c>
      <c r="O532" s="0" t="n">
        <v>1</v>
      </c>
      <c r="R532" s="3"/>
      <c r="S532" s="2" t="s">
        <v>28</v>
      </c>
    </row>
    <row r="533" customFormat="false" ht="15" hidden="false" customHeight="false" outlineLevel="0" collapsed="false">
      <c r="A533" s="0" t="n">
        <v>532</v>
      </c>
      <c r="D533" s="0" t="s">
        <v>1266</v>
      </c>
      <c r="E533" s="0" t="s">
        <v>210</v>
      </c>
      <c r="H533" s="0" t="s">
        <v>21</v>
      </c>
      <c r="I533" s="2" t="s">
        <v>22</v>
      </c>
      <c r="J533" s="2" t="s">
        <v>854</v>
      </c>
      <c r="K533" s="0" t="s">
        <v>855</v>
      </c>
      <c r="L533" s="0" t="s">
        <v>25</v>
      </c>
      <c r="M533" s="0" t="s">
        <v>857</v>
      </c>
      <c r="N533" s="0" t="s">
        <v>1267</v>
      </c>
      <c r="O533" s="0" t="n">
        <v>1</v>
      </c>
      <c r="P533" s="0" t="s">
        <v>210</v>
      </c>
      <c r="R533" s="3"/>
      <c r="S533" s="2" t="s">
        <v>28</v>
      </c>
    </row>
    <row r="534" customFormat="false" ht="15" hidden="false" customHeight="false" outlineLevel="0" collapsed="false">
      <c r="A534" s="0" t="n">
        <v>533</v>
      </c>
      <c r="D534" s="0" t="s">
        <v>1268</v>
      </c>
      <c r="E534" s="0" t="s">
        <v>73</v>
      </c>
      <c r="H534" s="0" t="s">
        <v>21</v>
      </c>
      <c r="I534" s="2" t="s">
        <v>22</v>
      </c>
      <c r="J534" s="2" t="s">
        <v>854</v>
      </c>
      <c r="K534" s="0" t="s">
        <v>855</v>
      </c>
      <c r="L534" s="0" t="s">
        <v>1269</v>
      </c>
      <c r="M534" s="0" t="s">
        <v>857</v>
      </c>
      <c r="N534" s="0" t="s">
        <v>1270</v>
      </c>
      <c r="O534" s="0" t="n">
        <v>1</v>
      </c>
      <c r="P534" s="0" t="s">
        <v>73</v>
      </c>
      <c r="Q534" s="0" t="s">
        <v>1271</v>
      </c>
      <c r="R534" s="3"/>
      <c r="S534" s="2" t="s">
        <v>1272</v>
      </c>
    </row>
    <row r="535" customFormat="false" ht="15" hidden="false" customHeight="false" outlineLevel="0" collapsed="false">
      <c r="A535" s="0" t="n">
        <v>534</v>
      </c>
      <c r="D535" s="0" t="s">
        <v>1273</v>
      </c>
      <c r="E535" s="0" t="s">
        <v>20</v>
      </c>
      <c r="H535" s="0" t="s">
        <v>21</v>
      </c>
      <c r="I535" s="2" t="s">
        <v>22</v>
      </c>
      <c r="J535" s="2" t="s">
        <v>854</v>
      </c>
      <c r="K535" s="0" t="s">
        <v>855</v>
      </c>
      <c r="L535" s="0" t="s">
        <v>25</v>
      </c>
      <c r="M535" s="0" t="s">
        <v>857</v>
      </c>
      <c r="N535" s="0" t="s">
        <v>1274</v>
      </c>
      <c r="O535" s="0" t="n">
        <v>1</v>
      </c>
      <c r="R535" s="3"/>
      <c r="S535" s="2" t="s">
        <v>28</v>
      </c>
    </row>
    <row r="536" customFormat="false" ht="15" hidden="false" customHeight="false" outlineLevel="0" collapsed="false">
      <c r="A536" s="0" t="n">
        <v>535</v>
      </c>
      <c r="D536" s="0" t="s">
        <v>1275</v>
      </c>
      <c r="E536" s="0" t="s">
        <v>20</v>
      </c>
      <c r="H536" s="0" t="s">
        <v>21</v>
      </c>
      <c r="I536" s="2" t="s">
        <v>22</v>
      </c>
      <c r="J536" s="2" t="s">
        <v>854</v>
      </c>
      <c r="K536" s="0" t="s">
        <v>855</v>
      </c>
      <c r="L536" s="0" t="s">
        <v>420</v>
      </c>
      <c r="M536" s="0" t="s">
        <v>857</v>
      </c>
      <c r="N536" s="0" t="s">
        <v>1276</v>
      </c>
      <c r="O536" s="0" t="n">
        <v>1</v>
      </c>
      <c r="P536" s="0" t="s">
        <v>422</v>
      </c>
      <c r="R536" s="3"/>
      <c r="S536" s="2" t="s">
        <v>28</v>
      </c>
    </row>
    <row r="537" customFormat="false" ht="15" hidden="false" customHeight="false" outlineLevel="0" collapsed="false">
      <c r="A537" s="0" t="n">
        <v>536</v>
      </c>
      <c r="D537" s="0" t="s">
        <v>1277</v>
      </c>
      <c r="E537" s="0" t="s">
        <v>20</v>
      </c>
      <c r="H537" s="0" t="s">
        <v>21</v>
      </c>
      <c r="I537" s="2" t="s">
        <v>22</v>
      </c>
      <c r="J537" s="2" t="s">
        <v>854</v>
      </c>
      <c r="K537" s="0" t="s">
        <v>855</v>
      </c>
      <c r="L537" s="0" t="s">
        <v>420</v>
      </c>
      <c r="M537" s="0" t="s">
        <v>857</v>
      </c>
      <c r="N537" s="0" t="s">
        <v>1278</v>
      </c>
      <c r="O537" s="0" t="n">
        <v>1</v>
      </c>
      <c r="P537" s="0" t="s">
        <v>422</v>
      </c>
      <c r="R537" s="3"/>
      <c r="S537" s="2" t="s">
        <v>28</v>
      </c>
    </row>
    <row r="538" customFormat="false" ht="15" hidden="false" customHeight="false" outlineLevel="0" collapsed="false">
      <c r="A538" s="0" t="n">
        <v>537</v>
      </c>
      <c r="D538" s="0" t="s">
        <v>1279</v>
      </c>
      <c r="E538" s="0" t="s">
        <v>20</v>
      </c>
      <c r="H538" s="0" t="s">
        <v>21</v>
      </c>
      <c r="I538" s="2" t="s">
        <v>22</v>
      </c>
      <c r="J538" s="2" t="s">
        <v>854</v>
      </c>
      <c r="K538" s="0" t="s">
        <v>855</v>
      </c>
      <c r="L538" s="0" t="s">
        <v>25</v>
      </c>
      <c r="M538" s="0" t="s">
        <v>857</v>
      </c>
      <c r="N538" s="0" t="s">
        <v>1280</v>
      </c>
      <c r="O538" s="0" t="n">
        <v>1</v>
      </c>
      <c r="R538" s="3"/>
      <c r="S538" s="2" t="s">
        <v>28</v>
      </c>
    </row>
    <row r="539" customFormat="false" ht="15" hidden="false" customHeight="false" outlineLevel="0" collapsed="false">
      <c r="A539" s="0" t="n">
        <v>538</v>
      </c>
      <c r="D539" s="0" t="s">
        <v>1281</v>
      </c>
      <c r="E539" s="0" t="s">
        <v>73</v>
      </c>
      <c r="H539" s="0" t="s">
        <v>21</v>
      </c>
      <c r="I539" s="2" t="s">
        <v>22</v>
      </c>
      <c r="J539" s="2" t="s">
        <v>854</v>
      </c>
      <c r="K539" s="0" t="s">
        <v>855</v>
      </c>
      <c r="L539" s="0" t="s">
        <v>1282</v>
      </c>
      <c r="M539" s="0" t="s">
        <v>857</v>
      </c>
      <c r="N539" s="0" t="s">
        <v>1283</v>
      </c>
      <c r="O539" s="0" t="n">
        <v>1</v>
      </c>
      <c r="P539" s="0" t="s">
        <v>73</v>
      </c>
      <c r="Q539" s="0" t="s">
        <v>1284</v>
      </c>
      <c r="R539" s="3"/>
      <c r="S539" s="2" t="s">
        <v>1285</v>
      </c>
    </row>
    <row r="540" customFormat="false" ht="15" hidden="false" customHeight="false" outlineLevel="0" collapsed="false">
      <c r="A540" s="0" t="n">
        <v>539</v>
      </c>
      <c r="D540" s="0" t="s">
        <v>1286</v>
      </c>
      <c r="E540" s="0" t="s">
        <v>20</v>
      </c>
      <c r="H540" s="0" t="s">
        <v>21</v>
      </c>
      <c r="I540" s="2" t="s">
        <v>22</v>
      </c>
      <c r="J540" s="2" t="s">
        <v>854</v>
      </c>
      <c r="K540" s="0" t="s">
        <v>855</v>
      </c>
      <c r="L540" s="0" t="s">
        <v>25</v>
      </c>
      <c r="M540" s="0" t="s">
        <v>857</v>
      </c>
      <c r="N540" s="0" t="s">
        <v>1083</v>
      </c>
      <c r="O540" s="0" t="n">
        <v>1</v>
      </c>
      <c r="R540" s="3"/>
      <c r="S540" s="2" t="s">
        <v>28</v>
      </c>
    </row>
    <row r="541" customFormat="false" ht="15" hidden="false" customHeight="false" outlineLevel="0" collapsed="false">
      <c r="A541" s="0" t="n">
        <v>540</v>
      </c>
      <c r="D541" s="0" t="s">
        <v>1287</v>
      </c>
      <c r="E541" s="0" t="s">
        <v>20</v>
      </c>
      <c r="H541" s="0" t="s">
        <v>21</v>
      </c>
      <c r="I541" s="2" t="s">
        <v>22</v>
      </c>
      <c r="J541" s="2" t="s">
        <v>854</v>
      </c>
      <c r="K541" s="0" t="s">
        <v>855</v>
      </c>
      <c r="L541" s="0" t="s">
        <v>25</v>
      </c>
      <c r="M541" s="0" t="s">
        <v>857</v>
      </c>
      <c r="N541" s="0" t="s">
        <v>1288</v>
      </c>
      <c r="O541" s="0" t="n">
        <v>1</v>
      </c>
      <c r="R541" s="3"/>
      <c r="S541" s="2" t="s">
        <v>28</v>
      </c>
    </row>
    <row r="542" customFormat="false" ht="15" hidden="false" customHeight="false" outlineLevel="0" collapsed="false">
      <c r="A542" s="0" t="n">
        <v>541</v>
      </c>
      <c r="D542" s="0" t="s">
        <v>1289</v>
      </c>
      <c r="E542" s="0" t="s">
        <v>20</v>
      </c>
      <c r="H542" s="0" t="s">
        <v>21</v>
      </c>
      <c r="I542" s="2" t="s">
        <v>22</v>
      </c>
      <c r="J542" s="2" t="s">
        <v>854</v>
      </c>
      <c r="K542" s="0" t="s">
        <v>855</v>
      </c>
      <c r="L542" s="0" t="s">
        <v>25</v>
      </c>
      <c r="M542" s="0" t="s">
        <v>857</v>
      </c>
      <c r="N542" s="0" t="s">
        <v>1290</v>
      </c>
      <c r="O542" s="0" t="n">
        <v>1</v>
      </c>
      <c r="R542" s="3"/>
      <c r="S542" s="2" t="s">
        <v>28</v>
      </c>
    </row>
    <row r="543" customFormat="false" ht="15" hidden="false" customHeight="false" outlineLevel="0" collapsed="false">
      <c r="A543" s="0" t="n">
        <v>542</v>
      </c>
      <c r="D543" s="0" t="s">
        <v>1291</v>
      </c>
      <c r="E543" s="0" t="s">
        <v>173</v>
      </c>
      <c r="H543" s="0" t="s">
        <v>21</v>
      </c>
      <c r="I543" s="2" t="s">
        <v>22</v>
      </c>
      <c r="J543" s="2" t="s">
        <v>854</v>
      </c>
      <c r="K543" s="0" t="s">
        <v>855</v>
      </c>
      <c r="L543" s="0" t="s">
        <v>25</v>
      </c>
      <c r="M543" s="0" t="s">
        <v>857</v>
      </c>
      <c r="N543" s="0" t="s">
        <v>1292</v>
      </c>
      <c r="O543" s="0" t="n">
        <v>1</v>
      </c>
      <c r="P543" s="0" t="s">
        <v>173</v>
      </c>
      <c r="R543" s="3"/>
      <c r="S543" s="2" t="s">
        <v>28</v>
      </c>
    </row>
    <row r="544" customFormat="false" ht="15" hidden="false" customHeight="false" outlineLevel="0" collapsed="false">
      <c r="A544" s="0" t="n">
        <v>543</v>
      </c>
      <c r="D544" s="0" t="s">
        <v>1293</v>
      </c>
      <c r="E544" s="0" t="s">
        <v>20</v>
      </c>
      <c r="H544" s="0" t="s">
        <v>21</v>
      </c>
      <c r="I544" s="2" t="s">
        <v>22</v>
      </c>
      <c r="J544" s="2" t="s">
        <v>854</v>
      </c>
      <c r="K544" s="0" t="s">
        <v>855</v>
      </c>
      <c r="L544" s="0" t="s">
        <v>25</v>
      </c>
      <c r="M544" s="0" t="s">
        <v>857</v>
      </c>
      <c r="N544" s="0" t="s">
        <v>1294</v>
      </c>
      <c r="O544" s="0" t="n">
        <v>1</v>
      </c>
      <c r="R544" s="3"/>
      <c r="S544" s="2" t="s">
        <v>28</v>
      </c>
    </row>
    <row r="545" customFormat="false" ht="15" hidden="false" customHeight="false" outlineLevel="0" collapsed="false">
      <c r="A545" s="0" t="n">
        <v>544</v>
      </c>
      <c r="D545" s="0" t="s">
        <v>1295</v>
      </c>
      <c r="E545" s="0" t="s">
        <v>20</v>
      </c>
      <c r="H545" s="0" t="s">
        <v>21</v>
      </c>
      <c r="I545" s="2" t="s">
        <v>22</v>
      </c>
      <c r="J545" s="2" t="s">
        <v>854</v>
      </c>
      <c r="K545" s="0" t="s">
        <v>855</v>
      </c>
      <c r="L545" s="0" t="s">
        <v>25</v>
      </c>
      <c r="M545" s="0" t="s">
        <v>857</v>
      </c>
      <c r="N545" s="0" t="s">
        <v>1296</v>
      </c>
      <c r="O545" s="0" t="n">
        <v>1</v>
      </c>
      <c r="R545" s="3"/>
      <c r="S545" s="2" t="s">
        <v>28</v>
      </c>
    </row>
    <row r="546" customFormat="false" ht="15" hidden="false" customHeight="false" outlineLevel="0" collapsed="false">
      <c r="A546" s="0" t="n">
        <v>545</v>
      </c>
      <c r="D546" s="0" t="s">
        <v>1297</v>
      </c>
      <c r="E546" s="0" t="s">
        <v>20</v>
      </c>
      <c r="H546" s="0" t="s">
        <v>21</v>
      </c>
      <c r="I546" s="2" t="s">
        <v>22</v>
      </c>
      <c r="J546" s="2" t="s">
        <v>854</v>
      </c>
      <c r="K546" s="0" t="s">
        <v>855</v>
      </c>
      <c r="L546" s="0" t="s">
        <v>1298</v>
      </c>
      <c r="M546" s="0" t="s">
        <v>857</v>
      </c>
      <c r="N546" s="0" t="s">
        <v>1299</v>
      </c>
      <c r="O546" s="0" t="n">
        <v>1</v>
      </c>
      <c r="Q546" s="0" t="s">
        <v>1300</v>
      </c>
      <c r="R546" s="3"/>
      <c r="S546" s="2" t="s">
        <v>1301</v>
      </c>
    </row>
    <row r="547" customFormat="false" ht="15" hidden="false" customHeight="false" outlineLevel="0" collapsed="false">
      <c r="A547" s="0" t="n">
        <v>546</v>
      </c>
      <c r="D547" s="0" t="s">
        <v>1302</v>
      </c>
      <c r="E547" s="0" t="s">
        <v>20</v>
      </c>
      <c r="H547" s="0" t="s">
        <v>21</v>
      </c>
      <c r="I547" s="2" t="s">
        <v>22</v>
      </c>
      <c r="J547" s="2" t="s">
        <v>854</v>
      </c>
      <c r="K547" s="0" t="s">
        <v>855</v>
      </c>
      <c r="L547" s="0" t="s">
        <v>25</v>
      </c>
      <c r="M547" s="0" t="s">
        <v>857</v>
      </c>
      <c r="N547" s="0" t="s">
        <v>1303</v>
      </c>
      <c r="O547" s="0" t="n">
        <v>1</v>
      </c>
      <c r="R547" s="3"/>
      <c r="S547" s="2" t="s">
        <v>28</v>
      </c>
    </row>
    <row r="548" customFormat="false" ht="15" hidden="false" customHeight="false" outlineLevel="0" collapsed="false">
      <c r="A548" s="0" t="n">
        <v>547</v>
      </c>
      <c r="D548" s="0" t="s">
        <v>1304</v>
      </c>
      <c r="E548" s="0" t="s">
        <v>20</v>
      </c>
      <c r="H548" s="0" t="s">
        <v>21</v>
      </c>
      <c r="I548" s="2" t="s">
        <v>22</v>
      </c>
      <c r="J548" s="2" t="s">
        <v>854</v>
      </c>
      <c r="K548" s="0" t="s">
        <v>855</v>
      </c>
      <c r="L548" s="0" t="s">
        <v>25</v>
      </c>
      <c r="M548" s="0" t="s">
        <v>857</v>
      </c>
      <c r="N548" s="0" t="s">
        <v>1305</v>
      </c>
      <c r="O548" s="0" t="n">
        <v>1</v>
      </c>
      <c r="R548" s="3"/>
      <c r="S548" s="2" t="s">
        <v>28</v>
      </c>
    </row>
    <row r="549" customFormat="false" ht="15" hidden="false" customHeight="false" outlineLevel="0" collapsed="false">
      <c r="A549" s="0" t="n">
        <v>548</v>
      </c>
      <c r="D549" s="0" t="s">
        <v>1306</v>
      </c>
      <c r="E549" s="0" t="s">
        <v>268</v>
      </c>
      <c r="H549" s="0" t="s">
        <v>21</v>
      </c>
      <c r="I549" s="2" t="s">
        <v>22</v>
      </c>
      <c r="J549" s="2" t="s">
        <v>854</v>
      </c>
      <c r="K549" s="0" t="s">
        <v>855</v>
      </c>
      <c r="L549" s="0" t="s">
        <v>25</v>
      </c>
      <c r="M549" s="0" t="s">
        <v>857</v>
      </c>
      <c r="N549" s="0" t="s">
        <v>1307</v>
      </c>
      <c r="O549" s="0" t="n">
        <v>1</v>
      </c>
      <c r="P549" s="0" t="s">
        <v>293</v>
      </c>
      <c r="R549" s="3"/>
      <c r="S549" s="2" t="s">
        <v>28</v>
      </c>
    </row>
    <row r="550" customFormat="false" ht="15" hidden="false" customHeight="false" outlineLevel="0" collapsed="false">
      <c r="A550" s="0" t="n">
        <v>549</v>
      </c>
      <c r="D550" s="0" t="s">
        <v>1308</v>
      </c>
      <c r="E550" s="0" t="s">
        <v>20</v>
      </c>
      <c r="H550" s="0" t="s">
        <v>21</v>
      </c>
      <c r="I550" s="2" t="s">
        <v>22</v>
      </c>
      <c r="J550" s="2" t="s">
        <v>854</v>
      </c>
      <c r="K550" s="0" t="s">
        <v>855</v>
      </c>
      <c r="L550" s="0" t="s">
        <v>25</v>
      </c>
      <c r="M550" s="0" t="s">
        <v>857</v>
      </c>
      <c r="N550" s="0" t="s">
        <v>1309</v>
      </c>
      <c r="O550" s="0" t="n">
        <v>1</v>
      </c>
      <c r="R550" s="3"/>
      <c r="S550" s="2" t="s">
        <v>28</v>
      </c>
    </row>
    <row r="551" customFormat="false" ht="15" hidden="false" customHeight="false" outlineLevel="0" collapsed="false">
      <c r="A551" s="0" t="n">
        <v>550</v>
      </c>
      <c r="D551" s="0" t="s">
        <v>1310</v>
      </c>
      <c r="E551" s="0" t="s">
        <v>20</v>
      </c>
      <c r="H551" s="0" t="s">
        <v>21</v>
      </c>
      <c r="I551" s="2" t="s">
        <v>22</v>
      </c>
      <c r="J551" s="2" t="s">
        <v>854</v>
      </c>
      <c r="K551" s="0" t="s">
        <v>855</v>
      </c>
      <c r="L551" s="0" t="s">
        <v>25</v>
      </c>
      <c r="M551" s="0" t="s">
        <v>857</v>
      </c>
      <c r="N551" s="0" t="s">
        <v>1311</v>
      </c>
      <c r="O551" s="0" t="n">
        <v>1</v>
      </c>
      <c r="R551" s="3"/>
      <c r="S551" s="2" t="s">
        <v>28</v>
      </c>
    </row>
    <row r="552" customFormat="false" ht="15" hidden="false" customHeight="false" outlineLevel="0" collapsed="false">
      <c r="A552" s="0" t="n">
        <v>551</v>
      </c>
      <c r="D552" s="0" t="s">
        <v>1312</v>
      </c>
      <c r="E552" s="0" t="s">
        <v>253</v>
      </c>
      <c r="H552" s="0" t="s">
        <v>21</v>
      </c>
      <c r="I552" s="2" t="s">
        <v>22</v>
      </c>
      <c r="J552" s="2" t="s">
        <v>854</v>
      </c>
      <c r="K552" s="0" t="s">
        <v>855</v>
      </c>
      <c r="L552" s="0" t="s">
        <v>1313</v>
      </c>
      <c r="M552" s="0" t="s">
        <v>857</v>
      </c>
      <c r="N552" s="0" t="s">
        <v>1314</v>
      </c>
      <c r="O552" s="0" t="n">
        <v>1</v>
      </c>
      <c r="P552" s="0" t="s">
        <v>253</v>
      </c>
      <c r="Q552" s="0" t="s">
        <v>1315</v>
      </c>
      <c r="R552" s="3"/>
      <c r="S552" s="2" t="s">
        <v>1316</v>
      </c>
    </row>
    <row r="553" customFormat="false" ht="15" hidden="false" customHeight="false" outlineLevel="0" collapsed="false">
      <c r="A553" s="0" t="n">
        <v>552</v>
      </c>
      <c r="D553" s="0" t="s">
        <v>1317</v>
      </c>
      <c r="E553" s="0" t="s">
        <v>253</v>
      </c>
      <c r="H553" s="0" t="s">
        <v>21</v>
      </c>
      <c r="I553" s="2" t="s">
        <v>22</v>
      </c>
      <c r="J553" s="2" t="s">
        <v>854</v>
      </c>
      <c r="K553" s="0" t="s">
        <v>855</v>
      </c>
      <c r="L553" s="0" t="s">
        <v>1318</v>
      </c>
      <c r="M553" s="0" t="s">
        <v>857</v>
      </c>
      <c r="N553" s="0" t="s">
        <v>1319</v>
      </c>
      <c r="O553" s="0" t="n">
        <v>1</v>
      </c>
      <c r="P553" s="0" t="s">
        <v>253</v>
      </c>
      <c r="Q553" s="0" t="s">
        <v>1320</v>
      </c>
      <c r="R553" s="3"/>
      <c r="S553" s="2" t="s">
        <v>1321</v>
      </c>
    </row>
    <row r="554" customFormat="false" ht="15" hidden="false" customHeight="false" outlineLevel="0" collapsed="false">
      <c r="A554" s="0" t="n">
        <v>553</v>
      </c>
      <c r="D554" s="0" t="s">
        <v>1322</v>
      </c>
      <c r="E554" s="0" t="s">
        <v>173</v>
      </c>
      <c r="H554" s="0" t="s">
        <v>21</v>
      </c>
      <c r="I554" s="2" t="s">
        <v>22</v>
      </c>
      <c r="J554" s="2" t="s">
        <v>854</v>
      </c>
      <c r="K554" s="0" t="s">
        <v>855</v>
      </c>
      <c r="L554" s="0" t="s">
        <v>25</v>
      </c>
      <c r="M554" s="0" t="s">
        <v>857</v>
      </c>
      <c r="N554" s="0" t="s">
        <v>1323</v>
      </c>
      <c r="O554" s="0" t="n">
        <v>1</v>
      </c>
      <c r="P554" s="0" t="s">
        <v>173</v>
      </c>
      <c r="R554" s="3"/>
      <c r="S554" s="2" t="s">
        <v>28</v>
      </c>
    </row>
    <row r="555" customFormat="false" ht="15" hidden="false" customHeight="false" outlineLevel="0" collapsed="false">
      <c r="A555" s="0" t="n">
        <v>554</v>
      </c>
      <c r="D555" s="0" t="s">
        <v>1324</v>
      </c>
      <c r="E555" s="0" t="s">
        <v>20</v>
      </c>
      <c r="H555" s="0" t="s">
        <v>21</v>
      </c>
      <c r="I555" s="2" t="s">
        <v>22</v>
      </c>
      <c r="J555" s="2" t="s">
        <v>854</v>
      </c>
      <c r="K555" s="0" t="s">
        <v>855</v>
      </c>
      <c r="L555" s="0" t="s">
        <v>25</v>
      </c>
      <c r="M555" s="0" t="s">
        <v>857</v>
      </c>
      <c r="N555" s="0" t="s">
        <v>1325</v>
      </c>
      <c r="O555" s="0" t="n">
        <v>1</v>
      </c>
      <c r="R555" s="3"/>
      <c r="S555" s="2" t="s">
        <v>28</v>
      </c>
    </row>
    <row r="556" customFormat="false" ht="15" hidden="false" customHeight="false" outlineLevel="0" collapsed="false">
      <c r="A556" s="0" t="n">
        <v>555</v>
      </c>
      <c r="D556" s="0" t="s">
        <v>1326</v>
      </c>
      <c r="E556" s="0" t="s">
        <v>20</v>
      </c>
      <c r="H556" s="0" t="s">
        <v>21</v>
      </c>
      <c r="I556" s="2" t="s">
        <v>22</v>
      </c>
      <c r="J556" s="2" t="s">
        <v>854</v>
      </c>
      <c r="K556" s="0" t="s">
        <v>855</v>
      </c>
      <c r="L556" s="0" t="s">
        <v>25</v>
      </c>
      <c r="M556" s="0" t="s">
        <v>857</v>
      </c>
      <c r="N556" s="0" t="s">
        <v>1327</v>
      </c>
      <c r="O556" s="0" t="n">
        <v>1</v>
      </c>
      <c r="R556" s="3"/>
      <c r="S556" s="2" t="s">
        <v>28</v>
      </c>
    </row>
    <row r="557" customFormat="false" ht="15" hidden="false" customHeight="false" outlineLevel="0" collapsed="false">
      <c r="A557" s="0" t="n">
        <v>556</v>
      </c>
      <c r="D557" s="0" t="s">
        <v>1328</v>
      </c>
      <c r="E557" s="0" t="s">
        <v>20</v>
      </c>
      <c r="H557" s="0" t="s">
        <v>21</v>
      </c>
      <c r="I557" s="2" t="s">
        <v>22</v>
      </c>
      <c r="J557" s="2" t="s">
        <v>854</v>
      </c>
      <c r="K557" s="0" t="s">
        <v>855</v>
      </c>
      <c r="L557" s="0" t="s">
        <v>25</v>
      </c>
      <c r="M557" s="0" t="s">
        <v>857</v>
      </c>
      <c r="N557" s="0" t="s">
        <v>1329</v>
      </c>
      <c r="O557" s="0" t="n">
        <v>1</v>
      </c>
      <c r="R557" s="3"/>
      <c r="S557" s="2" t="s">
        <v>28</v>
      </c>
    </row>
    <row r="558" customFormat="false" ht="15" hidden="false" customHeight="false" outlineLevel="0" collapsed="false">
      <c r="A558" s="0" t="n">
        <v>557</v>
      </c>
      <c r="D558" s="0" t="s">
        <v>1330</v>
      </c>
      <c r="E558" s="0" t="s">
        <v>173</v>
      </c>
      <c r="H558" s="0" t="s">
        <v>21</v>
      </c>
      <c r="I558" s="2" t="s">
        <v>22</v>
      </c>
      <c r="J558" s="2" t="s">
        <v>854</v>
      </c>
      <c r="K558" s="0" t="s">
        <v>855</v>
      </c>
      <c r="L558" s="0" t="s">
        <v>1331</v>
      </c>
      <c r="M558" s="0" t="s">
        <v>857</v>
      </c>
      <c r="N558" s="0" t="s">
        <v>1332</v>
      </c>
      <c r="O558" s="0" t="n">
        <v>1</v>
      </c>
      <c r="P558" s="0" t="s">
        <v>173</v>
      </c>
      <c r="Q558" s="0" t="s">
        <v>1333</v>
      </c>
      <c r="R558" s="3"/>
      <c r="S558" s="2" t="s">
        <v>1334</v>
      </c>
    </row>
    <row r="559" customFormat="false" ht="15" hidden="false" customHeight="false" outlineLevel="0" collapsed="false">
      <c r="A559" s="0" t="n">
        <v>558</v>
      </c>
      <c r="D559" s="0" t="s">
        <v>1335</v>
      </c>
      <c r="E559" s="0" t="s">
        <v>20</v>
      </c>
      <c r="H559" s="0" t="s">
        <v>21</v>
      </c>
      <c r="I559" s="2" t="s">
        <v>22</v>
      </c>
      <c r="J559" s="2" t="s">
        <v>854</v>
      </c>
      <c r="K559" s="0" t="s">
        <v>855</v>
      </c>
      <c r="L559" s="0" t="s">
        <v>25</v>
      </c>
      <c r="M559" s="0" t="s">
        <v>857</v>
      </c>
      <c r="N559" s="0" t="s">
        <v>1336</v>
      </c>
      <c r="O559" s="0" t="n">
        <v>1</v>
      </c>
      <c r="R559" s="3"/>
      <c r="S559" s="2" t="s">
        <v>28</v>
      </c>
    </row>
    <row r="560" customFormat="false" ht="15" hidden="false" customHeight="false" outlineLevel="0" collapsed="false">
      <c r="A560" s="0" t="n">
        <v>559</v>
      </c>
      <c r="D560" s="0" t="s">
        <v>1337</v>
      </c>
      <c r="E560" s="0" t="s">
        <v>173</v>
      </c>
      <c r="H560" s="0" t="s">
        <v>21</v>
      </c>
      <c r="I560" s="2" t="s">
        <v>22</v>
      </c>
      <c r="J560" s="2" t="s">
        <v>854</v>
      </c>
      <c r="K560" s="0" t="s">
        <v>855</v>
      </c>
      <c r="L560" s="0" t="s">
        <v>25</v>
      </c>
      <c r="M560" s="0" t="s">
        <v>857</v>
      </c>
      <c r="N560" s="0" t="s">
        <v>1338</v>
      </c>
      <c r="O560" s="0" t="n">
        <v>1</v>
      </c>
      <c r="P560" s="0" t="s">
        <v>173</v>
      </c>
      <c r="R560" s="3"/>
      <c r="S560" s="2" t="s">
        <v>28</v>
      </c>
    </row>
    <row r="561" customFormat="false" ht="15" hidden="false" customHeight="false" outlineLevel="0" collapsed="false">
      <c r="A561" s="0" t="n">
        <v>560</v>
      </c>
      <c r="D561" s="0" t="s">
        <v>1339</v>
      </c>
      <c r="E561" s="0" t="s">
        <v>376</v>
      </c>
      <c r="H561" s="0" t="s">
        <v>21</v>
      </c>
      <c r="I561" s="2" t="s">
        <v>22</v>
      </c>
      <c r="J561" s="2" t="s">
        <v>854</v>
      </c>
      <c r="K561" s="0" t="s">
        <v>855</v>
      </c>
      <c r="L561" s="0" t="s">
        <v>25</v>
      </c>
      <c r="M561" s="0" t="s">
        <v>857</v>
      </c>
      <c r="N561" s="0" t="s">
        <v>1340</v>
      </c>
      <c r="O561" s="0" t="n">
        <v>1</v>
      </c>
      <c r="P561" s="0" t="s">
        <v>376</v>
      </c>
      <c r="R561" s="3"/>
      <c r="S561" s="2" t="s">
        <v>28</v>
      </c>
    </row>
    <row r="562" customFormat="false" ht="15" hidden="false" customHeight="false" outlineLevel="0" collapsed="false">
      <c r="A562" s="0" t="n">
        <v>561</v>
      </c>
      <c r="D562" s="0" t="s">
        <v>1341</v>
      </c>
      <c r="E562" s="0" t="s">
        <v>20</v>
      </c>
      <c r="H562" s="0" t="s">
        <v>21</v>
      </c>
      <c r="I562" s="2" t="s">
        <v>22</v>
      </c>
      <c r="J562" s="2" t="s">
        <v>854</v>
      </c>
      <c r="K562" s="0" t="s">
        <v>855</v>
      </c>
      <c r="L562" s="0" t="s">
        <v>25</v>
      </c>
      <c r="M562" s="0" t="s">
        <v>857</v>
      </c>
      <c r="N562" s="0" t="s">
        <v>1342</v>
      </c>
      <c r="O562" s="0" t="n">
        <v>1</v>
      </c>
      <c r="R562" s="3"/>
      <c r="S562" s="2" t="s">
        <v>28</v>
      </c>
    </row>
    <row r="563" customFormat="false" ht="15" hidden="false" customHeight="false" outlineLevel="0" collapsed="false">
      <c r="A563" s="0" t="n">
        <v>562</v>
      </c>
      <c r="D563" s="0" t="s">
        <v>1343</v>
      </c>
      <c r="E563" s="0" t="s">
        <v>20</v>
      </c>
      <c r="H563" s="0" t="s">
        <v>21</v>
      </c>
      <c r="I563" s="2" t="s">
        <v>22</v>
      </c>
      <c r="J563" s="2" t="s">
        <v>854</v>
      </c>
      <c r="K563" s="0" t="s">
        <v>855</v>
      </c>
      <c r="L563" s="0" t="s">
        <v>1344</v>
      </c>
      <c r="M563" s="0" t="s">
        <v>857</v>
      </c>
      <c r="N563" s="0" t="s">
        <v>1345</v>
      </c>
      <c r="O563" s="0" t="n">
        <v>1</v>
      </c>
      <c r="Q563" s="0" t="s">
        <v>1346</v>
      </c>
      <c r="R563" s="3"/>
      <c r="S563" s="2" t="s">
        <v>1347</v>
      </c>
    </row>
    <row r="564" customFormat="false" ht="15" hidden="false" customHeight="false" outlineLevel="0" collapsed="false">
      <c r="A564" s="0" t="n">
        <v>563</v>
      </c>
      <c r="D564" s="0" t="s">
        <v>1348</v>
      </c>
      <c r="E564" s="0" t="s">
        <v>20</v>
      </c>
      <c r="H564" s="0" t="s">
        <v>21</v>
      </c>
      <c r="I564" s="2" t="s">
        <v>22</v>
      </c>
      <c r="J564" s="2" t="s">
        <v>854</v>
      </c>
      <c r="K564" s="0" t="s">
        <v>855</v>
      </c>
      <c r="L564" s="0" t="s">
        <v>25</v>
      </c>
      <c r="M564" s="0" t="s">
        <v>857</v>
      </c>
      <c r="N564" s="0" t="s">
        <v>1349</v>
      </c>
      <c r="O564" s="0" t="n">
        <v>1</v>
      </c>
      <c r="R564" s="3"/>
      <c r="S564" s="2" t="s">
        <v>28</v>
      </c>
    </row>
    <row r="565" customFormat="false" ht="15" hidden="false" customHeight="false" outlineLevel="0" collapsed="false">
      <c r="A565" s="0" t="n">
        <v>564</v>
      </c>
      <c r="D565" s="0" t="s">
        <v>1350</v>
      </c>
      <c r="E565" s="0" t="s">
        <v>501</v>
      </c>
      <c r="H565" s="0" t="s">
        <v>21</v>
      </c>
      <c r="I565" s="2" t="s">
        <v>22</v>
      </c>
      <c r="J565" s="2" t="s">
        <v>854</v>
      </c>
      <c r="K565" s="0" t="s">
        <v>855</v>
      </c>
      <c r="L565" s="0" t="s">
        <v>25</v>
      </c>
      <c r="M565" s="0" t="s">
        <v>857</v>
      </c>
      <c r="N565" s="0" t="s">
        <v>1351</v>
      </c>
      <c r="O565" s="0" t="n">
        <v>1</v>
      </c>
      <c r="P565" s="0" t="s">
        <v>501</v>
      </c>
      <c r="R565" s="3"/>
      <c r="S565" s="2" t="s">
        <v>28</v>
      </c>
    </row>
    <row r="566" customFormat="false" ht="15" hidden="false" customHeight="false" outlineLevel="0" collapsed="false">
      <c r="A566" s="0" t="n">
        <v>565</v>
      </c>
      <c r="D566" s="0" t="s">
        <v>1352</v>
      </c>
      <c r="E566" s="0" t="s">
        <v>20</v>
      </c>
      <c r="H566" s="0" t="s">
        <v>21</v>
      </c>
      <c r="I566" s="2" t="s">
        <v>22</v>
      </c>
      <c r="J566" s="2" t="s">
        <v>854</v>
      </c>
      <c r="K566" s="0" t="s">
        <v>855</v>
      </c>
      <c r="L566" s="0" t="s">
        <v>25</v>
      </c>
      <c r="M566" s="0" t="s">
        <v>857</v>
      </c>
      <c r="N566" s="0" t="s">
        <v>1353</v>
      </c>
      <c r="O566" s="0" t="n">
        <v>1</v>
      </c>
      <c r="R566" s="3"/>
      <c r="S566" s="2" t="s">
        <v>28</v>
      </c>
    </row>
    <row r="567" customFormat="false" ht="15" hidden="false" customHeight="false" outlineLevel="0" collapsed="false">
      <c r="A567" s="0" t="n">
        <v>566</v>
      </c>
      <c r="D567" s="0" t="s">
        <v>1354</v>
      </c>
      <c r="E567" s="0" t="s">
        <v>20</v>
      </c>
      <c r="H567" s="0" t="s">
        <v>21</v>
      </c>
      <c r="I567" s="2" t="s">
        <v>22</v>
      </c>
      <c r="J567" s="2" t="s">
        <v>854</v>
      </c>
      <c r="K567" s="0" t="s">
        <v>855</v>
      </c>
      <c r="L567" s="0" t="s">
        <v>25</v>
      </c>
      <c r="M567" s="0" t="s">
        <v>857</v>
      </c>
      <c r="N567" s="0" t="s">
        <v>1355</v>
      </c>
      <c r="O567" s="0" t="n">
        <v>1</v>
      </c>
      <c r="R567" s="3"/>
      <c r="S567" s="2" t="s">
        <v>28</v>
      </c>
    </row>
    <row r="568" customFormat="false" ht="15" hidden="false" customHeight="false" outlineLevel="0" collapsed="false">
      <c r="A568" s="0" t="n">
        <v>567</v>
      </c>
      <c r="D568" s="0" t="s">
        <v>1356</v>
      </c>
      <c r="E568" s="0" t="s">
        <v>20</v>
      </c>
      <c r="H568" s="0" t="s">
        <v>21</v>
      </c>
      <c r="I568" s="2" t="s">
        <v>22</v>
      </c>
      <c r="J568" s="2" t="s">
        <v>854</v>
      </c>
      <c r="K568" s="0" t="s">
        <v>855</v>
      </c>
      <c r="L568" s="0" t="s">
        <v>25</v>
      </c>
      <c r="M568" s="0" t="s">
        <v>857</v>
      </c>
      <c r="N568" s="0" t="s">
        <v>1357</v>
      </c>
      <c r="O568" s="0" t="n">
        <v>1</v>
      </c>
      <c r="R568" s="3"/>
      <c r="S568" s="2" t="s">
        <v>28</v>
      </c>
    </row>
    <row r="569" customFormat="false" ht="15" hidden="false" customHeight="false" outlineLevel="0" collapsed="false">
      <c r="A569" s="0" t="n">
        <v>568</v>
      </c>
      <c r="D569" s="0" t="s">
        <v>1358</v>
      </c>
      <c r="E569" s="0" t="s">
        <v>20</v>
      </c>
      <c r="H569" s="0" t="s">
        <v>21</v>
      </c>
      <c r="I569" s="2" t="s">
        <v>22</v>
      </c>
      <c r="J569" s="2" t="s">
        <v>854</v>
      </c>
      <c r="K569" s="0" t="s">
        <v>855</v>
      </c>
      <c r="L569" s="0" t="s">
        <v>25</v>
      </c>
      <c r="M569" s="0" t="s">
        <v>857</v>
      </c>
      <c r="N569" s="0" t="s">
        <v>1359</v>
      </c>
      <c r="O569" s="0" t="n">
        <v>1</v>
      </c>
      <c r="R569" s="3"/>
      <c r="S569" s="2" t="s">
        <v>28</v>
      </c>
    </row>
    <row r="570" customFormat="false" ht="15" hidden="false" customHeight="false" outlineLevel="0" collapsed="false">
      <c r="A570" s="0" t="n">
        <v>569</v>
      </c>
      <c r="D570" s="0" t="s">
        <v>1360</v>
      </c>
      <c r="E570" s="0" t="s">
        <v>20</v>
      </c>
      <c r="H570" s="0" t="s">
        <v>21</v>
      </c>
      <c r="I570" s="2" t="s">
        <v>22</v>
      </c>
      <c r="J570" s="2" t="s">
        <v>854</v>
      </c>
      <c r="K570" s="0" t="s">
        <v>855</v>
      </c>
      <c r="L570" s="0" t="s">
        <v>25</v>
      </c>
      <c r="M570" s="0" t="s">
        <v>857</v>
      </c>
      <c r="N570" s="0" t="s">
        <v>1361</v>
      </c>
      <c r="O570" s="0" t="n">
        <v>1</v>
      </c>
      <c r="R570" s="3"/>
      <c r="S570" s="2" t="s">
        <v>28</v>
      </c>
    </row>
    <row r="571" customFormat="false" ht="15" hidden="false" customHeight="false" outlineLevel="0" collapsed="false">
      <c r="A571" s="0" t="n">
        <v>570</v>
      </c>
      <c r="D571" s="0" t="s">
        <v>1362</v>
      </c>
      <c r="E571" s="0" t="s">
        <v>173</v>
      </c>
      <c r="H571" s="0" t="s">
        <v>21</v>
      </c>
      <c r="I571" s="2" t="s">
        <v>22</v>
      </c>
      <c r="J571" s="2" t="s">
        <v>854</v>
      </c>
      <c r="K571" s="0" t="s">
        <v>855</v>
      </c>
      <c r="L571" s="0" t="s">
        <v>25</v>
      </c>
      <c r="M571" s="0" t="s">
        <v>857</v>
      </c>
      <c r="N571" s="0" t="s">
        <v>1363</v>
      </c>
      <c r="O571" s="0" t="n">
        <v>1</v>
      </c>
      <c r="P571" s="0" t="s">
        <v>173</v>
      </c>
      <c r="R571" s="3"/>
      <c r="S571" s="2" t="s">
        <v>28</v>
      </c>
    </row>
    <row r="572" customFormat="false" ht="15" hidden="false" customHeight="false" outlineLevel="0" collapsed="false">
      <c r="A572" s="0" t="n">
        <v>571</v>
      </c>
      <c r="D572" s="0" t="s">
        <v>1364</v>
      </c>
      <c r="E572" s="0" t="s">
        <v>68</v>
      </c>
      <c r="H572" s="0" t="s">
        <v>21</v>
      </c>
      <c r="I572" s="2" t="s">
        <v>22</v>
      </c>
      <c r="J572" s="2" t="s">
        <v>854</v>
      </c>
      <c r="K572" s="0" t="s">
        <v>855</v>
      </c>
      <c r="L572" s="0" t="s">
        <v>25</v>
      </c>
      <c r="M572" s="0" t="s">
        <v>857</v>
      </c>
      <c r="N572" s="0" t="s">
        <v>1365</v>
      </c>
      <c r="O572" s="0" t="n">
        <v>1</v>
      </c>
      <c r="P572" s="0" t="s">
        <v>68</v>
      </c>
      <c r="R572" s="3"/>
      <c r="S572" s="2" t="s">
        <v>28</v>
      </c>
    </row>
    <row r="573" customFormat="false" ht="15" hidden="false" customHeight="false" outlineLevel="0" collapsed="false">
      <c r="A573" s="0" t="n">
        <v>572</v>
      </c>
      <c r="D573" s="0" t="s">
        <v>1366</v>
      </c>
      <c r="E573" s="0" t="s">
        <v>253</v>
      </c>
      <c r="H573" s="0" t="s">
        <v>21</v>
      </c>
      <c r="I573" s="2" t="s">
        <v>22</v>
      </c>
      <c r="J573" s="2" t="s">
        <v>854</v>
      </c>
      <c r="K573" s="0" t="s">
        <v>855</v>
      </c>
      <c r="L573" s="0" t="s">
        <v>25</v>
      </c>
      <c r="M573" s="0" t="s">
        <v>857</v>
      </c>
      <c r="N573" s="0" t="s">
        <v>1367</v>
      </c>
      <c r="O573" s="0" t="n">
        <v>1</v>
      </c>
      <c r="P573" s="0" t="s">
        <v>253</v>
      </c>
      <c r="R573" s="3"/>
      <c r="S573" s="2" t="s">
        <v>28</v>
      </c>
    </row>
    <row r="574" customFormat="false" ht="15" hidden="false" customHeight="false" outlineLevel="0" collapsed="false">
      <c r="A574" s="0" t="n">
        <v>573</v>
      </c>
      <c r="D574" s="0" t="s">
        <v>1368</v>
      </c>
      <c r="E574" s="0" t="s">
        <v>253</v>
      </c>
      <c r="H574" s="0" t="s">
        <v>21</v>
      </c>
      <c r="I574" s="2" t="s">
        <v>22</v>
      </c>
      <c r="J574" s="2" t="s">
        <v>854</v>
      </c>
      <c r="K574" s="0" t="s">
        <v>855</v>
      </c>
      <c r="L574" s="0" t="s">
        <v>1369</v>
      </c>
      <c r="M574" s="0" t="s">
        <v>857</v>
      </c>
      <c r="N574" s="0" t="s">
        <v>1370</v>
      </c>
      <c r="O574" s="0" t="n">
        <v>1</v>
      </c>
      <c r="P574" s="0" t="s">
        <v>253</v>
      </c>
      <c r="Q574" s="0" t="s">
        <v>1371</v>
      </c>
      <c r="R574" s="3"/>
      <c r="S574" s="2" t="s">
        <v>1372</v>
      </c>
    </row>
    <row r="575" customFormat="false" ht="15" hidden="false" customHeight="false" outlineLevel="0" collapsed="false">
      <c r="A575" s="0" t="n">
        <v>574</v>
      </c>
      <c r="D575" s="0" t="s">
        <v>1373</v>
      </c>
      <c r="E575" s="0" t="s">
        <v>20</v>
      </c>
      <c r="H575" s="0" t="s">
        <v>21</v>
      </c>
      <c r="I575" s="2" t="s">
        <v>22</v>
      </c>
      <c r="J575" s="2" t="s">
        <v>854</v>
      </c>
      <c r="K575" s="0" t="s">
        <v>855</v>
      </c>
      <c r="L575" s="0" t="s">
        <v>25</v>
      </c>
      <c r="M575" s="0" t="s">
        <v>857</v>
      </c>
      <c r="N575" s="0" t="s">
        <v>1374</v>
      </c>
      <c r="O575" s="0" t="n">
        <v>1</v>
      </c>
      <c r="R575" s="3"/>
      <c r="S575" s="2" t="s">
        <v>28</v>
      </c>
    </row>
    <row r="576" customFormat="false" ht="15" hidden="false" customHeight="false" outlineLevel="0" collapsed="false">
      <c r="A576" s="0" t="n">
        <v>575</v>
      </c>
      <c r="D576" s="0" t="s">
        <v>1375</v>
      </c>
      <c r="E576" s="0" t="s">
        <v>173</v>
      </c>
      <c r="H576" s="0" t="s">
        <v>21</v>
      </c>
      <c r="I576" s="2" t="s">
        <v>22</v>
      </c>
      <c r="J576" s="2" t="s">
        <v>854</v>
      </c>
      <c r="K576" s="0" t="s">
        <v>855</v>
      </c>
      <c r="L576" s="0" t="s">
        <v>25</v>
      </c>
      <c r="M576" s="0" t="s">
        <v>857</v>
      </c>
      <c r="N576" s="0" t="s">
        <v>1376</v>
      </c>
      <c r="O576" s="0" t="n">
        <v>1</v>
      </c>
      <c r="P576" s="0" t="s">
        <v>173</v>
      </c>
      <c r="R576" s="3"/>
      <c r="S576" s="2" t="s">
        <v>28</v>
      </c>
    </row>
    <row r="577" customFormat="false" ht="15" hidden="false" customHeight="false" outlineLevel="0" collapsed="false">
      <c r="A577" s="0" t="n">
        <v>576</v>
      </c>
      <c r="D577" s="0" t="s">
        <v>1377</v>
      </c>
      <c r="E577" s="0" t="s">
        <v>20</v>
      </c>
      <c r="H577" s="0" t="s">
        <v>21</v>
      </c>
      <c r="I577" s="2" t="s">
        <v>22</v>
      </c>
      <c r="J577" s="2" t="s">
        <v>854</v>
      </c>
      <c r="K577" s="0" t="s">
        <v>855</v>
      </c>
      <c r="L577" s="0" t="s">
        <v>25</v>
      </c>
      <c r="M577" s="0" t="s">
        <v>857</v>
      </c>
      <c r="N577" s="0" t="s">
        <v>1378</v>
      </c>
      <c r="O577" s="0" t="n">
        <v>1</v>
      </c>
      <c r="R577" s="3"/>
      <c r="S577" s="2" t="s">
        <v>28</v>
      </c>
    </row>
    <row r="578" customFormat="false" ht="15" hidden="false" customHeight="false" outlineLevel="0" collapsed="false">
      <c r="A578" s="0" t="n">
        <v>577</v>
      </c>
      <c r="D578" s="0" t="s">
        <v>1379</v>
      </c>
      <c r="E578" s="0" t="s">
        <v>20</v>
      </c>
      <c r="H578" s="0" t="s">
        <v>21</v>
      </c>
      <c r="I578" s="2" t="s">
        <v>22</v>
      </c>
      <c r="J578" s="2" t="s">
        <v>854</v>
      </c>
      <c r="K578" s="0" t="s">
        <v>855</v>
      </c>
      <c r="L578" s="0" t="s">
        <v>25</v>
      </c>
      <c r="M578" s="0" t="s">
        <v>857</v>
      </c>
      <c r="N578" s="0" t="s">
        <v>1380</v>
      </c>
      <c r="O578" s="0" t="n">
        <v>1</v>
      </c>
      <c r="R578" s="3"/>
      <c r="S578" s="2" t="s">
        <v>28</v>
      </c>
    </row>
    <row r="579" customFormat="false" ht="15" hidden="false" customHeight="false" outlineLevel="0" collapsed="false">
      <c r="A579" s="0" t="n">
        <v>578</v>
      </c>
      <c r="D579" s="0" t="s">
        <v>1381</v>
      </c>
      <c r="E579" s="0" t="s">
        <v>20</v>
      </c>
      <c r="H579" s="0" t="s">
        <v>21</v>
      </c>
      <c r="I579" s="2" t="s">
        <v>22</v>
      </c>
      <c r="J579" s="2" t="s">
        <v>854</v>
      </c>
      <c r="K579" s="0" t="s">
        <v>855</v>
      </c>
      <c r="L579" s="0" t="s">
        <v>25</v>
      </c>
      <c r="M579" s="0" t="s">
        <v>857</v>
      </c>
      <c r="N579" s="0" t="s">
        <v>1382</v>
      </c>
      <c r="O579" s="0" t="n">
        <v>1</v>
      </c>
      <c r="R579" s="3"/>
      <c r="S579" s="2" t="s">
        <v>28</v>
      </c>
    </row>
    <row r="580" customFormat="false" ht="15" hidden="false" customHeight="false" outlineLevel="0" collapsed="false">
      <c r="A580" s="0" t="n">
        <v>579</v>
      </c>
      <c r="D580" s="0" t="s">
        <v>1383</v>
      </c>
      <c r="E580" s="0" t="s">
        <v>268</v>
      </c>
      <c r="H580" s="0" t="s">
        <v>21</v>
      </c>
      <c r="I580" s="2" t="s">
        <v>22</v>
      </c>
      <c r="J580" s="2" t="s">
        <v>854</v>
      </c>
      <c r="K580" s="0" t="s">
        <v>855</v>
      </c>
      <c r="L580" s="0" t="s">
        <v>25</v>
      </c>
      <c r="M580" s="0" t="s">
        <v>857</v>
      </c>
      <c r="N580" s="0" t="s">
        <v>1384</v>
      </c>
      <c r="O580" s="0" t="n">
        <v>1</v>
      </c>
      <c r="P580" s="0" t="s">
        <v>293</v>
      </c>
      <c r="R580" s="3"/>
      <c r="S580" s="2" t="s">
        <v>28</v>
      </c>
    </row>
    <row r="581" customFormat="false" ht="15" hidden="false" customHeight="false" outlineLevel="0" collapsed="false">
      <c r="A581" s="0" t="n">
        <v>580</v>
      </c>
      <c r="D581" s="0" t="s">
        <v>1385</v>
      </c>
      <c r="E581" s="0" t="s">
        <v>253</v>
      </c>
      <c r="H581" s="0" t="s">
        <v>21</v>
      </c>
      <c r="I581" s="2" t="s">
        <v>22</v>
      </c>
      <c r="J581" s="2" t="s">
        <v>854</v>
      </c>
      <c r="K581" s="0" t="s">
        <v>855</v>
      </c>
      <c r="L581" s="0" t="s">
        <v>25</v>
      </c>
      <c r="M581" s="0" t="s">
        <v>857</v>
      </c>
      <c r="N581" s="0" t="s">
        <v>1386</v>
      </c>
      <c r="O581" s="0" t="n">
        <v>1</v>
      </c>
      <c r="P581" s="0" t="s">
        <v>253</v>
      </c>
      <c r="R581" s="3"/>
      <c r="S581" s="2" t="s">
        <v>28</v>
      </c>
    </row>
    <row r="582" customFormat="false" ht="15" hidden="false" customHeight="false" outlineLevel="0" collapsed="false">
      <c r="A582" s="0" t="n">
        <v>581</v>
      </c>
      <c r="D582" s="0" t="s">
        <v>1387</v>
      </c>
      <c r="E582" s="0" t="s">
        <v>20</v>
      </c>
      <c r="H582" s="0" t="s">
        <v>21</v>
      </c>
      <c r="I582" s="2" t="s">
        <v>22</v>
      </c>
      <c r="J582" s="2" t="s">
        <v>854</v>
      </c>
      <c r="K582" s="0" t="s">
        <v>855</v>
      </c>
      <c r="L582" s="0" t="s">
        <v>25</v>
      </c>
      <c r="M582" s="0" t="s">
        <v>857</v>
      </c>
      <c r="N582" s="0" t="s">
        <v>1388</v>
      </c>
      <c r="O582" s="0" t="n">
        <v>1</v>
      </c>
      <c r="R582" s="3"/>
      <c r="S582" s="2" t="s">
        <v>28</v>
      </c>
    </row>
    <row r="583" customFormat="false" ht="15" hidden="false" customHeight="false" outlineLevel="0" collapsed="false">
      <c r="A583" s="0" t="n">
        <v>582</v>
      </c>
      <c r="D583" s="0" t="s">
        <v>1389</v>
      </c>
      <c r="E583" s="0" t="s">
        <v>268</v>
      </c>
      <c r="H583" s="0" t="s">
        <v>21</v>
      </c>
      <c r="I583" s="2" t="s">
        <v>22</v>
      </c>
      <c r="J583" s="2" t="s">
        <v>854</v>
      </c>
      <c r="K583" s="0" t="s">
        <v>855</v>
      </c>
      <c r="L583" s="0" t="s">
        <v>25</v>
      </c>
      <c r="M583" s="0" t="s">
        <v>857</v>
      </c>
      <c r="N583" s="0" t="s">
        <v>1390</v>
      </c>
      <c r="O583" s="0" t="n">
        <v>1</v>
      </c>
      <c r="P583" s="0" t="s">
        <v>268</v>
      </c>
      <c r="R583" s="3"/>
      <c r="S583" s="2" t="s">
        <v>28</v>
      </c>
    </row>
    <row r="584" customFormat="false" ht="15" hidden="false" customHeight="false" outlineLevel="0" collapsed="false">
      <c r="A584" s="0" t="n">
        <v>583</v>
      </c>
      <c r="D584" s="0" t="s">
        <v>1391</v>
      </c>
      <c r="E584" s="0" t="s">
        <v>173</v>
      </c>
      <c r="H584" s="0" t="s">
        <v>21</v>
      </c>
      <c r="I584" s="2" t="s">
        <v>22</v>
      </c>
      <c r="J584" s="2" t="s">
        <v>854</v>
      </c>
      <c r="K584" s="0" t="s">
        <v>855</v>
      </c>
      <c r="L584" s="0" t="s">
        <v>25</v>
      </c>
      <c r="M584" s="0" t="s">
        <v>857</v>
      </c>
      <c r="N584" s="0" t="s">
        <v>1392</v>
      </c>
      <c r="O584" s="0" t="n">
        <v>1</v>
      </c>
      <c r="P584" s="0" t="s">
        <v>173</v>
      </c>
      <c r="R584" s="3"/>
      <c r="S584" s="2" t="s">
        <v>28</v>
      </c>
    </row>
    <row r="585" customFormat="false" ht="15" hidden="false" customHeight="false" outlineLevel="0" collapsed="false">
      <c r="A585" s="0" t="n">
        <v>584</v>
      </c>
      <c r="D585" s="0" t="s">
        <v>1393</v>
      </c>
      <c r="E585" s="0" t="s">
        <v>20</v>
      </c>
      <c r="H585" s="0" t="s">
        <v>21</v>
      </c>
      <c r="I585" s="2" t="s">
        <v>22</v>
      </c>
      <c r="J585" s="2" t="s">
        <v>854</v>
      </c>
      <c r="K585" s="0" t="s">
        <v>855</v>
      </c>
      <c r="L585" s="0" t="s">
        <v>25</v>
      </c>
      <c r="M585" s="0" t="s">
        <v>857</v>
      </c>
      <c r="N585" s="0" t="s">
        <v>1394</v>
      </c>
      <c r="O585" s="0" t="n">
        <v>1</v>
      </c>
      <c r="R585" s="3"/>
      <c r="S585" s="2" t="s">
        <v>28</v>
      </c>
    </row>
    <row r="586" customFormat="false" ht="15" hidden="false" customHeight="false" outlineLevel="0" collapsed="false">
      <c r="A586" s="0" t="n">
        <v>585</v>
      </c>
      <c r="D586" s="0" t="s">
        <v>1395</v>
      </c>
      <c r="E586" s="0" t="s">
        <v>268</v>
      </c>
      <c r="H586" s="0" t="s">
        <v>21</v>
      </c>
      <c r="I586" s="2" t="s">
        <v>22</v>
      </c>
      <c r="J586" s="2" t="s">
        <v>854</v>
      </c>
      <c r="K586" s="0" t="s">
        <v>855</v>
      </c>
      <c r="L586" s="0" t="s">
        <v>25</v>
      </c>
      <c r="M586" s="0" t="s">
        <v>857</v>
      </c>
      <c r="N586" s="0" t="s">
        <v>1396</v>
      </c>
      <c r="O586" s="0" t="n">
        <v>1</v>
      </c>
      <c r="P586" s="0" t="s">
        <v>268</v>
      </c>
      <c r="R586" s="3"/>
      <c r="S586" s="2" t="s">
        <v>28</v>
      </c>
    </row>
    <row r="587" customFormat="false" ht="15" hidden="false" customHeight="false" outlineLevel="0" collapsed="false">
      <c r="A587" s="0" t="n">
        <v>586</v>
      </c>
      <c r="D587" s="0" t="s">
        <v>1397</v>
      </c>
      <c r="E587" s="0" t="s">
        <v>20</v>
      </c>
      <c r="H587" s="0" t="s">
        <v>21</v>
      </c>
      <c r="I587" s="2" t="s">
        <v>22</v>
      </c>
      <c r="J587" s="2" t="s">
        <v>854</v>
      </c>
      <c r="K587" s="0" t="s">
        <v>855</v>
      </c>
      <c r="L587" s="0" t="s">
        <v>25</v>
      </c>
      <c r="M587" s="0" t="s">
        <v>857</v>
      </c>
      <c r="N587" s="0" t="s">
        <v>1398</v>
      </c>
      <c r="O587" s="0" t="n">
        <v>1</v>
      </c>
      <c r="R587" s="3"/>
      <c r="S587" s="2" t="s">
        <v>28</v>
      </c>
    </row>
    <row r="588" customFormat="false" ht="15" hidden="false" customHeight="false" outlineLevel="0" collapsed="false">
      <c r="A588" s="0" t="n">
        <v>587</v>
      </c>
      <c r="D588" s="0" t="s">
        <v>1399</v>
      </c>
      <c r="E588" s="0" t="s">
        <v>20</v>
      </c>
      <c r="H588" s="0" t="s">
        <v>21</v>
      </c>
      <c r="I588" s="2" t="s">
        <v>22</v>
      </c>
      <c r="J588" s="2" t="s">
        <v>854</v>
      </c>
      <c r="K588" s="0" t="s">
        <v>855</v>
      </c>
      <c r="L588" s="0" t="s">
        <v>25</v>
      </c>
      <c r="M588" s="0" t="s">
        <v>857</v>
      </c>
      <c r="N588" s="0" t="s">
        <v>1400</v>
      </c>
      <c r="O588" s="0" t="n">
        <v>1</v>
      </c>
      <c r="P588" s="0" t="s">
        <v>43</v>
      </c>
      <c r="R588" s="3"/>
      <c r="S588" s="2" t="s">
        <v>28</v>
      </c>
    </row>
    <row r="589" customFormat="false" ht="15" hidden="false" customHeight="false" outlineLevel="0" collapsed="false">
      <c r="A589" s="0" t="n">
        <v>588</v>
      </c>
      <c r="D589" s="0" t="s">
        <v>1401</v>
      </c>
      <c r="E589" s="0" t="s">
        <v>20</v>
      </c>
      <c r="H589" s="0" t="s">
        <v>21</v>
      </c>
      <c r="I589" s="2" t="s">
        <v>22</v>
      </c>
      <c r="J589" s="2" t="s">
        <v>854</v>
      </c>
      <c r="K589" s="0" t="s">
        <v>855</v>
      </c>
      <c r="L589" s="0" t="s">
        <v>25</v>
      </c>
      <c r="M589" s="0" t="s">
        <v>857</v>
      </c>
      <c r="N589" s="0" t="s">
        <v>1402</v>
      </c>
      <c r="O589" s="0" t="n">
        <v>1</v>
      </c>
      <c r="R589" s="3"/>
      <c r="S589" s="2" t="s">
        <v>28</v>
      </c>
    </row>
    <row r="590" customFormat="false" ht="15" hidden="false" customHeight="false" outlineLevel="0" collapsed="false">
      <c r="A590" s="0" t="n">
        <v>589</v>
      </c>
      <c r="D590" s="0" t="s">
        <v>1403</v>
      </c>
      <c r="E590" s="0" t="s">
        <v>173</v>
      </c>
      <c r="H590" s="0" t="s">
        <v>21</v>
      </c>
      <c r="I590" s="2" t="s">
        <v>22</v>
      </c>
      <c r="J590" s="2" t="s">
        <v>854</v>
      </c>
      <c r="K590" s="0" t="s">
        <v>855</v>
      </c>
      <c r="L590" s="0" t="s">
        <v>25</v>
      </c>
      <c r="M590" s="0" t="s">
        <v>857</v>
      </c>
      <c r="N590" s="0" t="s">
        <v>1404</v>
      </c>
      <c r="O590" s="0" t="n">
        <v>1</v>
      </c>
      <c r="P590" s="0" t="s">
        <v>173</v>
      </c>
      <c r="R590" s="3"/>
      <c r="S590" s="2" t="s">
        <v>28</v>
      </c>
    </row>
    <row r="591" customFormat="false" ht="15" hidden="false" customHeight="false" outlineLevel="0" collapsed="false">
      <c r="A591" s="0" t="n">
        <v>590</v>
      </c>
      <c r="D591" s="0" t="s">
        <v>1405</v>
      </c>
      <c r="E591" s="0" t="s">
        <v>173</v>
      </c>
      <c r="H591" s="0" t="s">
        <v>21</v>
      </c>
      <c r="I591" s="2" t="s">
        <v>22</v>
      </c>
      <c r="J591" s="2" t="s">
        <v>854</v>
      </c>
      <c r="K591" s="0" t="s">
        <v>855</v>
      </c>
      <c r="L591" s="0" t="s">
        <v>25</v>
      </c>
      <c r="M591" s="0" t="s">
        <v>857</v>
      </c>
      <c r="N591" s="0" t="s">
        <v>1406</v>
      </c>
      <c r="O591" s="0" t="n">
        <v>1</v>
      </c>
      <c r="P591" s="0" t="s">
        <v>173</v>
      </c>
      <c r="R591" s="3"/>
      <c r="S591" s="2" t="s">
        <v>28</v>
      </c>
    </row>
    <row r="592" customFormat="false" ht="15" hidden="false" customHeight="false" outlineLevel="0" collapsed="false">
      <c r="A592" s="0" t="n">
        <v>591</v>
      </c>
      <c r="D592" s="0" t="s">
        <v>1407</v>
      </c>
      <c r="E592" s="0" t="s">
        <v>20</v>
      </c>
      <c r="H592" s="0" t="s">
        <v>21</v>
      </c>
      <c r="I592" s="2" t="s">
        <v>22</v>
      </c>
      <c r="J592" s="2" t="s">
        <v>854</v>
      </c>
      <c r="K592" s="0" t="s">
        <v>855</v>
      </c>
      <c r="L592" s="0" t="s">
        <v>25</v>
      </c>
      <c r="M592" s="0" t="s">
        <v>857</v>
      </c>
      <c r="N592" s="0" t="s">
        <v>1408</v>
      </c>
      <c r="O592" s="0" t="n">
        <v>1</v>
      </c>
      <c r="R592" s="3"/>
      <c r="S592" s="2" t="s">
        <v>28</v>
      </c>
    </row>
    <row r="593" customFormat="false" ht="15" hidden="false" customHeight="false" outlineLevel="0" collapsed="false">
      <c r="A593" s="0" t="n">
        <v>592</v>
      </c>
      <c r="D593" s="0" t="s">
        <v>1409</v>
      </c>
      <c r="E593" s="0" t="s">
        <v>20</v>
      </c>
      <c r="H593" s="0" t="s">
        <v>21</v>
      </c>
      <c r="I593" s="2" t="s">
        <v>22</v>
      </c>
      <c r="J593" s="2" t="s">
        <v>854</v>
      </c>
      <c r="K593" s="0" t="s">
        <v>855</v>
      </c>
      <c r="L593" s="0" t="s">
        <v>420</v>
      </c>
      <c r="M593" s="0" t="s">
        <v>857</v>
      </c>
      <c r="N593" s="0" t="s">
        <v>1410</v>
      </c>
      <c r="O593" s="0" t="n">
        <v>1</v>
      </c>
      <c r="P593" s="0" t="s">
        <v>422</v>
      </c>
      <c r="R593" s="3"/>
      <c r="S593" s="2" t="s">
        <v>28</v>
      </c>
    </row>
    <row r="594" customFormat="false" ht="15" hidden="false" customHeight="false" outlineLevel="0" collapsed="false">
      <c r="A594" s="0" t="n">
        <v>593</v>
      </c>
      <c r="D594" s="0" t="s">
        <v>1411</v>
      </c>
      <c r="E594" s="0" t="s">
        <v>20</v>
      </c>
      <c r="H594" s="0" t="s">
        <v>21</v>
      </c>
      <c r="I594" s="2" t="s">
        <v>22</v>
      </c>
      <c r="J594" s="2" t="s">
        <v>854</v>
      </c>
      <c r="K594" s="0" t="s">
        <v>855</v>
      </c>
      <c r="L594" s="0" t="s">
        <v>204</v>
      </c>
      <c r="M594" s="0" t="s">
        <v>857</v>
      </c>
      <c r="N594" s="0" t="s">
        <v>1412</v>
      </c>
      <c r="O594" s="0" t="n">
        <v>1</v>
      </c>
      <c r="P594" s="0" t="s">
        <v>206</v>
      </c>
      <c r="R594" s="3"/>
      <c r="S594" s="2" t="s">
        <v>28</v>
      </c>
    </row>
    <row r="595" customFormat="false" ht="15" hidden="false" customHeight="false" outlineLevel="0" collapsed="false">
      <c r="A595" s="0" t="n">
        <v>594</v>
      </c>
      <c r="D595" s="0" t="s">
        <v>1413</v>
      </c>
      <c r="E595" s="0" t="s">
        <v>20</v>
      </c>
      <c r="H595" s="0" t="s">
        <v>21</v>
      </c>
      <c r="I595" s="2" t="s">
        <v>22</v>
      </c>
      <c r="J595" s="2" t="s">
        <v>854</v>
      </c>
      <c r="K595" s="0" t="s">
        <v>855</v>
      </c>
      <c r="L595" s="0" t="s">
        <v>25</v>
      </c>
      <c r="M595" s="0" t="s">
        <v>857</v>
      </c>
      <c r="N595" s="0" t="s">
        <v>1414</v>
      </c>
      <c r="O595" s="0" t="n">
        <v>1</v>
      </c>
      <c r="R595" s="3"/>
      <c r="S595" s="2" t="s">
        <v>28</v>
      </c>
    </row>
    <row r="596" customFormat="false" ht="15" hidden="false" customHeight="false" outlineLevel="0" collapsed="false">
      <c r="A596" s="0" t="n">
        <v>595</v>
      </c>
      <c r="D596" s="0" t="s">
        <v>1415</v>
      </c>
      <c r="E596" s="0" t="s">
        <v>188</v>
      </c>
      <c r="H596" s="0" t="s">
        <v>21</v>
      </c>
      <c r="I596" s="2" t="s">
        <v>22</v>
      </c>
      <c r="J596" s="2" t="s">
        <v>854</v>
      </c>
      <c r="K596" s="0" t="s">
        <v>855</v>
      </c>
      <c r="L596" s="0" t="s">
        <v>25</v>
      </c>
      <c r="M596" s="0" t="s">
        <v>857</v>
      </c>
      <c r="N596" s="0" t="s">
        <v>1416</v>
      </c>
      <c r="O596" s="0" t="n">
        <v>1</v>
      </c>
      <c r="P596" s="0" t="s">
        <v>188</v>
      </c>
      <c r="R596" s="3"/>
      <c r="S596" s="2" t="s">
        <v>28</v>
      </c>
    </row>
    <row r="597" customFormat="false" ht="15" hidden="false" customHeight="false" outlineLevel="0" collapsed="false">
      <c r="A597" s="0" t="n">
        <v>596</v>
      </c>
      <c r="D597" s="0" t="s">
        <v>1417</v>
      </c>
      <c r="E597" s="0" t="s">
        <v>287</v>
      </c>
      <c r="H597" s="0" t="s">
        <v>21</v>
      </c>
      <c r="I597" s="2" t="s">
        <v>22</v>
      </c>
      <c r="J597" s="2" t="s">
        <v>854</v>
      </c>
      <c r="K597" s="0" t="s">
        <v>855</v>
      </c>
      <c r="L597" s="0" t="s">
        <v>25</v>
      </c>
      <c r="M597" s="0" t="s">
        <v>857</v>
      </c>
      <c r="N597" s="0" t="s">
        <v>1418</v>
      </c>
      <c r="O597" s="0" t="n">
        <v>1</v>
      </c>
      <c r="P597" s="0" t="s">
        <v>287</v>
      </c>
      <c r="R597" s="3"/>
      <c r="S597" s="2" t="s">
        <v>28</v>
      </c>
    </row>
    <row r="598" customFormat="false" ht="15" hidden="false" customHeight="false" outlineLevel="0" collapsed="false">
      <c r="A598" s="0" t="n">
        <v>597</v>
      </c>
      <c r="D598" s="0" t="s">
        <v>1419</v>
      </c>
      <c r="E598" s="0" t="s">
        <v>287</v>
      </c>
      <c r="H598" s="0" t="s">
        <v>21</v>
      </c>
      <c r="I598" s="2" t="s">
        <v>22</v>
      </c>
      <c r="J598" s="2" t="s">
        <v>854</v>
      </c>
      <c r="K598" s="0" t="s">
        <v>855</v>
      </c>
      <c r="L598" s="0" t="s">
        <v>25</v>
      </c>
      <c r="M598" s="0" t="s">
        <v>857</v>
      </c>
      <c r="N598" s="0" t="s">
        <v>1420</v>
      </c>
      <c r="O598" s="0" t="n">
        <v>1</v>
      </c>
      <c r="P598" s="0" t="s">
        <v>287</v>
      </c>
      <c r="R598" s="3"/>
      <c r="S598" s="2" t="s">
        <v>28</v>
      </c>
    </row>
    <row r="599" customFormat="false" ht="15" hidden="false" customHeight="false" outlineLevel="0" collapsed="false">
      <c r="A599" s="0" t="n">
        <v>598</v>
      </c>
      <c r="D599" s="0" t="s">
        <v>1421</v>
      </c>
      <c r="E599" s="0" t="s">
        <v>20</v>
      </c>
      <c r="H599" s="0" t="s">
        <v>21</v>
      </c>
      <c r="I599" s="2" t="s">
        <v>22</v>
      </c>
      <c r="J599" s="2" t="s">
        <v>854</v>
      </c>
      <c r="K599" s="0" t="s">
        <v>855</v>
      </c>
      <c r="L599" s="0" t="s">
        <v>25</v>
      </c>
      <c r="M599" s="0" t="s">
        <v>857</v>
      </c>
      <c r="N599" s="0" t="s">
        <v>1422</v>
      </c>
      <c r="O599" s="0" t="n">
        <v>1</v>
      </c>
      <c r="R599" s="3"/>
      <c r="S599" s="2" t="s">
        <v>28</v>
      </c>
    </row>
    <row r="600" customFormat="false" ht="15" hidden="false" customHeight="false" outlineLevel="0" collapsed="false">
      <c r="A600" s="0" t="n">
        <v>599</v>
      </c>
      <c r="D600" s="0" t="s">
        <v>1423</v>
      </c>
      <c r="E600" s="0" t="s">
        <v>287</v>
      </c>
      <c r="H600" s="0" t="s">
        <v>21</v>
      </c>
      <c r="I600" s="2" t="s">
        <v>22</v>
      </c>
      <c r="J600" s="2" t="s">
        <v>854</v>
      </c>
      <c r="K600" s="0" t="s">
        <v>855</v>
      </c>
      <c r="L600" s="0" t="s">
        <v>25</v>
      </c>
      <c r="M600" s="0" t="s">
        <v>857</v>
      </c>
      <c r="N600" s="0" t="s">
        <v>1424</v>
      </c>
      <c r="O600" s="0" t="n">
        <v>1</v>
      </c>
      <c r="P600" s="0" t="s">
        <v>287</v>
      </c>
      <c r="R600" s="3"/>
      <c r="S600" s="2" t="s">
        <v>28</v>
      </c>
    </row>
    <row r="601" customFormat="false" ht="15" hidden="false" customHeight="false" outlineLevel="0" collapsed="false">
      <c r="A601" s="0" t="n">
        <v>600</v>
      </c>
      <c r="D601" s="0" t="s">
        <v>1425</v>
      </c>
      <c r="E601" s="0" t="s">
        <v>410</v>
      </c>
      <c r="H601" s="0" t="s">
        <v>21</v>
      </c>
      <c r="I601" s="2" t="s">
        <v>22</v>
      </c>
      <c r="J601" s="2" t="s">
        <v>854</v>
      </c>
      <c r="K601" s="0" t="s">
        <v>855</v>
      </c>
      <c r="L601" s="0" t="s">
        <v>25</v>
      </c>
      <c r="M601" s="0" t="s">
        <v>857</v>
      </c>
      <c r="N601" s="0" t="s">
        <v>1426</v>
      </c>
      <c r="O601" s="0" t="n">
        <v>1</v>
      </c>
      <c r="P601" s="0" t="s">
        <v>410</v>
      </c>
      <c r="R601" s="3"/>
      <c r="S601" s="2" t="s">
        <v>28</v>
      </c>
    </row>
    <row r="602" customFormat="false" ht="15" hidden="false" customHeight="false" outlineLevel="0" collapsed="false">
      <c r="A602" s="0" t="n">
        <v>601</v>
      </c>
      <c r="D602" s="0" t="s">
        <v>1427</v>
      </c>
      <c r="E602" s="0" t="s">
        <v>268</v>
      </c>
      <c r="H602" s="0" t="s">
        <v>21</v>
      </c>
      <c r="I602" s="2" t="s">
        <v>22</v>
      </c>
      <c r="J602" s="2" t="s">
        <v>854</v>
      </c>
      <c r="K602" s="0" t="s">
        <v>855</v>
      </c>
      <c r="L602" s="0" t="s">
        <v>25</v>
      </c>
      <c r="M602" s="0" t="s">
        <v>857</v>
      </c>
      <c r="N602" s="0" t="s">
        <v>1428</v>
      </c>
      <c r="O602" s="0" t="n">
        <v>1</v>
      </c>
      <c r="P602" s="0" t="s">
        <v>268</v>
      </c>
      <c r="R602" s="3"/>
      <c r="S602" s="2" t="s">
        <v>28</v>
      </c>
    </row>
    <row r="603" customFormat="false" ht="15" hidden="false" customHeight="false" outlineLevel="0" collapsed="false">
      <c r="A603" s="0" t="n">
        <v>602</v>
      </c>
      <c r="D603" s="0" t="s">
        <v>1429</v>
      </c>
      <c r="E603" s="0" t="s">
        <v>20</v>
      </c>
      <c r="H603" s="0" t="s">
        <v>21</v>
      </c>
      <c r="I603" s="2" t="s">
        <v>22</v>
      </c>
      <c r="J603" s="2" t="s">
        <v>854</v>
      </c>
      <c r="K603" s="0" t="s">
        <v>855</v>
      </c>
      <c r="L603" s="0" t="s">
        <v>25</v>
      </c>
      <c r="M603" s="0" t="s">
        <v>857</v>
      </c>
      <c r="N603" s="0" t="s">
        <v>1430</v>
      </c>
      <c r="O603" s="0" t="n">
        <v>1</v>
      </c>
      <c r="R603" s="3"/>
      <c r="S603" s="2" t="s">
        <v>28</v>
      </c>
    </row>
    <row r="604" customFormat="false" ht="15" hidden="false" customHeight="false" outlineLevel="0" collapsed="false">
      <c r="A604" s="0" t="n">
        <v>603</v>
      </c>
      <c r="D604" s="0" t="s">
        <v>1431</v>
      </c>
      <c r="E604" s="0" t="s">
        <v>20</v>
      </c>
      <c r="H604" s="0" t="s">
        <v>21</v>
      </c>
      <c r="I604" s="2" t="s">
        <v>22</v>
      </c>
      <c r="J604" s="2" t="s">
        <v>854</v>
      </c>
      <c r="K604" s="0" t="s">
        <v>855</v>
      </c>
      <c r="L604" s="0" t="s">
        <v>25</v>
      </c>
      <c r="M604" s="0" t="s">
        <v>857</v>
      </c>
      <c r="N604" s="0" t="s">
        <v>1432</v>
      </c>
      <c r="O604" s="0" t="n">
        <v>1</v>
      </c>
      <c r="R604" s="3"/>
      <c r="S604" s="2" t="s">
        <v>28</v>
      </c>
    </row>
    <row r="605" customFormat="false" ht="15" hidden="false" customHeight="false" outlineLevel="0" collapsed="false">
      <c r="A605" s="0" t="n">
        <v>604</v>
      </c>
      <c r="D605" s="0" t="s">
        <v>1433</v>
      </c>
      <c r="E605" s="0" t="s">
        <v>20</v>
      </c>
      <c r="H605" s="0" t="s">
        <v>21</v>
      </c>
      <c r="I605" s="2" t="s">
        <v>22</v>
      </c>
      <c r="J605" s="2" t="s">
        <v>854</v>
      </c>
      <c r="K605" s="0" t="s">
        <v>855</v>
      </c>
      <c r="L605" s="0" t="s">
        <v>420</v>
      </c>
      <c r="M605" s="0" t="s">
        <v>857</v>
      </c>
      <c r="N605" s="0" t="s">
        <v>1434</v>
      </c>
      <c r="O605" s="0" t="n">
        <v>1</v>
      </c>
      <c r="P605" s="0" t="s">
        <v>422</v>
      </c>
      <c r="R605" s="3"/>
      <c r="S605" s="2" t="s">
        <v>28</v>
      </c>
    </row>
    <row r="606" customFormat="false" ht="15" hidden="false" customHeight="false" outlineLevel="0" collapsed="false">
      <c r="A606" s="0" t="n">
        <v>605</v>
      </c>
      <c r="D606" s="0" t="s">
        <v>1435</v>
      </c>
      <c r="E606" s="0" t="s">
        <v>20</v>
      </c>
      <c r="H606" s="0" t="s">
        <v>21</v>
      </c>
      <c r="I606" s="2" t="s">
        <v>22</v>
      </c>
      <c r="J606" s="2" t="s">
        <v>854</v>
      </c>
      <c r="K606" s="0" t="s">
        <v>855</v>
      </c>
      <c r="L606" s="0" t="s">
        <v>25</v>
      </c>
      <c r="M606" s="0" t="s">
        <v>857</v>
      </c>
      <c r="N606" s="0" t="s">
        <v>1436</v>
      </c>
      <c r="O606" s="0" t="n">
        <v>1</v>
      </c>
      <c r="R606" s="3"/>
      <c r="S606" s="2" t="s">
        <v>28</v>
      </c>
    </row>
    <row r="607" customFormat="false" ht="15" hidden="false" customHeight="false" outlineLevel="0" collapsed="false">
      <c r="A607" s="0" t="n">
        <v>606</v>
      </c>
      <c r="D607" s="0" t="s">
        <v>1437</v>
      </c>
      <c r="E607" s="0" t="s">
        <v>20</v>
      </c>
      <c r="H607" s="0" t="s">
        <v>21</v>
      </c>
      <c r="I607" s="2" t="s">
        <v>22</v>
      </c>
      <c r="J607" s="2" t="s">
        <v>854</v>
      </c>
      <c r="K607" s="0" t="s">
        <v>855</v>
      </c>
      <c r="L607" s="0" t="s">
        <v>25</v>
      </c>
      <c r="M607" s="0" t="s">
        <v>857</v>
      </c>
      <c r="N607" s="0" t="s">
        <v>1438</v>
      </c>
      <c r="O607" s="0" t="n">
        <v>1</v>
      </c>
      <c r="R607" s="3"/>
      <c r="S607" s="2" t="s">
        <v>28</v>
      </c>
    </row>
    <row r="608" customFormat="false" ht="15" hidden="false" customHeight="false" outlineLevel="0" collapsed="false">
      <c r="A608" s="0" t="n">
        <v>607</v>
      </c>
      <c r="D608" s="0" t="s">
        <v>1439</v>
      </c>
      <c r="E608" s="0" t="s">
        <v>20</v>
      </c>
      <c r="H608" s="0" t="s">
        <v>21</v>
      </c>
      <c r="I608" s="2" t="s">
        <v>22</v>
      </c>
      <c r="J608" s="2" t="s">
        <v>854</v>
      </c>
      <c r="K608" s="0" t="s">
        <v>855</v>
      </c>
      <c r="L608" s="0" t="s">
        <v>25</v>
      </c>
      <c r="M608" s="0" t="s">
        <v>857</v>
      </c>
      <c r="N608" s="0" t="s">
        <v>1440</v>
      </c>
      <c r="O608" s="0" t="n">
        <v>1</v>
      </c>
      <c r="R608" s="3"/>
      <c r="S608" s="2" t="s">
        <v>28</v>
      </c>
    </row>
    <row r="609" customFormat="false" ht="15" hidden="false" customHeight="false" outlineLevel="0" collapsed="false">
      <c r="A609" s="0" t="n">
        <v>608</v>
      </c>
      <c r="D609" s="0" t="s">
        <v>1441</v>
      </c>
      <c r="E609" s="0" t="s">
        <v>20</v>
      </c>
      <c r="H609" s="0" t="s">
        <v>21</v>
      </c>
      <c r="I609" s="2" t="s">
        <v>22</v>
      </c>
      <c r="J609" s="2" t="s">
        <v>854</v>
      </c>
      <c r="K609" s="0" t="s">
        <v>855</v>
      </c>
      <c r="L609" s="0" t="s">
        <v>25</v>
      </c>
      <c r="M609" s="0" t="s">
        <v>857</v>
      </c>
      <c r="N609" s="0" t="s">
        <v>1442</v>
      </c>
      <c r="O609" s="0" t="n">
        <v>1</v>
      </c>
      <c r="R609" s="3"/>
      <c r="S609" s="2" t="s">
        <v>28</v>
      </c>
    </row>
    <row r="610" customFormat="false" ht="15" hidden="false" customHeight="false" outlineLevel="0" collapsed="false">
      <c r="A610" s="0" t="n">
        <v>609</v>
      </c>
      <c r="D610" s="0" t="s">
        <v>1443</v>
      </c>
      <c r="E610" s="0" t="s">
        <v>20</v>
      </c>
      <c r="H610" s="0" t="s">
        <v>21</v>
      </c>
      <c r="I610" s="2" t="s">
        <v>22</v>
      </c>
      <c r="J610" s="2" t="s">
        <v>854</v>
      </c>
      <c r="K610" s="0" t="s">
        <v>855</v>
      </c>
      <c r="L610" s="0" t="s">
        <v>420</v>
      </c>
      <c r="M610" s="0" t="s">
        <v>857</v>
      </c>
      <c r="N610" s="0" t="s">
        <v>1444</v>
      </c>
      <c r="O610" s="0" t="n">
        <v>1</v>
      </c>
      <c r="P610" s="0" t="s">
        <v>422</v>
      </c>
      <c r="R610" s="3"/>
      <c r="S610" s="2" t="s">
        <v>28</v>
      </c>
    </row>
    <row r="611" customFormat="false" ht="15" hidden="false" customHeight="false" outlineLevel="0" collapsed="false">
      <c r="A611" s="0" t="n">
        <v>610</v>
      </c>
      <c r="D611" s="0" t="s">
        <v>1445</v>
      </c>
      <c r="E611" s="0" t="s">
        <v>20</v>
      </c>
      <c r="H611" s="0" t="s">
        <v>21</v>
      </c>
      <c r="I611" s="2" t="s">
        <v>22</v>
      </c>
      <c r="J611" s="2" t="s">
        <v>854</v>
      </c>
      <c r="K611" s="0" t="s">
        <v>855</v>
      </c>
      <c r="L611" s="0" t="s">
        <v>1446</v>
      </c>
      <c r="M611" s="0" t="s">
        <v>857</v>
      </c>
      <c r="N611" s="0" t="s">
        <v>1447</v>
      </c>
      <c r="O611" s="0" t="n">
        <v>1</v>
      </c>
      <c r="Q611" s="0" t="s">
        <v>1448</v>
      </c>
      <c r="R611" s="3"/>
      <c r="S611" s="2" t="s">
        <v>1449</v>
      </c>
    </row>
    <row r="612" customFormat="false" ht="15" hidden="false" customHeight="false" outlineLevel="0" collapsed="false">
      <c r="A612" s="0" t="n">
        <v>611</v>
      </c>
      <c r="D612" s="0" t="s">
        <v>1450</v>
      </c>
      <c r="E612" s="0" t="s">
        <v>73</v>
      </c>
      <c r="H612" s="0" t="s">
        <v>21</v>
      </c>
      <c r="I612" s="2" t="s">
        <v>22</v>
      </c>
      <c r="J612" s="2" t="s">
        <v>854</v>
      </c>
      <c r="K612" s="0" t="s">
        <v>855</v>
      </c>
      <c r="L612" s="0" t="s">
        <v>25</v>
      </c>
      <c r="M612" s="0" t="s">
        <v>857</v>
      </c>
      <c r="N612" s="0" t="s">
        <v>1451</v>
      </c>
      <c r="O612" s="0" t="n">
        <v>1</v>
      </c>
      <c r="P612" s="0" t="s">
        <v>73</v>
      </c>
      <c r="R612" s="3"/>
      <c r="S612" s="2" t="s">
        <v>28</v>
      </c>
    </row>
    <row r="613" customFormat="false" ht="15" hidden="false" customHeight="false" outlineLevel="0" collapsed="false">
      <c r="A613" s="0" t="n">
        <v>612</v>
      </c>
      <c r="D613" s="0" t="s">
        <v>1452</v>
      </c>
      <c r="E613" s="0" t="s">
        <v>20</v>
      </c>
      <c r="H613" s="0" t="s">
        <v>21</v>
      </c>
      <c r="I613" s="2" t="s">
        <v>22</v>
      </c>
      <c r="J613" s="2" t="s">
        <v>854</v>
      </c>
      <c r="K613" s="0" t="s">
        <v>855</v>
      </c>
      <c r="L613" s="0" t="s">
        <v>420</v>
      </c>
      <c r="M613" s="0" t="s">
        <v>857</v>
      </c>
      <c r="N613" s="0" t="s">
        <v>1453</v>
      </c>
      <c r="O613" s="0" t="n">
        <v>1</v>
      </c>
      <c r="P613" s="0" t="s">
        <v>422</v>
      </c>
      <c r="R613" s="3"/>
      <c r="S613" s="2" t="s">
        <v>28</v>
      </c>
    </row>
    <row r="614" customFormat="false" ht="15" hidden="false" customHeight="false" outlineLevel="0" collapsed="false">
      <c r="A614" s="0" t="n">
        <v>613</v>
      </c>
      <c r="D614" s="0" t="s">
        <v>1454</v>
      </c>
      <c r="E614" s="0" t="s">
        <v>20</v>
      </c>
      <c r="H614" s="0" t="s">
        <v>21</v>
      </c>
      <c r="I614" s="2" t="s">
        <v>22</v>
      </c>
      <c r="J614" s="2" t="s">
        <v>854</v>
      </c>
      <c r="K614" s="0" t="s">
        <v>855</v>
      </c>
      <c r="L614" s="0" t="s">
        <v>25</v>
      </c>
      <c r="M614" s="0" t="s">
        <v>857</v>
      </c>
      <c r="N614" s="0" t="s">
        <v>1455</v>
      </c>
      <c r="O614" s="0" t="n">
        <v>1</v>
      </c>
      <c r="R614" s="3"/>
      <c r="S614" s="2" t="s">
        <v>28</v>
      </c>
    </row>
    <row r="615" customFormat="false" ht="15" hidden="false" customHeight="false" outlineLevel="0" collapsed="false">
      <c r="A615" s="0" t="n">
        <v>614</v>
      </c>
      <c r="D615" s="0" t="s">
        <v>1456</v>
      </c>
      <c r="E615" s="0" t="s">
        <v>20</v>
      </c>
      <c r="H615" s="0" t="s">
        <v>21</v>
      </c>
      <c r="I615" s="2" t="s">
        <v>22</v>
      </c>
      <c r="J615" s="2" t="s">
        <v>854</v>
      </c>
      <c r="K615" s="0" t="s">
        <v>855</v>
      </c>
      <c r="L615" s="0" t="s">
        <v>420</v>
      </c>
      <c r="M615" s="0" t="s">
        <v>857</v>
      </c>
      <c r="N615" s="0" t="s">
        <v>1457</v>
      </c>
      <c r="O615" s="0" t="n">
        <v>1</v>
      </c>
      <c r="P615" s="0" t="s">
        <v>422</v>
      </c>
      <c r="R615" s="3"/>
      <c r="S615" s="2" t="s">
        <v>28</v>
      </c>
    </row>
    <row r="616" customFormat="false" ht="15" hidden="false" customHeight="false" outlineLevel="0" collapsed="false">
      <c r="A616" s="0" t="n">
        <v>615</v>
      </c>
      <c r="D616" s="0" t="s">
        <v>1458</v>
      </c>
      <c r="E616" s="0" t="s">
        <v>387</v>
      </c>
      <c r="H616" s="0" t="s">
        <v>21</v>
      </c>
      <c r="I616" s="2" t="s">
        <v>22</v>
      </c>
      <c r="J616" s="2" t="s">
        <v>854</v>
      </c>
      <c r="K616" s="0" t="s">
        <v>855</v>
      </c>
      <c r="L616" s="0" t="s">
        <v>25</v>
      </c>
      <c r="M616" s="0" t="s">
        <v>857</v>
      </c>
      <c r="N616" s="0" t="s">
        <v>1459</v>
      </c>
      <c r="O616" s="0" t="n">
        <v>1</v>
      </c>
      <c r="P616" s="0" t="s">
        <v>387</v>
      </c>
      <c r="R616" s="3"/>
      <c r="S616" s="2" t="s">
        <v>28</v>
      </c>
    </row>
    <row r="617" customFormat="false" ht="15" hidden="false" customHeight="false" outlineLevel="0" collapsed="false">
      <c r="A617" s="0" t="n">
        <v>616</v>
      </c>
      <c r="D617" s="0" t="s">
        <v>1460</v>
      </c>
      <c r="E617" s="0" t="s">
        <v>20</v>
      </c>
      <c r="H617" s="0" t="s">
        <v>21</v>
      </c>
      <c r="I617" s="2" t="s">
        <v>22</v>
      </c>
      <c r="J617" s="2" t="s">
        <v>854</v>
      </c>
      <c r="K617" s="0" t="s">
        <v>855</v>
      </c>
      <c r="L617" s="0" t="s">
        <v>25</v>
      </c>
      <c r="M617" s="0" t="s">
        <v>857</v>
      </c>
      <c r="N617" s="0" t="s">
        <v>1461</v>
      </c>
      <c r="O617" s="0" t="n">
        <v>1</v>
      </c>
      <c r="R617" s="3"/>
      <c r="S617" s="2" t="s">
        <v>28</v>
      </c>
    </row>
    <row r="618" customFormat="false" ht="15" hidden="false" customHeight="false" outlineLevel="0" collapsed="false">
      <c r="A618" s="0" t="n">
        <v>617</v>
      </c>
      <c r="D618" s="0" t="s">
        <v>1462</v>
      </c>
      <c r="E618" s="0" t="s">
        <v>20</v>
      </c>
      <c r="H618" s="0" t="s">
        <v>21</v>
      </c>
      <c r="I618" s="2" t="s">
        <v>22</v>
      </c>
      <c r="J618" s="2" t="s">
        <v>854</v>
      </c>
      <c r="K618" s="0" t="s">
        <v>855</v>
      </c>
      <c r="L618" s="0" t="s">
        <v>25</v>
      </c>
      <c r="M618" s="0" t="s">
        <v>857</v>
      </c>
      <c r="N618" s="0" t="s">
        <v>1463</v>
      </c>
      <c r="O618" s="0" t="n">
        <v>1</v>
      </c>
      <c r="R618" s="3"/>
      <c r="S618" s="2" t="s">
        <v>28</v>
      </c>
    </row>
    <row r="619" customFormat="false" ht="15" hidden="false" customHeight="false" outlineLevel="0" collapsed="false">
      <c r="A619" s="0" t="n">
        <v>618</v>
      </c>
      <c r="D619" s="0" t="s">
        <v>1464</v>
      </c>
      <c r="E619" s="0" t="s">
        <v>20</v>
      </c>
      <c r="H619" s="0" t="s">
        <v>21</v>
      </c>
      <c r="I619" s="2" t="s">
        <v>22</v>
      </c>
      <c r="J619" s="2" t="s">
        <v>854</v>
      </c>
      <c r="K619" s="0" t="s">
        <v>855</v>
      </c>
      <c r="L619" s="0" t="s">
        <v>25</v>
      </c>
      <c r="M619" s="0" t="s">
        <v>857</v>
      </c>
      <c r="N619" s="0" t="s">
        <v>1465</v>
      </c>
      <c r="O619" s="0" t="n">
        <v>1</v>
      </c>
      <c r="R619" s="3"/>
      <c r="S619" s="2" t="s">
        <v>28</v>
      </c>
    </row>
    <row r="620" customFormat="false" ht="15" hidden="false" customHeight="false" outlineLevel="0" collapsed="false">
      <c r="A620" s="0" t="n">
        <v>619</v>
      </c>
      <c r="D620" s="0" t="s">
        <v>1466</v>
      </c>
      <c r="E620" s="0" t="s">
        <v>20</v>
      </c>
      <c r="H620" s="0" t="s">
        <v>21</v>
      </c>
      <c r="I620" s="2" t="s">
        <v>22</v>
      </c>
      <c r="J620" s="2" t="s">
        <v>854</v>
      </c>
      <c r="K620" s="0" t="s">
        <v>855</v>
      </c>
      <c r="L620" s="0" t="s">
        <v>25</v>
      </c>
      <c r="M620" s="0" t="s">
        <v>857</v>
      </c>
      <c r="N620" s="0" t="s">
        <v>1467</v>
      </c>
      <c r="O620" s="0" t="n">
        <v>1</v>
      </c>
      <c r="R620" s="3"/>
      <c r="S620" s="2" t="s">
        <v>28</v>
      </c>
    </row>
    <row r="621" customFormat="false" ht="15" hidden="false" customHeight="false" outlineLevel="0" collapsed="false">
      <c r="A621" s="0" t="n">
        <v>620</v>
      </c>
      <c r="D621" s="0" t="s">
        <v>1468</v>
      </c>
      <c r="E621" s="0" t="s">
        <v>253</v>
      </c>
      <c r="H621" s="0" t="s">
        <v>21</v>
      </c>
      <c r="I621" s="2" t="s">
        <v>22</v>
      </c>
      <c r="J621" s="2" t="s">
        <v>854</v>
      </c>
      <c r="K621" s="0" t="s">
        <v>855</v>
      </c>
      <c r="L621" s="0" t="s">
        <v>25</v>
      </c>
      <c r="M621" s="0" t="s">
        <v>857</v>
      </c>
      <c r="N621" s="0" t="s">
        <v>1469</v>
      </c>
      <c r="O621" s="0" t="n">
        <v>1</v>
      </c>
      <c r="P621" s="0" t="s">
        <v>253</v>
      </c>
      <c r="R621" s="3"/>
      <c r="S621" s="2" t="s">
        <v>28</v>
      </c>
    </row>
    <row r="622" customFormat="false" ht="15" hidden="false" customHeight="false" outlineLevel="0" collapsed="false">
      <c r="A622" s="0" t="n">
        <v>621</v>
      </c>
      <c r="D622" s="0" t="s">
        <v>1470</v>
      </c>
      <c r="E622" s="0" t="s">
        <v>173</v>
      </c>
      <c r="H622" s="0" t="s">
        <v>21</v>
      </c>
      <c r="I622" s="2" t="s">
        <v>22</v>
      </c>
      <c r="J622" s="2" t="s">
        <v>854</v>
      </c>
      <c r="K622" s="0" t="s">
        <v>855</v>
      </c>
      <c r="L622" s="0" t="s">
        <v>25</v>
      </c>
      <c r="M622" s="0" t="s">
        <v>857</v>
      </c>
      <c r="N622" s="0" t="s">
        <v>1471</v>
      </c>
      <c r="O622" s="0" t="n">
        <v>1</v>
      </c>
      <c r="P622" s="0" t="s">
        <v>173</v>
      </c>
      <c r="R622" s="3"/>
      <c r="S622" s="2" t="s">
        <v>28</v>
      </c>
    </row>
    <row r="623" customFormat="false" ht="15" hidden="false" customHeight="false" outlineLevel="0" collapsed="false">
      <c r="A623" s="0" t="n">
        <v>622</v>
      </c>
      <c r="D623" s="0" t="s">
        <v>1472</v>
      </c>
      <c r="E623" s="0" t="s">
        <v>20</v>
      </c>
      <c r="H623" s="0" t="s">
        <v>21</v>
      </c>
      <c r="I623" s="2" t="s">
        <v>22</v>
      </c>
      <c r="J623" s="2" t="s">
        <v>854</v>
      </c>
      <c r="K623" s="0" t="s">
        <v>855</v>
      </c>
      <c r="L623" s="0" t="s">
        <v>25</v>
      </c>
      <c r="M623" s="0" t="s">
        <v>857</v>
      </c>
      <c r="N623" s="0" t="s">
        <v>1473</v>
      </c>
      <c r="O623" s="0" t="n">
        <v>1</v>
      </c>
      <c r="R623" s="3"/>
      <c r="S623" s="2" t="s">
        <v>28</v>
      </c>
    </row>
    <row r="624" customFormat="false" ht="15" hidden="false" customHeight="false" outlineLevel="0" collapsed="false">
      <c r="A624" s="0" t="n">
        <v>623</v>
      </c>
      <c r="D624" s="0" t="s">
        <v>1474</v>
      </c>
      <c r="E624" s="0" t="s">
        <v>20</v>
      </c>
      <c r="H624" s="0" t="s">
        <v>21</v>
      </c>
      <c r="I624" s="2" t="s">
        <v>22</v>
      </c>
      <c r="J624" s="2" t="s">
        <v>854</v>
      </c>
      <c r="K624" s="0" t="s">
        <v>855</v>
      </c>
      <c r="L624" s="0" t="s">
        <v>25</v>
      </c>
      <c r="M624" s="0" t="s">
        <v>857</v>
      </c>
      <c r="N624" s="0" t="s">
        <v>1475</v>
      </c>
      <c r="O624" s="0" t="n">
        <v>1</v>
      </c>
      <c r="R624" s="3"/>
      <c r="S624" s="2" t="s">
        <v>28</v>
      </c>
    </row>
    <row r="625" customFormat="false" ht="15" hidden="false" customHeight="false" outlineLevel="0" collapsed="false">
      <c r="A625" s="0" t="n">
        <v>624</v>
      </c>
      <c r="D625" s="0" t="s">
        <v>1476</v>
      </c>
      <c r="E625" s="0" t="s">
        <v>20</v>
      </c>
      <c r="H625" s="0" t="s">
        <v>21</v>
      </c>
      <c r="I625" s="2" t="s">
        <v>22</v>
      </c>
      <c r="J625" s="2" t="s">
        <v>854</v>
      </c>
      <c r="K625" s="0" t="s">
        <v>855</v>
      </c>
      <c r="L625" s="0" t="s">
        <v>25</v>
      </c>
      <c r="M625" s="0" t="s">
        <v>857</v>
      </c>
      <c r="N625" s="0" t="s">
        <v>1477</v>
      </c>
      <c r="O625" s="0" t="n">
        <v>1</v>
      </c>
      <c r="R625" s="3"/>
      <c r="S625" s="2" t="s">
        <v>28</v>
      </c>
    </row>
    <row r="626" customFormat="false" ht="15" hidden="false" customHeight="false" outlineLevel="0" collapsed="false">
      <c r="A626" s="0" t="n">
        <v>625</v>
      </c>
      <c r="D626" s="0" t="s">
        <v>1478</v>
      </c>
      <c r="E626" s="0" t="s">
        <v>20</v>
      </c>
      <c r="H626" s="0" t="s">
        <v>21</v>
      </c>
      <c r="I626" s="2" t="s">
        <v>22</v>
      </c>
      <c r="J626" s="2" t="s">
        <v>854</v>
      </c>
      <c r="K626" s="0" t="s">
        <v>855</v>
      </c>
      <c r="L626" s="0" t="s">
        <v>25</v>
      </c>
      <c r="M626" s="0" t="s">
        <v>857</v>
      </c>
      <c r="N626" s="0" t="s">
        <v>1479</v>
      </c>
      <c r="O626" s="0" t="n">
        <v>1</v>
      </c>
      <c r="R626" s="3"/>
      <c r="S626" s="2" t="s">
        <v>28</v>
      </c>
    </row>
    <row r="627" customFormat="false" ht="15" hidden="false" customHeight="false" outlineLevel="0" collapsed="false">
      <c r="A627" s="0" t="n">
        <v>626</v>
      </c>
      <c r="D627" s="0" t="s">
        <v>1480</v>
      </c>
      <c r="E627" s="0" t="s">
        <v>20</v>
      </c>
      <c r="H627" s="0" t="s">
        <v>21</v>
      </c>
      <c r="I627" s="2" t="s">
        <v>22</v>
      </c>
      <c r="J627" s="2" t="s">
        <v>854</v>
      </c>
      <c r="K627" s="0" t="s">
        <v>855</v>
      </c>
      <c r="L627" s="0" t="s">
        <v>25</v>
      </c>
      <c r="M627" s="0" t="s">
        <v>857</v>
      </c>
      <c r="N627" s="0" t="s">
        <v>1481</v>
      </c>
      <c r="O627" s="0" t="n">
        <v>1</v>
      </c>
      <c r="R627" s="3"/>
      <c r="S627" s="2" t="s">
        <v>28</v>
      </c>
    </row>
    <row r="628" customFormat="false" ht="15" hidden="false" customHeight="false" outlineLevel="0" collapsed="false">
      <c r="A628" s="0" t="n">
        <v>627</v>
      </c>
      <c r="D628" s="0" t="s">
        <v>1482</v>
      </c>
      <c r="E628" s="0" t="s">
        <v>20</v>
      </c>
      <c r="H628" s="0" t="s">
        <v>21</v>
      </c>
      <c r="I628" s="2" t="s">
        <v>22</v>
      </c>
      <c r="J628" s="2" t="s">
        <v>854</v>
      </c>
      <c r="K628" s="0" t="s">
        <v>855</v>
      </c>
      <c r="L628" s="0" t="s">
        <v>25</v>
      </c>
      <c r="M628" s="0" t="s">
        <v>857</v>
      </c>
      <c r="N628" s="0" t="s">
        <v>1483</v>
      </c>
      <c r="O628" s="0" t="n">
        <v>1</v>
      </c>
      <c r="R628" s="3"/>
      <c r="S628" s="2" t="s">
        <v>28</v>
      </c>
    </row>
    <row r="629" customFormat="false" ht="15" hidden="false" customHeight="false" outlineLevel="0" collapsed="false">
      <c r="A629" s="0" t="n">
        <v>628</v>
      </c>
      <c r="D629" s="0" t="s">
        <v>1484</v>
      </c>
      <c r="E629" s="0" t="s">
        <v>20</v>
      </c>
      <c r="H629" s="0" t="s">
        <v>21</v>
      </c>
      <c r="I629" s="2" t="s">
        <v>22</v>
      </c>
      <c r="J629" s="2" t="s">
        <v>854</v>
      </c>
      <c r="K629" s="0" t="s">
        <v>855</v>
      </c>
      <c r="L629" s="0" t="s">
        <v>25</v>
      </c>
      <c r="M629" s="0" t="s">
        <v>857</v>
      </c>
      <c r="N629" s="0" t="s">
        <v>1485</v>
      </c>
      <c r="O629" s="0" t="n">
        <v>1</v>
      </c>
      <c r="R629" s="3"/>
      <c r="S629" s="2" t="s">
        <v>28</v>
      </c>
    </row>
    <row r="630" customFormat="false" ht="15" hidden="false" customHeight="false" outlineLevel="0" collapsed="false">
      <c r="A630" s="0" t="n">
        <v>629</v>
      </c>
      <c r="D630" s="0" t="s">
        <v>1486</v>
      </c>
      <c r="E630" s="0" t="s">
        <v>20</v>
      </c>
      <c r="H630" s="0" t="s">
        <v>21</v>
      </c>
      <c r="I630" s="2" t="s">
        <v>22</v>
      </c>
      <c r="J630" s="2" t="s">
        <v>854</v>
      </c>
      <c r="K630" s="0" t="s">
        <v>855</v>
      </c>
      <c r="L630" s="0" t="s">
        <v>25</v>
      </c>
      <c r="M630" s="0" t="s">
        <v>857</v>
      </c>
      <c r="N630" s="0" t="s">
        <v>1487</v>
      </c>
      <c r="O630" s="0" t="n">
        <v>1</v>
      </c>
      <c r="R630" s="3"/>
      <c r="S630" s="2" t="s">
        <v>28</v>
      </c>
    </row>
    <row r="631" customFormat="false" ht="15" hidden="false" customHeight="false" outlineLevel="0" collapsed="false">
      <c r="A631" s="0" t="n">
        <v>630</v>
      </c>
      <c r="D631" s="0" t="s">
        <v>1488</v>
      </c>
      <c r="E631" s="0" t="s">
        <v>253</v>
      </c>
      <c r="H631" s="0" t="s">
        <v>21</v>
      </c>
      <c r="I631" s="2" t="s">
        <v>22</v>
      </c>
      <c r="J631" s="2" t="s">
        <v>854</v>
      </c>
      <c r="K631" s="0" t="s">
        <v>855</v>
      </c>
      <c r="L631" s="0" t="s">
        <v>25</v>
      </c>
      <c r="M631" s="0" t="s">
        <v>857</v>
      </c>
      <c r="N631" s="0" t="s">
        <v>1489</v>
      </c>
      <c r="O631" s="0" t="n">
        <v>1</v>
      </c>
      <c r="P631" s="0" t="s">
        <v>253</v>
      </c>
      <c r="R631" s="3"/>
      <c r="S631" s="2" t="s">
        <v>28</v>
      </c>
    </row>
    <row r="632" customFormat="false" ht="15" hidden="false" customHeight="false" outlineLevel="0" collapsed="false">
      <c r="A632" s="0" t="n">
        <v>631</v>
      </c>
      <c r="D632" s="0" t="s">
        <v>1490</v>
      </c>
      <c r="E632" s="0" t="s">
        <v>20</v>
      </c>
      <c r="H632" s="0" t="s">
        <v>21</v>
      </c>
      <c r="I632" s="2" t="s">
        <v>22</v>
      </c>
      <c r="J632" s="2" t="s">
        <v>854</v>
      </c>
      <c r="K632" s="0" t="s">
        <v>855</v>
      </c>
      <c r="L632" s="0" t="s">
        <v>25</v>
      </c>
      <c r="M632" s="0" t="s">
        <v>857</v>
      </c>
      <c r="N632" s="0" t="s">
        <v>1491</v>
      </c>
      <c r="O632" s="0" t="n">
        <v>1</v>
      </c>
      <c r="R632" s="3"/>
      <c r="S632" s="2" t="s">
        <v>28</v>
      </c>
    </row>
    <row r="633" customFormat="false" ht="15" hidden="false" customHeight="false" outlineLevel="0" collapsed="false">
      <c r="A633" s="0" t="n">
        <v>632</v>
      </c>
      <c r="D633" s="0" t="s">
        <v>1492</v>
      </c>
      <c r="E633" s="0" t="s">
        <v>20</v>
      </c>
      <c r="H633" s="0" t="s">
        <v>21</v>
      </c>
      <c r="I633" s="2" t="s">
        <v>22</v>
      </c>
      <c r="J633" s="2" t="s">
        <v>854</v>
      </c>
      <c r="K633" s="0" t="s">
        <v>855</v>
      </c>
      <c r="L633" s="0" t="s">
        <v>25</v>
      </c>
      <c r="M633" s="0" t="s">
        <v>857</v>
      </c>
      <c r="N633" s="0" t="s">
        <v>1493</v>
      </c>
      <c r="O633" s="0" t="n">
        <v>1</v>
      </c>
      <c r="R633" s="3"/>
      <c r="S633" s="2" t="s">
        <v>28</v>
      </c>
    </row>
    <row r="634" customFormat="false" ht="15" hidden="false" customHeight="false" outlineLevel="0" collapsed="false">
      <c r="A634" s="0" t="n">
        <v>633</v>
      </c>
      <c r="D634" s="0" t="s">
        <v>1494</v>
      </c>
      <c r="E634" s="0" t="s">
        <v>20</v>
      </c>
      <c r="H634" s="0" t="s">
        <v>21</v>
      </c>
      <c r="I634" s="2" t="s">
        <v>22</v>
      </c>
      <c r="J634" s="2" t="s">
        <v>854</v>
      </c>
      <c r="K634" s="0" t="s">
        <v>855</v>
      </c>
      <c r="L634" s="0" t="s">
        <v>25</v>
      </c>
      <c r="M634" s="0" t="s">
        <v>857</v>
      </c>
      <c r="N634" s="0" t="s">
        <v>1495</v>
      </c>
      <c r="O634" s="0" t="n">
        <v>1</v>
      </c>
      <c r="R634" s="3"/>
      <c r="S634" s="2" t="s">
        <v>28</v>
      </c>
    </row>
    <row r="635" customFormat="false" ht="15" hidden="false" customHeight="false" outlineLevel="0" collapsed="false">
      <c r="A635" s="0" t="n">
        <v>634</v>
      </c>
      <c r="D635" s="0" t="s">
        <v>1496</v>
      </c>
      <c r="E635" s="0" t="s">
        <v>287</v>
      </c>
      <c r="H635" s="0" t="s">
        <v>21</v>
      </c>
      <c r="I635" s="2" t="s">
        <v>22</v>
      </c>
      <c r="J635" s="2" t="s">
        <v>854</v>
      </c>
      <c r="K635" s="0" t="s">
        <v>855</v>
      </c>
      <c r="L635" s="0" t="s">
        <v>25</v>
      </c>
      <c r="M635" s="0" t="s">
        <v>857</v>
      </c>
      <c r="N635" s="0" t="s">
        <v>1497</v>
      </c>
      <c r="O635" s="0" t="n">
        <v>1</v>
      </c>
      <c r="P635" s="0" t="s">
        <v>287</v>
      </c>
      <c r="R635" s="3"/>
      <c r="S635" s="2" t="s">
        <v>28</v>
      </c>
    </row>
    <row r="636" customFormat="false" ht="15" hidden="false" customHeight="false" outlineLevel="0" collapsed="false">
      <c r="A636" s="0" t="n">
        <v>635</v>
      </c>
      <c r="D636" s="0" t="s">
        <v>1498</v>
      </c>
      <c r="E636" s="0" t="s">
        <v>268</v>
      </c>
      <c r="H636" s="0" t="s">
        <v>21</v>
      </c>
      <c r="I636" s="2" t="s">
        <v>22</v>
      </c>
      <c r="J636" s="2" t="s">
        <v>854</v>
      </c>
      <c r="K636" s="0" t="s">
        <v>855</v>
      </c>
      <c r="L636" s="0" t="s">
        <v>25</v>
      </c>
      <c r="M636" s="0" t="s">
        <v>857</v>
      </c>
      <c r="N636" s="0" t="s">
        <v>1499</v>
      </c>
      <c r="O636" s="0" t="n">
        <v>1</v>
      </c>
      <c r="P636" s="0" t="s">
        <v>268</v>
      </c>
      <c r="R636" s="3"/>
      <c r="S636" s="2" t="s">
        <v>28</v>
      </c>
    </row>
    <row r="637" customFormat="false" ht="15" hidden="false" customHeight="false" outlineLevel="0" collapsed="false">
      <c r="A637" s="0" t="n">
        <v>636</v>
      </c>
      <c r="D637" s="0" t="s">
        <v>1500</v>
      </c>
      <c r="E637" s="0" t="s">
        <v>20</v>
      </c>
      <c r="H637" s="0" t="s">
        <v>21</v>
      </c>
      <c r="I637" s="2" t="s">
        <v>22</v>
      </c>
      <c r="J637" s="2" t="s">
        <v>854</v>
      </c>
      <c r="K637" s="0" t="s">
        <v>855</v>
      </c>
      <c r="L637" s="0" t="s">
        <v>25</v>
      </c>
      <c r="M637" s="0" t="s">
        <v>857</v>
      </c>
      <c r="N637" s="0" t="s">
        <v>1296</v>
      </c>
      <c r="O637" s="0" t="n">
        <v>1</v>
      </c>
      <c r="R637" s="3"/>
      <c r="S637" s="2" t="s">
        <v>28</v>
      </c>
    </row>
    <row r="638" customFormat="false" ht="15" hidden="false" customHeight="false" outlineLevel="0" collapsed="false">
      <c r="A638" s="0" t="n">
        <v>637</v>
      </c>
      <c r="D638" s="0" t="s">
        <v>1501</v>
      </c>
      <c r="E638" s="0" t="s">
        <v>287</v>
      </c>
      <c r="H638" s="0" t="s">
        <v>21</v>
      </c>
      <c r="I638" s="2" t="s">
        <v>22</v>
      </c>
      <c r="J638" s="2" t="s">
        <v>854</v>
      </c>
      <c r="K638" s="0" t="s">
        <v>855</v>
      </c>
      <c r="L638" s="0" t="s">
        <v>25</v>
      </c>
      <c r="M638" s="0" t="s">
        <v>857</v>
      </c>
      <c r="N638" s="0" t="s">
        <v>1502</v>
      </c>
      <c r="O638" s="0" t="n">
        <v>1</v>
      </c>
      <c r="P638" s="0" t="s">
        <v>287</v>
      </c>
      <c r="R638" s="3"/>
      <c r="S638" s="2" t="s">
        <v>28</v>
      </c>
    </row>
    <row r="639" customFormat="false" ht="15" hidden="false" customHeight="false" outlineLevel="0" collapsed="false">
      <c r="A639" s="0" t="n">
        <v>638</v>
      </c>
      <c r="D639" s="0" t="s">
        <v>1503</v>
      </c>
      <c r="E639" s="0" t="s">
        <v>20</v>
      </c>
      <c r="H639" s="0" t="s">
        <v>21</v>
      </c>
      <c r="I639" s="2" t="s">
        <v>22</v>
      </c>
      <c r="J639" s="2" t="s">
        <v>854</v>
      </c>
      <c r="K639" s="0" t="s">
        <v>855</v>
      </c>
      <c r="L639" s="0" t="s">
        <v>25</v>
      </c>
      <c r="M639" s="0" t="s">
        <v>857</v>
      </c>
      <c r="N639" s="0" t="s">
        <v>1504</v>
      </c>
      <c r="O639" s="0" t="n">
        <v>1</v>
      </c>
      <c r="R639" s="3"/>
      <c r="S639" s="2" t="s">
        <v>28</v>
      </c>
    </row>
    <row r="640" customFormat="false" ht="15" hidden="false" customHeight="false" outlineLevel="0" collapsed="false">
      <c r="A640" s="0" t="n">
        <v>639</v>
      </c>
      <c r="D640" s="0" t="s">
        <v>1505</v>
      </c>
      <c r="E640" s="0" t="s">
        <v>20</v>
      </c>
      <c r="H640" s="0" t="s">
        <v>21</v>
      </c>
      <c r="I640" s="2" t="s">
        <v>22</v>
      </c>
      <c r="J640" s="2" t="s">
        <v>854</v>
      </c>
      <c r="K640" s="0" t="s">
        <v>855</v>
      </c>
      <c r="L640" s="0" t="s">
        <v>25</v>
      </c>
      <c r="M640" s="0" t="s">
        <v>857</v>
      </c>
      <c r="N640" s="0" t="s">
        <v>1506</v>
      </c>
      <c r="O640" s="0" t="n">
        <v>1</v>
      </c>
      <c r="R640" s="3"/>
      <c r="S640" s="2" t="s">
        <v>28</v>
      </c>
    </row>
    <row r="641" customFormat="false" ht="15" hidden="false" customHeight="false" outlineLevel="0" collapsed="false">
      <c r="A641" s="0" t="n">
        <v>640</v>
      </c>
      <c r="D641" s="0" t="s">
        <v>1507</v>
      </c>
      <c r="E641" s="0" t="s">
        <v>173</v>
      </c>
      <c r="H641" s="0" t="s">
        <v>21</v>
      </c>
      <c r="I641" s="2" t="s">
        <v>22</v>
      </c>
      <c r="J641" s="2" t="s">
        <v>854</v>
      </c>
      <c r="K641" s="0" t="s">
        <v>855</v>
      </c>
      <c r="L641" s="0" t="s">
        <v>25</v>
      </c>
      <c r="M641" s="0" t="s">
        <v>857</v>
      </c>
      <c r="N641" s="0" t="s">
        <v>1508</v>
      </c>
      <c r="O641" s="0" t="n">
        <v>1</v>
      </c>
      <c r="P641" s="0" t="s">
        <v>173</v>
      </c>
      <c r="R641" s="3"/>
      <c r="S641" s="2" t="s">
        <v>28</v>
      </c>
    </row>
    <row r="642" customFormat="false" ht="15" hidden="false" customHeight="false" outlineLevel="0" collapsed="false">
      <c r="A642" s="0" t="n">
        <v>641</v>
      </c>
      <c r="D642" s="0" t="s">
        <v>1509</v>
      </c>
      <c r="E642" s="0" t="s">
        <v>20</v>
      </c>
      <c r="H642" s="0" t="s">
        <v>21</v>
      </c>
      <c r="I642" s="2" t="s">
        <v>22</v>
      </c>
      <c r="J642" s="2" t="s">
        <v>854</v>
      </c>
      <c r="K642" s="0" t="s">
        <v>855</v>
      </c>
      <c r="L642" s="0" t="s">
        <v>25</v>
      </c>
      <c r="M642" s="0" t="s">
        <v>857</v>
      </c>
      <c r="N642" s="0" t="s">
        <v>1510</v>
      </c>
      <c r="O642" s="0" t="n">
        <v>1</v>
      </c>
      <c r="R642" s="3"/>
      <c r="S642" s="2" t="s">
        <v>28</v>
      </c>
    </row>
    <row r="643" customFormat="false" ht="15" hidden="false" customHeight="false" outlineLevel="0" collapsed="false">
      <c r="A643" s="0" t="n">
        <v>642</v>
      </c>
      <c r="D643" s="0" t="s">
        <v>1511</v>
      </c>
      <c r="E643" s="0" t="s">
        <v>173</v>
      </c>
      <c r="F643" s="0" t="s">
        <v>1512</v>
      </c>
      <c r="H643" s="0" t="s">
        <v>21</v>
      </c>
      <c r="I643" s="2" t="s">
        <v>22</v>
      </c>
      <c r="J643" s="2" t="s">
        <v>854</v>
      </c>
      <c r="K643" s="0" t="s">
        <v>855</v>
      </c>
      <c r="L643" s="0" t="s">
        <v>1513</v>
      </c>
      <c r="M643" s="0" t="s">
        <v>857</v>
      </c>
      <c r="N643" s="0" t="s">
        <v>1514</v>
      </c>
      <c r="O643" s="0" t="n">
        <v>1</v>
      </c>
      <c r="P643" s="0" t="s">
        <v>173</v>
      </c>
      <c r="Q643" s="0" t="s">
        <v>1515</v>
      </c>
      <c r="R643" s="3" t="s">
        <v>1516</v>
      </c>
      <c r="S643" s="2" t="s">
        <v>1517</v>
      </c>
    </row>
    <row r="644" customFormat="false" ht="15" hidden="false" customHeight="false" outlineLevel="0" collapsed="false">
      <c r="A644" s="0" t="n">
        <v>643</v>
      </c>
      <c r="D644" s="0" t="s">
        <v>1518</v>
      </c>
      <c r="E644" s="0" t="s">
        <v>20</v>
      </c>
      <c r="H644" s="0" t="s">
        <v>21</v>
      </c>
      <c r="I644" s="2" t="s">
        <v>22</v>
      </c>
      <c r="J644" s="2" t="s">
        <v>854</v>
      </c>
      <c r="K644" s="0" t="s">
        <v>855</v>
      </c>
      <c r="L644" s="0" t="s">
        <v>25</v>
      </c>
      <c r="M644" s="0" t="s">
        <v>857</v>
      </c>
      <c r="N644" s="0" t="s">
        <v>1519</v>
      </c>
      <c r="O644" s="0" t="n">
        <v>1</v>
      </c>
      <c r="R644" s="3"/>
      <c r="S644" s="2" t="s">
        <v>28</v>
      </c>
    </row>
    <row r="645" customFormat="false" ht="15" hidden="false" customHeight="false" outlineLevel="0" collapsed="false">
      <c r="A645" s="0" t="n">
        <v>644</v>
      </c>
      <c r="D645" s="0" t="s">
        <v>1520</v>
      </c>
      <c r="E645" s="0" t="s">
        <v>20</v>
      </c>
      <c r="H645" s="0" t="s">
        <v>21</v>
      </c>
      <c r="I645" s="2" t="s">
        <v>22</v>
      </c>
      <c r="J645" s="2" t="s">
        <v>854</v>
      </c>
      <c r="K645" s="0" t="s">
        <v>855</v>
      </c>
      <c r="L645" s="0" t="s">
        <v>420</v>
      </c>
      <c r="M645" s="0" t="s">
        <v>857</v>
      </c>
      <c r="N645" s="0" t="s">
        <v>1521</v>
      </c>
      <c r="O645" s="0" t="n">
        <v>1</v>
      </c>
      <c r="P645" s="0" t="s">
        <v>422</v>
      </c>
      <c r="R645" s="3"/>
      <c r="S645" s="2" t="s">
        <v>28</v>
      </c>
    </row>
    <row r="646" customFormat="false" ht="15" hidden="false" customHeight="false" outlineLevel="0" collapsed="false">
      <c r="A646" s="0" t="n">
        <v>645</v>
      </c>
      <c r="D646" s="0" t="s">
        <v>1522</v>
      </c>
      <c r="E646" s="0" t="s">
        <v>287</v>
      </c>
      <c r="H646" s="0" t="s">
        <v>21</v>
      </c>
      <c r="I646" s="2" t="s">
        <v>22</v>
      </c>
      <c r="J646" s="2" t="s">
        <v>854</v>
      </c>
      <c r="K646" s="0" t="s">
        <v>855</v>
      </c>
      <c r="L646" s="0" t="s">
        <v>25</v>
      </c>
      <c r="M646" s="0" t="s">
        <v>857</v>
      </c>
      <c r="N646" s="0" t="s">
        <v>1523</v>
      </c>
      <c r="O646" s="0" t="n">
        <v>1</v>
      </c>
      <c r="P646" s="0" t="s">
        <v>287</v>
      </c>
      <c r="R646" s="3"/>
      <c r="S646" s="2" t="s">
        <v>28</v>
      </c>
    </row>
    <row r="647" customFormat="false" ht="15" hidden="false" customHeight="false" outlineLevel="0" collapsed="false">
      <c r="A647" s="0" t="n">
        <v>646</v>
      </c>
      <c r="D647" s="0" t="s">
        <v>1524</v>
      </c>
      <c r="E647" s="0" t="s">
        <v>20</v>
      </c>
      <c r="H647" s="0" t="s">
        <v>21</v>
      </c>
      <c r="I647" s="2" t="s">
        <v>22</v>
      </c>
      <c r="J647" s="2" t="s">
        <v>854</v>
      </c>
      <c r="K647" s="0" t="s">
        <v>855</v>
      </c>
      <c r="L647" s="0" t="s">
        <v>204</v>
      </c>
      <c r="M647" s="0" t="s">
        <v>857</v>
      </c>
      <c r="N647" s="0" t="s">
        <v>1525</v>
      </c>
      <c r="O647" s="0" t="n">
        <v>1</v>
      </c>
      <c r="P647" s="0" t="s">
        <v>206</v>
      </c>
      <c r="R647" s="3"/>
      <c r="S647" s="2" t="s">
        <v>28</v>
      </c>
    </row>
    <row r="648" customFormat="false" ht="15" hidden="false" customHeight="false" outlineLevel="0" collapsed="false">
      <c r="A648" s="0" t="n">
        <v>647</v>
      </c>
      <c r="D648" s="0" t="s">
        <v>1526</v>
      </c>
      <c r="E648" s="0" t="s">
        <v>20</v>
      </c>
      <c r="H648" s="0" t="s">
        <v>21</v>
      </c>
      <c r="I648" s="2" t="s">
        <v>22</v>
      </c>
      <c r="J648" s="2" t="s">
        <v>854</v>
      </c>
      <c r="K648" s="0" t="s">
        <v>855</v>
      </c>
      <c r="L648" s="0" t="s">
        <v>25</v>
      </c>
      <c r="M648" s="0" t="s">
        <v>857</v>
      </c>
      <c r="N648" s="0" t="s">
        <v>1527</v>
      </c>
      <c r="O648" s="0" t="n">
        <v>1</v>
      </c>
      <c r="R648" s="3"/>
      <c r="S648" s="2" t="s">
        <v>28</v>
      </c>
    </row>
    <row r="649" customFormat="false" ht="15" hidden="false" customHeight="false" outlineLevel="0" collapsed="false">
      <c r="A649" s="0" t="n">
        <v>648</v>
      </c>
      <c r="D649" s="0" t="s">
        <v>1528</v>
      </c>
      <c r="E649" s="0" t="s">
        <v>20</v>
      </c>
      <c r="H649" s="0" t="s">
        <v>21</v>
      </c>
      <c r="I649" s="2" t="s">
        <v>22</v>
      </c>
      <c r="J649" s="2" t="s">
        <v>854</v>
      </c>
      <c r="K649" s="0" t="s">
        <v>855</v>
      </c>
      <c r="L649" s="0" t="s">
        <v>25</v>
      </c>
      <c r="M649" s="0" t="s">
        <v>857</v>
      </c>
      <c r="N649" s="0" t="s">
        <v>1529</v>
      </c>
      <c r="O649" s="0" t="n">
        <v>1</v>
      </c>
      <c r="R649" s="3"/>
      <c r="S649" s="2" t="s">
        <v>28</v>
      </c>
    </row>
    <row r="650" customFormat="false" ht="15" hidden="false" customHeight="false" outlineLevel="0" collapsed="false">
      <c r="A650" s="0" t="n">
        <v>649</v>
      </c>
      <c r="D650" s="0" t="s">
        <v>1530</v>
      </c>
      <c r="E650" s="0" t="s">
        <v>301</v>
      </c>
      <c r="H650" s="0" t="s">
        <v>21</v>
      </c>
      <c r="I650" s="2" t="s">
        <v>22</v>
      </c>
      <c r="J650" s="2" t="s">
        <v>854</v>
      </c>
      <c r="K650" s="0" t="s">
        <v>855</v>
      </c>
      <c r="L650" s="0" t="s">
        <v>25</v>
      </c>
      <c r="M650" s="0" t="s">
        <v>857</v>
      </c>
      <c r="N650" s="0" t="s">
        <v>1531</v>
      </c>
      <c r="O650" s="0" t="n">
        <v>1</v>
      </c>
      <c r="P650" s="0" t="s">
        <v>301</v>
      </c>
      <c r="R650" s="3"/>
      <c r="S650" s="2" t="s">
        <v>28</v>
      </c>
    </row>
    <row r="651" customFormat="false" ht="15" hidden="false" customHeight="false" outlineLevel="0" collapsed="false">
      <c r="A651" s="0" t="n">
        <v>650</v>
      </c>
      <c r="D651" s="0" t="s">
        <v>1532</v>
      </c>
      <c r="E651" s="0" t="s">
        <v>20</v>
      </c>
      <c r="H651" s="0" t="s">
        <v>21</v>
      </c>
      <c r="I651" s="2" t="s">
        <v>22</v>
      </c>
      <c r="J651" s="2" t="s">
        <v>854</v>
      </c>
      <c r="K651" s="0" t="s">
        <v>855</v>
      </c>
      <c r="L651" s="0" t="s">
        <v>25</v>
      </c>
      <c r="M651" s="0" t="s">
        <v>857</v>
      </c>
      <c r="N651" s="0" t="s">
        <v>1533</v>
      </c>
      <c r="O651" s="0" t="n">
        <v>1</v>
      </c>
      <c r="R651" s="3"/>
      <c r="S651" s="2" t="s">
        <v>28</v>
      </c>
    </row>
    <row r="652" customFormat="false" ht="15" hidden="false" customHeight="false" outlineLevel="0" collapsed="false">
      <c r="A652" s="0" t="n">
        <v>651</v>
      </c>
      <c r="D652" s="0" t="s">
        <v>1534</v>
      </c>
      <c r="E652" s="0" t="s">
        <v>287</v>
      </c>
      <c r="H652" s="0" t="s">
        <v>21</v>
      </c>
      <c r="I652" s="2" t="s">
        <v>22</v>
      </c>
      <c r="J652" s="2" t="s">
        <v>854</v>
      </c>
      <c r="K652" s="0" t="s">
        <v>855</v>
      </c>
      <c r="L652" s="0" t="s">
        <v>25</v>
      </c>
      <c r="M652" s="0" t="s">
        <v>857</v>
      </c>
      <c r="N652" s="0" t="s">
        <v>1535</v>
      </c>
      <c r="O652" s="0" t="n">
        <v>1</v>
      </c>
      <c r="P652" s="0" t="s">
        <v>287</v>
      </c>
      <c r="R652" s="3"/>
      <c r="S652" s="2" t="s">
        <v>28</v>
      </c>
    </row>
    <row r="653" customFormat="false" ht="15" hidden="false" customHeight="false" outlineLevel="0" collapsed="false">
      <c r="A653" s="0" t="n">
        <v>652</v>
      </c>
      <c r="D653" s="0" t="s">
        <v>1536</v>
      </c>
      <c r="E653" s="0" t="s">
        <v>20</v>
      </c>
      <c r="H653" s="0" t="s">
        <v>21</v>
      </c>
      <c r="I653" s="2" t="s">
        <v>22</v>
      </c>
      <c r="J653" s="2" t="s">
        <v>854</v>
      </c>
      <c r="K653" s="0" t="s">
        <v>855</v>
      </c>
      <c r="L653" s="0" t="s">
        <v>204</v>
      </c>
      <c r="M653" s="0" t="s">
        <v>857</v>
      </c>
      <c r="N653" s="0" t="s">
        <v>1537</v>
      </c>
      <c r="O653" s="0" t="n">
        <v>1</v>
      </c>
      <c r="P653" s="0" t="s">
        <v>206</v>
      </c>
      <c r="R653" s="3"/>
      <c r="S653" s="2" t="s">
        <v>28</v>
      </c>
    </row>
    <row r="654" customFormat="false" ht="15" hidden="false" customHeight="false" outlineLevel="0" collapsed="false">
      <c r="A654" s="0" t="n">
        <v>653</v>
      </c>
      <c r="D654" s="0" t="s">
        <v>1538</v>
      </c>
      <c r="E654" s="0" t="s">
        <v>1539</v>
      </c>
      <c r="H654" s="0" t="s">
        <v>21</v>
      </c>
      <c r="I654" s="2" t="s">
        <v>22</v>
      </c>
      <c r="J654" s="2" t="s">
        <v>854</v>
      </c>
      <c r="K654" s="0" t="s">
        <v>855</v>
      </c>
      <c r="L654" s="0" t="s">
        <v>889</v>
      </c>
      <c r="M654" s="0" t="s">
        <v>857</v>
      </c>
      <c r="N654" s="0" t="s">
        <v>1540</v>
      </c>
      <c r="O654" s="0" t="n">
        <v>1</v>
      </c>
      <c r="R654" s="3"/>
      <c r="S654" s="2" t="s">
        <v>28</v>
      </c>
    </row>
    <row r="655" customFormat="false" ht="15" hidden="false" customHeight="false" outlineLevel="0" collapsed="false">
      <c r="A655" s="0" t="n">
        <v>654</v>
      </c>
      <c r="D655" s="0" t="s">
        <v>1541</v>
      </c>
      <c r="E655" s="0" t="s">
        <v>20</v>
      </c>
      <c r="H655" s="0" t="s">
        <v>21</v>
      </c>
      <c r="I655" s="2" t="s">
        <v>22</v>
      </c>
      <c r="J655" s="2" t="s">
        <v>854</v>
      </c>
      <c r="K655" s="0" t="s">
        <v>855</v>
      </c>
      <c r="L655" s="0" t="s">
        <v>25</v>
      </c>
      <c r="M655" s="0" t="s">
        <v>857</v>
      </c>
      <c r="N655" s="0" t="s">
        <v>1542</v>
      </c>
      <c r="O655" s="0" t="n">
        <v>1</v>
      </c>
      <c r="R655" s="3"/>
      <c r="S655" s="2" t="s">
        <v>28</v>
      </c>
    </row>
    <row r="656" customFormat="false" ht="15" hidden="false" customHeight="false" outlineLevel="0" collapsed="false">
      <c r="A656" s="0" t="n">
        <v>655</v>
      </c>
      <c r="D656" s="0" t="s">
        <v>1543</v>
      </c>
      <c r="E656" s="0" t="s">
        <v>20</v>
      </c>
      <c r="H656" s="0" t="s">
        <v>21</v>
      </c>
      <c r="I656" s="2" t="s">
        <v>22</v>
      </c>
      <c r="J656" s="2" t="s">
        <v>854</v>
      </c>
      <c r="K656" s="0" t="s">
        <v>855</v>
      </c>
      <c r="L656" s="0" t="s">
        <v>25</v>
      </c>
      <c r="M656" s="0" t="s">
        <v>857</v>
      </c>
      <c r="N656" s="0" t="s">
        <v>1544</v>
      </c>
      <c r="O656" s="0" t="n">
        <v>1</v>
      </c>
      <c r="R656" s="3"/>
      <c r="S656" s="2" t="s">
        <v>28</v>
      </c>
    </row>
    <row r="657" customFormat="false" ht="15" hidden="false" customHeight="false" outlineLevel="0" collapsed="false">
      <c r="A657" s="0" t="n">
        <v>656</v>
      </c>
      <c r="D657" s="0" t="s">
        <v>1545</v>
      </c>
      <c r="E657" s="0" t="s">
        <v>20</v>
      </c>
      <c r="H657" s="0" t="s">
        <v>21</v>
      </c>
      <c r="I657" s="2" t="s">
        <v>22</v>
      </c>
      <c r="J657" s="2" t="s">
        <v>854</v>
      </c>
      <c r="K657" s="0" t="s">
        <v>855</v>
      </c>
      <c r="L657" s="0" t="s">
        <v>420</v>
      </c>
      <c r="M657" s="0" t="s">
        <v>857</v>
      </c>
      <c r="N657" s="0" t="s">
        <v>1546</v>
      </c>
      <c r="O657" s="0" t="n">
        <v>1</v>
      </c>
      <c r="P657" s="0" t="s">
        <v>422</v>
      </c>
      <c r="R657" s="3"/>
      <c r="S657" s="2" t="s">
        <v>28</v>
      </c>
    </row>
    <row r="658" customFormat="false" ht="15" hidden="false" customHeight="false" outlineLevel="0" collapsed="false">
      <c r="A658" s="0" t="n">
        <v>657</v>
      </c>
      <c r="D658" s="0" t="s">
        <v>1547</v>
      </c>
      <c r="E658" s="0" t="s">
        <v>20</v>
      </c>
      <c r="H658" s="0" t="s">
        <v>21</v>
      </c>
      <c r="I658" s="2" t="s">
        <v>22</v>
      </c>
      <c r="J658" s="2" t="s">
        <v>854</v>
      </c>
      <c r="K658" s="0" t="s">
        <v>855</v>
      </c>
      <c r="L658" s="0" t="s">
        <v>25</v>
      </c>
      <c r="M658" s="0" t="s">
        <v>857</v>
      </c>
      <c r="N658" s="0" t="s">
        <v>1548</v>
      </c>
      <c r="O658" s="0" t="n">
        <v>1</v>
      </c>
      <c r="P658" s="0" t="s">
        <v>43</v>
      </c>
      <c r="R658" s="3"/>
      <c r="S658" s="2" t="s">
        <v>28</v>
      </c>
    </row>
    <row r="659" customFormat="false" ht="15" hidden="false" customHeight="false" outlineLevel="0" collapsed="false">
      <c r="A659" s="0" t="n">
        <v>658</v>
      </c>
      <c r="D659" s="0" t="s">
        <v>1549</v>
      </c>
      <c r="E659" s="0" t="s">
        <v>20</v>
      </c>
      <c r="H659" s="0" t="s">
        <v>21</v>
      </c>
      <c r="I659" s="2" t="s">
        <v>22</v>
      </c>
      <c r="J659" s="2" t="s">
        <v>854</v>
      </c>
      <c r="K659" s="0" t="s">
        <v>855</v>
      </c>
      <c r="L659" s="0" t="s">
        <v>25</v>
      </c>
      <c r="M659" s="0" t="s">
        <v>857</v>
      </c>
      <c r="N659" s="0" t="s">
        <v>1550</v>
      </c>
      <c r="O659" s="0" t="n">
        <v>1</v>
      </c>
      <c r="R659" s="3"/>
      <c r="S659" s="2" t="s">
        <v>28</v>
      </c>
    </row>
    <row r="660" customFormat="false" ht="15" hidden="false" customHeight="false" outlineLevel="0" collapsed="false">
      <c r="A660" s="0" t="n">
        <v>659</v>
      </c>
      <c r="D660" s="0" t="s">
        <v>1551</v>
      </c>
      <c r="E660" s="0" t="s">
        <v>20</v>
      </c>
      <c r="H660" s="0" t="s">
        <v>21</v>
      </c>
      <c r="I660" s="2" t="s">
        <v>22</v>
      </c>
      <c r="J660" s="2" t="s">
        <v>854</v>
      </c>
      <c r="K660" s="0" t="s">
        <v>855</v>
      </c>
      <c r="L660" s="0" t="s">
        <v>25</v>
      </c>
      <c r="M660" s="0" t="s">
        <v>857</v>
      </c>
      <c r="N660" s="0" t="s">
        <v>1552</v>
      </c>
      <c r="O660" s="0" t="n">
        <v>1</v>
      </c>
      <c r="R660" s="3"/>
      <c r="S660" s="2" t="s">
        <v>28</v>
      </c>
    </row>
    <row r="661" customFormat="false" ht="15" hidden="false" customHeight="false" outlineLevel="0" collapsed="false">
      <c r="A661" s="0" t="n">
        <v>660</v>
      </c>
      <c r="D661" s="0" t="s">
        <v>1553</v>
      </c>
      <c r="E661" s="0" t="s">
        <v>387</v>
      </c>
      <c r="H661" s="0" t="s">
        <v>21</v>
      </c>
      <c r="I661" s="2" t="s">
        <v>22</v>
      </c>
      <c r="J661" s="2" t="s">
        <v>854</v>
      </c>
      <c r="K661" s="0" t="s">
        <v>855</v>
      </c>
      <c r="L661" s="0" t="s">
        <v>25</v>
      </c>
      <c r="M661" s="0" t="s">
        <v>857</v>
      </c>
      <c r="N661" s="0" t="s">
        <v>1554</v>
      </c>
      <c r="O661" s="0" t="n">
        <v>1</v>
      </c>
      <c r="P661" s="0" t="s">
        <v>387</v>
      </c>
      <c r="R661" s="3"/>
      <c r="S661" s="2" t="s">
        <v>28</v>
      </c>
    </row>
    <row r="662" customFormat="false" ht="15" hidden="false" customHeight="false" outlineLevel="0" collapsed="false">
      <c r="A662" s="0" t="n">
        <v>661</v>
      </c>
      <c r="D662" s="0" t="s">
        <v>1555</v>
      </c>
      <c r="E662" s="0" t="s">
        <v>268</v>
      </c>
      <c r="H662" s="0" t="s">
        <v>21</v>
      </c>
      <c r="I662" s="2" t="s">
        <v>22</v>
      </c>
      <c r="J662" s="2" t="s">
        <v>854</v>
      </c>
      <c r="K662" s="0" t="s">
        <v>855</v>
      </c>
      <c r="L662" s="0" t="s">
        <v>25</v>
      </c>
      <c r="M662" s="0" t="s">
        <v>857</v>
      </c>
      <c r="N662" s="0" t="s">
        <v>1556</v>
      </c>
      <c r="O662" s="0" t="n">
        <v>1</v>
      </c>
      <c r="P662" s="0" t="s">
        <v>293</v>
      </c>
      <c r="R662" s="3"/>
      <c r="S662" s="2" t="s">
        <v>28</v>
      </c>
    </row>
    <row r="663" customFormat="false" ht="15" hidden="false" customHeight="false" outlineLevel="0" collapsed="false">
      <c r="A663" s="0" t="n">
        <v>662</v>
      </c>
      <c r="D663" s="0" t="s">
        <v>1557</v>
      </c>
      <c r="E663" s="0" t="s">
        <v>20</v>
      </c>
      <c r="H663" s="0" t="s">
        <v>21</v>
      </c>
      <c r="I663" s="2" t="s">
        <v>22</v>
      </c>
      <c r="J663" s="2" t="s">
        <v>854</v>
      </c>
      <c r="K663" s="0" t="s">
        <v>855</v>
      </c>
      <c r="L663" s="0" t="s">
        <v>25</v>
      </c>
      <c r="M663" s="0" t="s">
        <v>857</v>
      </c>
      <c r="N663" s="0" t="s">
        <v>1558</v>
      </c>
      <c r="O663" s="0" t="n">
        <v>1</v>
      </c>
      <c r="R663" s="3"/>
      <c r="S663" s="2" t="s">
        <v>28</v>
      </c>
    </row>
    <row r="664" customFormat="false" ht="15" hidden="false" customHeight="false" outlineLevel="0" collapsed="false">
      <c r="A664" s="0" t="n">
        <v>663</v>
      </c>
      <c r="D664" s="0" t="s">
        <v>1559</v>
      </c>
      <c r="E664" s="0" t="s">
        <v>501</v>
      </c>
      <c r="H664" s="0" t="s">
        <v>21</v>
      </c>
      <c r="I664" s="2" t="s">
        <v>22</v>
      </c>
      <c r="J664" s="2" t="s">
        <v>854</v>
      </c>
      <c r="K664" s="0" t="s">
        <v>855</v>
      </c>
      <c r="L664" s="0" t="s">
        <v>25</v>
      </c>
      <c r="M664" s="0" t="s">
        <v>857</v>
      </c>
      <c r="N664" s="0" t="s">
        <v>1560</v>
      </c>
      <c r="O664" s="0" t="n">
        <v>1</v>
      </c>
      <c r="P664" s="0" t="s">
        <v>501</v>
      </c>
      <c r="R664" s="3"/>
      <c r="S664" s="2" t="s">
        <v>28</v>
      </c>
    </row>
    <row r="665" customFormat="false" ht="15" hidden="false" customHeight="false" outlineLevel="0" collapsed="false">
      <c r="A665" s="0" t="n">
        <v>664</v>
      </c>
      <c r="D665" s="0" t="s">
        <v>1561</v>
      </c>
      <c r="E665" s="0" t="s">
        <v>73</v>
      </c>
      <c r="H665" s="0" t="s">
        <v>21</v>
      </c>
      <c r="I665" s="2" t="s">
        <v>22</v>
      </c>
      <c r="J665" s="2" t="s">
        <v>854</v>
      </c>
      <c r="K665" s="0" t="s">
        <v>855</v>
      </c>
      <c r="L665" s="0" t="s">
        <v>25</v>
      </c>
      <c r="M665" s="0" t="s">
        <v>857</v>
      </c>
      <c r="N665" s="0" t="s">
        <v>1562</v>
      </c>
      <c r="O665" s="0" t="n">
        <v>1</v>
      </c>
      <c r="P665" s="0" t="s">
        <v>73</v>
      </c>
      <c r="R665" s="3"/>
      <c r="S665" s="2" t="s">
        <v>28</v>
      </c>
    </row>
    <row r="666" customFormat="false" ht="15" hidden="false" customHeight="false" outlineLevel="0" collapsed="false">
      <c r="A666" s="0" t="n">
        <v>665</v>
      </c>
      <c r="D666" s="0" t="s">
        <v>1563</v>
      </c>
      <c r="E666" s="0" t="s">
        <v>20</v>
      </c>
      <c r="H666" s="0" t="s">
        <v>21</v>
      </c>
      <c r="I666" s="2" t="s">
        <v>22</v>
      </c>
      <c r="J666" s="2" t="s">
        <v>854</v>
      </c>
      <c r="K666" s="0" t="s">
        <v>855</v>
      </c>
      <c r="L666" s="0" t="s">
        <v>25</v>
      </c>
      <c r="M666" s="0" t="s">
        <v>857</v>
      </c>
      <c r="N666" s="0" t="s">
        <v>1564</v>
      </c>
      <c r="O666" s="0" t="n">
        <v>1</v>
      </c>
      <c r="R666" s="3"/>
      <c r="S666" s="2" t="s">
        <v>28</v>
      </c>
    </row>
    <row r="667" customFormat="false" ht="15" hidden="false" customHeight="false" outlineLevel="0" collapsed="false">
      <c r="A667" s="0" t="n">
        <v>666</v>
      </c>
      <c r="D667" s="0" t="s">
        <v>1565</v>
      </c>
      <c r="E667" s="0" t="s">
        <v>20</v>
      </c>
      <c r="H667" s="0" t="s">
        <v>21</v>
      </c>
      <c r="I667" s="2" t="s">
        <v>22</v>
      </c>
      <c r="J667" s="2" t="s">
        <v>854</v>
      </c>
      <c r="K667" s="0" t="s">
        <v>855</v>
      </c>
      <c r="L667" s="0" t="s">
        <v>25</v>
      </c>
      <c r="M667" s="0" t="s">
        <v>857</v>
      </c>
      <c r="N667" s="0" t="s">
        <v>1566</v>
      </c>
      <c r="O667" s="0" t="n">
        <v>1</v>
      </c>
      <c r="P667" s="0" t="s">
        <v>43</v>
      </c>
      <c r="R667" s="3"/>
      <c r="S667" s="2" t="s">
        <v>28</v>
      </c>
    </row>
    <row r="668" customFormat="false" ht="15" hidden="false" customHeight="false" outlineLevel="0" collapsed="false">
      <c r="A668" s="0" t="n">
        <v>667</v>
      </c>
      <c r="D668" s="0" t="s">
        <v>1567</v>
      </c>
      <c r="E668" s="0" t="s">
        <v>410</v>
      </c>
      <c r="H668" s="0" t="s">
        <v>21</v>
      </c>
      <c r="I668" s="2" t="s">
        <v>22</v>
      </c>
      <c r="J668" s="2" t="s">
        <v>854</v>
      </c>
      <c r="K668" s="0" t="s">
        <v>855</v>
      </c>
      <c r="L668" s="0" t="s">
        <v>25</v>
      </c>
      <c r="M668" s="0" t="s">
        <v>857</v>
      </c>
      <c r="N668" s="0" t="s">
        <v>1568</v>
      </c>
      <c r="O668" s="0" t="n">
        <v>1</v>
      </c>
      <c r="P668" s="0" t="s">
        <v>410</v>
      </c>
      <c r="R668" s="3"/>
      <c r="S668" s="2" t="s">
        <v>28</v>
      </c>
    </row>
    <row r="669" customFormat="false" ht="15" hidden="false" customHeight="false" outlineLevel="0" collapsed="false">
      <c r="A669" s="0" t="n">
        <v>668</v>
      </c>
      <c r="D669" s="0" t="s">
        <v>1569</v>
      </c>
      <c r="E669" s="0" t="s">
        <v>20</v>
      </c>
      <c r="H669" s="0" t="s">
        <v>21</v>
      </c>
      <c r="I669" s="2" t="s">
        <v>22</v>
      </c>
      <c r="J669" s="2" t="s">
        <v>854</v>
      </c>
      <c r="K669" s="0" t="s">
        <v>855</v>
      </c>
      <c r="L669" s="0" t="s">
        <v>25</v>
      </c>
      <c r="M669" s="0" t="s">
        <v>857</v>
      </c>
      <c r="N669" s="0" t="s">
        <v>1570</v>
      </c>
      <c r="O669" s="0" t="n">
        <v>1</v>
      </c>
      <c r="R669" s="3"/>
      <c r="S669" s="2" t="s">
        <v>28</v>
      </c>
    </row>
    <row r="670" customFormat="false" ht="15" hidden="false" customHeight="false" outlineLevel="0" collapsed="false">
      <c r="A670" s="0" t="n">
        <v>669</v>
      </c>
      <c r="D670" s="0" t="s">
        <v>1571</v>
      </c>
      <c r="E670" s="0" t="s">
        <v>20</v>
      </c>
      <c r="H670" s="0" t="s">
        <v>21</v>
      </c>
      <c r="I670" s="2" t="s">
        <v>22</v>
      </c>
      <c r="J670" s="2" t="s">
        <v>854</v>
      </c>
      <c r="K670" s="0" t="s">
        <v>855</v>
      </c>
      <c r="L670" s="0" t="s">
        <v>25</v>
      </c>
      <c r="M670" s="0" t="s">
        <v>857</v>
      </c>
      <c r="N670" s="0" t="s">
        <v>1572</v>
      </c>
      <c r="O670" s="0" t="n">
        <v>1</v>
      </c>
      <c r="R670" s="3"/>
      <c r="S670" s="2" t="s">
        <v>28</v>
      </c>
    </row>
    <row r="671" customFormat="false" ht="15" hidden="false" customHeight="false" outlineLevel="0" collapsed="false">
      <c r="A671" s="0" t="n">
        <v>670</v>
      </c>
      <c r="D671" s="0" t="s">
        <v>1573</v>
      </c>
      <c r="E671" s="0" t="s">
        <v>253</v>
      </c>
      <c r="H671" s="0" t="s">
        <v>21</v>
      </c>
      <c r="I671" s="2" t="s">
        <v>22</v>
      </c>
      <c r="J671" s="2" t="s">
        <v>854</v>
      </c>
      <c r="K671" s="0" t="s">
        <v>855</v>
      </c>
      <c r="L671" s="0" t="s">
        <v>25</v>
      </c>
      <c r="M671" s="0" t="s">
        <v>857</v>
      </c>
      <c r="N671" s="0" t="s">
        <v>1574</v>
      </c>
      <c r="O671" s="0" t="n">
        <v>1</v>
      </c>
      <c r="P671" s="0" t="s">
        <v>253</v>
      </c>
      <c r="R671" s="3"/>
      <c r="S671" s="2" t="s">
        <v>28</v>
      </c>
    </row>
    <row r="672" customFormat="false" ht="15" hidden="false" customHeight="false" outlineLevel="0" collapsed="false">
      <c r="A672" s="0" t="n">
        <v>671</v>
      </c>
      <c r="D672" s="0" t="s">
        <v>1575</v>
      </c>
      <c r="E672" s="0" t="s">
        <v>253</v>
      </c>
      <c r="H672" s="0" t="s">
        <v>21</v>
      </c>
      <c r="I672" s="2" t="s">
        <v>22</v>
      </c>
      <c r="J672" s="2" t="s">
        <v>854</v>
      </c>
      <c r="K672" s="0" t="s">
        <v>855</v>
      </c>
      <c r="L672" s="0" t="s">
        <v>25</v>
      </c>
      <c r="M672" s="0" t="s">
        <v>857</v>
      </c>
      <c r="N672" s="0" t="s">
        <v>1576</v>
      </c>
      <c r="O672" s="0" t="n">
        <v>1</v>
      </c>
      <c r="P672" s="0" t="s">
        <v>253</v>
      </c>
      <c r="R672" s="3"/>
      <c r="S672" s="2" t="s">
        <v>28</v>
      </c>
    </row>
    <row r="673" customFormat="false" ht="15" hidden="false" customHeight="false" outlineLevel="0" collapsed="false">
      <c r="A673" s="0" t="n">
        <v>672</v>
      </c>
      <c r="D673" s="0" t="s">
        <v>1577</v>
      </c>
      <c r="E673" s="0" t="s">
        <v>20</v>
      </c>
      <c r="H673" s="0" t="s">
        <v>21</v>
      </c>
      <c r="I673" s="2" t="s">
        <v>22</v>
      </c>
      <c r="J673" s="2" t="s">
        <v>854</v>
      </c>
      <c r="K673" s="0" t="s">
        <v>855</v>
      </c>
      <c r="L673" s="0" t="s">
        <v>25</v>
      </c>
      <c r="M673" s="0" t="s">
        <v>857</v>
      </c>
      <c r="N673" s="0" t="s">
        <v>1578</v>
      </c>
      <c r="O673" s="0" t="n">
        <v>1</v>
      </c>
      <c r="R673" s="3"/>
      <c r="S673" s="2" t="s">
        <v>28</v>
      </c>
    </row>
    <row r="674" customFormat="false" ht="15" hidden="false" customHeight="false" outlineLevel="0" collapsed="false">
      <c r="A674" s="0" t="n">
        <v>673</v>
      </c>
      <c r="D674" s="0" t="s">
        <v>1579</v>
      </c>
      <c r="E674" s="0" t="s">
        <v>73</v>
      </c>
      <c r="H674" s="0" t="s">
        <v>21</v>
      </c>
      <c r="I674" s="2" t="s">
        <v>22</v>
      </c>
      <c r="J674" s="2" t="s">
        <v>854</v>
      </c>
      <c r="K674" s="0" t="s">
        <v>855</v>
      </c>
      <c r="L674" s="0" t="s">
        <v>25</v>
      </c>
      <c r="M674" s="0" t="s">
        <v>857</v>
      </c>
      <c r="N674" s="0" t="s">
        <v>1580</v>
      </c>
      <c r="O674" s="0" t="n">
        <v>1</v>
      </c>
      <c r="P674" s="0" t="s">
        <v>73</v>
      </c>
      <c r="R674" s="3"/>
      <c r="S674" s="2" t="s">
        <v>28</v>
      </c>
    </row>
    <row r="675" customFormat="false" ht="15" hidden="false" customHeight="false" outlineLevel="0" collapsed="false">
      <c r="A675" s="0" t="n">
        <v>674</v>
      </c>
      <c r="D675" s="0" t="s">
        <v>1581</v>
      </c>
      <c r="E675" s="0" t="s">
        <v>73</v>
      </c>
      <c r="H675" s="0" t="s">
        <v>21</v>
      </c>
      <c r="I675" s="2" t="s">
        <v>22</v>
      </c>
      <c r="J675" s="2" t="s">
        <v>854</v>
      </c>
      <c r="K675" s="0" t="s">
        <v>855</v>
      </c>
      <c r="L675" s="0" t="s">
        <v>25</v>
      </c>
      <c r="M675" s="0" t="s">
        <v>857</v>
      </c>
      <c r="N675" s="0" t="s">
        <v>1582</v>
      </c>
      <c r="O675" s="0" t="n">
        <v>1</v>
      </c>
      <c r="P675" s="0" t="s">
        <v>73</v>
      </c>
      <c r="R675" s="3"/>
      <c r="S675" s="2" t="s">
        <v>28</v>
      </c>
    </row>
    <row r="676" customFormat="false" ht="15" hidden="false" customHeight="false" outlineLevel="0" collapsed="false">
      <c r="A676" s="0" t="n">
        <v>675</v>
      </c>
      <c r="D676" s="0" t="s">
        <v>1583</v>
      </c>
      <c r="E676" s="0" t="s">
        <v>210</v>
      </c>
      <c r="H676" s="0" t="s">
        <v>21</v>
      </c>
      <c r="I676" s="2" t="s">
        <v>22</v>
      </c>
      <c r="J676" s="2" t="s">
        <v>854</v>
      </c>
      <c r="K676" s="0" t="s">
        <v>855</v>
      </c>
      <c r="L676" s="0" t="s">
        <v>25</v>
      </c>
      <c r="M676" s="0" t="s">
        <v>857</v>
      </c>
      <c r="N676" s="0" t="s">
        <v>1584</v>
      </c>
      <c r="O676" s="0" t="n">
        <v>1</v>
      </c>
      <c r="P676" s="0" t="s">
        <v>210</v>
      </c>
      <c r="R676" s="3"/>
      <c r="S676" s="2" t="s">
        <v>28</v>
      </c>
    </row>
    <row r="677" customFormat="false" ht="15" hidden="false" customHeight="false" outlineLevel="0" collapsed="false">
      <c r="A677" s="0" t="n">
        <v>676</v>
      </c>
      <c r="D677" s="0" t="s">
        <v>1585</v>
      </c>
      <c r="E677" s="0" t="s">
        <v>20</v>
      </c>
      <c r="H677" s="0" t="s">
        <v>21</v>
      </c>
      <c r="I677" s="2" t="s">
        <v>22</v>
      </c>
      <c r="J677" s="2" t="s">
        <v>854</v>
      </c>
      <c r="K677" s="0" t="s">
        <v>855</v>
      </c>
      <c r="L677" s="0" t="s">
        <v>25</v>
      </c>
      <c r="M677" s="0" t="s">
        <v>857</v>
      </c>
      <c r="N677" s="0" t="s">
        <v>1586</v>
      </c>
      <c r="O677" s="0" t="n">
        <v>1</v>
      </c>
      <c r="R677" s="3"/>
      <c r="S677" s="2" t="s">
        <v>28</v>
      </c>
    </row>
    <row r="678" customFormat="false" ht="15" hidden="false" customHeight="false" outlineLevel="0" collapsed="false">
      <c r="A678" s="0" t="n">
        <v>677</v>
      </c>
      <c r="D678" s="0" t="s">
        <v>1587</v>
      </c>
      <c r="E678" s="0" t="s">
        <v>20</v>
      </c>
      <c r="H678" s="0" t="s">
        <v>21</v>
      </c>
      <c r="I678" s="2" t="s">
        <v>22</v>
      </c>
      <c r="J678" s="2" t="s">
        <v>854</v>
      </c>
      <c r="K678" s="0" t="s">
        <v>855</v>
      </c>
      <c r="L678" s="0" t="s">
        <v>25</v>
      </c>
      <c r="M678" s="0" t="s">
        <v>857</v>
      </c>
      <c r="N678" s="0" t="s">
        <v>1588</v>
      </c>
      <c r="O678" s="0" t="n">
        <v>1</v>
      </c>
      <c r="R678" s="3"/>
      <c r="S678" s="2" t="s">
        <v>28</v>
      </c>
    </row>
    <row r="679" customFormat="false" ht="15" hidden="false" customHeight="false" outlineLevel="0" collapsed="false">
      <c r="A679" s="0" t="n">
        <v>678</v>
      </c>
      <c r="D679" s="0" t="s">
        <v>1589</v>
      </c>
      <c r="E679" s="0" t="s">
        <v>20</v>
      </c>
      <c r="H679" s="0" t="s">
        <v>21</v>
      </c>
      <c r="I679" s="2" t="s">
        <v>22</v>
      </c>
      <c r="J679" s="2" t="s">
        <v>854</v>
      </c>
      <c r="K679" s="0" t="s">
        <v>855</v>
      </c>
      <c r="L679" s="0" t="s">
        <v>420</v>
      </c>
      <c r="M679" s="0" t="s">
        <v>857</v>
      </c>
      <c r="N679" s="0" t="s">
        <v>1590</v>
      </c>
      <c r="O679" s="0" t="n">
        <v>1</v>
      </c>
      <c r="P679" s="0" t="s">
        <v>422</v>
      </c>
      <c r="R679" s="3"/>
      <c r="S679" s="2" t="s">
        <v>28</v>
      </c>
    </row>
    <row r="680" customFormat="false" ht="15" hidden="false" customHeight="false" outlineLevel="0" collapsed="false">
      <c r="A680" s="0" t="n">
        <v>679</v>
      </c>
      <c r="D680" s="0" t="s">
        <v>1591</v>
      </c>
      <c r="E680" s="0" t="s">
        <v>173</v>
      </c>
      <c r="H680" s="0" t="s">
        <v>21</v>
      </c>
      <c r="I680" s="2" t="s">
        <v>22</v>
      </c>
      <c r="J680" s="2" t="s">
        <v>854</v>
      </c>
      <c r="K680" s="0" t="s">
        <v>855</v>
      </c>
      <c r="L680" s="0" t="s">
        <v>25</v>
      </c>
      <c r="M680" s="0" t="s">
        <v>857</v>
      </c>
      <c r="N680" s="0" t="s">
        <v>1592</v>
      </c>
      <c r="O680" s="0" t="n">
        <v>1</v>
      </c>
      <c r="P680" s="0" t="s">
        <v>173</v>
      </c>
      <c r="R680" s="3"/>
      <c r="S680" s="2" t="s">
        <v>28</v>
      </c>
    </row>
    <row r="681" customFormat="false" ht="15" hidden="false" customHeight="false" outlineLevel="0" collapsed="false">
      <c r="A681" s="0" t="n">
        <v>680</v>
      </c>
      <c r="D681" s="0" t="s">
        <v>1593</v>
      </c>
      <c r="E681" s="0" t="s">
        <v>20</v>
      </c>
      <c r="H681" s="0" t="s">
        <v>21</v>
      </c>
      <c r="I681" s="2" t="s">
        <v>22</v>
      </c>
      <c r="J681" s="2" t="s">
        <v>854</v>
      </c>
      <c r="K681" s="0" t="s">
        <v>855</v>
      </c>
      <c r="L681" s="0" t="s">
        <v>25</v>
      </c>
      <c r="M681" s="0" t="s">
        <v>857</v>
      </c>
      <c r="N681" s="0" t="s">
        <v>1594</v>
      </c>
      <c r="O681" s="0" t="n">
        <v>1</v>
      </c>
      <c r="R681" s="3"/>
      <c r="S681" s="2" t="s">
        <v>28</v>
      </c>
    </row>
    <row r="682" customFormat="false" ht="15" hidden="false" customHeight="false" outlineLevel="0" collapsed="false">
      <c r="A682" s="0" t="n">
        <v>681</v>
      </c>
      <c r="D682" s="0" t="s">
        <v>1595</v>
      </c>
      <c r="E682" s="0" t="s">
        <v>287</v>
      </c>
      <c r="H682" s="0" t="s">
        <v>21</v>
      </c>
      <c r="I682" s="2" t="s">
        <v>22</v>
      </c>
      <c r="J682" s="2" t="s">
        <v>854</v>
      </c>
      <c r="K682" s="0" t="s">
        <v>855</v>
      </c>
      <c r="L682" s="0" t="s">
        <v>1596</v>
      </c>
      <c r="M682" s="0" t="s">
        <v>857</v>
      </c>
      <c r="N682" s="0" t="s">
        <v>1597</v>
      </c>
      <c r="O682" s="0" t="n">
        <v>1</v>
      </c>
      <c r="P682" s="0" t="s">
        <v>287</v>
      </c>
      <c r="Q682" s="0" t="s">
        <v>1598</v>
      </c>
      <c r="R682" s="3"/>
      <c r="S682" s="2" t="s">
        <v>1599</v>
      </c>
    </row>
    <row r="683" customFormat="false" ht="15" hidden="false" customHeight="false" outlineLevel="0" collapsed="false">
      <c r="A683" s="0" t="n">
        <v>682</v>
      </c>
      <c r="D683" s="0" t="s">
        <v>1600</v>
      </c>
      <c r="E683" s="0" t="s">
        <v>410</v>
      </c>
      <c r="H683" s="0" t="s">
        <v>21</v>
      </c>
      <c r="I683" s="2" t="s">
        <v>22</v>
      </c>
      <c r="J683" s="2" t="s">
        <v>854</v>
      </c>
      <c r="K683" s="0" t="s">
        <v>855</v>
      </c>
      <c r="L683" s="0" t="s">
        <v>25</v>
      </c>
      <c r="M683" s="0" t="s">
        <v>857</v>
      </c>
      <c r="N683" s="0" t="s">
        <v>411</v>
      </c>
      <c r="O683" s="0" t="n">
        <v>1</v>
      </c>
      <c r="P683" s="0" t="s">
        <v>410</v>
      </c>
      <c r="R683" s="3"/>
      <c r="S683" s="2" t="s">
        <v>28</v>
      </c>
    </row>
    <row r="684" customFormat="false" ht="15" hidden="false" customHeight="false" outlineLevel="0" collapsed="false">
      <c r="A684" s="0" t="n">
        <v>683</v>
      </c>
      <c r="D684" s="0" t="s">
        <v>1601</v>
      </c>
      <c r="E684" s="0" t="s">
        <v>20</v>
      </c>
      <c r="H684" s="0" t="s">
        <v>21</v>
      </c>
      <c r="I684" s="2" t="s">
        <v>22</v>
      </c>
      <c r="J684" s="2" t="s">
        <v>854</v>
      </c>
      <c r="K684" s="0" t="s">
        <v>855</v>
      </c>
      <c r="L684" s="0" t="s">
        <v>25</v>
      </c>
      <c r="M684" s="0" t="s">
        <v>857</v>
      </c>
      <c r="N684" s="0" t="s">
        <v>1602</v>
      </c>
      <c r="O684" s="0" t="n">
        <v>1</v>
      </c>
      <c r="R684" s="3"/>
      <c r="S684" s="2" t="s">
        <v>28</v>
      </c>
    </row>
    <row r="685" customFormat="false" ht="15" hidden="false" customHeight="false" outlineLevel="0" collapsed="false">
      <c r="A685" s="0" t="n">
        <v>684</v>
      </c>
      <c r="D685" s="0" t="s">
        <v>1603</v>
      </c>
      <c r="E685" s="0" t="s">
        <v>20</v>
      </c>
      <c r="H685" s="0" t="s">
        <v>21</v>
      </c>
      <c r="I685" s="2" t="s">
        <v>22</v>
      </c>
      <c r="J685" s="2" t="s">
        <v>854</v>
      </c>
      <c r="K685" s="0" t="s">
        <v>855</v>
      </c>
      <c r="L685" s="0" t="s">
        <v>25</v>
      </c>
      <c r="M685" s="0" t="s">
        <v>857</v>
      </c>
      <c r="N685" s="0" t="s">
        <v>1604</v>
      </c>
      <c r="O685" s="0" t="n">
        <v>1</v>
      </c>
      <c r="R685" s="3"/>
      <c r="S685" s="2" t="s">
        <v>28</v>
      </c>
    </row>
    <row r="686" customFormat="false" ht="15" hidden="false" customHeight="false" outlineLevel="0" collapsed="false">
      <c r="A686" s="0" t="n">
        <v>685</v>
      </c>
      <c r="D686" s="0" t="s">
        <v>1605</v>
      </c>
      <c r="E686" s="0" t="s">
        <v>173</v>
      </c>
      <c r="H686" s="0" t="s">
        <v>21</v>
      </c>
      <c r="I686" s="2" t="s">
        <v>22</v>
      </c>
      <c r="J686" s="2" t="s">
        <v>854</v>
      </c>
      <c r="K686" s="0" t="s">
        <v>855</v>
      </c>
      <c r="L686" s="0" t="s">
        <v>25</v>
      </c>
      <c r="M686" s="0" t="s">
        <v>857</v>
      </c>
      <c r="N686" s="0" t="s">
        <v>1606</v>
      </c>
      <c r="O686" s="0" t="n">
        <v>1</v>
      </c>
      <c r="P686" s="0" t="s">
        <v>173</v>
      </c>
      <c r="R686" s="3"/>
      <c r="S686" s="2" t="s">
        <v>28</v>
      </c>
    </row>
    <row r="687" customFormat="false" ht="15" hidden="false" customHeight="false" outlineLevel="0" collapsed="false">
      <c r="A687" s="0" t="n">
        <v>686</v>
      </c>
      <c r="D687" s="0" t="s">
        <v>1607</v>
      </c>
      <c r="E687" s="0" t="s">
        <v>20</v>
      </c>
      <c r="H687" s="0" t="s">
        <v>21</v>
      </c>
      <c r="I687" s="2" t="s">
        <v>22</v>
      </c>
      <c r="J687" s="2" t="s">
        <v>854</v>
      </c>
      <c r="K687" s="0" t="s">
        <v>855</v>
      </c>
      <c r="L687" s="0" t="s">
        <v>25</v>
      </c>
      <c r="M687" s="0" t="s">
        <v>857</v>
      </c>
      <c r="N687" s="0" t="s">
        <v>1608</v>
      </c>
      <c r="O687" s="0" t="n">
        <v>1</v>
      </c>
      <c r="R687" s="3"/>
      <c r="S687" s="2" t="s">
        <v>28</v>
      </c>
    </row>
    <row r="688" customFormat="false" ht="15" hidden="false" customHeight="false" outlineLevel="0" collapsed="false">
      <c r="A688" s="0" t="n">
        <v>687</v>
      </c>
      <c r="D688" s="0" t="s">
        <v>1609</v>
      </c>
      <c r="E688" s="0" t="s">
        <v>20</v>
      </c>
      <c r="H688" s="0" t="s">
        <v>21</v>
      </c>
      <c r="I688" s="2" t="s">
        <v>22</v>
      </c>
      <c r="J688" s="2" t="s">
        <v>854</v>
      </c>
      <c r="K688" s="0" t="s">
        <v>855</v>
      </c>
      <c r="L688" s="0" t="s">
        <v>25</v>
      </c>
      <c r="M688" s="0" t="s">
        <v>857</v>
      </c>
      <c r="N688" s="0" t="s">
        <v>1610</v>
      </c>
      <c r="O688" s="0" t="n">
        <v>1</v>
      </c>
      <c r="R688" s="3"/>
      <c r="S688" s="2" t="s">
        <v>28</v>
      </c>
    </row>
    <row r="689" customFormat="false" ht="15" hidden="false" customHeight="false" outlineLevel="0" collapsed="false">
      <c r="A689" s="0" t="n">
        <v>688</v>
      </c>
      <c r="D689" s="0" t="s">
        <v>1611</v>
      </c>
      <c r="E689" s="0" t="s">
        <v>20</v>
      </c>
      <c r="H689" s="0" t="s">
        <v>21</v>
      </c>
      <c r="I689" s="2" t="s">
        <v>22</v>
      </c>
      <c r="J689" s="2" t="s">
        <v>854</v>
      </c>
      <c r="K689" s="0" t="s">
        <v>855</v>
      </c>
      <c r="L689" s="0" t="s">
        <v>25</v>
      </c>
      <c r="M689" s="0" t="s">
        <v>857</v>
      </c>
      <c r="N689" s="0" t="s">
        <v>1612</v>
      </c>
      <c r="O689" s="0" t="n">
        <v>1</v>
      </c>
      <c r="R689" s="3"/>
      <c r="S689" s="2" t="s">
        <v>28</v>
      </c>
    </row>
    <row r="690" customFormat="false" ht="15" hidden="false" customHeight="false" outlineLevel="0" collapsed="false">
      <c r="A690" s="0" t="n">
        <v>689</v>
      </c>
      <c r="D690" s="0" t="s">
        <v>1613</v>
      </c>
      <c r="E690" s="0" t="s">
        <v>73</v>
      </c>
      <c r="H690" s="0" t="s">
        <v>21</v>
      </c>
      <c r="I690" s="2" t="s">
        <v>22</v>
      </c>
      <c r="J690" s="2" t="s">
        <v>854</v>
      </c>
      <c r="K690" s="0" t="s">
        <v>855</v>
      </c>
      <c r="L690" s="0" t="s">
        <v>1614</v>
      </c>
      <c r="M690" s="0" t="s">
        <v>857</v>
      </c>
      <c r="N690" s="0" t="s">
        <v>1615</v>
      </c>
      <c r="O690" s="0" t="n">
        <v>1</v>
      </c>
      <c r="P690" s="0" t="s">
        <v>73</v>
      </c>
      <c r="Q690" s="0" t="s">
        <v>1616</v>
      </c>
      <c r="R690" s="3"/>
      <c r="S690" s="2" t="s">
        <v>1617</v>
      </c>
    </row>
    <row r="691" customFormat="false" ht="15" hidden="false" customHeight="false" outlineLevel="0" collapsed="false">
      <c r="A691" s="0" t="n">
        <v>690</v>
      </c>
      <c r="D691" s="0" t="s">
        <v>1618</v>
      </c>
      <c r="E691" s="0" t="s">
        <v>20</v>
      </c>
      <c r="H691" s="0" t="s">
        <v>21</v>
      </c>
      <c r="I691" s="2" t="s">
        <v>22</v>
      </c>
      <c r="J691" s="2" t="s">
        <v>854</v>
      </c>
      <c r="K691" s="0" t="s">
        <v>855</v>
      </c>
      <c r="L691" s="0" t="s">
        <v>25</v>
      </c>
      <c r="M691" s="0" t="s">
        <v>857</v>
      </c>
      <c r="N691" s="0" t="s">
        <v>1619</v>
      </c>
      <c r="O691" s="0" t="n">
        <v>1</v>
      </c>
      <c r="P691" s="0" t="s">
        <v>43</v>
      </c>
      <c r="R691" s="3"/>
      <c r="S691" s="2" t="s">
        <v>28</v>
      </c>
    </row>
    <row r="692" customFormat="false" ht="15" hidden="false" customHeight="false" outlineLevel="0" collapsed="false">
      <c r="A692" s="0" t="n">
        <v>691</v>
      </c>
      <c r="D692" s="0" t="s">
        <v>1620</v>
      </c>
      <c r="E692" s="0" t="s">
        <v>20</v>
      </c>
      <c r="H692" s="0" t="s">
        <v>21</v>
      </c>
      <c r="I692" s="2" t="s">
        <v>22</v>
      </c>
      <c r="J692" s="2" t="s">
        <v>854</v>
      </c>
      <c r="K692" s="0" t="s">
        <v>855</v>
      </c>
      <c r="L692" s="0" t="s">
        <v>25</v>
      </c>
      <c r="M692" s="0" t="s">
        <v>857</v>
      </c>
      <c r="N692" s="0" t="s">
        <v>1621</v>
      </c>
      <c r="O692" s="0" t="n">
        <v>1</v>
      </c>
      <c r="R692" s="3"/>
      <c r="S692" s="2" t="s">
        <v>28</v>
      </c>
    </row>
    <row r="693" customFormat="false" ht="15" hidden="false" customHeight="false" outlineLevel="0" collapsed="false">
      <c r="A693" s="0" t="n">
        <v>692</v>
      </c>
      <c r="D693" s="0" t="s">
        <v>1622</v>
      </c>
      <c r="E693" s="0" t="s">
        <v>20</v>
      </c>
      <c r="H693" s="0" t="s">
        <v>21</v>
      </c>
      <c r="I693" s="2" t="s">
        <v>22</v>
      </c>
      <c r="J693" s="2" t="s">
        <v>854</v>
      </c>
      <c r="K693" s="0" t="s">
        <v>855</v>
      </c>
      <c r="L693" s="0" t="s">
        <v>25</v>
      </c>
      <c r="M693" s="0" t="s">
        <v>857</v>
      </c>
      <c r="N693" s="0" t="s">
        <v>1623</v>
      </c>
      <c r="O693" s="0" t="n">
        <v>1</v>
      </c>
      <c r="R693" s="3"/>
      <c r="S693" s="2" t="s">
        <v>28</v>
      </c>
    </row>
    <row r="694" customFormat="false" ht="15" hidden="false" customHeight="false" outlineLevel="0" collapsed="false">
      <c r="A694" s="0" t="n">
        <v>693</v>
      </c>
      <c r="D694" s="0" t="s">
        <v>1624</v>
      </c>
      <c r="E694" s="0" t="s">
        <v>20</v>
      </c>
      <c r="H694" s="0" t="s">
        <v>21</v>
      </c>
      <c r="I694" s="2" t="s">
        <v>22</v>
      </c>
      <c r="J694" s="2" t="s">
        <v>854</v>
      </c>
      <c r="K694" s="0" t="s">
        <v>855</v>
      </c>
      <c r="L694" s="0" t="s">
        <v>25</v>
      </c>
      <c r="M694" s="0" t="s">
        <v>857</v>
      </c>
      <c r="N694" s="0" t="s">
        <v>1625</v>
      </c>
      <c r="O694" s="0" t="n">
        <v>1</v>
      </c>
      <c r="R694" s="3"/>
      <c r="S694" s="2" t="s">
        <v>28</v>
      </c>
    </row>
    <row r="695" customFormat="false" ht="15" hidden="false" customHeight="false" outlineLevel="0" collapsed="false">
      <c r="A695" s="0" t="n">
        <v>694</v>
      </c>
      <c r="D695" s="0" t="s">
        <v>1626</v>
      </c>
      <c r="E695" s="0" t="s">
        <v>20</v>
      </c>
      <c r="H695" s="0" t="s">
        <v>21</v>
      </c>
      <c r="I695" s="2" t="s">
        <v>22</v>
      </c>
      <c r="J695" s="2" t="s">
        <v>854</v>
      </c>
      <c r="K695" s="0" t="s">
        <v>855</v>
      </c>
      <c r="L695" s="0" t="s">
        <v>25</v>
      </c>
      <c r="M695" s="0" t="s">
        <v>857</v>
      </c>
      <c r="N695" s="0" t="s">
        <v>1627</v>
      </c>
      <c r="O695" s="0" t="n">
        <v>1</v>
      </c>
      <c r="P695" s="0" t="s">
        <v>43</v>
      </c>
      <c r="R695" s="3"/>
      <c r="S695" s="2" t="s">
        <v>28</v>
      </c>
    </row>
    <row r="696" customFormat="false" ht="15" hidden="false" customHeight="false" outlineLevel="0" collapsed="false">
      <c r="A696" s="0" t="n">
        <v>695</v>
      </c>
      <c r="D696" s="0" t="s">
        <v>1628</v>
      </c>
      <c r="E696" s="0" t="s">
        <v>20</v>
      </c>
      <c r="H696" s="0" t="s">
        <v>21</v>
      </c>
      <c r="I696" s="2" t="s">
        <v>22</v>
      </c>
      <c r="J696" s="2" t="s">
        <v>854</v>
      </c>
      <c r="K696" s="0" t="s">
        <v>855</v>
      </c>
      <c r="L696" s="0" t="s">
        <v>25</v>
      </c>
      <c r="M696" s="0" t="s">
        <v>857</v>
      </c>
      <c r="N696" s="0" t="s">
        <v>1629</v>
      </c>
      <c r="O696" s="0" t="n">
        <v>1</v>
      </c>
      <c r="R696" s="3"/>
      <c r="S696" s="2" t="s">
        <v>28</v>
      </c>
    </row>
    <row r="697" customFormat="false" ht="15" hidden="false" customHeight="false" outlineLevel="0" collapsed="false">
      <c r="A697" s="0" t="n">
        <v>696</v>
      </c>
      <c r="D697" s="0" t="s">
        <v>1630</v>
      </c>
      <c r="E697" s="0" t="s">
        <v>20</v>
      </c>
      <c r="H697" s="0" t="s">
        <v>21</v>
      </c>
      <c r="I697" s="2" t="s">
        <v>22</v>
      </c>
      <c r="J697" s="2" t="s">
        <v>854</v>
      </c>
      <c r="K697" s="0" t="s">
        <v>855</v>
      </c>
      <c r="L697" s="0" t="s">
        <v>25</v>
      </c>
      <c r="M697" s="0" t="s">
        <v>857</v>
      </c>
      <c r="N697" s="0" t="s">
        <v>1631</v>
      </c>
      <c r="O697" s="0" t="n">
        <v>1</v>
      </c>
      <c r="R697" s="3"/>
      <c r="S697" s="2" t="s">
        <v>28</v>
      </c>
    </row>
    <row r="698" customFormat="false" ht="15" hidden="false" customHeight="false" outlineLevel="0" collapsed="false">
      <c r="A698" s="0" t="n">
        <v>697</v>
      </c>
      <c r="D698" s="0" t="s">
        <v>1632</v>
      </c>
      <c r="E698" s="0" t="s">
        <v>20</v>
      </c>
      <c r="H698" s="0" t="s">
        <v>21</v>
      </c>
      <c r="I698" s="2" t="s">
        <v>22</v>
      </c>
      <c r="J698" s="2" t="s">
        <v>854</v>
      </c>
      <c r="K698" s="0" t="s">
        <v>855</v>
      </c>
      <c r="L698" s="0" t="s">
        <v>25</v>
      </c>
      <c r="M698" s="0" t="s">
        <v>857</v>
      </c>
      <c r="N698" s="0" t="s">
        <v>1633</v>
      </c>
      <c r="O698" s="0" t="n">
        <v>1</v>
      </c>
      <c r="R698" s="3"/>
      <c r="S698" s="2" t="s">
        <v>28</v>
      </c>
    </row>
    <row r="699" customFormat="false" ht="15" hidden="false" customHeight="false" outlineLevel="0" collapsed="false">
      <c r="A699" s="0" t="n">
        <v>698</v>
      </c>
      <c r="D699" s="0" t="s">
        <v>1634</v>
      </c>
      <c r="E699" s="0" t="s">
        <v>20</v>
      </c>
      <c r="H699" s="0" t="s">
        <v>21</v>
      </c>
      <c r="I699" s="2" t="s">
        <v>22</v>
      </c>
      <c r="J699" s="2" t="s">
        <v>854</v>
      </c>
      <c r="K699" s="0" t="s">
        <v>855</v>
      </c>
      <c r="L699" s="0" t="s">
        <v>420</v>
      </c>
      <c r="M699" s="0" t="s">
        <v>857</v>
      </c>
      <c r="N699" s="0" t="s">
        <v>1635</v>
      </c>
      <c r="O699" s="0" t="n">
        <v>1</v>
      </c>
      <c r="P699" s="0" t="s">
        <v>422</v>
      </c>
      <c r="R699" s="3"/>
      <c r="S699" s="2" t="s">
        <v>28</v>
      </c>
    </row>
    <row r="700" customFormat="false" ht="15" hidden="false" customHeight="false" outlineLevel="0" collapsed="false">
      <c r="A700" s="0" t="n">
        <v>699</v>
      </c>
      <c r="D700" s="0" t="s">
        <v>1636</v>
      </c>
      <c r="E700" s="0" t="s">
        <v>20</v>
      </c>
      <c r="H700" s="0" t="s">
        <v>21</v>
      </c>
      <c r="I700" s="2" t="s">
        <v>22</v>
      </c>
      <c r="J700" s="2" t="s">
        <v>854</v>
      </c>
      <c r="K700" s="0" t="s">
        <v>855</v>
      </c>
      <c r="L700" s="0" t="s">
        <v>1637</v>
      </c>
      <c r="M700" s="0" t="s">
        <v>857</v>
      </c>
      <c r="N700" s="0" t="s">
        <v>1638</v>
      </c>
      <c r="O700" s="0" t="n">
        <v>1</v>
      </c>
      <c r="Q700" s="0" t="s">
        <v>1639</v>
      </c>
      <c r="R700" s="3"/>
      <c r="S700" s="2" t="s">
        <v>1640</v>
      </c>
    </row>
    <row r="701" customFormat="false" ht="15" hidden="false" customHeight="false" outlineLevel="0" collapsed="false">
      <c r="A701" s="0" t="n">
        <v>700</v>
      </c>
      <c r="D701" s="0" t="s">
        <v>1641</v>
      </c>
      <c r="E701" s="0" t="s">
        <v>20</v>
      </c>
      <c r="H701" s="0" t="s">
        <v>21</v>
      </c>
      <c r="I701" s="2" t="s">
        <v>22</v>
      </c>
      <c r="J701" s="2" t="s">
        <v>854</v>
      </c>
      <c r="K701" s="0" t="s">
        <v>855</v>
      </c>
      <c r="L701" s="0" t="s">
        <v>25</v>
      </c>
      <c r="M701" s="0" t="s">
        <v>857</v>
      </c>
      <c r="N701" s="0" t="s">
        <v>1642</v>
      </c>
      <c r="O701" s="0" t="n">
        <v>1</v>
      </c>
      <c r="R701" s="3"/>
      <c r="S701" s="2" t="s">
        <v>28</v>
      </c>
    </row>
    <row r="702" customFormat="false" ht="15" hidden="false" customHeight="false" outlineLevel="0" collapsed="false">
      <c r="A702" s="0" t="n">
        <v>701</v>
      </c>
      <c r="D702" s="0" t="s">
        <v>1643</v>
      </c>
      <c r="E702" s="0" t="s">
        <v>20</v>
      </c>
      <c r="H702" s="0" t="s">
        <v>21</v>
      </c>
      <c r="I702" s="2" t="s">
        <v>22</v>
      </c>
      <c r="J702" s="2" t="s">
        <v>854</v>
      </c>
      <c r="K702" s="0" t="s">
        <v>855</v>
      </c>
      <c r="L702" s="0" t="s">
        <v>25</v>
      </c>
      <c r="M702" s="0" t="s">
        <v>857</v>
      </c>
      <c r="N702" s="0" t="s">
        <v>1644</v>
      </c>
      <c r="O702" s="0" t="n">
        <v>1</v>
      </c>
      <c r="R702" s="3"/>
      <c r="S702" s="2" t="s">
        <v>28</v>
      </c>
    </row>
    <row r="703" customFormat="false" ht="15" hidden="false" customHeight="false" outlineLevel="0" collapsed="false">
      <c r="A703" s="0" t="n">
        <v>702</v>
      </c>
      <c r="D703" s="0" t="s">
        <v>1645</v>
      </c>
      <c r="E703" s="0" t="s">
        <v>20</v>
      </c>
      <c r="H703" s="0" t="s">
        <v>21</v>
      </c>
      <c r="I703" s="2" t="s">
        <v>22</v>
      </c>
      <c r="J703" s="2" t="s">
        <v>854</v>
      </c>
      <c r="K703" s="0" t="s">
        <v>855</v>
      </c>
      <c r="L703" s="0" t="s">
        <v>25</v>
      </c>
      <c r="M703" s="0" t="s">
        <v>857</v>
      </c>
      <c r="N703" s="0" t="s">
        <v>1646</v>
      </c>
      <c r="O703" s="0" t="n">
        <v>1</v>
      </c>
      <c r="R703" s="3"/>
      <c r="S703" s="2" t="s">
        <v>28</v>
      </c>
    </row>
    <row r="704" customFormat="false" ht="15" hidden="false" customHeight="false" outlineLevel="0" collapsed="false">
      <c r="A704" s="0" t="n">
        <v>703</v>
      </c>
      <c r="D704" s="0" t="s">
        <v>1647</v>
      </c>
      <c r="E704" s="0" t="s">
        <v>173</v>
      </c>
      <c r="H704" s="0" t="s">
        <v>21</v>
      </c>
      <c r="I704" s="2" t="s">
        <v>22</v>
      </c>
      <c r="J704" s="2" t="s">
        <v>854</v>
      </c>
      <c r="K704" s="0" t="s">
        <v>855</v>
      </c>
      <c r="L704" s="0" t="s">
        <v>25</v>
      </c>
      <c r="M704" s="0" t="s">
        <v>857</v>
      </c>
      <c r="N704" s="0" t="s">
        <v>1648</v>
      </c>
      <c r="O704" s="0" t="n">
        <v>1</v>
      </c>
      <c r="P704" s="0" t="s">
        <v>173</v>
      </c>
      <c r="R704" s="3"/>
      <c r="S704" s="2" t="s">
        <v>28</v>
      </c>
    </row>
    <row r="705" customFormat="false" ht="15" hidden="false" customHeight="false" outlineLevel="0" collapsed="false">
      <c r="A705" s="0" t="n">
        <v>704</v>
      </c>
      <c r="D705" s="0" t="s">
        <v>1649</v>
      </c>
      <c r="E705" s="0" t="s">
        <v>20</v>
      </c>
      <c r="H705" s="0" t="s">
        <v>21</v>
      </c>
      <c r="I705" s="2" t="s">
        <v>22</v>
      </c>
      <c r="J705" s="2" t="s">
        <v>854</v>
      </c>
      <c r="K705" s="0" t="s">
        <v>855</v>
      </c>
      <c r="L705" s="0" t="s">
        <v>25</v>
      </c>
      <c r="M705" s="0" t="s">
        <v>857</v>
      </c>
      <c r="N705" s="0" t="s">
        <v>1650</v>
      </c>
      <c r="O705" s="0" t="n">
        <v>1</v>
      </c>
      <c r="R705" s="3"/>
      <c r="S705" s="2" t="s">
        <v>28</v>
      </c>
    </row>
    <row r="706" customFormat="false" ht="15" hidden="false" customHeight="false" outlineLevel="0" collapsed="false">
      <c r="A706" s="0" t="n">
        <v>705</v>
      </c>
      <c r="D706" s="0" t="s">
        <v>1651</v>
      </c>
      <c r="E706" s="0" t="s">
        <v>253</v>
      </c>
      <c r="H706" s="0" t="s">
        <v>21</v>
      </c>
      <c r="I706" s="2" t="s">
        <v>22</v>
      </c>
      <c r="J706" s="2" t="s">
        <v>854</v>
      </c>
      <c r="K706" s="0" t="s">
        <v>855</v>
      </c>
      <c r="L706" s="0" t="s">
        <v>25</v>
      </c>
      <c r="M706" s="0" t="s">
        <v>857</v>
      </c>
      <c r="N706" s="0" t="s">
        <v>1652</v>
      </c>
      <c r="O706" s="0" t="n">
        <v>1</v>
      </c>
      <c r="P706" s="0" t="s">
        <v>253</v>
      </c>
      <c r="R706" s="3"/>
      <c r="S706" s="2" t="s">
        <v>28</v>
      </c>
    </row>
    <row r="707" customFormat="false" ht="15" hidden="false" customHeight="false" outlineLevel="0" collapsed="false">
      <c r="A707" s="0" t="n">
        <v>706</v>
      </c>
      <c r="D707" s="0" t="s">
        <v>1653</v>
      </c>
      <c r="E707" s="0" t="s">
        <v>253</v>
      </c>
      <c r="H707" s="0" t="s">
        <v>21</v>
      </c>
      <c r="I707" s="2" t="s">
        <v>22</v>
      </c>
      <c r="J707" s="2" t="s">
        <v>854</v>
      </c>
      <c r="K707" s="0" t="s">
        <v>855</v>
      </c>
      <c r="L707" s="0" t="s">
        <v>25</v>
      </c>
      <c r="M707" s="0" t="s">
        <v>857</v>
      </c>
      <c r="N707" s="0" t="s">
        <v>1654</v>
      </c>
      <c r="O707" s="0" t="n">
        <v>1</v>
      </c>
      <c r="P707" s="0" t="s">
        <v>253</v>
      </c>
      <c r="R707" s="3"/>
      <c r="S707" s="2" t="s">
        <v>28</v>
      </c>
    </row>
    <row r="708" customFormat="false" ht="15" hidden="false" customHeight="false" outlineLevel="0" collapsed="false">
      <c r="A708" s="0" t="n">
        <v>707</v>
      </c>
      <c r="D708" s="0" t="s">
        <v>1655</v>
      </c>
      <c r="E708" s="0" t="s">
        <v>253</v>
      </c>
      <c r="H708" s="0" t="s">
        <v>21</v>
      </c>
      <c r="I708" s="2" t="s">
        <v>22</v>
      </c>
      <c r="J708" s="2" t="s">
        <v>854</v>
      </c>
      <c r="K708" s="0" t="s">
        <v>855</v>
      </c>
      <c r="L708" s="0" t="s">
        <v>25</v>
      </c>
      <c r="M708" s="0" t="s">
        <v>857</v>
      </c>
      <c r="N708" s="0" t="s">
        <v>1656</v>
      </c>
      <c r="O708" s="0" t="n">
        <v>1</v>
      </c>
      <c r="P708" s="0" t="s">
        <v>253</v>
      </c>
      <c r="R708" s="3"/>
      <c r="S708" s="2" t="s">
        <v>28</v>
      </c>
    </row>
    <row r="709" customFormat="false" ht="15" hidden="false" customHeight="false" outlineLevel="0" collapsed="false">
      <c r="A709" s="0" t="n">
        <v>708</v>
      </c>
      <c r="D709" s="0" t="s">
        <v>1657</v>
      </c>
      <c r="E709" s="0" t="s">
        <v>253</v>
      </c>
      <c r="H709" s="0" t="s">
        <v>21</v>
      </c>
      <c r="I709" s="2" t="s">
        <v>22</v>
      </c>
      <c r="J709" s="2" t="s">
        <v>854</v>
      </c>
      <c r="K709" s="0" t="s">
        <v>855</v>
      </c>
      <c r="L709" s="0" t="s">
        <v>25</v>
      </c>
      <c r="M709" s="0" t="s">
        <v>857</v>
      </c>
      <c r="N709" s="0" t="s">
        <v>1658</v>
      </c>
      <c r="O709" s="0" t="n">
        <v>1</v>
      </c>
      <c r="P709" s="0" t="s">
        <v>253</v>
      </c>
      <c r="R709" s="3"/>
      <c r="S709" s="2" t="s">
        <v>28</v>
      </c>
    </row>
    <row r="710" customFormat="false" ht="15" hidden="false" customHeight="false" outlineLevel="0" collapsed="false">
      <c r="A710" s="0" t="n">
        <v>709</v>
      </c>
      <c r="D710" s="0" t="s">
        <v>1659</v>
      </c>
      <c r="E710" s="0" t="s">
        <v>253</v>
      </c>
      <c r="H710" s="0" t="s">
        <v>21</v>
      </c>
      <c r="I710" s="2" t="s">
        <v>22</v>
      </c>
      <c r="J710" s="2" t="s">
        <v>854</v>
      </c>
      <c r="K710" s="0" t="s">
        <v>855</v>
      </c>
      <c r="L710" s="0" t="s">
        <v>25</v>
      </c>
      <c r="M710" s="0" t="s">
        <v>857</v>
      </c>
      <c r="N710" s="0" t="s">
        <v>1660</v>
      </c>
      <c r="O710" s="0" t="n">
        <v>1</v>
      </c>
      <c r="P710" s="0" t="s">
        <v>253</v>
      </c>
      <c r="R710" s="3"/>
      <c r="S710" s="2" t="s">
        <v>28</v>
      </c>
    </row>
    <row r="711" customFormat="false" ht="15" hidden="false" customHeight="false" outlineLevel="0" collapsed="false">
      <c r="A711" s="0" t="n">
        <v>710</v>
      </c>
      <c r="D711" s="0" t="s">
        <v>1661</v>
      </c>
      <c r="E711" s="0" t="s">
        <v>253</v>
      </c>
      <c r="H711" s="0" t="s">
        <v>21</v>
      </c>
      <c r="I711" s="2" t="s">
        <v>22</v>
      </c>
      <c r="J711" s="2" t="s">
        <v>854</v>
      </c>
      <c r="K711" s="0" t="s">
        <v>855</v>
      </c>
      <c r="L711" s="0" t="s">
        <v>25</v>
      </c>
      <c r="M711" s="0" t="s">
        <v>857</v>
      </c>
      <c r="N711" s="0" t="s">
        <v>1662</v>
      </c>
      <c r="O711" s="0" t="n">
        <v>1</v>
      </c>
      <c r="P711" s="0" t="s">
        <v>253</v>
      </c>
      <c r="R711" s="3"/>
      <c r="S711" s="2" t="s">
        <v>28</v>
      </c>
    </row>
    <row r="712" customFormat="false" ht="15" hidden="false" customHeight="false" outlineLevel="0" collapsed="false">
      <c r="A712" s="0" t="n">
        <v>711</v>
      </c>
      <c r="D712" s="0" t="s">
        <v>1663</v>
      </c>
      <c r="E712" s="0" t="s">
        <v>253</v>
      </c>
      <c r="H712" s="0" t="s">
        <v>21</v>
      </c>
      <c r="I712" s="2" t="s">
        <v>22</v>
      </c>
      <c r="J712" s="2" t="s">
        <v>854</v>
      </c>
      <c r="K712" s="0" t="s">
        <v>855</v>
      </c>
      <c r="L712" s="0" t="s">
        <v>25</v>
      </c>
      <c r="M712" s="0" t="s">
        <v>857</v>
      </c>
      <c r="N712" s="0" t="s">
        <v>1664</v>
      </c>
      <c r="O712" s="0" t="n">
        <v>1</v>
      </c>
      <c r="P712" s="0" t="s">
        <v>253</v>
      </c>
      <c r="R712" s="3"/>
      <c r="S712" s="2" t="s">
        <v>28</v>
      </c>
    </row>
    <row r="713" customFormat="false" ht="15" hidden="false" customHeight="false" outlineLevel="0" collapsed="false">
      <c r="A713" s="0" t="n">
        <v>712</v>
      </c>
      <c r="D713" s="0" t="s">
        <v>1665</v>
      </c>
      <c r="E713" s="0" t="s">
        <v>253</v>
      </c>
      <c r="H713" s="0" t="s">
        <v>21</v>
      </c>
      <c r="I713" s="2" t="s">
        <v>22</v>
      </c>
      <c r="J713" s="2" t="s">
        <v>854</v>
      </c>
      <c r="K713" s="0" t="s">
        <v>855</v>
      </c>
      <c r="L713" s="0" t="s">
        <v>25</v>
      </c>
      <c r="M713" s="0" t="s">
        <v>857</v>
      </c>
      <c r="N713" s="0" t="s">
        <v>1666</v>
      </c>
      <c r="O713" s="0" t="n">
        <v>1</v>
      </c>
      <c r="P713" s="0" t="s">
        <v>253</v>
      </c>
      <c r="R713" s="3"/>
      <c r="S713" s="2" t="s">
        <v>28</v>
      </c>
    </row>
    <row r="714" customFormat="false" ht="15" hidden="false" customHeight="false" outlineLevel="0" collapsed="false">
      <c r="A714" s="0" t="n">
        <v>713</v>
      </c>
      <c r="D714" s="0" t="s">
        <v>1667</v>
      </c>
      <c r="E714" s="0" t="s">
        <v>253</v>
      </c>
      <c r="H714" s="0" t="s">
        <v>21</v>
      </c>
      <c r="I714" s="2" t="s">
        <v>22</v>
      </c>
      <c r="J714" s="2" t="s">
        <v>854</v>
      </c>
      <c r="K714" s="0" t="s">
        <v>855</v>
      </c>
      <c r="L714" s="0" t="s">
        <v>25</v>
      </c>
      <c r="M714" s="0" t="s">
        <v>857</v>
      </c>
      <c r="N714" s="0" t="s">
        <v>1668</v>
      </c>
      <c r="O714" s="0" t="n">
        <v>1</v>
      </c>
      <c r="P714" s="0" t="s">
        <v>253</v>
      </c>
      <c r="R714" s="3"/>
      <c r="S714" s="2" t="s">
        <v>28</v>
      </c>
    </row>
    <row r="715" customFormat="false" ht="15" hidden="false" customHeight="false" outlineLevel="0" collapsed="false">
      <c r="A715" s="0" t="n">
        <v>714</v>
      </c>
      <c r="D715" s="0" t="s">
        <v>1669</v>
      </c>
      <c r="E715" s="0" t="s">
        <v>173</v>
      </c>
      <c r="H715" s="0" t="s">
        <v>21</v>
      </c>
      <c r="I715" s="2" t="s">
        <v>22</v>
      </c>
      <c r="J715" s="2" t="s">
        <v>854</v>
      </c>
      <c r="K715" s="0" t="s">
        <v>855</v>
      </c>
      <c r="L715" s="0" t="s">
        <v>25</v>
      </c>
      <c r="M715" s="0" t="s">
        <v>857</v>
      </c>
      <c r="N715" s="0" t="s">
        <v>1670</v>
      </c>
      <c r="O715" s="0" t="n">
        <v>1</v>
      </c>
      <c r="P715" s="0" t="s">
        <v>173</v>
      </c>
      <c r="R715" s="3"/>
      <c r="S715" s="2" t="s">
        <v>28</v>
      </c>
    </row>
    <row r="716" customFormat="false" ht="15" hidden="false" customHeight="false" outlineLevel="0" collapsed="false">
      <c r="A716" s="0" t="n">
        <v>715</v>
      </c>
      <c r="D716" s="0" t="s">
        <v>1671</v>
      </c>
      <c r="E716" s="0" t="s">
        <v>20</v>
      </c>
      <c r="H716" s="0" t="s">
        <v>21</v>
      </c>
      <c r="I716" s="2" t="s">
        <v>22</v>
      </c>
      <c r="J716" s="2" t="s">
        <v>854</v>
      </c>
      <c r="K716" s="0" t="s">
        <v>855</v>
      </c>
      <c r="L716" s="0" t="s">
        <v>25</v>
      </c>
      <c r="M716" s="0" t="s">
        <v>857</v>
      </c>
      <c r="N716" s="0" t="s">
        <v>1672</v>
      </c>
      <c r="O716" s="0" t="n">
        <v>1</v>
      </c>
      <c r="R716" s="3"/>
      <c r="S716" s="2" t="s">
        <v>28</v>
      </c>
    </row>
    <row r="717" customFormat="false" ht="15" hidden="false" customHeight="false" outlineLevel="0" collapsed="false">
      <c r="A717" s="0" t="n">
        <v>716</v>
      </c>
      <c r="D717" s="0" t="s">
        <v>1673</v>
      </c>
      <c r="E717" s="0" t="s">
        <v>20</v>
      </c>
      <c r="H717" s="0" t="s">
        <v>21</v>
      </c>
      <c r="I717" s="2" t="s">
        <v>22</v>
      </c>
      <c r="J717" s="2" t="s">
        <v>854</v>
      </c>
      <c r="K717" s="0" t="s">
        <v>855</v>
      </c>
      <c r="L717" s="0" t="s">
        <v>25</v>
      </c>
      <c r="M717" s="0" t="s">
        <v>857</v>
      </c>
      <c r="N717" s="0" t="s">
        <v>1674</v>
      </c>
      <c r="O717" s="0" t="n">
        <v>1</v>
      </c>
      <c r="R717" s="3"/>
      <c r="S717" s="2" t="s">
        <v>28</v>
      </c>
    </row>
    <row r="718" customFormat="false" ht="15" hidden="false" customHeight="false" outlineLevel="0" collapsed="false">
      <c r="A718" s="0" t="n">
        <v>717</v>
      </c>
      <c r="D718" s="0" t="s">
        <v>1675</v>
      </c>
      <c r="E718" s="0" t="s">
        <v>253</v>
      </c>
      <c r="H718" s="0" t="s">
        <v>21</v>
      </c>
      <c r="I718" s="2" t="s">
        <v>22</v>
      </c>
      <c r="J718" s="2" t="s">
        <v>854</v>
      </c>
      <c r="K718" s="0" t="s">
        <v>855</v>
      </c>
      <c r="L718" s="0" t="s">
        <v>1676</v>
      </c>
      <c r="M718" s="0" t="s">
        <v>857</v>
      </c>
      <c r="N718" s="0" t="s">
        <v>1677</v>
      </c>
      <c r="O718" s="0" t="n">
        <v>1</v>
      </c>
      <c r="P718" s="0" t="s">
        <v>253</v>
      </c>
      <c r="Q718" s="0" t="s">
        <v>1678</v>
      </c>
      <c r="R718" s="3"/>
      <c r="S718" s="2" t="s">
        <v>1679</v>
      </c>
    </row>
    <row r="719" customFormat="false" ht="15" hidden="false" customHeight="false" outlineLevel="0" collapsed="false">
      <c r="A719" s="0" t="n">
        <v>718</v>
      </c>
      <c r="D719" s="0" t="s">
        <v>1680</v>
      </c>
      <c r="E719" s="0" t="s">
        <v>253</v>
      </c>
      <c r="H719" s="0" t="s">
        <v>21</v>
      </c>
      <c r="I719" s="2" t="s">
        <v>22</v>
      </c>
      <c r="J719" s="2" t="s">
        <v>854</v>
      </c>
      <c r="K719" s="0" t="s">
        <v>855</v>
      </c>
      <c r="L719" s="0" t="s">
        <v>25</v>
      </c>
      <c r="M719" s="0" t="s">
        <v>857</v>
      </c>
      <c r="N719" s="0" t="s">
        <v>1681</v>
      </c>
      <c r="O719" s="0" t="n">
        <v>1</v>
      </c>
      <c r="P719" s="0" t="s">
        <v>253</v>
      </c>
      <c r="R719" s="3"/>
      <c r="S719" s="2" t="s">
        <v>28</v>
      </c>
    </row>
    <row r="720" customFormat="false" ht="15" hidden="false" customHeight="false" outlineLevel="0" collapsed="false">
      <c r="A720" s="0" t="n">
        <v>719</v>
      </c>
      <c r="D720" s="0" t="s">
        <v>1682</v>
      </c>
      <c r="E720" s="0" t="s">
        <v>253</v>
      </c>
      <c r="H720" s="0" t="s">
        <v>21</v>
      </c>
      <c r="I720" s="2" t="s">
        <v>22</v>
      </c>
      <c r="J720" s="2" t="s">
        <v>854</v>
      </c>
      <c r="K720" s="0" t="s">
        <v>855</v>
      </c>
      <c r="L720" s="0" t="s">
        <v>25</v>
      </c>
      <c r="M720" s="0" t="s">
        <v>857</v>
      </c>
      <c r="N720" s="0" t="s">
        <v>1683</v>
      </c>
      <c r="O720" s="0" t="n">
        <v>1</v>
      </c>
      <c r="P720" s="0" t="s">
        <v>253</v>
      </c>
      <c r="R720" s="3"/>
      <c r="S720" s="2" t="s">
        <v>28</v>
      </c>
    </row>
    <row r="721" customFormat="false" ht="15" hidden="false" customHeight="false" outlineLevel="0" collapsed="false">
      <c r="A721" s="0" t="n">
        <v>720</v>
      </c>
      <c r="D721" s="0" t="s">
        <v>1684</v>
      </c>
      <c r="E721" s="0" t="s">
        <v>253</v>
      </c>
      <c r="H721" s="0" t="s">
        <v>21</v>
      </c>
      <c r="I721" s="2" t="s">
        <v>22</v>
      </c>
      <c r="J721" s="2" t="s">
        <v>854</v>
      </c>
      <c r="K721" s="0" t="s">
        <v>855</v>
      </c>
      <c r="L721" s="0" t="s">
        <v>25</v>
      </c>
      <c r="M721" s="0" t="s">
        <v>857</v>
      </c>
      <c r="N721" s="0" t="s">
        <v>1685</v>
      </c>
      <c r="O721" s="0" t="n">
        <v>1</v>
      </c>
      <c r="P721" s="0" t="s">
        <v>253</v>
      </c>
      <c r="R721" s="3"/>
      <c r="S721" s="2" t="s">
        <v>28</v>
      </c>
    </row>
    <row r="722" customFormat="false" ht="15" hidden="false" customHeight="false" outlineLevel="0" collapsed="false">
      <c r="A722" s="0" t="n">
        <v>721</v>
      </c>
      <c r="D722" s="0" t="s">
        <v>1686</v>
      </c>
      <c r="E722" s="0" t="s">
        <v>173</v>
      </c>
      <c r="H722" s="0" t="s">
        <v>21</v>
      </c>
      <c r="I722" s="2" t="s">
        <v>22</v>
      </c>
      <c r="J722" s="2" t="s">
        <v>854</v>
      </c>
      <c r="K722" s="0" t="s">
        <v>855</v>
      </c>
      <c r="L722" s="0" t="s">
        <v>25</v>
      </c>
      <c r="M722" s="0" t="s">
        <v>857</v>
      </c>
      <c r="N722" s="0" t="s">
        <v>1687</v>
      </c>
      <c r="O722" s="0" t="n">
        <v>1</v>
      </c>
      <c r="P722" s="0" t="s">
        <v>173</v>
      </c>
      <c r="R722" s="3"/>
      <c r="S722" s="2" t="s">
        <v>28</v>
      </c>
    </row>
    <row r="723" customFormat="false" ht="15" hidden="false" customHeight="false" outlineLevel="0" collapsed="false">
      <c r="A723" s="0" t="n">
        <v>722</v>
      </c>
      <c r="D723" s="0" t="s">
        <v>1688</v>
      </c>
      <c r="E723" s="0" t="s">
        <v>253</v>
      </c>
      <c r="H723" s="0" t="s">
        <v>21</v>
      </c>
      <c r="I723" s="2" t="s">
        <v>22</v>
      </c>
      <c r="J723" s="2" t="s">
        <v>854</v>
      </c>
      <c r="K723" s="0" t="s">
        <v>855</v>
      </c>
      <c r="L723" s="0" t="s">
        <v>1689</v>
      </c>
      <c r="M723" s="0" t="s">
        <v>857</v>
      </c>
      <c r="N723" s="0" t="s">
        <v>1690</v>
      </c>
      <c r="O723" s="0" t="n">
        <v>1</v>
      </c>
      <c r="P723" s="0" t="s">
        <v>253</v>
      </c>
      <c r="Q723" s="0" t="s">
        <v>1691</v>
      </c>
      <c r="R723" s="3"/>
      <c r="S723" s="2" t="s">
        <v>1692</v>
      </c>
    </row>
    <row r="724" customFormat="false" ht="15" hidden="false" customHeight="false" outlineLevel="0" collapsed="false">
      <c r="A724" s="0" t="n">
        <v>723</v>
      </c>
      <c r="D724" s="0" t="s">
        <v>1693</v>
      </c>
      <c r="E724" s="0" t="s">
        <v>173</v>
      </c>
      <c r="H724" s="0" t="s">
        <v>21</v>
      </c>
      <c r="I724" s="2" t="s">
        <v>22</v>
      </c>
      <c r="J724" s="2" t="s">
        <v>854</v>
      </c>
      <c r="K724" s="0" t="s">
        <v>855</v>
      </c>
      <c r="L724" s="0" t="s">
        <v>25</v>
      </c>
      <c r="M724" s="0" t="s">
        <v>857</v>
      </c>
      <c r="N724" s="0" t="s">
        <v>1694</v>
      </c>
      <c r="O724" s="0" t="n">
        <v>1</v>
      </c>
      <c r="P724" s="0" t="s">
        <v>173</v>
      </c>
      <c r="R724" s="3"/>
      <c r="S724" s="2" t="s">
        <v>28</v>
      </c>
    </row>
    <row r="725" customFormat="false" ht="15" hidden="false" customHeight="false" outlineLevel="0" collapsed="false">
      <c r="A725" s="0" t="n">
        <v>724</v>
      </c>
      <c r="D725" s="0" t="s">
        <v>1695</v>
      </c>
      <c r="E725" s="0" t="s">
        <v>20</v>
      </c>
      <c r="H725" s="0" t="s">
        <v>21</v>
      </c>
      <c r="I725" s="2" t="s">
        <v>22</v>
      </c>
      <c r="J725" s="2" t="s">
        <v>854</v>
      </c>
      <c r="K725" s="0" t="s">
        <v>855</v>
      </c>
      <c r="L725" s="0" t="s">
        <v>25</v>
      </c>
      <c r="M725" s="0" t="s">
        <v>857</v>
      </c>
      <c r="N725" s="0" t="s">
        <v>1696</v>
      </c>
      <c r="O725" s="0" t="n">
        <v>1</v>
      </c>
      <c r="R725" s="3"/>
      <c r="S725" s="2" t="s">
        <v>28</v>
      </c>
    </row>
    <row r="726" customFormat="false" ht="15" hidden="false" customHeight="false" outlineLevel="0" collapsed="false">
      <c r="A726" s="0" t="n">
        <v>725</v>
      </c>
      <c r="D726" s="0" t="s">
        <v>1697</v>
      </c>
      <c r="E726" s="0" t="s">
        <v>287</v>
      </c>
      <c r="H726" s="0" t="s">
        <v>21</v>
      </c>
      <c r="I726" s="2" t="s">
        <v>22</v>
      </c>
      <c r="J726" s="2" t="s">
        <v>854</v>
      </c>
      <c r="K726" s="0" t="s">
        <v>855</v>
      </c>
      <c r="L726" s="0" t="s">
        <v>25</v>
      </c>
      <c r="M726" s="0" t="s">
        <v>857</v>
      </c>
      <c r="N726" s="0" t="s">
        <v>1698</v>
      </c>
      <c r="O726" s="0" t="n">
        <v>1</v>
      </c>
      <c r="P726" s="0" t="s">
        <v>287</v>
      </c>
      <c r="R726" s="3"/>
      <c r="S726" s="2" t="s">
        <v>28</v>
      </c>
    </row>
    <row r="727" customFormat="false" ht="15" hidden="false" customHeight="false" outlineLevel="0" collapsed="false">
      <c r="A727" s="0" t="n">
        <v>726</v>
      </c>
      <c r="D727" s="0" t="s">
        <v>1699</v>
      </c>
      <c r="E727" s="0" t="s">
        <v>20</v>
      </c>
      <c r="H727" s="0" t="s">
        <v>21</v>
      </c>
      <c r="I727" s="2" t="s">
        <v>22</v>
      </c>
      <c r="J727" s="2" t="s">
        <v>854</v>
      </c>
      <c r="K727" s="0" t="s">
        <v>855</v>
      </c>
      <c r="L727" s="0" t="s">
        <v>25</v>
      </c>
      <c r="M727" s="0" t="s">
        <v>857</v>
      </c>
      <c r="N727" s="0" t="s">
        <v>1700</v>
      </c>
      <c r="O727" s="0" t="n">
        <v>1</v>
      </c>
      <c r="R727" s="3"/>
      <c r="S727" s="2" t="s">
        <v>28</v>
      </c>
    </row>
    <row r="728" customFormat="false" ht="15" hidden="false" customHeight="false" outlineLevel="0" collapsed="false">
      <c r="A728" s="0" t="n">
        <v>727</v>
      </c>
      <c r="D728" s="0" t="s">
        <v>1701</v>
      </c>
      <c r="E728" s="0" t="s">
        <v>253</v>
      </c>
      <c r="H728" s="0" t="s">
        <v>21</v>
      </c>
      <c r="I728" s="2" t="s">
        <v>22</v>
      </c>
      <c r="J728" s="2" t="s">
        <v>854</v>
      </c>
      <c r="K728" s="0" t="s">
        <v>855</v>
      </c>
      <c r="L728" s="0" t="s">
        <v>25</v>
      </c>
      <c r="M728" s="0" t="s">
        <v>857</v>
      </c>
      <c r="N728" s="0" t="s">
        <v>1702</v>
      </c>
      <c r="O728" s="0" t="n">
        <v>1</v>
      </c>
      <c r="P728" s="0" t="s">
        <v>253</v>
      </c>
      <c r="R728" s="3"/>
      <c r="S728" s="2" t="s">
        <v>28</v>
      </c>
    </row>
    <row r="729" customFormat="false" ht="15" hidden="false" customHeight="false" outlineLevel="0" collapsed="false">
      <c r="A729" s="0" t="n">
        <v>728</v>
      </c>
      <c r="D729" s="0" t="s">
        <v>1703</v>
      </c>
      <c r="E729" s="0" t="s">
        <v>253</v>
      </c>
      <c r="H729" s="0" t="s">
        <v>21</v>
      </c>
      <c r="I729" s="2" t="s">
        <v>22</v>
      </c>
      <c r="J729" s="2" t="s">
        <v>854</v>
      </c>
      <c r="K729" s="0" t="s">
        <v>855</v>
      </c>
      <c r="L729" s="0" t="s">
        <v>1704</v>
      </c>
      <c r="M729" s="0" t="s">
        <v>857</v>
      </c>
      <c r="N729" s="0" t="s">
        <v>1705</v>
      </c>
      <c r="O729" s="0" t="n">
        <v>1</v>
      </c>
      <c r="Q729" s="0" t="s">
        <v>1706</v>
      </c>
      <c r="R729" s="3"/>
      <c r="S729" s="2" t="s">
        <v>1707</v>
      </c>
    </row>
    <row r="730" customFormat="false" ht="15" hidden="false" customHeight="false" outlineLevel="0" collapsed="false">
      <c r="A730" s="0" t="n">
        <v>729</v>
      </c>
      <c r="D730" s="0" t="s">
        <v>1708</v>
      </c>
      <c r="E730" s="0" t="s">
        <v>253</v>
      </c>
      <c r="H730" s="0" t="s">
        <v>21</v>
      </c>
      <c r="I730" s="2" t="s">
        <v>22</v>
      </c>
      <c r="J730" s="2" t="s">
        <v>854</v>
      </c>
      <c r="K730" s="0" t="s">
        <v>855</v>
      </c>
      <c r="L730" s="0" t="s">
        <v>25</v>
      </c>
      <c r="M730" s="0" t="s">
        <v>857</v>
      </c>
      <c r="N730" s="0" t="s">
        <v>1709</v>
      </c>
      <c r="O730" s="0" t="n">
        <v>1</v>
      </c>
      <c r="P730" s="0" t="s">
        <v>253</v>
      </c>
      <c r="R730" s="3"/>
      <c r="S730" s="2" t="s">
        <v>28</v>
      </c>
    </row>
    <row r="731" customFormat="false" ht="15" hidden="false" customHeight="false" outlineLevel="0" collapsed="false">
      <c r="A731" s="0" t="n">
        <v>730</v>
      </c>
      <c r="D731" s="0" t="s">
        <v>1710</v>
      </c>
      <c r="E731" s="0" t="s">
        <v>253</v>
      </c>
      <c r="H731" s="0" t="s">
        <v>21</v>
      </c>
      <c r="I731" s="2" t="s">
        <v>22</v>
      </c>
      <c r="J731" s="2" t="s">
        <v>854</v>
      </c>
      <c r="K731" s="0" t="s">
        <v>855</v>
      </c>
      <c r="L731" s="0" t="s">
        <v>25</v>
      </c>
      <c r="M731" s="0" t="s">
        <v>857</v>
      </c>
      <c r="N731" s="0" t="s">
        <v>1711</v>
      </c>
      <c r="O731" s="0" t="n">
        <v>1</v>
      </c>
      <c r="P731" s="0" t="s">
        <v>253</v>
      </c>
      <c r="R731" s="3"/>
      <c r="S731" s="2" t="s">
        <v>28</v>
      </c>
    </row>
    <row r="732" customFormat="false" ht="15" hidden="false" customHeight="false" outlineLevel="0" collapsed="false">
      <c r="A732" s="0" t="n">
        <v>731</v>
      </c>
      <c r="D732" s="0" t="s">
        <v>1712</v>
      </c>
      <c r="E732" s="0" t="s">
        <v>253</v>
      </c>
      <c r="H732" s="0" t="s">
        <v>21</v>
      </c>
      <c r="I732" s="2" t="s">
        <v>22</v>
      </c>
      <c r="J732" s="2" t="s">
        <v>854</v>
      </c>
      <c r="K732" s="0" t="s">
        <v>855</v>
      </c>
      <c r="L732" s="0" t="s">
        <v>25</v>
      </c>
      <c r="M732" s="0" t="s">
        <v>857</v>
      </c>
      <c r="N732" s="0" t="s">
        <v>1713</v>
      </c>
      <c r="O732" s="0" t="n">
        <v>1</v>
      </c>
      <c r="P732" s="0" t="s">
        <v>253</v>
      </c>
      <c r="R732" s="3"/>
      <c r="S732" s="2" t="s">
        <v>28</v>
      </c>
    </row>
    <row r="733" customFormat="false" ht="15" hidden="false" customHeight="false" outlineLevel="0" collapsed="false">
      <c r="A733" s="0" t="n">
        <v>732</v>
      </c>
      <c r="D733" s="0" t="s">
        <v>1714</v>
      </c>
      <c r="E733" s="0" t="s">
        <v>253</v>
      </c>
      <c r="H733" s="0" t="s">
        <v>21</v>
      </c>
      <c r="I733" s="2" t="s">
        <v>22</v>
      </c>
      <c r="J733" s="2" t="s">
        <v>854</v>
      </c>
      <c r="K733" s="0" t="s">
        <v>855</v>
      </c>
      <c r="L733" s="0" t="s">
        <v>1715</v>
      </c>
      <c r="M733" s="0" t="s">
        <v>857</v>
      </c>
      <c r="N733" s="0" t="s">
        <v>1716</v>
      </c>
      <c r="O733" s="0" t="n">
        <v>1</v>
      </c>
      <c r="P733" s="0" t="s">
        <v>253</v>
      </c>
      <c r="Q733" s="0" t="s">
        <v>1717</v>
      </c>
      <c r="R733" s="3"/>
      <c r="S733" s="2" t="s">
        <v>1718</v>
      </c>
    </row>
    <row r="734" customFormat="false" ht="15" hidden="false" customHeight="false" outlineLevel="0" collapsed="false">
      <c r="A734" s="0" t="n">
        <v>733</v>
      </c>
      <c r="D734" s="0" t="s">
        <v>1719</v>
      </c>
      <c r="E734" s="0" t="s">
        <v>253</v>
      </c>
      <c r="H734" s="0" t="s">
        <v>21</v>
      </c>
      <c r="I734" s="2" t="s">
        <v>22</v>
      </c>
      <c r="J734" s="2" t="s">
        <v>854</v>
      </c>
      <c r="K734" s="0" t="s">
        <v>855</v>
      </c>
      <c r="L734" s="0" t="s">
        <v>25</v>
      </c>
      <c r="M734" s="0" t="s">
        <v>857</v>
      </c>
      <c r="N734" s="0" t="s">
        <v>1720</v>
      </c>
      <c r="O734" s="0" t="n">
        <v>1</v>
      </c>
      <c r="P734" s="0" t="s">
        <v>253</v>
      </c>
      <c r="R734" s="3"/>
      <c r="S734" s="2" t="s">
        <v>28</v>
      </c>
    </row>
    <row r="735" customFormat="false" ht="15" hidden="false" customHeight="false" outlineLevel="0" collapsed="false">
      <c r="A735" s="0" t="n">
        <v>734</v>
      </c>
      <c r="D735" s="0" t="s">
        <v>1721</v>
      </c>
      <c r="E735" s="0" t="s">
        <v>253</v>
      </c>
      <c r="H735" s="0" t="s">
        <v>21</v>
      </c>
      <c r="I735" s="2" t="s">
        <v>22</v>
      </c>
      <c r="J735" s="2" t="s">
        <v>854</v>
      </c>
      <c r="K735" s="0" t="s">
        <v>855</v>
      </c>
      <c r="L735" s="0" t="s">
        <v>25</v>
      </c>
      <c r="M735" s="0" t="s">
        <v>857</v>
      </c>
      <c r="N735" s="0" t="s">
        <v>1722</v>
      </c>
      <c r="O735" s="0" t="n">
        <v>1</v>
      </c>
      <c r="P735" s="0" t="s">
        <v>253</v>
      </c>
      <c r="R735" s="3"/>
      <c r="S735" s="2" t="s">
        <v>28</v>
      </c>
    </row>
    <row r="736" customFormat="false" ht="15" hidden="false" customHeight="false" outlineLevel="0" collapsed="false">
      <c r="A736" s="0" t="n">
        <v>735</v>
      </c>
      <c r="D736" s="0" t="s">
        <v>1723</v>
      </c>
      <c r="E736" s="0" t="s">
        <v>253</v>
      </c>
      <c r="H736" s="0" t="s">
        <v>21</v>
      </c>
      <c r="I736" s="2" t="s">
        <v>22</v>
      </c>
      <c r="J736" s="2" t="s">
        <v>854</v>
      </c>
      <c r="K736" s="0" t="s">
        <v>855</v>
      </c>
      <c r="L736" s="0" t="s">
        <v>25</v>
      </c>
      <c r="M736" s="0" t="s">
        <v>857</v>
      </c>
      <c r="N736" s="0" t="s">
        <v>1724</v>
      </c>
      <c r="O736" s="0" t="n">
        <v>1</v>
      </c>
      <c r="P736" s="0" t="s">
        <v>253</v>
      </c>
      <c r="R736" s="3"/>
      <c r="S736" s="2" t="s">
        <v>28</v>
      </c>
    </row>
    <row r="737" customFormat="false" ht="15" hidden="false" customHeight="false" outlineLevel="0" collapsed="false">
      <c r="A737" s="0" t="n">
        <v>736</v>
      </c>
      <c r="D737" s="0" t="s">
        <v>1725</v>
      </c>
      <c r="E737" s="0" t="s">
        <v>253</v>
      </c>
      <c r="H737" s="0" t="s">
        <v>21</v>
      </c>
      <c r="I737" s="2" t="s">
        <v>22</v>
      </c>
      <c r="J737" s="2" t="s">
        <v>854</v>
      </c>
      <c r="K737" s="0" t="s">
        <v>855</v>
      </c>
      <c r="L737" s="0" t="s">
        <v>25</v>
      </c>
      <c r="M737" s="0" t="s">
        <v>857</v>
      </c>
      <c r="N737" s="0" t="s">
        <v>1726</v>
      </c>
      <c r="O737" s="0" t="n">
        <v>1</v>
      </c>
      <c r="P737" s="0" t="s">
        <v>253</v>
      </c>
      <c r="R737" s="3"/>
      <c r="S737" s="2" t="s">
        <v>28</v>
      </c>
    </row>
    <row r="738" customFormat="false" ht="15" hidden="false" customHeight="false" outlineLevel="0" collapsed="false">
      <c r="A738" s="0" t="n">
        <v>737</v>
      </c>
      <c r="D738" s="0" t="s">
        <v>1727</v>
      </c>
      <c r="E738" s="0" t="s">
        <v>253</v>
      </c>
      <c r="H738" s="0" t="s">
        <v>21</v>
      </c>
      <c r="I738" s="2" t="s">
        <v>22</v>
      </c>
      <c r="J738" s="2" t="s">
        <v>854</v>
      </c>
      <c r="K738" s="0" t="s">
        <v>855</v>
      </c>
      <c r="L738" s="0" t="s">
        <v>1728</v>
      </c>
      <c r="M738" s="0" t="s">
        <v>857</v>
      </c>
      <c r="N738" s="0" t="s">
        <v>1729</v>
      </c>
      <c r="O738" s="0" t="n">
        <v>1</v>
      </c>
      <c r="P738" s="0" t="s">
        <v>253</v>
      </c>
      <c r="Q738" s="0" t="s">
        <v>1730</v>
      </c>
      <c r="R738" s="3"/>
      <c r="S738" s="2" t="s">
        <v>1731</v>
      </c>
    </row>
    <row r="739" customFormat="false" ht="15" hidden="false" customHeight="false" outlineLevel="0" collapsed="false">
      <c r="A739" s="0" t="n">
        <v>738</v>
      </c>
      <c r="D739" s="0" t="s">
        <v>1732</v>
      </c>
      <c r="E739" s="0" t="s">
        <v>253</v>
      </c>
      <c r="H739" s="0" t="s">
        <v>21</v>
      </c>
      <c r="I739" s="2" t="s">
        <v>22</v>
      </c>
      <c r="J739" s="2" t="s">
        <v>854</v>
      </c>
      <c r="K739" s="0" t="s">
        <v>855</v>
      </c>
      <c r="L739" s="0" t="s">
        <v>25</v>
      </c>
      <c r="M739" s="0" t="s">
        <v>857</v>
      </c>
      <c r="N739" s="0" t="s">
        <v>1733</v>
      </c>
      <c r="O739" s="0" t="n">
        <v>1</v>
      </c>
      <c r="P739" s="0" t="s">
        <v>253</v>
      </c>
      <c r="R739" s="3"/>
      <c r="S739" s="2" t="s">
        <v>28</v>
      </c>
    </row>
    <row r="740" customFormat="false" ht="15" hidden="false" customHeight="false" outlineLevel="0" collapsed="false">
      <c r="A740" s="0" t="n">
        <v>739</v>
      </c>
      <c r="D740" s="0" t="s">
        <v>1734</v>
      </c>
      <c r="E740" s="0" t="s">
        <v>173</v>
      </c>
      <c r="H740" s="0" t="s">
        <v>21</v>
      </c>
      <c r="I740" s="2" t="s">
        <v>22</v>
      </c>
      <c r="J740" s="2" t="s">
        <v>854</v>
      </c>
      <c r="K740" s="0" t="s">
        <v>855</v>
      </c>
      <c r="L740" s="0" t="s">
        <v>25</v>
      </c>
      <c r="M740" s="0" t="s">
        <v>857</v>
      </c>
      <c r="N740" s="0" t="s">
        <v>1735</v>
      </c>
      <c r="O740" s="0" t="n">
        <v>1</v>
      </c>
      <c r="P740" s="0" t="s">
        <v>173</v>
      </c>
      <c r="R740" s="3"/>
      <c r="S740" s="2" t="s">
        <v>28</v>
      </c>
    </row>
    <row r="741" customFormat="false" ht="15" hidden="false" customHeight="false" outlineLevel="0" collapsed="false">
      <c r="A741" s="0" t="n">
        <v>740</v>
      </c>
      <c r="D741" s="0" t="s">
        <v>1736</v>
      </c>
      <c r="E741" s="0" t="s">
        <v>253</v>
      </c>
      <c r="H741" s="0" t="s">
        <v>21</v>
      </c>
      <c r="I741" s="2" t="s">
        <v>22</v>
      </c>
      <c r="J741" s="2" t="s">
        <v>854</v>
      </c>
      <c r="K741" s="0" t="s">
        <v>855</v>
      </c>
      <c r="L741" s="0" t="s">
        <v>1737</v>
      </c>
      <c r="M741" s="0" t="s">
        <v>857</v>
      </c>
      <c r="N741" s="0" t="s">
        <v>1738</v>
      </c>
      <c r="O741" s="0" t="n">
        <v>1</v>
      </c>
      <c r="P741" s="0" t="s">
        <v>253</v>
      </c>
      <c r="Q741" s="0" t="s">
        <v>1739</v>
      </c>
      <c r="R741" s="3"/>
      <c r="S741" s="2" t="s">
        <v>1740</v>
      </c>
    </row>
    <row r="742" customFormat="false" ht="15" hidden="false" customHeight="false" outlineLevel="0" collapsed="false">
      <c r="A742" s="0" t="n">
        <v>741</v>
      </c>
      <c r="D742" s="0" t="s">
        <v>1741</v>
      </c>
      <c r="E742" s="0" t="s">
        <v>253</v>
      </c>
      <c r="H742" s="0" t="s">
        <v>21</v>
      </c>
      <c r="I742" s="2" t="s">
        <v>22</v>
      </c>
      <c r="J742" s="2" t="s">
        <v>854</v>
      </c>
      <c r="K742" s="0" t="s">
        <v>855</v>
      </c>
      <c r="L742" s="0" t="s">
        <v>1742</v>
      </c>
      <c r="M742" s="0" t="s">
        <v>857</v>
      </c>
      <c r="N742" s="0" t="s">
        <v>1743</v>
      </c>
      <c r="O742" s="0" t="n">
        <v>1</v>
      </c>
      <c r="P742" s="0" t="s">
        <v>253</v>
      </c>
      <c r="Q742" s="0" t="s">
        <v>1744</v>
      </c>
      <c r="R742" s="3"/>
      <c r="S742" s="2" t="s">
        <v>1745</v>
      </c>
    </row>
    <row r="743" customFormat="false" ht="15" hidden="false" customHeight="false" outlineLevel="0" collapsed="false">
      <c r="A743" s="0" t="n">
        <v>742</v>
      </c>
      <c r="D743" s="0" t="s">
        <v>1746</v>
      </c>
      <c r="E743" s="0" t="s">
        <v>253</v>
      </c>
      <c r="H743" s="0" t="s">
        <v>21</v>
      </c>
      <c r="I743" s="2" t="s">
        <v>22</v>
      </c>
      <c r="J743" s="2" t="s">
        <v>854</v>
      </c>
      <c r="K743" s="0" t="s">
        <v>855</v>
      </c>
      <c r="L743" s="0" t="s">
        <v>1747</v>
      </c>
      <c r="M743" s="0" t="s">
        <v>857</v>
      </c>
      <c r="N743" s="0" t="s">
        <v>1748</v>
      </c>
      <c r="O743" s="0" t="n">
        <v>1</v>
      </c>
      <c r="P743" s="0" t="s">
        <v>253</v>
      </c>
      <c r="Q743" s="0" t="s">
        <v>1749</v>
      </c>
      <c r="R743" s="3"/>
      <c r="S743" s="2" t="s">
        <v>1750</v>
      </c>
    </row>
    <row r="744" customFormat="false" ht="15" hidden="false" customHeight="false" outlineLevel="0" collapsed="false">
      <c r="A744" s="0" t="n">
        <v>743</v>
      </c>
      <c r="D744" s="0" t="s">
        <v>1751</v>
      </c>
      <c r="E744" s="0" t="s">
        <v>253</v>
      </c>
      <c r="H744" s="0" t="s">
        <v>21</v>
      </c>
      <c r="I744" s="2" t="s">
        <v>22</v>
      </c>
      <c r="J744" s="2" t="s">
        <v>854</v>
      </c>
      <c r="K744" s="0" t="s">
        <v>855</v>
      </c>
      <c r="L744" s="0" t="s">
        <v>1752</v>
      </c>
      <c r="M744" s="0" t="s">
        <v>857</v>
      </c>
      <c r="N744" s="0" t="s">
        <v>1753</v>
      </c>
      <c r="O744" s="0" t="n">
        <v>1</v>
      </c>
      <c r="P744" s="0" t="s">
        <v>253</v>
      </c>
      <c r="Q744" s="0" t="s">
        <v>1754</v>
      </c>
      <c r="R744" s="3"/>
      <c r="S744" s="2" t="s">
        <v>1755</v>
      </c>
    </row>
    <row r="745" customFormat="false" ht="15" hidden="false" customHeight="false" outlineLevel="0" collapsed="false">
      <c r="A745" s="0" t="n">
        <v>744</v>
      </c>
      <c r="D745" s="0" t="s">
        <v>1756</v>
      </c>
      <c r="E745" s="0" t="s">
        <v>253</v>
      </c>
      <c r="H745" s="0" t="s">
        <v>21</v>
      </c>
      <c r="I745" s="2" t="s">
        <v>22</v>
      </c>
      <c r="J745" s="2" t="s">
        <v>854</v>
      </c>
      <c r="K745" s="0" t="s">
        <v>855</v>
      </c>
      <c r="L745" s="0" t="s">
        <v>25</v>
      </c>
      <c r="M745" s="0" t="s">
        <v>857</v>
      </c>
      <c r="N745" s="0" t="s">
        <v>1757</v>
      </c>
      <c r="O745" s="0" t="n">
        <v>1</v>
      </c>
      <c r="P745" s="0" t="s">
        <v>253</v>
      </c>
      <c r="R745" s="3"/>
      <c r="S745" s="2" t="s">
        <v>28</v>
      </c>
    </row>
    <row r="746" customFormat="false" ht="15" hidden="false" customHeight="false" outlineLevel="0" collapsed="false">
      <c r="A746" s="0" t="n">
        <v>745</v>
      </c>
      <c r="D746" s="0" t="s">
        <v>1758</v>
      </c>
      <c r="E746" s="0" t="s">
        <v>253</v>
      </c>
      <c r="H746" s="0" t="s">
        <v>21</v>
      </c>
      <c r="I746" s="2" t="s">
        <v>22</v>
      </c>
      <c r="J746" s="2" t="s">
        <v>854</v>
      </c>
      <c r="K746" s="0" t="s">
        <v>855</v>
      </c>
      <c r="L746" s="0" t="s">
        <v>25</v>
      </c>
      <c r="M746" s="0" t="s">
        <v>857</v>
      </c>
      <c r="N746" s="0" t="s">
        <v>1759</v>
      </c>
      <c r="O746" s="0" t="n">
        <v>1</v>
      </c>
      <c r="P746" s="0" t="s">
        <v>253</v>
      </c>
      <c r="R746" s="3"/>
      <c r="S746" s="2" t="s">
        <v>28</v>
      </c>
    </row>
    <row r="747" customFormat="false" ht="15" hidden="false" customHeight="false" outlineLevel="0" collapsed="false">
      <c r="A747" s="0" t="n">
        <v>746</v>
      </c>
      <c r="D747" s="0" t="s">
        <v>1760</v>
      </c>
      <c r="E747" s="0" t="s">
        <v>253</v>
      </c>
      <c r="H747" s="0" t="s">
        <v>21</v>
      </c>
      <c r="I747" s="2" t="s">
        <v>22</v>
      </c>
      <c r="J747" s="2" t="s">
        <v>854</v>
      </c>
      <c r="K747" s="0" t="s">
        <v>855</v>
      </c>
      <c r="L747" s="0" t="s">
        <v>1761</v>
      </c>
      <c r="M747" s="0" t="s">
        <v>857</v>
      </c>
      <c r="N747" s="0" t="s">
        <v>1762</v>
      </c>
      <c r="O747" s="0" t="n">
        <v>1</v>
      </c>
      <c r="P747" s="0" t="s">
        <v>253</v>
      </c>
      <c r="Q747" s="0" t="s">
        <v>1763</v>
      </c>
      <c r="R747" s="3"/>
      <c r="S747" s="2" t="s">
        <v>1764</v>
      </c>
    </row>
    <row r="748" customFormat="false" ht="15" hidden="false" customHeight="false" outlineLevel="0" collapsed="false">
      <c r="A748" s="0" t="n">
        <v>747</v>
      </c>
      <c r="D748" s="0" t="s">
        <v>1765</v>
      </c>
      <c r="E748" s="0" t="s">
        <v>253</v>
      </c>
      <c r="H748" s="0" t="s">
        <v>21</v>
      </c>
      <c r="I748" s="2" t="s">
        <v>22</v>
      </c>
      <c r="J748" s="2" t="s">
        <v>854</v>
      </c>
      <c r="K748" s="0" t="s">
        <v>855</v>
      </c>
      <c r="L748" s="0" t="s">
        <v>1766</v>
      </c>
      <c r="M748" s="0" t="s">
        <v>857</v>
      </c>
      <c r="N748" s="0" t="s">
        <v>1767</v>
      </c>
      <c r="O748" s="0" t="n">
        <v>1</v>
      </c>
      <c r="P748" s="0" t="s">
        <v>253</v>
      </c>
      <c r="Q748" s="0" t="s">
        <v>1768</v>
      </c>
      <c r="R748" s="3"/>
      <c r="S748" s="2" t="s">
        <v>1769</v>
      </c>
    </row>
    <row r="749" customFormat="false" ht="15" hidden="false" customHeight="false" outlineLevel="0" collapsed="false">
      <c r="A749" s="0" t="n">
        <v>748</v>
      </c>
      <c r="D749" s="0" t="s">
        <v>1770</v>
      </c>
      <c r="E749" s="0" t="s">
        <v>20</v>
      </c>
      <c r="H749" s="0" t="s">
        <v>21</v>
      </c>
      <c r="I749" s="2" t="s">
        <v>22</v>
      </c>
      <c r="J749" s="2" t="s">
        <v>854</v>
      </c>
      <c r="K749" s="0" t="s">
        <v>855</v>
      </c>
      <c r="L749" s="0" t="s">
        <v>25</v>
      </c>
      <c r="M749" s="0" t="s">
        <v>857</v>
      </c>
      <c r="N749" s="0" t="s">
        <v>1771</v>
      </c>
      <c r="O749" s="0" t="n">
        <v>1</v>
      </c>
      <c r="R749" s="3"/>
      <c r="S749" s="2" t="s">
        <v>28</v>
      </c>
    </row>
    <row r="750" customFormat="false" ht="15" hidden="false" customHeight="false" outlineLevel="0" collapsed="false">
      <c r="A750" s="0" t="n">
        <v>749</v>
      </c>
      <c r="D750" s="0" t="s">
        <v>1772</v>
      </c>
      <c r="E750" s="0" t="s">
        <v>20</v>
      </c>
      <c r="H750" s="0" t="s">
        <v>21</v>
      </c>
      <c r="I750" s="2" t="s">
        <v>22</v>
      </c>
      <c r="J750" s="2" t="s">
        <v>854</v>
      </c>
      <c r="K750" s="0" t="s">
        <v>855</v>
      </c>
      <c r="L750" s="0" t="s">
        <v>25</v>
      </c>
      <c r="M750" s="0" t="s">
        <v>857</v>
      </c>
      <c r="N750" s="0" t="s">
        <v>1773</v>
      </c>
      <c r="O750" s="0" t="n">
        <v>1</v>
      </c>
      <c r="R750" s="3"/>
      <c r="S750" s="2" t="s">
        <v>28</v>
      </c>
    </row>
    <row r="751" customFormat="false" ht="15" hidden="false" customHeight="false" outlineLevel="0" collapsed="false">
      <c r="A751" s="0" t="n">
        <v>750</v>
      </c>
      <c r="D751" s="0" t="s">
        <v>1774</v>
      </c>
      <c r="E751" s="0" t="s">
        <v>20</v>
      </c>
      <c r="H751" s="0" t="s">
        <v>21</v>
      </c>
      <c r="I751" s="2" t="s">
        <v>22</v>
      </c>
      <c r="J751" s="2" t="s">
        <v>854</v>
      </c>
      <c r="K751" s="0" t="s">
        <v>855</v>
      </c>
      <c r="L751" s="0" t="s">
        <v>25</v>
      </c>
      <c r="M751" s="0" t="s">
        <v>857</v>
      </c>
      <c r="N751" s="0" t="s">
        <v>1775</v>
      </c>
      <c r="O751" s="0" t="n">
        <v>1</v>
      </c>
      <c r="R751" s="3"/>
      <c r="S751" s="2" t="s">
        <v>28</v>
      </c>
    </row>
    <row r="752" customFormat="false" ht="15" hidden="false" customHeight="false" outlineLevel="0" collapsed="false">
      <c r="A752" s="0" t="n">
        <v>751</v>
      </c>
      <c r="D752" s="0" t="s">
        <v>1776</v>
      </c>
      <c r="E752" s="0" t="s">
        <v>20</v>
      </c>
      <c r="H752" s="0" t="s">
        <v>21</v>
      </c>
      <c r="I752" s="2" t="s">
        <v>22</v>
      </c>
      <c r="J752" s="2" t="s">
        <v>854</v>
      </c>
      <c r="K752" s="0" t="s">
        <v>855</v>
      </c>
      <c r="L752" s="0" t="s">
        <v>25</v>
      </c>
      <c r="M752" s="0" t="s">
        <v>857</v>
      </c>
      <c r="N752" s="0" t="s">
        <v>1777</v>
      </c>
      <c r="O752" s="0" t="n">
        <v>1</v>
      </c>
      <c r="R752" s="3"/>
      <c r="S752" s="2" t="s">
        <v>28</v>
      </c>
    </row>
    <row r="753" customFormat="false" ht="15" hidden="false" customHeight="false" outlineLevel="0" collapsed="false">
      <c r="A753" s="0" t="n">
        <v>752</v>
      </c>
      <c r="D753" s="0" t="s">
        <v>1778</v>
      </c>
      <c r="E753" s="0" t="s">
        <v>20</v>
      </c>
      <c r="H753" s="0" t="s">
        <v>21</v>
      </c>
      <c r="I753" s="2" t="s">
        <v>22</v>
      </c>
      <c r="J753" s="2" t="s">
        <v>854</v>
      </c>
      <c r="K753" s="0" t="s">
        <v>855</v>
      </c>
      <c r="L753" s="0" t="s">
        <v>204</v>
      </c>
      <c r="M753" s="0" t="s">
        <v>857</v>
      </c>
      <c r="N753" s="0" t="s">
        <v>1779</v>
      </c>
      <c r="O753" s="0" t="n">
        <v>1</v>
      </c>
      <c r="P753" s="0" t="s">
        <v>206</v>
      </c>
      <c r="R753" s="3"/>
      <c r="S753" s="2" t="s">
        <v>28</v>
      </c>
    </row>
    <row r="754" customFormat="false" ht="15" hidden="false" customHeight="false" outlineLevel="0" collapsed="false">
      <c r="A754" s="0" t="n">
        <v>753</v>
      </c>
      <c r="D754" s="0" t="s">
        <v>1780</v>
      </c>
      <c r="E754" s="0" t="s">
        <v>20</v>
      </c>
      <c r="H754" s="0" t="s">
        <v>21</v>
      </c>
      <c r="I754" s="2" t="s">
        <v>22</v>
      </c>
      <c r="J754" s="2" t="s">
        <v>854</v>
      </c>
      <c r="K754" s="0" t="s">
        <v>855</v>
      </c>
      <c r="L754" s="0" t="s">
        <v>25</v>
      </c>
      <c r="M754" s="0" t="s">
        <v>857</v>
      </c>
      <c r="N754" s="0" t="s">
        <v>1781</v>
      </c>
      <c r="O754" s="0" t="n">
        <v>1</v>
      </c>
      <c r="R754" s="3"/>
      <c r="S754" s="2" t="s">
        <v>28</v>
      </c>
    </row>
    <row r="755" customFormat="false" ht="15" hidden="false" customHeight="false" outlineLevel="0" collapsed="false">
      <c r="A755" s="0" t="n">
        <v>754</v>
      </c>
      <c r="D755" s="0" t="s">
        <v>1782</v>
      </c>
      <c r="E755" s="0" t="s">
        <v>20</v>
      </c>
      <c r="H755" s="0" t="s">
        <v>21</v>
      </c>
      <c r="I755" s="2" t="s">
        <v>22</v>
      </c>
      <c r="J755" s="2" t="s">
        <v>854</v>
      </c>
      <c r="K755" s="0" t="s">
        <v>855</v>
      </c>
      <c r="L755" s="0" t="s">
        <v>1783</v>
      </c>
      <c r="M755" s="0" t="s">
        <v>857</v>
      </c>
      <c r="N755" s="0" t="s">
        <v>1784</v>
      </c>
      <c r="O755" s="0" t="n">
        <v>1</v>
      </c>
      <c r="R755" s="3"/>
      <c r="S755" s="2" t="s">
        <v>1785</v>
      </c>
    </row>
    <row r="756" customFormat="false" ht="15" hidden="false" customHeight="false" outlineLevel="0" collapsed="false">
      <c r="A756" s="0" t="n">
        <v>755</v>
      </c>
      <c r="D756" s="0" t="s">
        <v>1786</v>
      </c>
      <c r="E756" s="0" t="s">
        <v>20</v>
      </c>
      <c r="H756" s="0" t="s">
        <v>21</v>
      </c>
      <c r="I756" s="2" t="s">
        <v>22</v>
      </c>
      <c r="J756" s="2" t="s">
        <v>854</v>
      </c>
      <c r="K756" s="0" t="s">
        <v>855</v>
      </c>
      <c r="L756" s="0" t="s">
        <v>25</v>
      </c>
      <c r="M756" s="0" t="s">
        <v>857</v>
      </c>
      <c r="N756" s="0" t="s">
        <v>1787</v>
      </c>
      <c r="O756" s="0" t="n">
        <v>1</v>
      </c>
      <c r="R756" s="3"/>
      <c r="S756" s="2" t="s">
        <v>28</v>
      </c>
    </row>
    <row r="757" customFormat="false" ht="15" hidden="false" customHeight="false" outlineLevel="0" collapsed="false">
      <c r="A757" s="0" t="n">
        <v>756</v>
      </c>
      <c r="D757" s="0" t="s">
        <v>1788</v>
      </c>
      <c r="E757" s="0" t="s">
        <v>20</v>
      </c>
      <c r="H757" s="0" t="s">
        <v>21</v>
      </c>
      <c r="I757" s="2" t="s">
        <v>22</v>
      </c>
      <c r="J757" s="2" t="s">
        <v>854</v>
      </c>
      <c r="K757" s="0" t="s">
        <v>855</v>
      </c>
      <c r="L757" s="0" t="s">
        <v>25</v>
      </c>
      <c r="M757" s="0" t="s">
        <v>857</v>
      </c>
      <c r="N757" s="0" t="s">
        <v>1789</v>
      </c>
      <c r="O757" s="0" t="n">
        <v>1</v>
      </c>
      <c r="R757" s="3"/>
      <c r="S757" s="2" t="s">
        <v>28</v>
      </c>
    </row>
    <row r="758" customFormat="false" ht="15" hidden="false" customHeight="false" outlineLevel="0" collapsed="false">
      <c r="A758" s="0" t="n">
        <v>757</v>
      </c>
      <c r="D758" s="0" t="s">
        <v>1790</v>
      </c>
      <c r="E758" s="0" t="s">
        <v>173</v>
      </c>
      <c r="H758" s="0" t="s">
        <v>21</v>
      </c>
      <c r="I758" s="2" t="s">
        <v>22</v>
      </c>
      <c r="J758" s="2" t="s">
        <v>854</v>
      </c>
      <c r="K758" s="0" t="s">
        <v>855</v>
      </c>
      <c r="L758" s="0" t="s">
        <v>1791</v>
      </c>
      <c r="M758" s="0" t="s">
        <v>857</v>
      </c>
      <c r="N758" s="0" t="s">
        <v>1792</v>
      </c>
      <c r="O758" s="0" t="n">
        <v>1</v>
      </c>
      <c r="P758" s="0" t="s">
        <v>173</v>
      </c>
      <c r="Q758" s="0" t="s">
        <v>1793</v>
      </c>
      <c r="R758" s="3"/>
      <c r="S758" s="2" t="s">
        <v>1794</v>
      </c>
    </row>
    <row r="759" customFormat="false" ht="15" hidden="false" customHeight="false" outlineLevel="0" collapsed="false">
      <c r="A759" s="0" t="n">
        <v>758</v>
      </c>
      <c r="D759" s="0" t="s">
        <v>1795</v>
      </c>
      <c r="E759" s="0" t="s">
        <v>20</v>
      </c>
      <c r="H759" s="0" t="s">
        <v>21</v>
      </c>
      <c r="I759" s="2" t="s">
        <v>22</v>
      </c>
      <c r="J759" s="2" t="s">
        <v>854</v>
      </c>
      <c r="K759" s="0" t="s">
        <v>855</v>
      </c>
      <c r="L759" s="0" t="s">
        <v>25</v>
      </c>
      <c r="M759" s="0" t="s">
        <v>857</v>
      </c>
      <c r="N759" s="0" t="s">
        <v>1796</v>
      </c>
      <c r="O759" s="0" t="n">
        <v>1</v>
      </c>
      <c r="P759" s="0" t="s">
        <v>43</v>
      </c>
      <c r="R759" s="3"/>
      <c r="S759" s="2" t="s">
        <v>28</v>
      </c>
    </row>
    <row r="760" customFormat="false" ht="15" hidden="false" customHeight="false" outlineLevel="0" collapsed="false">
      <c r="A760" s="0" t="n">
        <v>759</v>
      </c>
      <c r="D760" s="0" t="s">
        <v>1797</v>
      </c>
      <c r="E760" s="0" t="s">
        <v>253</v>
      </c>
      <c r="H760" s="0" t="s">
        <v>21</v>
      </c>
      <c r="I760" s="2" t="s">
        <v>22</v>
      </c>
      <c r="J760" s="2" t="s">
        <v>854</v>
      </c>
      <c r="K760" s="0" t="s">
        <v>855</v>
      </c>
      <c r="L760" s="0" t="s">
        <v>25</v>
      </c>
      <c r="M760" s="0" t="s">
        <v>857</v>
      </c>
      <c r="N760" s="0" t="s">
        <v>1798</v>
      </c>
      <c r="O760" s="0" t="n">
        <v>1</v>
      </c>
      <c r="P760" s="0" t="s">
        <v>253</v>
      </c>
      <c r="R760" s="3"/>
      <c r="S760" s="2" t="s">
        <v>28</v>
      </c>
    </row>
    <row r="761" customFormat="false" ht="15" hidden="false" customHeight="false" outlineLevel="0" collapsed="false">
      <c r="A761" s="0" t="n">
        <v>760</v>
      </c>
      <c r="D761" s="0" t="s">
        <v>1799</v>
      </c>
      <c r="E761" s="0" t="s">
        <v>20</v>
      </c>
      <c r="H761" s="0" t="s">
        <v>21</v>
      </c>
      <c r="I761" s="2" t="s">
        <v>22</v>
      </c>
      <c r="J761" s="2" t="s">
        <v>854</v>
      </c>
      <c r="K761" s="0" t="s">
        <v>855</v>
      </c>
      <c r="L761" s="0" t="s">
        <v>25</v>
      </c>
      <c r="M761" s="0" t="s">
        <v>857</v>
      </c>
      <c r="N761" s="0" t="s">
        <v>1800</v>
      </c>
      <c r="O761" s="0" t="n">
        <v>1</v>
      </c>
      <c r="R761" s="3"/>
      <c r="S761" s="2" t="s">
        <v>28</v>
      </c>
    </row>
    <row r="762" customFormat="false" ht="15" hidden="false" customHeight="false" outlineLevel="0" collapsed="false">
      <c r="A762" s="0" t="n">
        <v>761</v>
      </c>
      <c r="D762" s="0" t="s">
        <v>1801</v>
      </c>
      <c r="E762" s="0" t="s">
        <v>253</v>
      </c>
      <c r="H762" s="0" t="s">
        <v>21</v>
      </c>
      <c r="I762" s="2" t="s">
        <v>22</v>
      </c>
      <c r="J762" s="2" t="s">
        <v>854</v>
      </c>
      <c r="K762" s="0" t="s">
        <v>855</v>
      </c>
      <c r="L762" s="0" t="s">
        <v>25</v>
      </c>
      <c r="M762" s="0" t="s">
        <v>857</v>
      </c>
      <c r="N762" s="0" t="s">
        <v>1802</v>
      </c>
      <c r="O762" s="0" t="n">
        <v>1</v>
      </c>
      <c r="P762" s="0" t="s">
        <v>253</v>
      </c>
      <c r="R762" s="3"/>
      <c r="S762" s="2" t="s">
        <v>28</v>
      </c>
    </row>
    <row r="763" customFormat="false" ht="15" hidden="false" customHeight="false" outlineLevel="0" collapsed="false">
      <c r="A763" s="0" t="n">
        <v>762</v>
      </c>
      <c r="D763" s="0" t="s">
        <v>1803</v>
      </c>
      <c r="E763" s="0" t="s">
        <v>253</v>
      </c>
      <c r="H763" s="0" t="s">
        <v>21</v>
      </c>
      <c r="I763" s="2" t="s">
        <v>22</v>
      </c>
      <c r="J763" s="2" t="s">
        <v>854</v>
      </c>
      <c r="K763" s="0" t="s">
        <v>855</v>
      </c>
      <c r="L763" s="0" t="s">
        <v>25</v>
      </c>
      <c r="M763" s="0" t="s">
        <v>857</v>
      </c>
      <c r="N763" s="0" t="s">
        <v>1804</v>
      </c>
      <c r="O763" s="0" t="n">
        <v>1</v>
      </c>
      <c r="P763" s="0" t="s">
        <v>253</v>
      </c>
      <c r="R763" s="3"/>
      <c r="S763" s="2" t="s">
        <v>28</v>
      </c>
    </row>
    <row r="764" customFormat="false" ht="15" hidden="false" customHeight="false" outlineLevel="0" collapsed="false">
      <c r="A764" s="0" t="n">
        <v>763</v>
      </c>
      <c r="D764" s="0" t="s">
        <v>1805</v>
      </c>
      <c r="E764" s="0" t="s">
        <v>253</v>
      </c>
      <c r="H764" s="0" t="s">
        <v>21</v>
      </c>
      <c r="I764" s="2" t="s">
        <v>22</v>
      </c>
      <c r="J764" s="2" t="s">
        <v>854</v>
      </c>
      <c r="K764" s="0" t="s">
        <v>855</v>
      </c>
      <c r="L764" s="0" t="s">
        <v>25</v>
      </c>
      <c r="M764" s="0" t="s">
        <v>857</v>
      </c>
      <c r="N764" s="0" t="s">
        <v>1806</v>
      </c>
      <c r="O764" s="0" t="n">
        <v>1</v>
      </c>
      <c r="P764" s="0" t="s">
        <v>253</v>
      </c>
      <c r="R764" s="3"/>
      <c r="S764" s="2" t="s">
        <v>28</v>
      </c>
    </row>
    <row r="765" customFormat="false" ht="15" hidden="false" customHeight="false" outlineLevel="0" collapsed="false">
      <c r="A765" s="0" t="n">
        <v>764</v>
      </c>
      <c r="D765" s="0" t="s">
        <v>1807</v>
      </c>
      <c r="E765" s="0" t="s">
        <v>173</v>
      </c>
      <c r="H765" s="0" t="s">
        <v>21</v>
      </c>
      <c r="I765" s="2" t="s">
        <v>22</v>
      </c>
      <c r="J765" s="2" t="s">
        <v>854</v>
      </c>
      <c r="K765" s="0" t="s">
        <v>855</v>
      </c>
      <c r="L765" s="0" t="s">
        <v>1808</v>
      </c>
      <c r="M765" s="0" t="s">
        <v>857</v>
      </c>
      <c r="N765" s="0" t="s">
        <v>1809</v>
      </c>
      <c r="O765" s="0" t="n">
        <v>1</v>
      </c>
      <c r="P765" s="0" t="s">
        <v>173</v>
      </c>
      <c r="Q765" s="0" t="s">
        <v>1810</v>
      </c>
      <c r="R765" s="3"/>
      <c r="S765" s="2" t="s">
        <v>1811</v>
      </c>
    </row>
    <row r="766" customFormat="false" ht="15" hidden="false" customHeight="false" outlineLevel="0" collapsed="false">
      <c r="A766" s="0" t="n">
        <v>765</v>
      </c>
      <c r="D766" s="0" t="s">
        <v>1812</v>
      </c>
      <c r="E766" s="0" t="s">
        <v>253</v>
      </c>
      <c r="H766" s="0" t="s">
        <v>21</v>
      </c>
      <c r="I766" s="2" t="s">
        <v>22</v>
      </c>
      <c r="J766" s="2" t="s">
        <v>854</v>
      </c>
      <c r="K766" s="0" t="s">
        <v>855</v>
      </c>
      <c r="L766" s="0" t="s">
        <v>1813</v>
      </c>
      <c r="M766" s="0" t="s">
        <v>857</v>
      </c>
      <c r="N766" s="0" t="s">
        <v>1814</v>
      </c>
      <c r="O766" s="0" t="n">
        <v>1</v>
      </c>
      <c r="P766" s="0" t="s">
        <v>253</v>
      </c>
      <c r="Q766" s="0" t="s">
        <v>1815</v>
      </c>
      <c r="R766" s="3"/>
      <c r="S766" s="2" t="s">
        <v>1816</v>
      </c>
    </row>
    <row r="767" customFormat="false" ht="15" hidden="false" customHeight="false" outlineLevel="0" collapsed="false">
      <c r="A767" s="0" t="n">
        <v>766</v>
      </c>
      <c r="D767" s="0" t="s">
        <v>1817</v>
      </c>
      <c r="E767" s="0" t="s">
        <v>253</v>
      </c>
      <c r="H767" s="0" t="s">
        <v>21</v>
      </c>
      <c r="I767" s="2" t="s">
        <v>22</v>
      </c>
      <c r="J767" s="2" t="s">
        <v>854</v>
      </c>
      <c r="K767" s="0" t="s">
        <v>855</v>
      </c>
      <c r="L767" s="0" t="s">
        <v>25</v>
      </c>
      <c r="M767" s="0" t="s">
        <v>857</v>
      </c>
      <c r="N767" s="0" t="s">
        <v>1818</v>
      </c>
      <c r="O767" s="0" t="n">
        <v>1</v>
      </c>
      <c r="P767" s="0" t="s">
        <v>253</v>
      </c>
      <c r="R767" s="3"/>
      <c r="S767" s="2" t="s">
        <v>28</v>
      </c>
    </row>
    <row r="768" customFormat="false" ht="15" hidden="false" customHeight="false" outlineLevel="0" collapsed="false">
      <c r="A768" s="0" t="n">
        <v>767</v>
      </c>
      <c r="D768" s="0" t="s">
        <v>1819</v>
      </c>
      <c r="E768" s="0" t="s">
        <v>253</v>
      </c>
      <c r="H768" s="0" t="s">
        <v>21</v>
      </c>
      <c r="I768" s="2" t="s">
        <v>22</v>
      </c>
      <c r="J768" s="2" t="s">
        <v>854</v>
      </c>
      <c r="K768" s="0" t="s">
        <v>855</v>
      </c>
      <c r="L768" s="0" t="s">
        <v>25</v>
      </c>
      <c r="M768" s="0" t="s">
        <v>857</v>
      </c>
      <c r="N768" s="0" t="s">
        <v>1820</v>
      </c>
      <c r="O768" s="0" t="n">
        <v>1</v>
      </c>
      <c r="P768" s="0" t="s">
        <v>253</v>
      </c>
      <c r="R768" s="3"/>
      <c r="S768" s="2" t="s">
        <v>28</v>
      </c>
    </row>
    <row r="769" customFormat="false" ht="15" hidden="false" customHeight="false" outlineLevel="0" collapsed="false">
      <c r="A769" s="0" t="n">
        <v>768</v>
      </c>
      <c r="D769" s="0" t="s">
        <v>1821</v>
      </c>
      <c r="E769" s="0" t="s">
        <v>210</v>
      </c>
      <c r="H769" s="0" t="s">
        <v>21</v>
      </c>
      <c r="I769" s="2" t="s">
        <v>22</v>
      </c>
      <c r="J769" s="2" t="s">
        <v>854</v>
      </c>
      <c r="K769" s="0" t="s">
        <v>855</v>
      </c>
      <c r="L769" s="0" t="s">
        <v>25</v>
      </c>
      <c r="M769" s="0" t="s">
        <v>857</v>
      </c>
      <c r="N769" s="0" t="s">
        <v>1822</v>
      </c>
      <c r="O769" s="0" t="n">
        <v>1</v>
      </c>
      <c r="P769" s="0" t="s">
        <v>210</v>
      </c>
      <c r="R769" s="3"/>
      <c r="S769" s="2" t="s">
        <v>28</v>
      </c>
    </row>
    <row r="770" customFormat="false" ht="15" hidden="false" customHeight="false" outlineLevel="0" collapsed="false">
      <c r="A770" s="0" t="n">
        <v>769</v>
      </c>
      <c r="D770" s="0" t="s">
        <v>1823</v>
      </c>
      <c r="E770" s="0" t="s">
        <v>20</v>
      </c>
      <c r="H770" s="0" t="s">
        <v>21</v>
      </c>
      <c r="I770" s="2" t="s">
        <v>22</v>
      </c>
      <c r="J770" s="2" t="s">
        <v>854</v>
      </c>
      <c r="K770" s="0" t="s">
        <v>855</v>
      </c>
      <c r="L770" s="0" t="s">
        <v>25</v>
      </c>
      <c r="M770" s="0" t="s">
        <v>857</v>
      </c>
      <c r="N770" s="0" t="s">
        <v>1824</v>
      </c>
      <c r="O770" s="0" t="n">
        <v>1</v>
      </c>
      <c r="R770" s="3"/>
      <c r="S770" s="2" t="s">
        <v>28</v>
      </c>
    </row>
    <row r="771" customFormat="false" ht="15" hidden="false" customHeight="false" outlineLevel="0" collapsed="false">
      <c r="A771" s="0" t="n">
        <v>770</v>
      </c>
      <c r="D771" s="0" t="s">
        <v>1825</v>
      </c>
      <c r="E771" s="0" t="s">
        <v>20</v>
      </c>
      <c r="H771" s="0" t="s">
        <v>21</v>
      </c>
      <c r="I771" s="2" t="s">
        <v>22</v>
      </c>
      <c r="J771" s="2" t="s">
        <v>854</v>
      </c>
      <c r="K771" s="0" t="s">
        <v>855</v>
      </c>
      <c r="L771" s="0" t="s">
        <v>25</v>
      </c>
      <c r="M771" s="0" t="s">
        <v>857</v>
      </c>
      <c r="N771" s="0" t="s">
        <v>1826</v>
      </c>
      <c r="O771" s="0" t="n">
        <v>1</v>
      </c>
      <c r="P771" s="0" t="s">
        <v>43</v>
      </c>
      <c r="R771" s="3"/>
      <c r="S771" s="2" t="s">
        <v>28</v>
      </c>
    </row>
    <row r="772" customFormat="false" ht="15" hidden="false" customHeight="false" outlineLevel="0" collapsed="false">
      <c r="A772" s="0" t="n">
        <v>771</v>
      </c>
      <c r="D772" s="0" t="s">
        <v>1827</v>
      </c>
      <c r="E772" s="0" t="s">
        <v>20</v>
      </c>
      <c r="H772" s="0" t="s">
        <v>21</v>
      </c>
      <c r="I772" s="2" t="s">
        <v>22</v>
      </c>
      <c r="J772" s="2" t="s">
        <v>854</v>
      </c>
      <c r="K772" s="0" t="s">
        <v>855</v>
      </c>
      <c r="L772" s="0" t="s">
        <v>25</v>
      </c>
      <c r="M772" s="0" t="s">
        <v>857</v>
      </c>
      <c r="N772" s="0" t="s">
        <v>1828</v>
      </c>
      <c r="O772" s="0" t="n">
        <v>1</v>
      </c>
      <c r="R772" s="3"/>
      <c r="S772" s="2" t="s">
        <v>28</v>
      </c>
    </row>
    <row r="773" customFormat="false" ht="15" hidden="false" customHeight="false" outlineLevel="0" collapsed="false">
      <c r="A773" s="0" t="n">
        <v>772</v>
      </c>
      <c r="D773" s="0" t="s">
        <v>1829</v>
      </c>
      <c r="E773" s="0" t="s">
        <v>376</v>
      </c>
      <c r="H773" s="0" t="s">
        <v>21</v>
      </c>
      <c r="I773" s="2" t="s">
        <v>22</v>
      </c>
      <c r="J773" s="2" t="s">
        <v>854</v>
      </c>
      <c r="K773" s="0" t="s">
        <v>855</v>
      </c>
      <c r="L773" s="0" t="s">
        <v>25</v>
      </c>
      <c r="M773" s="0" t="s">
        <v>857</v>
      </c>
      <c r="N773" s="0" t="s">
        <v>1830</v>
      </c>
      <c r="O773" s="0" t="n">
        <v>1</v>
      </c>
      <c r="P773" s="0" t="s">
        <v>376</v>
      </c>
      <c r="R773" s="3"/>
      <c r="S773" s="2" t="s">
        <v>28</v>
      </c>
    </row>
    <row r="774" customFormat="false" ht="15" hidden="false" customHeight="false" outlineLevel="0" collapsed="false">
      <c r="A774" s="0" t="n">
        <v>773</v>
      </c>
      <c r="D774" s="0" t="s">
        <v>1831</v>
      </c>
      <c r="E774" s="0" t="s">
        <v>20</v>
      </c>
      <c r="H774" s="0" t="s">
        <v>21</v>
      </c>
      <c r="I774" s="2" t="s">
        <v>22</v>
      </c>
      <c r="J774" s="2" t="s">
        <v>854</v>
      </c>
      <c r="K774" s="0" t="s">
        <v>855</v>
      </c>
      <c r="L774" s="0" t="s">
        <v>25</v>
      </c>
      <c r="M774" s="0" t="s">
        <v>857</v>
      </c>
      <c r="N774" s="0" t="s">
        <v>1832</v>
      </c>
      <c r="O774" s="0" t="n">
        <v>1</v>
      </c>
      <c r="R774" s="3"/>
      <c r="S774" s="2" t="s">
        <v>28</v>
      </c>
    </row>
    <row r="775" customFormat="false" ht="15" hidden="false" customHeight="false" outlineLevel="0" collapsed="false">
      <c r="A775" s="0" t="n">
        <v>774</v>
      </c>
      <c r="D775" s="0" t="s">
        <v>1833</v>
      </c>
      <c r="E775" s="0" t="s">
        <v>20</v>
      </c>
      <c r="H775" s="0" t="s">
        <v>21</v>
      </c>
      <c r="I775" s="2" t="s">
        <v>22</v>
      </c>
      <c r="J775" s="2" t="s">
        <v>854</v>
      </c>
      <c r="K775" s="0" t="s">
        <v>855</v>
      </c>
      <c r="L775" s="0" t="s">
        <v>25</v>
      </c>
      <c r="M775" s="0" t="s">
        <v>857</v>
      </c>
      <c r="N775" s="0" t="s">
        <v>1834</v>
      </c>
      <c r="O775" s="0" t="n">
        <v>1</v>
      </c>
      <c r="R775" s="3"/>
      <c r="S775" s="2" t="s">
        <v>28</v>
      </c>
    </row>
    <row r="776" customFormat="false" ht="15" hidden="false" customHeight="false" outlineLevel="0" collapsed="false">
      <c r="A776" s="0" t="n">
        <v>775</v>
      </c>
      <c r="D776" s="0" t="s">
        <v>1835</v>
      </c>
      <c r="E776" s="0" t="s">
        <v>20</v>
      </c>
      <c r="H776" s="0" t="s">
        <v>21</v>
      </c>
      <c r="I776" s="2" t="s">
        <v>22</v>
      </c>
      <c r="J776" s="2" t="s">
        <v>854</v>
      </c>
      <c r="K776" s="0" t="s">
        <v>855</v>
      </c>
      <c r="L776" s="0" t="s">
        <v>25</v>
      </c>
      <c r="M776" s="0" t="s">
        <v>857</v>
      </c>
      <c r="N776" s="0" t="s">
        <v>1836</v>
      </c>
      <c r="O776" s="0" t="n">
        <v>1</v>
      </c>
      <c r="R776" s="3"/>
      <c r="S776" s="2" t="s">
        <v>28</v>
      </c>
    </row>
    <row r="777" customFormat="false" ht="15" hidden="false" customHeight="false" outlineLevel="0" collapsed="false">
      <c r="A777" s="0" t="n">
        <v>776</v>
      </c>
      <c r="D777" s="0" t="s">
        <v>1837</v>
      </c>
      <c r="E777" s="0" t="s">
        <v>20</v>
      </c>
      <c r="H777" s="0" t="s">
        <v>21</v>
      </c>
      <c r="I777" s="2" t="s">
        <v>22</v>
      </c>
      <c r="J777" s="2" t="s">
        <v>854</v>
      </c>
      <c r="K777" s="0" t="s">
        <v>855</v>
      </c>
      <c r="L777" s="0" t="s">
        <v>25</v>
      </c>
      <c r="M777" s="0" t="s">
        <v>857</v>
      </c>
      <c r="N777" s="0" t="s">
        <v>1838</v>
      </c>
      <c r="O777" s="0" t="n">
        <v>1</v>
      </c>
      <c r="R777" s="3"/>
      <c r="S777" s="2" t="s">
        <v>28</v>
      </c>
    </row>
    <row r="778" customFormat="false" ht="15" hidden="false" customHeight="false" outlineLevel="0" collapsed="false">
      <c r="A778" s="0" t="n">
        <v>777</v>
      </c>
      <c r="D778" s="0" t="s">
        <v>1839</v>
      </c>
      <c r="E778" s="0" t="s">
        <v>287</v>
      </c>
      <c r="H778" s="0" t="s">
        <v>21</v>
      </c>
      <c r="I778" s="2" t="s">
        <v>22</v>
      </c>
      <c r="J778" s="2" t="s">
        <v>854</v>
      </c>
      <c r="K778" s="0" t="s">
        <v>855</v>
      </c>
      <c r="L778" s="0" t="s">
        <v>25</v>
      </c>
      <c r="M778" s="0" t="s">
        <v>857</v>
      </c>
      <c r="N778" s="0" t="s">
        <v>1840</v>
      </c>
      <c r="O778" s="0" t="n">
        <v>1</v>
      </c>
      <c r="P778" s="0" t="s">
        <v>287</v>
      </c>
      <c r="R778" s="3"/>
      <c r="S778" s="2" t="s">
        <v>28</v>
      </c>
    </row>
    <row r="779" customFormat="false" ht="15" hidden="false" customHeight="false" outlineLevel="0" collapsed="false">
      <c r="A779" s="0" t="n">
        <v>778</v>
      </c>
      <c r="D779" s="0" t="s">
        <v>1841</v>
      </c>
      <c r="E779" s="0" t="s">
        <v>20</v>
      </c>
      <c r="H779" s="0" t="s">
        <v>21</v>
      </c>
      <c r="I779" s="2" t="s">
        <v>22</v>
      </c>
      <c r="J779" s="2" t="s">
        <v>854</v>
      </c>
      <c r="K779" s="0" t="s">
        <v>855</v>
      </c>
      <c r="L779" s="0" t="s">
        <v>25</v>
      </c>
      <c r="M779" s="0" t="s">
        <v>857</v>
      </c>
      <c r="N779" s="0" t="s">
        <v>1842</v>
      </c>
      <c r="O779" s="0" t="n">
        <v>1</v>
      </c>
      <c r="R779" s="3"/>
      <c r="S779" s="2" t="s">
        <v>28</v>
      </c>
    </row>
    <row r="780" customFormat="false" ht="15" hidden="false" customHeight="false" outlineLevel="0" collapsed="false">
      <c r="A780" s="0" t="n">
        <v>779</v>
      </c>
      <c r="D780" s="0" t="s">
        <v>1843</v>
      </c>
      <c r="E780" s="0" t="s">
        <v>20</v>
      </c>
      <c r="H780" s="0" t="s">
        <v>21</v>
      </c>
      <c r="I780" s="2" t="s">
        <v>22</v>
      </c>
      <c r="J780" s="2" t="s">
        <v>854</v>
      </c>
      <c r="K780" s="0" t="s">
        <v>855</v>
      </c>
      <c r="L780" s="0" t="s">
        <v>25</v>
      </c>
      <c r="M780" s="0" t="s">
        <v>857</v>
      </c>
      <c r="N780" s="0" t="s">
        <v>1844</v>
      </c>
      <c r="O780" s="0" t="n">
        <v>1</v>
      </c>
      <c r="R780" s="3"/>
      <c r="S780" s="2" t="s">
        <v>28</v>
      </c>
    </row>
    <row r="781" customFormat="false" ht="15" hidden="false" customHeight="false" outlineLevel="0" collapsed="false">
      <c r="A781" s="0" t="n">
        <v>780</v>
      </c>
      <c r="D781" s="0" t="s">
        <v>1845</v>
      </c>
      <c r="E781" s="0" t="s">
        <v>20</v>
      </c>
      <c r="H781" s="0" t="s">
        <v>21</v>
      </c>
      <c r="I781" s="2" t="s">
        <v>22</v>
      </c>
      <c r="J781" s="2" t="s">
        <v>854</v>
      </c>
      <c r="K781" s="0" t="s">
        <v>855</v>
      </c>
      <c r="L781" s="0" t="s">
        <v>25</v>
      </c>
      <c r="M781" s="0" t="s">
        <v>857</v>
      </c>
      <c r="N781" s="0" t="s">
        <v>1846</v>
      </c>
      <c r="O781" s="0" t="n">
        <v>1</v>
      </c>
      <c r="R781" s="3"/>
      <c r="S781" s="2" t="s">
        <v>28</v>
      </c>
    </row>
    <row r="782" customFormat="false" ht="15" hidden="false" customHeight="false" outlineLevel="0" collapsed="false">
      <c r="A782" s="0" t="n">
        <v>781</v>
      </c>
      <c r="D782" s="0" t="s">
        <v>1847</v>
      </c>
      <c r="E782" s="0" t="s">
        <v>20</v>
      </c>
      <c r="H782" s="0" t="s">
        <v>21</v>
      </c>
      <c r="I782" s="2" t="s">
        <v>22</v>
      </c>
      <c r="J782" s="2" t="s">
        <v>854</v>
      </c>
      <c r="K782" s="0" t="s">
        <v>855</v>
      </c>
      <c r="L782" s="0" t="s">
        <v>25</v>
      </c>
      <c r="M782" s="0" t="s">
        <v>857</v>
      </c>
      <c r="N782" s="0" t="s">
        <v>1848</v>
      </c>
      <c r="O782" s="0" t="n">
        <v>1</v>
      </c>
      <c r="R782" s="3"/>
      <c r="S782" s="2" t="s">
        <v>28</v>
      </c>
    </row>
    <row r="783" customFormat="false" ht="15" hidden="false" customHeight="false" outlineLevel="0" collapsed="false">
      <c r="A783" s="0" t="n">
        <v>782</v>
      </c>
      <c r="D783" s="0" t="s">
        <v>1849</v>
      </c>
      <c r="E783" s="0" t="s">
        <v>20</v>
      </c>
      <c r="H783" s="0" t="s">
        <v>21</v>
      </c>
      <c r="I783" s="2" t="s">
        <v>22</v>
      </c>
      <c r="J783" s="2" t="s">
        <v>854</v>
      </c>
      <c r="K783" s="0" t="s">
        <v>855</v>
      </c>
      <c r="L783" s="0" t="s">
        <v>25</v>
      </c>
      <c r="M783" s="0" t="s">
        <v>857</v>
      </c>
      <c r="N783" s="0" t="s">
        <v>1850</v>
      </c>
      <c r="O783" s="0" t="n">
        <v>1</v>
      </c>
      <c r="R783" s="3"/>
      <c r="S783" s="2" t="s">
        <v>28</v>
      </c>
    </row>
    <row r="784" customFormat="false" ht="15" hidden="false" customHeight="false" outlineLevel="0" collapsed="false">
      <c r="A784" s="0" t="n">
        <v>783</v>
      </c>
      <c r="D784" s="0" t="s">
        <v>1851</v>
      </c>
      <c r="E784" s="0" t="s">
        <v>20</v>
      </c>
      <c r="H784" s="0" t="s">
        <v>21</v>
      </c>
      <c r="I784" s="2" t="s">
        <v>22</v>
      </c>
      <c r="J784" s="2" t="s">
        <v>854</v>
      </c>
      <c r="K784" s="0" t="s">
        <v>855</v>
      </c>
      <c r="L784" s="0" t="s">
        <v>25</v>
      </c>
      <c r="M784" s="0" t="s">
        <v>857</v>
      </c>
      <c r="N784" s="0" t="s">
        <v>1852</v>
      </c>
      <c r="O784" s="0" t="n">
        <v>1</v>
      </c>
      <c r="R784" s="3"/>
      <c r="S784" s="2" t="s">
        <v>28</v>
      </c>
    </row>
    <row r="785" customFormat="false" ht="15" hidden="false" customHeight="false" outlineLevel="0" collapsed="false">
      <c r="A785" s="0" t="n">
        <v>784</v>
      </c>
      <c r="D785" s="0" t="s">
        <v>1853</v>
      </c>
      <c r="E785" s="0" t="s">
        <v>20</v>
      </c>
      <c r="H785" s="0" t="s">
        <v>21</v>
      </c>
      <c r="I785" s="2" t="s">
        <v>22</v>
      </c>
      <c r="J785" s="2" t="s">
        <v>854</v>
      </c>
      <c r="K785" s="0" t="s">
        <v>855</v>
      </c>
      <c r="L785" s="0" t="s">
        <v>204</v>
      </c>
      <c r="M785" s="0" t="s">
        <v>857</v>
      </c>
      <c r="N785" s="0" t="s">
        <v>1854</v>
      </c>
      <c r="O785" s="0" t="n">
        <v>1</v>
      </c>
      <c r="P785" s="0" t="s">
        <v>206</v>
      </c>
      <c r="R785" s="3"/>
      <c r="S785" s="2" t="s">
        <v>28</v>
      </c>
    </row>
    <row r="786" customFormat="false" ht="15" hidden="false" customHeight="false" outlineLevel="0" collapsed="false">
      <c r="A786" s="0" t="n">
        <v>785</v>
      </c>
      <c r="D786" s="0" t="s">
        <v>1855</v>
      </c>
      <c r="E786" s="0" t="s">
        <v>20</v>
      </c>
      <c r="H786" s="0" t="s">
        <v>21</v>
      </c>
      <c r="I786" s="2" t="s">
        <v>22</v>
      </c>
      <c r="J786" s="2" t="s">
        <v>854</v>
      </c>
      <c r="K786" s="0" t="s">
        <v>855</v>
      </c>
      <c r="L786" s="0" t="s">
        <v>25</v>
      </c>
      <c r="M786" s="0" t="s">
        <v>857</v>
      </c>
      <c r="N786" s="0" t="s">
        <v>1856</v>
      </c>
      <c r="O786" s="0" t="n">
        <v>1</v>
      </c>
      <c r="R786" s="3"/>
      <c r="S786" s="2" t="s">
        <v>28</v>
      </c>
    </row>
    <row r="787" customFormat="false" ht="15" hidden="false" customHeight="false" outlineLevel="0" collapsed="false">
      <c r="A787" s="0" t="n">
        <v>786</v>
      </c>
      <c r="D787" s="0" t="s">
        <v>1857</v>
      </c>
      <c r="E787" s="0" t="s">
        <v>253</v>
      </c>
      <c r="H787" s="0" t="s">
        <v>21</v>
      </c>
      <c r="I787" s="2" t="s">
        <v>22</v>
      </c>
      <c r="J787" s="2" t="s">
        <v>854</v>
      </c>
      <c r="K787" s="0" t="s">
        <v>855</v>
      </c>
      <c r="L787" s="0" t="s">
        <v>25</v>
      </c>
      <c r="M787" s="0" t="s">
        <v>857</v>
      </c>
      <c r="N787" s="0" t="s">
        <v>1858</v>
      </c>
      <c r="O787" s="0" t="n">
        <v>1</v>
      </c>
      <c r="P787" s="0" t="s">
        <v>253</v>
      </c>
      <c r="R787" s="3"/>
      <c r="S787" s="2" t="s">
        <v>28</v>
      </c>
    </row>
    <row r="788" customFormat="false" ht="15" hidden="false" customHeight="false" outlineLevel="0" collapsed="false">
      <c r="A788" s="0" t="n">
        <v>787</v>
      </c>
      <c r="D788" s="0" t="s">
        <v>1859</v>
      </c>
      <c r="E788" s="0" t="s">
        <v>20</v>
      </c>
      <c r="H788" s="0" t="s">
        <v>21</v>
      </c>
      <c r="I788" s="2" t="s">
        <v>22</v>
      </c>
      <c r="J788" s="2" t="s">
        <v>854</v>
      </c>
      <c r="K788" s="0" t="s">
        <v>855</v>
      </c>
      <c r="L788" s="0" t="s">
        <v>25</v>
      </c>
      <c r="M788" s="0" t="s">
        <v>857</v>
      </c>
      <c r="N788" s="0" t="s">
        <v>1860</v>
      </c>
      <c r="O788" s="0" t="n">
        <v>1</v>
      </c>
      <c r="R788" s="3"/>
      <c r="S788" s="2" t="s">
        <v>28</v>
      </c>
    </row>
    <row r="789" customFormat="false" ht="15" hidden="false" customHeight="false" outlineLevel="0" collapsed="false">
      <c r="A789" s="0" t="n">
        <v>788</v>
      </c>
      <c r="D789" s="0" t="s">
        <v>1861</v>
      </c>
      <c r="E789" s="0" t="s">
        <v>20</v>
      </c>
      <c r="H789" s="0" t="s">
        <v>21</v>
      </c>
      <c r="I789" s="2" t="s">
        <v>22</v>
      </c>
      <c r="J789" s="2" t="s">
        <v>854</v>
      </c>
      <c r="K789" s="0" t="s">
        <v>855</v>
      </c>
      <c r="L789" s="0" t="s">
        <v>25</v>
      </c>
      <c r="M789" s="0" t="s">
        <v>857</v>
      </c>
      <c r="N789" s="0" t="s">
        <v>1862</v>
      </c>
      <c r="O789" s="0" t="n">
        <v>1</v>
      </c>
      <c r="R789" s="3"/>
      <c r="S789" s="2" t="s">
        <v>28</v>
      </c>
    </row>
    <row r="790" customFormat="false" ht="15" hidden="false" customHeight="false" outlineLevel="0" collapsed="false">
      <c r="A790" s="0" t="n">
        <v>789</v>
      </c>
      <c r="D790" s="0" t="s">
        <v>1863</v>
      </c>
      <c r="E790" s="0" t="s">
        <v>20</v>
      </c>
      <c r="H790" s="0" t="s">
        <v>21</v>
      </c>
      <c r="I790" s="2" t="s">
        <v>22</v>
      </c>
      <c r="J790" s="2" t="s">
        <v>854</v>
      </c>
      <c r="K790" s="0" t="s">
        <v>855</v>
      </c>
      <c r="L790" s="0" t="s">
        <v>25</v>
      </c>
      <c r="M790" s="0" t="s">
        <v>857</v>
      </c>
      <c r="N790" s="0" t="s">
        <v>1864</v>
      </c>
      <c r="O790" s="0" t="n">
        <v>1</v>
      </c>
      <c r="R790" s="3"/>
      <c r="S790" s="2" t="s">
        <v>28</v>
      </c>
    </row>
    <row r="791" customFormat="false" ht="15" hidden="false" customHeight="false" outlineLevel="0" collapsed="false">
      <c r="A791" s="0" t="n">
        <v>790</v>
      </c>
      <c r="D791" s="0" t="s">
        <v>1865</v>
      </c>
      <c r="E791" s="0" t="s">
        <v>20</v>
      </c>
      <c r="H791" s="0" t="s">
        <v>21</v>
      </c>
      <c r="I791" s="2" t="s">
        <v>22</v>
      </c>
      <c r="J791" s="2" t="s">
        <v>854</v>
      </c>
      <c r="K791" s="0" t="s">
        <v>855</v>
      </c>
      <c r="L791" s="0" t="s">
        <v>25</v>
      </c>
      <c r="M791" s="0" t="s">
        <v>857</v>
      </c>
      <c r="N791" s="0" t="s">
        <v>1866</v>
      </c>
      <c r="O791" s="0" t="n">
        <v>1</v>
      </c>
      <c r="R791" s="3"/>
      <c r="S791" s="2" t="s">
        <v>28</v>
      </c>
    </row>
    <row r="792" customFormat="false" ht="15" hidden="false" customHeight="false" outlineLevel="0" collapsed="false">
      <c r="A792" s="0" t="n">
        <v>791</v>
      </c>
      <c r="D792" s="0" t="s">
        <v>1867</v>
      </c>
      <c r="E792" s="0" t="s">
        <v>73</v>
      </c>
      <c r="H792" s="0" t="s">
        <v>21</v>
      </c>
      <c r="I792" s="2" t="s">
        <v>22</v>
      </c>
      <c r="J792" s="2" t="s">
        <v>854</v>
      </c>
      <c r="K792" s="0" t="s">
        <v>855</v>
      </c>
      <c r="L792" s="0" t="s">
        <v>25</v>
      </c>
      <c r="M792" s="0" t="s">
        <v>857</v>
      </c>
      <c r="N792" s="0" t="s">
        <v>1868</v>
      </c>
      <c r="O792" s="0" t="n">
        <v>1</v>
      </c>
      <c r="P792" s="0" t="s">
        <v>73</v>
      </c>
      <c r="R792" s="3"/>
      <c r="S792" s="2" t="s">
        <v>28</v>
      </c>
    </row>
    <row r="793" customFormat="false" ht="15" hidden="false" customHeight="false" outlineLevel="0" collapsed="false">
      <c r="A793" s="0" t="n">
        <v>792</v>
      </c>
      <c r="D793" s="0" t="s">
        <v>1869</v>
      </c>
      <c r="E793" s="0" t="s">
        <v>20</v>
      </c>
      <c r="H793" s="0" t="s">
        <v>21</v>
      </c>
      <c r="I793" s="2" t="s">
        <v>22</v>
      </c>
      <c r="J793" s="2" t="s">
        <v>854</v>
      </c>
      <c r="K793" s="0" t="s">
        <v>855</v>
      </c>
      <c r="L793" s="0" t="s">
        <v>420</v>
      </c>
      <c r="M793" s="0" t="s">
        <v>857</v>
      </c>
      <c r="N793" s="0" t="s">
        <v>1870</v>
      </c>
      <c r="O793" s="0" t="n">
        <v>1</v>
      </c>
      <c r="P793" s="0" t="s">
        <v>422</v>
      </c>
      <c r="R793" s="3"/>
      <c r="S793" s="2" t="s">
        <v>28</v>
      </c>
    </row>
    <row r="794" customFormat="false" ht="15" hidden="false" customHeight="false" outlineLevel="0" collapsed="false">
      <c r="A794" s="0" t="n">
        <v>793</v>
      </c>
      <c r="D794" s="0" t="s">
        <v>1871</v>
      </c>
      <c r="E794" s="0" t="s">
        <v>20</v>
      </c>
      <c r="H794" s="0" t="s">
        <v>21</v>
      </c>
      <c r="I794" s="2" t="s">
        <v>22</v>
      </c>
      <c r="J794" s="2" t="s">
        <v>854</v>
      </c>
      <c r="K794" s="0" t="s">
        <v>855</v>
      </c>
      <c r="L794" s="0" t="s">
        <v>25</v>
      </c>
      <c r="M794" s="0" t="s">
        <v>857</v>
      </c>
      <c r="N794" s="0" t="s">
        <v>1872</v>
      </c>
      <c r="O794" s="0" t="n">
        <v>1</v>
      </c>
      <c r="R794" s="3"/>
      <c r="S794" s="2" t="s">
        <v>28</v>
      </c>
    </row>
    <row r="795" customFormat="false" ht="15" hidden="false" customHeight="false" outlineLevel="0" collapsed="false">
      <c r="A795" s="0" t="n">
        <v>794</v>
      </c>
      <c r="D795" s="0" t="s">
        <v>1873</v>
      </c>
      <c r="E795" s="0" t="s">
        <v>20</v>
      </c>
      <c r="H795" s="0" t="s">
        <v>21</v>
      </c>
      <c r="I795" s="2" t="s">
        <v>22</v>
      </c>
      <c r="J795" s="2" t="s">
        <v>854</v>
      </c>
      <c r="K795" s="0" t="s">
        <v>855</v>
      </c>
      <c r="L795" s="0" t="s">
        <v>25</v>
      </c>
      <c r="M795" s="0" t="s">
        <v>857</v>
      </c>
      <c r="N795" s="0" t="s">
        <v>1874</v>
      </c>
      <c r="O795" s="0" t="n">
        <v>1</v>
      </c>
      <c r="R795" s="3"/>
      <c r="S795" s="2" t="s">
        <v>28</v>
      </c>
    </row>
    <row r="796" customFormat="false" ht="15" hidden="false" customHeight="false" outlineLevel="0" collapsed="false">
      <c r="A796" s="0" t="n">
        <v>795</v>
      </c>
      <c r="D796" s="0" t="s">
        <v>1875</v>
      </c>
      <c r="E796" s="0" t="s">
        <v>387</v>
      </c>
      <c r="H796" s="0" t="s">
        <v>21</v>
      </c>
      <c r="I796" s="2" t="s">
        <v>22</v>
      </c>
      <c r="J796" s="2" t="s">
        <v>854</v>
      </c>
      <c r="K796" s="0" t="s">
        <v>855</v>
      </c>
      <c r="L796" s="0" t="s">
        <v>25</v>
      </c>
      <c r="M796" s="0" t="s">
        <v>857</v>
      </c>
      <c r="N796" s="0" t="s">
        <v>1876</v>
      </c>
      <c r="O796" s="0" t="n">
        <v>1</v>
      </c>
      <c r="P796" s="0" t="s">
        <v>387</v>
      </c>
      <c r="R796" s="3"/>
      <c r="S796" s="2" t="s">
        <v>28</v>
      </c>
    </row>
    <row r="797" customFormat="false" ht="15" hidden="false" customHeight="false" outlineLevel="0" collapsed="false">
      <c r="A797" s="0" t="n">
        <v>796</v>
      </c>
      <c r="D797" s="0" t="s">
        <v>1877</v>
      </c>
      <c r="E797" s="0" t="s">
        <v>20</v>
      </c>
      <c r="H797" s="0" t="s">
        <v>21</v>
      </c>
      <c r="I797" s="2" t="s">
        <v>22</v>
      </c>
      <c r="J797" s="2" t="s">
        <v>854</v>
      </c>
      <c r="K797" s="0" t="s">
        <v>855</v>
      </c>
      <c r="L797" s="0" t="s">
        <v>25</v>
      </c>
      <c r="M797" s="0" t="s">
        <v>857</v>
      </c>
      <c r="N797" s="0" t="s">
        <v>1878</v>
      </c>
      <c r="O797" s="0" t="n">
        <v>1</v>
      </c>
      <c r="R797" s="3"/>
      <c r="S797" s="2" t="s">
        <v>28</v>
      </c>
    </row>
    <row r="798" customFormat="false" ht="15" hidden="false" customHeight="false" outlineLevel="0" collapsed="false">
      <c r="A798" s="0" t="n">
        <v>797</v>
      </c>
      <c r="D798" s="0" t="s">
        <v>1879</v>
      </c>
      <c r="E798" s="0" t="s">
        <v>173</v>
      </c>
      <c r="H798" s="0" t="s">
        <v>21</v>
      </c>
      <c r="I798" s="2" t="s">
        <v>22</v>
      </c>
      <c r="J798" s="2" t="s">
        <v>854</v>
      </c>
      <c r="K798" s="0" t="s">
        <v>855</v>
      </c>
      <c r="L798" s="0" t="s">
        <v>25</v>
      </c>
      <c r="M798" s="0" t="s">
        <v>857</v>
      </c>
      <c r="N798" s="0" t="s">
        <v>1880</v>
      </c>
      <c r="O798" s="0" t="n">
        <v>1</v>
      </c>
      <c r="P798" s="0" t="s">
        <v>173</v>
      </c>
      <c r="R798" s="3"/>
      <c r="S798" s="2" t="s">
        <v>28</v>
      </c>
    </row>
    <row r="799" customFormat="false" ht="15" hidden="false" customHeight="false" outlineLevel="0" collapsed="false">
      <c r="A799" s="0" t="n">
        <v>798</v>
      </c>
      <c r="D799" s="0" t="s">
        <v>1881</v>
      </c>
      <c r="E799" s="0" t="s">
        <v>20</v>
      </c>
      <c r="H799" s="0" t="s">
        <v>21</v>
      </c>
      <c r="I799" s="2" t="s">
        <v>22</v>
      </c>
      <c r="J799" s="2" t="s">
        <v>854</v>
      </c>
      <c r="K799" s="0" t="s">
        <v>855</v>
      </c>
      <c r="L799" s="0" t="s">
        <v>25</v>
      </c>
      <c r="M799" s="0" t="s">
        <v>857</v>
      </c>
      <c r="N799" s="0" t="s">
        <v>1882</v>
      </c>
      <c r="O799" s="0" t="n">
        <v>1</v>
      </c>
      <c r="R799" s="3"/>
      <c r="S799" s="2" t="s">
        <v>28</v>
      </c>
    </row>
    <row r="800" customFormat="false" ht="15" hidden="false" customHeight="false" outlineLevel="0" collapsed="false">
      <c r="A800" s="0" t="n">
        <v>799</v>
      </c>
      <c r="D800" s="0" t="s">
        <v>1883</v>
      </c>
      <c r="E800" s="0" t="s">
        <v>268</v>
      </c>
      <c r="H800" s="0" t="s">
        <v>21</v>
      </c>
      <c r="I800" s="2" t="s">
        <v>22</v>
      </c>
      <c r="J800" s="2" t="s">
        <v>854</v>
      </c>
      <c r="K800" s="0" t="s">
        <v>855</v>
      </c>
      <c r="L800" s="0" t="s">
        <v>25</v>
      </c>
      <c r="M800" s="0" t="s">
        <v>857</v>
      </c>
      <c r="N800" s="0" t="s">
        <v>1884</v>
      </c>
      <c r="O800" s="0" t="n">
        <v>1</v>
      </c>
      <c r="P800" s="0" t="s">
        <v>268</v>
      </c>
      <c r="R800" s="3"/>
      <c r="S800" s="2" t="s">
        <v>28</v>
      </c>
    </row>
    <row r="801" customFormat="false" ht="15" hidden="false" customHeight="false" outlineLevel="0" collapsed="false">
      <c r="A801" s="0" t="n">
        <v>800</v>
      </c>
      <c r="D801" s="0" t="s">
        <v>1885</v>
      </c>
      <c r="E801" s="0" t="s">
        <v>20</v>
      </c>
      <c r="H801" s="0" t="s">
        <v>21</v>
      </c>
      <c r="I801" s="2" t="s">
        <v>22</v>
      </c>
      <c r="J801" s="2" t="s">
        <v>854</v>
      </c>
      <c r="K801" s="0" t="s">
        <v>855</v>
      </c>
      <c r="L801" s="0" t="s">
        <v>25</v>
      </c>
      <c r="M801" s="0" t="s">
        <v>857</v>
      </c>
      <c r="N801" s="0" t="s">
        <v>1886</v>
      </c>
      <c r="O801" s="0" t="n">
        <v>1</v>
      </c>
      <c r="R801" s="3"/>
      <c r="S801" s="2" t="s">
        <v>28</v>
      </c>
    </row>
    <row r="802" customFormat="false" ht="15" hidden="false" customHeight="false" outlineLevel="0" collapsed="false">
      <c r="A802" s="0" t="n">
        <v>801</v>
      </c>
      <c r="D802" s="0" t="s">
        <v>1887</v>
      </c>
      <c r="E802" s="0" t="s">
        <v>20</v>
      </c>
      <c r="H802" s="0" t="s">
        <v>21</v>
      </c>
      <c r="I802" s="2" t="s">
        <v>22</v>
      </c>
      <c r="J802" s="2" t="s">
        <v>854</v>
      </c>
      <c r="K802" s="0" t="s">
        <v>855</v>
      </c>
      <c r="L802" s="0" t="s">
        <v>25</v>
      </c>
      <c r="M802" s="0" t="s">
        <v>857</v>
      </c>
      <c r="N802" s="0" t="s">
        <v>1888</v>
      </c>
      <c r="O802" s="0" t="n">
        <v>1</v>
      </c>
      <c r="R802" s="3"/>
      <c r="S802" s="2" t="s">
        <v>28</v>
      </c>
    </row>
    <row r="803" customFormat="false" ht="15" hidden="false" customHeight="false" outlineLevel="0" collapsed="false">
      <c r="A803" s="0" t="n">
        <v>802</v>
      </c>
      <c r="D803" s="0" t="s">
        <v>1889</v>
      </c>
      <c r="E803" s="0" t="s">
        <v>20</v>
      </c>
      <c r="H803" s="0" t="s">
        <v>21</v>
      </c>
      <c r="I803" s="2" t="s">
        <v>22</v>
      </c>
      <c r="J803" s="2" t="s">
        <v>854</v>
      </c>
      <c r="K803" s="0" t="s">
        <v>855</v>
      </c>
      <c r="L803" s="0" t="s">
        <v>25</v>
      </c>
      <c r="M803" s="0" t="s">
        <v>857</v>
      </c>
      <c r="N803" s="0" t="s">
        <v>1890</v>
      </c>
      <c r="O803" s="0" t="n">
        <v>1</v>
      </c>
      <c r="R803" s="3"/>
      <c r="S803" s="2" t="s">
        <v>28</v>
      </c>
    </row>
    <row r="804" customFormat="false" ht="15" hidden="false" customHeight="false" outlineLevel="0" collapsed="false">
      <c r="A804" s="0" t="n">
        <v>803</v>
      </c>
      <c r="D804" s="0" t="s">
        <v>1891</v>
      </c>
      <c r="E804" s="0" t="s">
        <v>20</v>
      </c>
      <c r="H804" s="0" t="s">
        <v>21</v>
      </c>
      <c r="I804" s="2" t="s">
        <v>22</v>
      </c>
      <c r="J804" s="2" t="s">
        <v>854</v>
      </c>
      <c r="K804" s="0" t="s">
        <v>855</v>
      </c>
      <c r="L804" s="0" t="s">
        <v>25</v>
      </c>
      <c r="M804" s="0" t="s">
        <v>857</v>
      </c>
      <c r="N804" s="0" t="s">
        <v>1892</v>
      </c>
      <c r="O804" s="0" t="n">
        <v>1</v>
      </c>
      <c r="R804" s="3"/>
      <c r="S804" s="2" t="s">
        <v>28</v>
      </c>
    </row>
    <row r="805" customFormat="false" ht="15" hidden="false" customHeight="false" outlineLevel="0" collapsed="false">
      <c r="A805" s="0" t="n">
        <v>804</v>
      </c>
      <c r="D805" s="0" t="s">
        <v>1893</v>
      </c>
      <c r="E805" s="0" t="s">
        <v>829</v>
      </c>
      <c r="H805" s="0" t="s">
        <v>21</v>
      </c>
      <c r="I805" s="2" t="s">
        <v>22</v>
      </c>
      <c r="J805" s="2" t="s">
        <v>854</v>
      </c>
      <c r="K805" s="0" t="s">
        <v>855</v>
      </c>
      <c r="L805" s="0" t="s">
        <v>25</v>
      </c>
      <c r="M805" s="0" t="s">
        <v>857</v>
      </c>
      <c r="N805" s="0" t="s">
        <v>1894</v>
      </c>
      <c r="O805" s="0" t="n">
        <v>1</v>
      </c>
      <c r="P805" s="0" t="s">
        <v>829</v>
      </c>
      <c r="R805" s="3"/>
      <c r="S805" s="2" t="s">
        <v>28</v>
      </c>
    </row>
    <row r="806" customFormat="false" ht="15" hidden="false" customHeight="false" outlineLevel="0" collapsed="false">
      <c r="A806" s="0" t="n">
        <v>805</v>
      </c>
      <c r="D806" s="0" t="s">
        <v>1895</v>
      </c>
      <c r="E806" s="0" t="s">
        <v>20</v>
      </c>
      <c r="H806" s="0" t="s">
        <v>21</v>
      </c>
      <c r="I806" s="2" t="s">
        <v>22</v>
      </c>
      <c r="J806" s="2" t="s">
        <v>854</v>
      </c>
      <c r="K806" s="0" t="s">
        <v>855</v>
      </c>
      <c r="L806" s="0" t="s">
        <v>204</v>
      </c>
      <c r="M806" s="0" t="s">
        <v>857</v>
      </c>
      <c r="N806" s="0" t="s">
        <v>1896</v>
      </c>
      <c r="O806" s="0" t="n">
        <v>1</v>
      </c>
      <c r="P806" s="0" t="s">
        <v>206</v>
      </c>
      <c r="R806" s="3"/>
      <c r="S806" s="2" t="s">
        <v>28</v>
      </c>
    </row>
    <row r="807" customFormat="false" ht="15" hidden="false" customHeight="false" outlineLevel="0" collapsed="false">
      <c r="A807" s="0" t="n">
        <v>806</v>
      </c>
      <c r="D807" s="0" t="s">
        <v>1897</v>
      </c>
      <c r="E807" s="0" t="s">
        <v>20</v>
      </c>
      <c r="H807" s="0" t="s">
        <v>21</v>
      </c>
      <c r="I807" s="2" t="s">
        <v>22</v>
      </c>
      <c r="J807" s="2" t="s">
        <v>854</v>
      </c>
      <c r="K807" s="0" t="s">
        <v>855</v>
      </c>
      <c r="L807" s="0" t="s">
        <v>25</v>
      </c>
      <c r="M807" s="0" t="s">
        <v>857</v>
      </c>
      <c r="N807" s="0" t="s">
        <v>1898</v>
      </c>
      <c r="O807" s="0" t="n">
        <v>1</v>
      </c>
      <c r="R807" s="3"/>
      <c r="S807" s="2" t="s">
        <v>28</v>
      </c>
    </row>
    <row r="808" customFormat="false" ht="15" hidden="false" customHeight="false" outlineLevel="0" collapsed="false">
      <c r="A808" s="0" t="n">
        <v>807</v>
      </c>
      <c r="D808" s="0" t="s">
        <v>1899</v>
      </c>
      <c r="E808" s="0" t="s">
        <v>20</v>
      </c>
      <c r="H808" s="0" t="s">
        <v>21</v>
      </c>
      <c r="I808" s="2" t="s">
        <v>22</v>
      </c>
      <c r="J808" s="2" t="s">
        <v>854</v>
      </c>
      <c r="K808" s="0" t="s">
        <v>855</v>
      </c>
      <c r="L808" s="0" t="s">
        <v>25</v>
      </c>
      <c r="M808" s="0" t="s">
        <v>857</v>
      </c>
      <c r="N808" s="0" t="s">
        <v>1900</v>
      </c>
      <c r="O808" s="0" t="n">
        <v>1</v>
      </c>
      <c r="R808" s="3"/>
      <c r="S808" s="2" t="s">
        <v>28</v>
      </c>
    </row>
    <row r="809" customFormat="false" ht="15" hidden="false" customHeight="false" outlineLevel="0" collapsed="false">
      <c r="A809" s="0" t="n">
        <v>808</v>
      </c>
      <c r="D809" s="0" t="s">
        <v>1901</v>
      </c>
      <c r="E809" s="0" t="s">
        <v>1539</v>
      </c>
      <c r="H809" s="0" t="s">
        <v>21</v>
      </c>
      <c r="I809" s="2" t="s">
        <v>22</v>
      </c>
      <c r="J809" s="2" t="s">
        <v>854</v>
      </c>
      <c r="K809" s="0" t="s">
        <v>855</v>
      </c>
      <c r="L809" s="0" t="s">
        <v>889</v>
      </c>
      <c r="M809" s="0" t="s">
        <v>857</v>
      </c>
      <c r="N809" s="0" t="s">
        <v>1902</v>
      </c>
      <c r="O809" s="0" t="n">
        <v>1</v>
      </c>
      <c r="R809" s="3"/>
      <c r="S809" s="2" t="s">
        <v>28</v>
      </c>
    </row>
    <row r="810" customFormat="false" ht="15" hidden="false" customHeight="false" outlineLevel="0" collapsed="false">
      <c r="A810" s="0" t="n">
        <v>809</v>
      </c>
      <c r="D810" s="0" t="s">
        <v>1903</v>
      </c>
      <c r="E810" s="0" t="s">
        <v>387</v>
      </c>
      <c r="H810" s="0" t="s">
        <v>21</v>
      </c>
      <c r="I810" s="2" t="s">
        <v>22</v>
      </c>
      <c r="J810" s="2" t="s">
        <v>854</v>
      </c>
      <c r="K810" s="0" t="s">
        <v>855</v>
      </c>
      <c r="L810" s="0" t="s">
        <v>25</v>
      </c>
      <c r="M810" s="0" t="s">
        <v>857</v>
      </c>
      <c r="N810" s="0" t="s">
        <v>1904</v>
      </c>
      <c r="O810" s="0" t="n">
        <v>1</v>
      </c>
      <c r="P810" s="0" t="s">
        <v>387</v>
      </c>
      <c r="R810" s="3"/>
      <c r="S810" s="2" t="s">
        <v>28</v>
      </c>
    </row>
    <row r="811" customFormat="false" ht="15" hidden="false" customHeight="false" outlineLevel="0" collapsed="false">
      <c r="A811" s="0" t="n">
        <v>810</v>
      </c>
      <c r="D811" s="0" t="s">
        <v>1905</v>
      </c>
      <c r="E811" s="0" t="s">
        <v>20</v>
      </c>
      <c r="H811" s="0" t="s">
        <v>21</v>
      </c>
      <c r="I811" s="2" t="s">
        <v>22</v>
      </c>
      <c r="J811" s="2" t="s">
        <v>854</v>
      </c>
      <c r="K811" s="0" t="s">
        <v>855</v>
      </c>
      <c r="L811" s="0" t="s">
        <v>25</v>
      </c>
      <c r="M811" s="0" t="s">
        <v>857</v>
      </c>
      <c r="N811" s="0" t="s">
        <v>1906</v>
      </c>
      <c r="O811" s="0" t="n">
        <v>1</v>
      </c>
      <c r="R811" s="3"/>
      <c r="S811" s="2" t="s">
        <v>28</v>
      </c>
    </row>
    <row r="812" customFormat="false" ht="15" hidden="false" customHeight="false" outlineLevel="0" collapsed="false">
      <c r="A812" s="0" t="n">
        <v>811</v>
      </c>
      <c r="D812" s="0" t="s">
        <v>1907</v>
      </c>
      <c r="E812" s="0" t="s">
        <v>173</v>
      </c>
      <c r="H812" s="0" t="s">
        <v>21</v>
      </c>
      <c r="I812" s="2" t="s">
        <v>22</v>
      </c>
      <c r="J812" s="2" t="s">
        <v>854</v>
      </c>
      <c r="K812" s="0" t="s">
        <v>855</v>
      </c>
      <c r="L812" s="0" t="s">
        <v>25</v>
      </c>
      <c r="M812" s="0" t="s">
        <v>857</v>
      </c>
      <c r="N812" s="0" t="s">
        <v>1908</v>
      </c>
      <c r="O812" s="0" t="n">
        <v>1</v>
      </c>
      <c r="P812" s="0" t="s">
        <v>173</v>
      </c>
      <c r="R812" s="3"/>
      <c r="S812" s="2" t="s">
        <v>28</v>
      </c>
    </row>
    <row r="813" customFormat="false" ht="15" hidden="false" customHeight="false" outlineLevel="0" collapsed="false">
      <c r="A813" s="0" t="n">
        <v>812</v>
      </c>
      <c r="D813" s="0" t="s">
        <v>1909</v>
      </c>
      <c r="E813" s="0" t="s">
        <v>20</v>
      </c>
      <c r="H813" s="0" t="s">
        <v>21</v>
      </c>
      <c r="I813" s="2" t="s">
        <v>22</v>
      </c>
      <c r="J813" s="2" t="s">
        <v>854</v>
      </c>
      <c r="K813" s="0" t="s">
        <v>855</v>
      </c>
      <c r="L813" s="0" t="s">
        <v>420</v>
      </c>
      <c r="M813" s="0" t="s">
        <v>857</v>
      </c>
      <c r="N813" s="0" t="s">
        <v>1910</v>
      </c>
      <c r="O813" s="0" t="n">
        <v>1</v>
      </c>
      <c r="P813" s="0" t="s">
        <v>422</v>
      </c>
      <c r="R813" s="3"/>
      <c r="S813" s="2" t="s">
        <v>28</v>
      </c>
    </row>
    <row r="814" customFormat="false" ht="15" hidden="false" customHeight="false" outlineLevel="0" collapsed="false">
      <c r="A814" s="0" t="n">
        <v>813</v>
      </c>
      <c r="D814" s="0" t="s">
        <v>1911</v>
      </c>
      <c r="E814" s="0" t="s">
        <v>73</v>
      </c>
      <c r="H814" s="0" t="s">
        <v>21</v>
      </c>
      <c r="I814" s="2" t="s">
        <v>22</v>
      </c>
      <c r="J814" s="2" t="s">
        <v>854</v>
      </c>
      <c r="K814" s="0" t="s">
        <v>855</v>
      </c>
      <c r="L814" s="0" t="s">
        <v>25</v>
      </c>
      <c r="M814" s="0" t="s">
        <v>857</v>
      </c>
      <c r="N814" s="0" t="s">
        <v>1912</v>
      </c>
      <c r="O814" s="0" t="n">
        <v>1</v>
      </c>
      <c r="P814" s="0" t="s">
        <v>73</v>
      </c>
      <c r="R814" s="3"/>
      <c r="S814" s="2" t="s">
        <v>28</v>
      </c>
    </row>
    <row r="815" customFormat="false" ht="15" hidden="false" customHeight="false" outlineLevel="0" collapsed="false">
      <c r="A815" s="0" t="n">
        <v>814</v>
      </c>
      <c r="D815" s="0" t="s">
        <v>1913</v>
      </c>
      <c r="E815" s="0" t="s">
        <v>20</v>
      </c>
      <c r="H815" s="0" t="s">
        <v>21</v>
      </c>
      <c r="I815" s="2" t="s">
        <v>22</v>
      </c>
      <c r="J815" s="2" t="s">
        <v>854</v>
      </c>
      <c r="K815" s="0" t="s">
        <v>855</v>
      </c>
      <c r="L815" s="0" t="s">
        <v>25</v>
      </c>
      <c r="M815" s="0" t="s">
        <v>857</v>
      </c>
      <c r="N815" s="0" t="s">
        <v>1914</v>
      </c>
      <c r="O815" s="0" t="n">
        <v>1</v>
      </c>
      <c r="R815" s="3"/>
      <c r="S815" s="2" t="s">
        <v>28</v>
      </c>
    </row>
    <row r="816" customFormat="false" ht="15" hidden="false" customHeight="false" outlineLevel="0" collapsed="false">
      <c r="A816" s="0" t="n">
        <v>815</v>
      </c>
      <c r="D816" s="0" t="s">
        <v>1915</v>
      </c>
      <c r="E816" s="0" t="s">
        <v>20</v>
      </c>
      <c r="H816" s="0" t="s">
        <v>21</v>
      </c>
      <c r="I816" s="2" t="s">
        <v>22</v>
      </c>
      <c r="J816" s="2" t="s">
        <v>854</v>
      </c>
      <c r="K816" s="0" t="s">
        <v>855</v>
      </c>
      <c r="L816" s="0" t="s">
        <v>25</v>
      </c>
      <c r="M816" s="0" t="s">
        <v>857</v>
      </c>
      <c r="N816" s="0" t="s">
        <v>1916</v>
      </c>
      <c r="O816" s="0" t="n">
        <v>1</v>
      </c>
      <c r="R816" s="3"/>
      <c r="S816" s="2" t="s">
        <v>28</v>
      </c>
    </row>
    <row r="817" customFormat="false" ht="15" hidden="false" customHeight="false" outlineLevel="0" collapsed="false">
      <c r="A817" s="0" t="n">
        <v>816</v>
      </c>
      <c r="D817" s="0" t="s">
        <v>1917</v>
      </c>
      <c r="E817" s="0" t="s">
        <v>20</v>
      </c>
      <c r="H817" s="0" t="s">
        <v>21</v>
      </c>
      <c r="I817" s="2" t="s">
        <v>22</v>
      </c>
      <c r="J817" s="2" t="s">
        <v>854</v>
      </c>
      <c r="K817" s="0" t="s">
        <v>855</v>
      </c>
      <c r="L817" s="0" t="s">
        <v>25</v>
      </c>
      <c r="M817" s="0" t="s">
        <v>857</v>
      </c>
      <c r="N817" s="0" t="s">
        <v>1918</v>
      </c>
      <c r="O817" s="0" t="n">
        <v>1</v>
      </c>
      <c r="R817" s="3"/>
      <c r="S817" s="2" t="s">
        <v>28</v>
      </c>
    </row>
    <row r="818" customFormat="false" ht="15" hidden="false" customHeight="false" outlineLevel="0" collapsed="false">
      <c r="A818" s="0" t="n">
        <v>817</v>
      </c>
      <c r="D818" s="0" t="s">
        <v>1919</v>
      </c>
      <c r="E818" s="0" t="s">
        <v>20</v>
      </c>
      <c r="H818" s="0" t="s">
        <v>21</v>
      </c>
      <c r="I818" s="2" t="s">
        <v>22</v>
      </c>
      <c r="J818" s="2" t="s">
        <v>854</v>
      </c>
      <c r="K818" s="0" t="s">
        <v>855</v>
      </c>
      <c r="L818" s="0" t="s">
        <v>25</v>
      </c>
      <c r="M818" s="0" t="s">
        <v>857</v>
      </c>
      <c r="N818" s="0" t="s">
        <v>1920</v>
      </c>
      <c r="O818" s="0" t="n">
        <v>1</v>
      </c>
      <c r="R818" s="3"/>
      <c r="S818" s="2" t="s">
        <v>28</v>
      </c>
    </row>
    <row r="819" customFormat="false" ht="15" hidden="false" customHeight="false" outlineLevel="0" collapsed="false">
      <c r="A819" s="0" t="n">
        <v>818</v>
      </c>
      <c r="D819" s="0" t="s">
        <v>1921</v>
      </c>
      <c r="E819" s="0" t="s">
        <v>20</v>
      </c>
      <c r="H819" s="0" t="s">
        <v>21</v>
      </c>
      <c r="I819" s="2" t="s">
        <v>22</v>
      </c>
      <c r="J819" s="2" t="s">
        <v>854</v>
      </c>
      <c r="K819" s="0" t="s">
        <v>855</v>
      </c>
      <c r="L819" s="0" t="s">
        <v>25</v>
      </c>
      <c r="M819" s="0" t="s">
        <v>857</v>
      </c>
      <c r="N819" s="0" t="s">
        <v>1922</v>
      </c>
      <c r="O819" s="0" t="n">
        <v>1</v>
      </c>
      <c r="R819" s="3"/>
      <c r="S819" s="2" t="s">
        <v>28</v>
      </c>
    </row>
    <row r="820" customFormat="false" ht="15" hidden="false" customHeight="false" outlineLevel="0" collapsed="false">
      <c r="A820" s="0" t="n">
        <v>819</v>
      </c>
      <c r="D820" s="0" t="s">
        <v>1923</v>
      </c>
      <c r="E820" s="0" t="s">
        <v>20</v>
      </c>
      <c r="H820" s="0" t="s">
        <v>21</v>
      </c>
      <c r="I820" s="2" t="s">
        <v>22</v>
      </c>
      <c r="J820" s="2" t="s">
        <v>854</v>
      </c>
      <c r="K820" s="0" t="s">
        <v>855</v>
      </c>
      <c r="L820" s="0" t="s">
        <v>25</v>
      </c>
      <c r="M820" s="0" t="s">
        <v>857</v>
      </c>
      <c r="N820" s="0" t="s">
        <v>1924</v>
      </c>
      <c r="O820" s="0" t="n">
        <v>1</v>
      </c>
      <c r="R820" s="3"/>
      <c r="S820" s="2" t="s">
        <v>28</v>
      </c>
    </row>
    <row r="821" customFormat="false" ht="15" hidden="false" customHeight="false" outlineLevel="0" collapsed="false">
      <c r="A821" s="0" t="n">
        <v>820</v>
      </c>
      <c r="D821" s="0" t="s">
        <v>1925</v>
      </c>
      <c r="E821" s="0" t="s">
        <v>20</v>
      </c>
      <c r="H821" s="0" t="s">
        <v>21</v>
      </c>
      <c r="I821" s="2" t="s">
        <v>22</v>
      </c>
      <c r="J821" s="2" t="s">
        <v>854</v>
      </c>
      <c r="K821" s="0" t="s">
        <v>855</v>
      </c>
      <c r="L821" s="0" t="s">
        <v>25</v>
      </c>
      <c r="M821" s="0" t="s">
        <v>857</v>
      </c>
      <c r="N821" s="0" t="s">
        <v>1926</v>
      </c>
      <c r="O821" s="0" t="n">
        <v>1</v>
      </c>
      <c r="R821" s="3"/>
      <c r="S821" s="2" t="s">
        <v>28</v>
      </c>
    </row>
    <row r="822" customFormat="false" ht="15" hidden="false" customHeight="false" outlineLevel="0" collapsed="false">
      <c r="A822" s="0" t="n">
        <v>821</v>
      </c>
      <c r="D822" s="0" t="s">
        <v>1927</v>
      </c>
      <c r="E822" s="0" t="s">
        <v>253</v>
      </c>
      <c r="H822" s="0" t="s">
        <v>21</v>
      </c>
      <c r="I822" s="2" t="s">
        <v>22</v>
      </c>
      <c r="J822" s="2" t="s">
        <v>854</v>
      </c>
      <c r="K822" s="0" t="s">
        <v>855</v>
      </c>
      <c r="L822" s="0" t="s">
        <v>25</v>
      </c>
      <c r="M822" s="0" t="s">
        <v>857</v>
      </c>
      <c r="N822" s="0" t="s">
        <v>1928</v>
      </c>
      <c r="O822" s="0" t="n">
        <v>1</v>
      </c>
      <c r="P822" s="0" t="s">
        <v>253</v>
      </c>
      <c r="R822" s="3"/>
      <c r="S822" s="2" t="s">
        <v>28</v>
      </c>
    </row>
    <row r="823" customFormat="false" ht="15" hidden="false" customHeight="false" outlineLevel="0" collapsed="false">
      <c r="A823" s="0" t="n">
        <v>822</v>
      </c>
      <c r="D823" s="0" t="s">
        <v>1929</v>
      </c>
      <c r="E823" s="0" t="s">
        <v>253</v>
      </c>
      <c r="H823" s="0" t="s">
        <v>21</v>
      </c>
      <c r="I823" s="2" t="s">
        <v>22</v>
      </c>
      <c r="J823" s="2" t="s">
        <v>854</v>
      </c>
      <c r="K823" s="0" t="s">
        <v>855</v>
      </c>
      <c r="L823" s="0" t="s">
        <v>25</v>
      </c>
      <c r="M823" s="0" t="s">
        <v>857</v>
      </c>
      <c r="N823" s="0" t="s">
        <v>1930</v>
      </c>
      <c r="O823" s="0" t="n">
        <v>1</v>
      </c>
      <c r="P823" s="0" t="s">
        <v>253</v>
      </c>
      <c r="R823" s="3"/>
      <c r="S823" s="2" t="s">
        <v>28</v>
      </c>
    </row>
    <row r="824" customFormat="false" ht="15" hidden="false" customHeight="false" outlineLevel="0" collapsed="false">
      <c r="A824" s="0" t="n">
        <v>823</v>
      </c>
      <c r="D824" s="0" t="s">
        <v>1931</v>
      </c>
      <c r="E824" s="0" t="s">
        <v>253</v>
      </c>
      <c r="H824" s="0" t="s">
        <v>21</v>
      </c>
      <c r="I824" s="2" t="s">
        <v>22</v>
      </c>
      <c r="J824" s="2" t="s">
        <v>854</v>
      </c>
      <c r="K824" s="0" t="s">
        <v>855</v>
      </c>
      <c r="L824" s="0" t="s">
        <v>1932</v>
      </c>
      <c r="M824" s="0" t="s">
        <v>857</v>
      </c>
      <c r="N824" s="0" t="s">
        <v>1933</v>
      </c>
      <c r="O824" s="0" t="n">
        <v>1</v>
      </c>
      <c r="P824" s="0" t="s">
        <v>253</v>
      </c>
      <c r="Q824" s="0" t="s">
        <v>1934</v>
      </c>
      <c r="R824" s="3"/>
      <c r="S824" s="2" t="s">
        <v>1935</v>
      </c>
    </row>
    <row r="825" customFormat="false" ht="15" hidden="false" customHeight="false" outlineLevel="0" collapsed="false">
      <c r="A825" s="0" t="n">
        <v>824</v>
      </c>
      <c r="D825" s="0" t="s">
        <v>1936</v>
      </c>
      <c r="E825" s="0" t="s">
        <v>253</v>
      </c>
      <c r="H825" s="0" t="s">
        <v>21</v>
      </c>
      <c r="I825" s="2" t="s">
        <v>22</v>
      </c>
      <c r="J825" s="2" t="s">
        <v>854</v>
      </c>
      <c r="K825" s="0" t="s">
        <v>855</v>
      </c>
      <c r="L825" s="0" t="s">
        <v>25</v>
      </c>
      <c r="M825" s="0" t="s">
        <v>857</v>
      </c>
      <c r="N825" s="0" t="s">
        <v>1937</v>
      </c>
      <c r="O825" s="0" t="n">
        <v>1</v>
      </c>
      <c r="P825" s="0" t="s">
        <v>253</v>
      </c>
      <c r="R825" s="3"/>
      <c r="S825" s="2" t="s">
        <v>28</v>
      </c>
    </row>
    <row r="826" customFormat="false" ht="15" hidden="false" customHeight="false" outlineLevel="0" collapsed="false">
      <c r="A826" s="0" t="n">
        <v>825</v>
      </c>
      <c r="D826" s="0" t="s">
        <v>1938</v>
      </c>
      <c r="E826" s="0" t="s">
        <v>253</v>
      </c>
      <c r="H826" s="0" t="s">
        <v>21</v>
      </c>
      <c r="I826" s="2" t="s">
        <v>22</v>
      </c>
      <c r="J826" s="2" t="s">
        <v>854</v>
      </c>
      <c r="K826" s="0" t="s">
        <v>855</v>
      </c>
      <c r="L826" s="0" t="s">
        <v>1939</v>
      </c>
      <c r="M826" s="0" t="s">
        <v>857</v>
      </c>
      <c r="N826" s="0" t="s">
        <v>1940</v>
      </c>
      <c r="O826" s="0" t="n">
        <v>1</v>
      </c>
      <c r="P826" s="0" t="s">
        <v>253</v>
      </c>
      <c r="Q826" s="0" t="s">
        <v>1941</v>
      </c>
      <c r="R826" s="3"/>
      <c r="S826" s="2" t="s">
        <v>1942</v>
      </c>
    </row>
    <row r="827" customFormat="false" ht="15" hidden="false" customHeight="false" outlineLevel="0" collapsed="false">
      <c r="A827" s="0" t="n">
        <v>826</v>
      </c>
      <c r="D827" s="0" t="s">
        <v>1943</v>
      </c>
      <c r="E827" s="0" t="s">
        <v>253</v>
      </c>
      <c r="H827" s="0" t="s">
        <v>21</v>
      </c>
      <c r="I827" s="2" t="s">
        <v>22</v>
      </c>
      <c r="J827" s="2" t="s">
        <v>854</v>
      </c>
      <c r="K827" s="0" t="s">
        <v>855</v>
      </c>
      <c r="L827" s="0" t="s">
        <v>25</v>
      </c>
      <c r="M827" s="0" t="s">
        <v>857</v>
      </c>
      <c r="N827" s="0" t="s">
        <v>1944</v>
      </c>
      <c r="O827" s="0" t="n">
        <v>1</v>
      </c>
      <c r="P827" s="0" t="s">
        <v>253</v>
      </c>
      <c r="R827" s="3"/>
      <c r="S827" s="2" t="s">
        <v>28</v>
      </c>
    </row>
    <row r="828" customFormat="false" ht="15" hidden="false" customHeight="false" outlineLevel="0" collapsed="false">
      <c r="A828" s="0" t="n">
        <v>827</v>
      </c>
      <c r="D828" s="0" t="s">
        <v>1945</v>
      </c>
      <c r="E828" s="0" t="s">
        <v>253</v>
      </c>
      <c r="H828" s="0" t="s">
        <v>21</v>
      </c>
      <c r="I828" s="2" t="s">
        <v>22</v>
      </c>
      <c r="J828" s="2" t="s">
        <v>854</v>
      </c>
      <c r="K828" s="0" t="s">
        <v>855</v>
      </c>
      <c r="L828" s="0" t="s">
        <v>1946</v>
      </c>
      <c r="M828" s="0" t="s">
        <v>857</v>
      </c>
      <c r="N828" s="0" t="s">
        <v>1947</v>
      </c>
      <c r="O828" s="0" t="n">
        <v>1</v>
      </c>
      <c r="P828" s="0" t="s">
        <v>253</v>
      </c>
      <c r="Q828" s="0" t="s">
        <v>1948</v>
      </c>
      <c r="R828" s="3"/>
      <c r="S828" s="2" t="s">
        <v>1949</v>
      </c>
    </row>
    <row r="829" customFormat="false" ht="15" hidden="false" customHeight="false" outlineLevel="0" collapsed="false">
      <c r="A829" s="0" t="n">
        <v>828</v>
      </c>
      <c r="D829" s="0" t="s">
        <v>1950</v>
      </c>
      <c r="E829" s="0" t="s">
        <v>253</v>
      </c>
      <c r="H829" s="0" t="s">
        <v>21</v>
      </c>
      <c r="I829" s="2" t="s">
        <v>22</v>
      </c>
      <c r="J829" s="2" t="s">
        <v>854</v>
      </c>
      <c r="K829" s="0" t="s">
        <v>855</v>
      </c>
      <c r="L829" s="0" t="s">
        <v>1951</v>
      </c>
      <c r="M829" s="0" t="s">
        <v>857</v>
      </c>
      <c r="N829" s="0" t="s">
        <v>1952</v>
      </c>
      <c r="O829" s="0" t="n">
        <v>1</v>
      </c>
      <c r="P829" s="0" t="s">
        <v>253</v>
      </c>
      <c r="Q829" s="0" t="s">
        <v>1953</v>
      </c>
      <c r="R829" s="3"/>
      <c r="S829" s="2" t="s">
        <v>1954</v>
      </c>
    </row>
    <row r="830" customFormat="false" ht="15" hidden="false" customHeight="false" outlineLevel="0" collapsed="false">
      <c r="A830" s="0" t="n">
        <v>829</v>
      </c>
      <c r="D830" s="0" t="s">
        <v>1955</v>
      </c>
      <c r="E830" s="0" t="s">
        <v>253</v>
      </c>
      <c r="H830" s="0" t="s">
        <v>21</v>
      </c>
      <c r="I830" s="2" t="s">
        <v>22</v>
      </c>
      <c r="J830" s="2" t="s">
        <v>854</v>
      </c>
      <c r="K830" s="0" t="s">
        <v>855</v>
      </c>
      <c r="L830" s="0" t="s">
        <v>25</v>
      </c>
      <c r="M830" s="0" t="s">
        <v>857</v>
      </c>
      <c r="N830" s="0" t="s">
        <v>1956</v>
      </c>
      <c r="O830" s="0" t="n">
        <v>1</v>
      </c>
      <c r="P830" s="0" t="s">
        <v>253</v>
      </c>
      <c r="R830" s="3"/>
      <c r="S830" s="2" t="s">
        <v>28</v>
      </c>
    </row>
    <row r="831" customFormat="false" ht="15" hidden="false" customHeight="false" outlineLevel="0" collapsed="false">
      <c r="A831" s="0" t="n">
        <v>830</v>
      </c>
      <c r="D831" s="0" t="s">
        <v>1957</v>
      </c>
      <c r="E831" s="0" t="s">
        <v>253</v>
      </c>
      <c r="H831" s="0" t="s">
        <v>21</v>
      </c>
      <c r="I831" s="2" t="s">
        <v>22</v>
      </c>
      <c r="J831" s="2" t="s">
        <v>854</v>
      </c>
      <c r="K831" s="0" t="s">
        <v>855</v>
      </c>
      <c r="L831" s="0" t="s">
        <v>25</v>
      </c>
      <c r="M831" s="0" t="s">
        <v>857</v>
      </c>
      <c r="N831" s="0" t="s">
        <v>1958</v>
      </c>
      <c r="O831" s="0" t="n">
        <v>1</v>
      </c>
      <c r="P831" s="0" t="s">
        <v>253</v>
      </c>
      <c r="R831" s="3"/>
      <c r="S831" s="2" t="s">
        <v>28</v>
      </c>
    </row>
    <row r="832" customFormat="false" ht="15" hidden="false" customHeight="false" outlineLevel="0" collapsed="false">
      <c r="A832" s="0" t="n">
        <v>831</v>
      </c>
      <c r="D832" s="0" t="s">
        <v>1959</v>
      </c>
      <c r="E832" s="0" t="s">
        <v>253</v>
      </c>
      <c r="H832" s="0" t="s">
        <v>21</v>
      </c>
      <c r="I832" s="2" t="s">
        <v>22</v>
      </c>
      <c r="J832" s="2" t="s">
        <v>854</v>
      </c>
      <c r="K832" s="0" t="s">
        <v>855</v>
      </c>
      <c r="L832" s="0" t="s">
        <v>25</v>
      </c>
      <c r="M832" s="0" t="s">
        <v>857</v>
      </c>
      <c r="N832" s="0" t="s">
        <v>1960</v>
      </c>
      <c r="O832" s="0" t="n">
        <v>1</v>
      </c>
      <c r="P832" s="0" t="s">
        <v>253</v>
      </c>
      <c r="R832" s="3"/>
      <c r="S832" s="2" t="s">
        <v>28</v>
      </c>
    </row>
    <row r="833" customFormat="false" ht="15" hidden="false" customHeight="false" outlineLevel="0" collapsed="false">
      <c r="A833" s="0" t="n">
        <v>832</v>
      </c>
      <c r="D833" s="0" t="s">
        <v>1961</v>
      </c>
      <c r="E833" s="0" t="s">
        <v>387</v>
      </c>
      <c r="H833" s="0" t="s">
        <v>21</v>
      </c>
      <c r="I833" s="2" t="s">
        <v>22</v>
      </c>
      <c r="J833" s="2" t="s">
        <v>854</v>
      </c>
      <c r="K833" s="0" t="s">
        <v>855</v>
      </c>
      <c r="L833" s="0" t="s">
        <v>25</v>
      </c>
      <c r="M833" s="0" t="s">
        <v>857</v>
      </c>
      <c r="N833" s="0" t="s">
        <v>1962</v>
      </c>
      <c r="O833" s="0" t="n">
        <v>1</v>
      </c>
      <c r="P833" s="0" t="s">
        <v>387</v>
      </c>
      <c r="R833" s="3"/>
      <c r="S833" s="2" t="s">
        <v>28</v>
      </c>
    </row>
    <row r="834" customFormat="false" ht="15" hidden="false" customHeight="false" outlineLevel="0" collapsed="false">
      <c r="A834" s="0" t="n">
        <v>833</v>
      </c>
      <c r="D834" s="0" t="s">
        <v>1963</v>
      </c>
      <c r="E834" s="0" t="s">
        <v>20</v>
      </c>
      <c r="H834" s="0" t="s">
        <v>21</v>
      </c>
      <c r="I834" s="2" t="s">
        <v>22</v>
      </c>
      <c r="J834" s="2" t="s">
        <v>854</v>
      </c>
      <c r="K834" s="0" t="s">
        <v>855</v>
      </c>
      <c r="L834" s="0" t="s">
        <v>25</v>
      </c>
      <c r="M834" s="0" t="s">
        <v>857</v>
      </c>
      <c r="N834" s="0" t="s">
        <v>1964</v>
      </c>
      <c r="O834" s="0" t="n">
        <v>1</v>
      </c>
      <c r="R834" s="3"/>
      <c r="S834" s="2" t="s">
        <v>28</v>
      </c>
    </row>
    <row r="835" customFormat="false" ht="15" hidden="false" customHeight="false" outlineLevel="0" collapsed="false">
      <c r="A835" s="0" t="n">
        <v>834</v>
      </c>
      <c r="D835" s="0" t="s">
        <v>1965</v>
      </c>
      <c r="E835" s="0" t="s">
        <v>287</v>
      </c>
      <c r="H835" s="0" t="s">
        <v>21</v>
      </c>
      <c r="I835" s="2" t="s">
        <v>22</v>
      </c>
      <c r="J835" s="2" t="s">
        <v>854</v>
      </c>
      <c r="K835" s="0" t="s">
        <v>855</v>
      </c>
      <c r="L835" s="0" t="s">
        <v>25</v>
      </c>
      <c r="M835" s="0" t="s">
        <v>857</v>
      </c>
      <c r="N835" s="0" t="s">
        <v>1966</v>
      </c>
      <c r="O835" s="0" t="n">
        <v>1</v>
      </c>
      <c r="P835" s="0" t="s">
        <v>287</v>
      </c>
      <c r="R835" s="3"/>
      <c r="S835" s="2" t="s">
        <v>28</v>
      </c>
    </row>
    <row r="836" customFormat="false" ht="15" hidden="false" customHeight="false" outlineLevel="0" collapsed="false">
      <c r="A836" s="0" t="n">
        <v>835</v>
      </c>
      <c r="D836" s="0" t="s">
        <v>1967</v>
      </c>
      <c r="E836" s="0" t="s">
        <v>20</v>
      </c>
      <c r="H836" s="0" t="s">
        <v>21</v>
      </c>
      <c r="I836" s="2" t="s">
        <v>22</v>
      </c>
      <c r="J836" s="2" t="s">
        <v>854</v>
      </c>
      <c r="K836" s="0" t="s">
        <v>855</v>
      </c>
      <c r="L836" s="0" t="s">
        <v>25</v>
      </c>
      <c r="M836" s="0" t="s">
        <v>857</v>
      </c>
      <c r="N836" s="0" t="s">
        <v>1968</v>
      </c>
      <c r="O836" s="0" t="n">
        <v>1</v>
      </c>
      <c r="R836" s="3"/>
      <c r="S836" s="2" t="s">
        <v>28</v>
      </c>
    </row>
    <row r="837" customFormat="false" ht="15" hidden="false" customHeight="false" outlineLevel="0" collapsed="false">
      <c r="A837" s="0" t="n">
        <v>836</v>
      </c>
      <c r="D837" s="0" t="s">
        <v>1969</v>
      </c>
      <c r="E837" s="0" t="s">
        <v>1970</v>
      </c>
      <c r="H837" s="0" t="s">
        <v>21</v>
      </c>
      <c r="I837" s="2" t="s">
        <v>22</v>
      </c>
      <c r="J837" s="2" t="s">
        <v>854</v>
      </c>
      <c r="K837" s="0" t="s">
        <v>855</v>
      </c>
      <c r="L837" s="0" t="s">
        <v>889</v>
      </c>
      <c r="M837" s="0" t="s">
        <v>857</v>
      </c>
      <c r="N837" s="0" t="s">
        <v>1971</v>
      </c>
      <c r="O837" s="0" t="n">
        <v>1</v>
      </c>
      <c r="R837" s="3"/>
      <c r="S837" s="2" t="s">
        <v>28</v>
      </c>
    </row>
    <row r="838" customFormat="false" ht="15" hidden="false" customHeight="false" outlineLevel="0" collapsed="false">
      <c r="A838" s="0" t="n">
        <v>837</v>
      </c>
      <c r="D838" s="0" t="s">
        <v>1972</v>
      </c>
      <c r="E838" s="0" t="s">
        <v>173</v>
      </c>
      <c r="H838" s="0" t="s">
        <v>21</v>
      </c>
      <c r="I838" s="2" t="s">
        <v>22</v>
      </c>
      <c r="J838" s="2" t="s">
        <v>854</v>
      </c>
      <c r="K838" s="0" t="s">
        <v>855</v>
      </c>
      <c r="L838" s="0" t="s">
        <v>25</v>
      </c>
      <c r="M838" s="0" t="s">
        <v>857</v>
      </c>
      <c r="N838" s="0" t="s">
        <v>1973</v>
      </c>
      <c r="O838" s="0" t="n">
        <v>1</v>
      </c>
      <c r="P838" s="0" t="s">
        <v>173</v>
      </c>
      <c r="R838" s="3"/>
      <c r="S838" s="2" t="s">
        <v>28</v>
      </c>
    </row>
    <row r="839" customFormat="false" ht="15" hidden="false" customHeight="false" outlineLevel="0" collapsed="false">
      <c r="A839" s="0" t="n">
        <v>838</v>
      </c>
      <c r="D839" s="0" t="s">
        <v>1974</v>
      </c>
      <c r="E839" s="0" t="s">
        <v>287</v>
      </c>
      <c r="H839" s="0" t="s">
        <v>21</v>
      </c>
      <c r="I839" s="2" t="s">
        <v>22</v>
      </c>
      <c r="J839" s="2" t="s">
        <v>854</v>
      </c>
      <c r="K839" s="0" t="s">
        <v>855</v>
      </c>
      <c r="L839" s="0" t="s">
        <v>25</v>
      </c>
      <c r="M839" s="0" t="s">
        <v>857</v>
      </c>
      <c r="N839" s="0" t="s">
        <v>1975</v>
      </c>
      <c r="O839" s="0" t="n">
        <v>1</v>
      </c>
      <c r="P839" s="0" t="s">
        <v>287</v>
      </c>
      <c r="R839" s="3"/>
      <c r="S839" s="2" t="s">
        <v>28</v>
      </c>
    </row>
    <row r="840" customFormat="false" ht="15" hidden="false" customHeight="false" outlineLevel="0" collapsed="false">
      <c r="A840" s="0" t="n">
        <v>839</v>
      </c>
      <c r="D840" s="0" t="s">
        <v>1976</v>
      </c>
      <c r="E840" s="0" t="s">
        <v>20</v>
      </c>
      <c r="H840" s="0" t="s">
        <v>21</v>
      </c>
      <c r="I840" s="2" t="s">
        <v>22</v>
      </c>
      <c r="J840" s="2" t="s">
        <v>854</v>
      </c>
      <c r="K840" s="0" t="s">
        <v>855</v>
      </c>
      <c r="L840" s="0" t="s">
        <v>25</v>
      </c>
      <c r="M840" s="0" t="s">
        <v>857</v>
      </c>
      <c r="N840" s="0" t="s">
        <v>1977</v>
      </c>
      <c r="O840" s="0" t="n">
        <v>1</v>
      </c>
      <c r="R840" s="3"/>
      <c r="S840" s="2" t="s">
        <v>28</v>
      </c>
    </row>
    <row r="841" customFormat="false" ht="15" hidden="false" customHeight="false" outlineLevel="0" collapsed="false">
      <c r="A841" s="0" t="n">
        <v>840</v>
      </c>
      <c r="D841" s="0" t="s">
        <v>1978</v>
      </c>
      <c r="E841" s="0" t="s">
        <v>20</v>
      </c>
      <c r="H841" s="0" t="s">
        <v>21</v>
      </c>
      <c r="I841" s="2" t="s">
        <v>22</v>
      </c>
      <c r="J841" s="2" t="s">
        <v>854</v>
      </c>
      <c r="K841" s="0" t="s">
        <v>855</v>
      </c>
      <c r="L841" s="0" t="s">
        <v>25</v>
      </c>
      <c r="M841" s="0" t="s">
        <v>857</v>
      </c>
      <c r="N841" s="0" t="s">
        <v>1979</v>
      </c>
      <c r="O841" s="0" t="n">
        <v>1</v>
      </c>
      <c r="R841" s="3"/>
      <c r="S841" s="2" t="s">
        <v>28</v>
      </c>
    </row>
    <row r="842" customFormat="false" ht="15" hidden="false" customHeight="false" outlineLevel="0" collapsed="false">
      <c r="A842" s="0" t="n">
        <v>841</v>
      </c>
      <c r="D842" s="0" t="s">
        <v>1980</v>
      </c>
      <c r="E842" s="0" t="s">
        <v>20</v>
      </c>
      <c r="H842" s="0" t="s">
        <v>21</v>
      </c>
      <c r="I842" s="2" t="s">
        <v>22</v>
      </c>
      <c r="J842" s="2" t="s">
        <v>854</v>
      </c>
      <c r="K842" s="0" t="s">
        <v>855</v>
      </c>
      <c r="L842" s="0" t="s">
        <v>25</v>
      </c>
      <c r="M842" s="0" t="s">
        <v>857</v>
      </c>
      <c r="N842" s="0" t="s">
        <v>1981</v>
      </c>
      <c r="O842" s="0" t="n">
        <v>1</v>
      </c>
      <c r="P842" s="0" t="s">
        <v>43</v>
      </c>
      <c r="R842" s="3"/>
      <c r="S842" s="2" t="s">
        <v>28</v>
      </c>
    </row>
    <row r="843" customFormat="false" ht="15" hidden="false" customHeight="false" outlineLevel="0" collapsed="false">
      <c r="A843" s="0" t="n">
        <v>842</v>
      </c>
      <c r="D843" s="0" t="s">
        <v>1982</v>
      </c>
      <c r="E843" s="0" t="s">
        <v>20</v>
      </c>
      <c r="H843" s="0" t="s">
        <v>21</v>
      </c>
      <c r="I843" s="2" t="s">
        <v>22</v>
      </c>
      <c r="J843" s="2" t="s">
        <v>854</v>
      </c>
      <c r="K843" s="0" t="s">
        <v>855</v>
      </c>
      <c r="L843" s="0" t="s">
        <v>25</v>
      </c>
      <c r="M843" s="0" t="s">
        <v>857</v>
      </c>
      <c r="N843" s="0" t="s">
        <v>1983</v>
      </c>
      <c r="O843" s="0" t="n">
        <v>1</v>
      </c>
      <c r="R843" s="3"/>
      <c r="S843" s="2" t="s">
        <v>28</v>
      </c>
    </row>
    <row r="844" customFormat="false" ht="15" hidden="false" customHeight="false" outlineLevel="0" collapsed="false">
      <c r="A844" s="0" t="n">
        <v>843</v>
      </c>
      <c r="D844" s="0" t="s">
        <v>1984</v>
      </c>
      <c r="E844" s="0" t="s">
        <v>253</v>
      </c>
      <c r="H844" s="0" t="s">
        <v>21</v>
      </c>
      <c r="I844" s="2" t="s">
        <v>22</v>
      </c>
      <c r="J844" s="2" t="s">
        <v>854</v>
      </c>
      <c r="K844" s="0" t="s">
        <v>855</v>
      </c>
      <c r="L844" s="0" t="s">
        <v>25</v>
      </c>
      <c r="M844" s="0" t="s">
        <v>857</v>
      </c>
      <c r="N844" s="0" t="s">
        <v>1985</v>
      </c>
      <c r="O844" s="0" t="n">
        <v>1</v>
      </c>
      <c r="P844" s="0" t="s">
        <v>253</v>
      </c>
      <c r="R844" s="3"/>
      <c r="S844" s="2" t="s">
        <v>28</v>
      </c>
    </row>
    <row r="845" customFormat="false" ht="15" hidden="false" customHeight="false" outlineLevel="0" collapsed="false">
      <c r="A845" s="0" t="n">
        <v>844</v>
      </c>
      <c r="D845" s="0" t="s">
        <v>1986</v>
      </c>
      <c r="E845" s="0" t="s">
        <v>20</v>
      </c>
      <c r="H845" s="0" t="s">
        <v>21</v>
      </c>
      <c r="I845" s="2" t="s">
        <v>22</v>
      </c>
      <c r="J845" s="2" t="s">
        <v>854</v>
      </c>
      <c r="K845" s="0" t="s">
        <v>855</v>
      </c>
      <c r="L845" s="0" t="s">
        <v>25</v>
      </c>
      <c r="M845" s="0" t="s">
        <v>857</v>
      </c>
      <c r="N845" s="0" t="s">
        <v>1987</v>
      </c>
      <c r="O845" s="0" t="n">
        <v>1</v>
      </c>
      <c r="R845" s="3"/>
      <c r="S845" s="2" t="s">
        <v>28</v>
      </c>
    </row>
    <row r="846" customFormat="false" ht="15" hidden="false" customHeight="false" outlineLevel="0" collapsed="false">
      <c r="A846" s="0" t="n">
        <v>845</v>
      </c>
      <c r="D846" s="0" t="s">
        <v>1988</v>
      </c>
      <c r="E846" s="0" t="s">
        <v>173</v>
      </c>
      <c r="H846" s="0" t="s">
        <v>21</v>
      </c>
      <c r="I846" s="2" t="s">
        <v>22</v>
      </c>
      <c r="J846" s="2" t="s">
        <v>854</v>
      </c>
      <c r="K846" s="0" t="s">
        <v>855</v>
      </c>
      <c r="L846" s="0" t="s">
        <v>25</v>
      </c>
      <c r="M846" s="0" t="s">
        <v>857</v>
      </c>
      <c r="N846" s="0" t="s">
        <v>1989</v>
      </c>
      <c r="O846" s="0" t="n">
        <v>1</v>
      </c>
      <c r="P846" s="0" t="s">
        <v>173</v>
      </c>
      <c r="R846" s="3"/>
      <c r="S846" s="2" t="s">
        <v>28</v>
      </c>
    </row>
    <row r="847" customFormat="false" ht="15" hidden="false" customHeight="false" outlineLevel="0" collapsed="false">
      <c r="A847" s="0" t="n">
        <v>846</v>
      </c>
      <c r="D847" s="0" t="s">
        <v>1990</v>
      </c>
      <c r="E847" s="0" t="s">
        <v>173</v>
      </c>
      <c r="H847" s="0" t="s">
        <v>21</v>
      </c>
      <c r="I847" s="2" t="s">
        <v>22</v>
      </c>
      <c r="J847" s="2" t="s">
        <v>854</v>
      </c>
      <c r="K847" s="0" t="s">
        <v>855</v>
      </c>
      <c r="L847" s="0" t="s">
        <v>1991</v>
      </c>
      <c r="M847" s="0" t="s">
        <v>857</v>
      </c>
      <c r="N847" s="0" t="s">
        <v>1992</v>
      </c>
      <c r="O847" s="0" t="n">
        <v>1</v>
      </c>
      <c r="P847" s="0" t="s">
        <v>173</v>
      </c>
      <c r="Q847" s="0" t="s">
        <v>1993</v>
      </c>
      <c r="R847" s="3"/>
      <c r="S847" s="2" t="s">
        <v>1994</v>
      </c>
    </row>
    <row r="848" customFormat="false" ht="15" hidden="false" customHeight="false" outlineLevel="0" collapsed="false">
      <c r="A848" s="0" t="n">
        <v>847</v>
      </c>
      <c r="D848" s="0" t="s">
        <v>1995</v>
      </c>
      <c r="E848" s="0" t="s">
        <v>20</v>
      </c>
      <c r="H848" s="0" t="s">
        <v>21</v>
      </c>
      <c r="I848" s="2" t="s">
        <v>22</v>
      </c>
      <c r="J848" s="2" t="s">
        <v>854</v>
      </c>
      <c r="K848" s="0" t="s">
        <v>855</v>
      </c>
      <c r="L848" s="0" t="s">
        <v>25</v>
      </c>
      <c r="M848" s="0" t="s">
        <v>857</v>
      </c>
      <c r="N848" s="0" t="s">
        <v>1996</v>
      </c>
      <c r="O848" s="0" t="n">
        <v>1</v>
      </c>
      <c r="R848" s="3"/>
      <c r="S848" s="2" t="s">
        <v>28</v>
      </c>
    </row>
    <row r="849" customFormat="false" ht="15" hidden="false" customHeight="false" outlineLevel="0" collapsed="false">
      <c r="A849" s="0" t="n">
        <v>848</v>
      </c>
      <c r="D849" s="0" t="s">
        <v>1997</v>
      </c>
      <c r="E849" s="0" t="s">
        <v>20</v>
      </c>
      <c r="H849" s="0" t="s">
        <v>21</v>
      </c>
      <c r="I849" s="2" t="s">
        <v>22</v>
      </c>
      <c r="J849" s="2" t="s">
        <v>854</v>
      </c>
      <c r="K849" s="0" t="s">
        <v>855</v>
      </c>
      <c r="L849" s="0" t="s">
        <v>25</v>
      </c>
      <c r="M849" s="0" t="s">
        <v>857</v>
      </c>
      <c r="N849" s="0" t="s">
        <v>1998</v>
      </c>
      <c r="O849" s="0" t="n">
        <v>1</v>
      </c>
      <c r="R849" s="3"/>
      <c r="S849" s="2" t="s">
        <v>28</v>
      </c>
    </row>
    <row r="850" customFormat="false" ht="15" hidden="false" customHeight="false" outlineLevel="0" collapsed="false">
      <c r="A850" s="0" t="n">
        <v>849</v>
      </c>
      <c r="D850" s="0" t="s">
        <v>1999</v>
      </c>
      <c r="E850" s="0" t="s">
        <v>173</v>
      </c>
      <c r="H850" s="0" t="s">
        <v>21</v>
      </c>
      <c r="I850" s="2" t="s">
        <v>22</v>
      </c>
      <c r="J850" s="2" t="s">
        <v>854</v>
      </c>
      <c r="K850" s="0" t="s">
        <v>855</v>
      </c>
      <c r="L850" s="0" t="s">
        <v>25</v>
      </c>
      <c r="M850" s="0" t="s">
        <v>857</v>
      </c>
      <c r="N850" s="0" t="s">
        <v>2000</v>
      </c>
      <c r="O850" s="0" t="n">
        <v>1</v>
      </c>
      <c r="P850" s="0" t="s">
        <v>173</v>
      </c>
      <c r="R850" s="3"/>
      <c r="S850" s="2" t="s">
        <v>28</v>
      </c>
    </row>
    <row r="851" customFormat="false" ht="15" hidden="false" customHeight="false" outlineLevel="0" collapsed="false">
      <c r="A851" s="0" t="n">
        <v>850</v>
      </c>
      <c r="D851" s="0" t="s">
        <v>2001</v>
      </c>
      <c r="E851" s="0" t="s">
        <v>20</v>
      </c>
      <c r="H851" s="0" t="s">
        <v>21</v>
      </c>
      <c r="I851" s="2" t="s">
        <v>22</v>
      </c>
      <c r="J851" s="2" t="s">
        <v>854</v>
      </c>
      <c r="K851" s="0" t="s">
        <v>855</v>
      </c>
      <c r="L851" s="0" t="s">
        <v>25</v>
      </c>
      <c r="M851" s="0" t="s">
        <v>857</v>
      </c>
      <c r="N851" s="0" t="s">
        <v>2002</v>
      </c>
      <c r="O851" s="0" t="n">
        <v>1</v>
      </c>
      <c r="R851" s="3"/>
      <c r="S851" s="2" t="s">
        <v>28</v>
      </c>
    </row>
    <row r="852" customFormat="false" ht="15" hidden="false" customHeight="false" outlineLevel="0" collapsed="false">
      <c r="A852" s="0" t="n">
        <v>851</v>
      </c>
      <c r="D852" s="0" t="s">
        <v>2003</v>
      </c>
      <c r="E852" s="0" t="s">
        <v>210</v>
      </c>
      <c r="H852" s="0" t="s">
        <v>21</v>
      </c>
      <c r="I852" s="2" t="s">
        <v>22</v>
      </c>
      <c r="J852" s="2" t="s">
        <v>854</v>
      </c>
      <c r="K852" s="0" t="s">
        <v>855</v>
      </c>
      <c r="L852" s="0" t="s">
        <v>25</v>
      </c>
      <c r="M852" s="0" t="s">
        <v>857</v>
      </c>
      <c r="N852" s="0" t="s">
        <v>2004</v>
      </c>
      <c r="O852" s="0" t="n">
        <v>1</v>
      </c>
      <c r="P852" s="0" t="s">
        <v>210</v>
      </c>
      <c r="R852" s="3"/>
      <c r="S852" s="2" t="s">
        <v>28</v>
      </c>
    </row>
    <row r="853" customFormat="false" ht="15" hidden="false" customHeight="false" outlineLevel="0" collapsed="false">
      <c r="A853" s="0" t="n">
        <v>852</v>
      </c>
      <c r="D853" s="0" t="s">
        <v>2005</v>
      </c>
      <c r="E853" s="0" t="s">
        <v>20</v>
      </c>
      <c r="H853" s="0" t="s">
        <v>21</v>
      </c>
      <c r="I853" s="2" t="s">
        <v>22</v>
      </c>
      <c r="J853" s="2" t="s">
        <v>854</v>
      </c>
      <c r="K853" s="0" t="s">
        <v>855</v>
      </c>
      <c r="L853" s="0" t="s">
        <v>25</v>
      </c>
      <c r="M853" s="0" t="s">
        <v>857</v>
      </c>
      <c r="N853" s="0" t="s">
        <v>2006</v>
      </c>
      <c r="O853" s="0" t="n">
        <v>1</v>
      </c>
      <c r="R853" s="3"/>
      <c r="S853" s="2" t="s">
        <v>28</v>
      </c>
    </row>
    <row r="854" customFormat="false" ht="15" hidden="false" customHeight="false" outlineLevel="0" collapsed="false">
      <c r="A854" s="0" t="n">
        <v>853</v>
      </c>
      <c r="D854" s="0" t="s">
        <v>2007</v>
      </c>
      <c r="E854" s="0" t="s">
        <v>577</v>
      </c>
      <c r="H854" s="0" t="s">
        <v>21</v>
      </c>
      <c r="I854" s="2" t="s">
        <v>22</v>
      </c>
      <c r="J854" s="2" t="s">
        <v>854</v>
      </c>
      <c r="K854" s="0" t="s">
        <v>855</v>
      </c>
      <c r="L854" s="0" t="s">
        <v>25</v>
      </c>
      <c r="M854" s="0" t="s">
        <v>857</v>
      </c>
      <c r="N854" s="0" t="s">
        <v>2008</v>
      </c>
      <c r="O854" s="0" t="n">
        <v>1</v>
      </c>
      <c r="P854" s="0" t="s">
        <v>577</v>
      </c>
      <c r="R854" s="3"/>
      <c r="S854" s="2" t="s">
        <v>28</v>
      </c>
    </row>
    <row r="855" customFormat="false" ht="15" hidden="false" customHeight="false" outlineLevel="0" collapsed="false">
      <c r="A855" s="0" t="n">
        <v>854</v>
      </c>
      <c r="D855" s="0" t="s">
        <v>2009</v>
      </c>
      <c r="E855" s="0" t="s">
        <v>253</v>
      </c>
      <c r="H855" s="0" t="s">
        <v>21</v>
      </c>
      <c r="I855" s="2" t="s">
        <v>22</v>
      </c>
      <c r="J855" s="2" t="s">
        <v>854</v>
      </c>
      <c r="K855" s="0" t="s">
        <v>855</v>
      </c>
      <c r="L855" s="0" t="s">
        <v>2010</v>
      </c>
      <c r="M855" s="0" t="s">
        <v>857</v>
      </c>
      <c r="N855" s="0" t="s">
        <v>2011</v>
      </c>
      <c r="O855" s="0" t="n">
        <v>1</v>
      </c>
      <c r="P855" s="0" t="s">
        <v>253</v>
      </c>
      <c r="Q855" s="0" t="s">
        <v>2012</v>
      </c>
      <c r="R855" s="3"/>
      <c r="S855" s="2" t="s">
        <v>2013</v>
      </c>
    </row>
    <row r="856" customFormat="false" ht="15" hidden="false" customHeight="false" outlineLevel="0" collapsed="false">
      <c r="A856" s="0" t="n">
        <v>855</v>
      </c>
      <c r="D856" s="0" t="s">
        <v>2014</v>
      </c>
      <c r="E856" s="0" t="s">
        <v>73</v>
      </c>
      <c r="H856" s="0" t="s">
        <v>21</v>
      </c>
      <c r="I856" s="2" t="s">
        <v>22</v>
      </c>
      <c r="J856" s="2" t="s">
        <v>854</v>
      </c>
      <c r="K856" s="0" t="s">
        <v>855</v>
      </c>
      <c r="L856" s="0" t="s">
        <v>25</v>
      </c>
      <c r="M856" s="0" t="s">
        <v>857</v>
      </c>
      <c r="N856" s="0" t="s">
        <v>2015</v>
      </c>
      <c r="O856" s="0" t="n">
        <v>1</v>
      </c>
      <c r="P856" s="0" t="s">
        <v>73</v>
      </c>
      <c r="R856" s="3"/>
      <c r="S856" s="2" t="s">
        <v>28</v>
      </c>
    </row>
    <row r="857" customFormat="false" ht="15" hidden="false" customHeight="false" outlineLevel="0" collapsed="false">
      <c r="A857" s="0" t="n">
        <v>856</v>
      </c>
      <c r="D857" s="0" t="s">
        <v>2016</v>
      </c>
      <c r="E857" s="0" t="s">
        <v>173</v>
      </c>
      <c r="H857" s="0" t="s">
        <v>21</v>
      </c>
      <c r="I857" s="2" t="s">
        <v>22</v>
      </c>
      <c r="J857" s="2" t="s">
        <v>854</v>
      </c>
      <c r="K857" s="0" t="s">
        <v>855</v>
      </c>
      <c r="L857" s="0" t="s">
        <v>25</v>
      </c>
      <c r="M857" s="0" t="s">
        <v>857</v>
      </c>
      <c r="N857" s="0" t="s">
        <v>2017</v>
      </c>
      <c r="O857" s="0" t="n">
        <v>1</v>
      </c>
      <c r="P857" s="0" t="s">
        <v>173</v>
      </c>
      <c r="R857" s="3"/>
      <c r="S857" s="2" t="s">
        <v>28</v>
      </c>
    </row>
    <row r="858" customFormat="false" ht="15" hidden="false" customHeight="false" outlineLevel="0" collapsed="false">
      <c r="A858" s="0" t="n">
        <v>857</v>
      </c>
      <c r="D858" s="0" t="s">
        <v>2018</v>
      </c>
      <c r="E858" s="0" t="s">
        <v>20</v>
      </c>
      <c r="H858" s="0" t="s">
        <v>21</v>
      </c>
      <c r="I858" s="2" t="s">
        <v>22</v>
      </c>
      <c r="J858" s="2" t="s">
        <v>854</v>
      </c>
      <c r="K858" s="0" t="s">
        <v>855</v>
      </c>
      <c r="L858" s="0" t="s">
        <v>25</v>
      </c>
      <c r="M858" s="0" t="s">
        <v>857</v>
      </c>
      <c r="N858" s="0" t="s">
        <v>2019</v>
      </c>
      <c r="O858" s="0" t="n">
        <v>1</v>
      </c>
      <c r="R858" s="3"/>
      <c r="S858" s="2" t="s">
        <v>28</v>
      </c>
    </row>
    <row r="859" customFormat="false" ht="15" hidden="false" customHeight="false" outlineLevel="0" collapsed="false">
      <c r="A859" s="0" t="n">
        <v>858</v>
      </c>
      <c r="D859" s="0" t="s">
        <v>2020</v>
      </c>
      <c r="E859" s="0" t="s">
        <v>20</v>
      </c>
      <c r="H859" s="0" t="s">
        <v>21</v>
      </c>
      <c r="I859" s="2" t="s">
        <v>22</v>
      </c>
      <c r="J859" s="2" t="s">
        <v>854</v>
      </c>
      <c r="K859" s="0" t="s">
        <v>855</v>
      </c>
      <c r="L859" s="0" t="s">
        <v>25</v>
      </c>
      <c r="M859" s="0" t="s">
        <v>857</v>
      </c>
      <c r="N859" s="0" t="s">
        <v>2021</v>
      </c>
      <c r="O859" s="0" t="n">
        <v>1</v>
      </c>
      <c r="R859" s="3"/>
      <c r="S859" s="2" t="s">
        <v>28</v>
      </c>
    </row>
    <row r="860" customFormat="false" ht="15" hidden="false" customHeight="false" outlineLevel="0" collapsed="false">
      <c r="A860" s="0" t="n">
        <v>859</v>
      </c>
      <c r="D860" s="0" t="s">
        <v>2022</v>
      </c>
      <c r="E860" s="0" t="s">
        <v>20</v>
      </c>
      <c r="H860" s="0" t="s">
        <v>21</v>
      </c>
      <c r="I860" s="2" t="s">
        <v>22</v>
      </c>
      <c r="J860" s="2" t="s">
        <v>854</v>
      </c>
      <c r="K860" s="0" t="s">
        <v>855</v>
      </c>
      <c r="L860" s="0" t="s">
        <v>25</v>
      </c>
      <c r="M860" s="0" t="s">
        <v>857</v>
      </c>
      <c r="N860" s="0" t="s">
        <v>2023</v>
      </c>
      <c r="O860" s="0" t="n">
        <v>1</v>
      </c>
      <c r="R860" s="3"/>
      <c r="S860" s="2" t="s">
        <v>28</v>
      </c>
    </row>
    <row r="861" customFormat="false" ht="15" hidden="false" customHeight="false" outlineLevel="0" collapsed="false">
      <c r="A861" s="0" t="n">
        <v>860</v>
      </c>
      <c r="D861" s="0" t="s">
        <v>2024</v>
      </c>
      <c r="E861" s="0" t="s">
        <v>173</v>
      </c>
      <c r="H861" s="0" t="s">
        <v>21</v>
      </c>
      <c r="I861" s="2" t="s">
        <v>22</v>
      </c>
      <c r="J861" s="2" t="s">
        <v>854</v>
      </c>
      <c r="K861" s="0" t="s">
        <v>855</v>
      </c>
      <c r="L861" s="0" t="s">
        <v>25</v>
      </c>
      <c r="M861" s="0" t="s">
        <v>857</v>
      </c>
      <c r="N861" s="0" t="s">
        <v>2025</v>
      </c>
      <c r="O861" s="0" t="n">
        <v>1</v>
      </c>
      <c r="P861" s="0" t="s">
        <v>173</v>
      </c>
      <c r="R861" s="3"/>
      <c r="S861" s="2" t="s">
        <v>28</v>
      </c>
    </row>
    <row r="862" customFormat="false" ht="15" hidden="false" customHeight="false" outlineLevel="0" collapsed="false">
      <c r="A862" s="0" t="n">
        <v>861</v>
      </c>
      <c r="D862" s="0" t="s">
        <v>2026</v>
      </c>
      <c r="E862" s="0" t="s">
        <v>253</v>
      </c>
      <c r="H862" s="0" t="s">
        <v>21</v>
      </c>
      <c r="I862" s="2" t="s">
        <v>22</v>
      </c>
      <c r="J862" s="2" t="s">
        <v>854</v>
      </c>
      <c r="K862" s="0" t="s">
        <v>855</v>
      </c>
      <c r="L862" s="0" t="s">
        <v>25</v>
      </c>
      <c r="M862" s="0" t="s">
        <v>857</v>
      </c>
      <c r="N862" s="0" t="s">
        <v>2027</v>
      </c>
      <c r="O862" s="0" t="n">
        <v>1</v>
      </c>
      <c r="P862" s="0" t="s">
        <v>253</v>
      </c>
      <c r="R862" s="3"/>
      <c r="S862" s="2" t="s">
        <v>28</v>
      </c>
    </row>
    <row r="863" customFormat="false" ht="15" hidden="false" customHeight="false" outlineLevel="0" collapsed="false">
      <c r="A863" s="0" t="n">
        <v>862</v>
      </c>
      <c r="D863" s="0" t="s">
        <v>2028</v>
      </c>
      <c r="E863" s="0" t="s">
        <v>20</v>
      </c>
      <c r="H863" s="0" t="s">
        <v>21</v>
      </c>
      <c r="I863" s="2" t="s">
        <v>22</v>
      </c>
      <c r="J863" s="2" t="s">
        <v>854</v>
      </c>
      <c r="K863" s="0" t="s">
        <v>855</v>
      </c>
      <c r="L863" s="0" t="s">
        <v>25</v>
      </c>
      <c r="M863" s="0" t="s">
        <v>857</v>
      </c>
      <c r="N863" s="0" t="s">
        <v>2029</v>
      </c>
      <c r="O863" s="0" t="n">
        <v>1</v>
      </c>
      <c r="R863" s="3"/>
      <c r="S863" s="2" t="s">
        <v>28</v>
      </c>
    </row>
    <row r="864" customFormat="false" ht="15" hidden="false" customHeight="false" outlineLevel="0" collapsed="false">
      <c r="A864" s="0" t="n">
        <v>863</v>
      </c>
      <c r="D864" s="0" t="s">
        <v>2030</v>
      </c>
      <c r="E864" s="0" t="s">
        <v>20</v>
      </c>
      <c r="H864" s="0" t="s">
        <v>21</v>
      </c>
      <c r="I864" s="2" t="s">
        <v>22</v>
      </c>
      <c r="J864" s="2" t="s">
        <v>854</v>
      </c>
      <c r="K864" s="0" t="s">
        <v>855</v>
      </c>
      <c r="L864" s="0" t="s">
        <v>25</v>
      </c>
      <c r="M864" s="0" t="s">
        <v>857</v>
      </c>
      <c r="N864" s="0" t="s">
        <v>2031</v>
      </c>
      <c r="O864" s="0" t="n">
        <v>1</v>
      </c>
      <c r="P864" s="0" t="s">
        <v>43</v>
      </c>
      <c r="R864" s="3"/>
      <c r="S864" s="2" t="s">
        <v>28</v>
      </c>
    </row>
    <row r="865" customFormat="false" ht="15" hidden="false" customHeight="false" outlineLevel="0" collapsed="false">
      <c r="A865" s="0" t="n">
        <v>864</v>
      </c>
      <c r="D865" s="0" t="s">
        <v>2032</v>
      </c>
      <c r="E865" s="0" t="s">
        <v>20</v>
      </c>
      <c r="H865" s="0" t="s">
        <v>21</v>
      </c>
      <c r="I865" s="2" t="s">
        <v>22</v>
      </c>
      <c r="J865" s="2" t="s">
        <v>854</v>
      </c>
      <c r="K865" s="0" t="s">
        <v>855</v>
      </c>
      <c r="L865" s="0" t="s">
        <v>420</v>
      </c>
      <c r="M865" s="0" t="s">
        <v>857</v>
      </c>
      <c r="N865" s="0" t="s">
        <v>2033</v>
      </c>
      <c r="O865" s="0" t="n">
        <v>1</v>
      </c>
      <c r="P865" s="0" t="s">
        <v>422</v>
      </c>
      <c r="R865" s="3"/>
      <c r="S865" s="2" t="s">
        <v>28</v>
      </c>
    </row>
    <row r="866" customFormat="false" ht="15" hidden="false" customHeight="false" outlineLevel="0" collapsed="false">
      <c r="A866" s="0" t="n">
        <v>865</v>
      </c>
      <c r="D866" s="0" t="s">
        <v>2034</v>
      </c>
      <c r="E866" s="0" t="s">
        <v>20</v>
      </c>
      <c r="H866" s="0" t="s">
        <v>21</v>
      </c>
      <c r="I866" s="2" t="s">
        <v>22</v>
      </c>
      <c r="J866" s="2" t="s">
        <v>854</v>
      </c>
      <c r="K866" s="0" t="s">
        <v>855</v>
      </c>
      <c r="L866" s="0" t="s">
        <v>25</v>
      </c>
      <c r="M866" s="0" t="s">
        <v>857</v>
      </c>
      <c r="N866" s="0" t="s">
        <v>2035</v>
      </c>
      <c r="O866" s="0" t="n">
        <v>1</v>
      </c>
      <c r="R866" s="3"/>
      <c r="S866" s="2" t="s">
        <v>28</v>
      </c>
    </row>
    <row r="867" customFormat="false" ht="15" hidden="false" customHeight="false" outlineLevel="0" collapsed="false">
      <c r="A867" s="0" t="n">
        <v>866</v>
      </c>
      <c r="D867" s="0" t="s">
        <v>2036</v>
      </c>
      <c r="E867" s="0" t="s">
        <v>20</v>
      </c>
      <c r="H867" s="0" t="s">
        <v>21</v>
      </c>
      <c r="I867" s="2" t="s">
        <v>22</v>
      </c>
      <c r="J867" s="2" t="s">
        <v>854</v>
      </c>
      <c r="K867" s="0" t="s">
        <v>855</v>
      </c>
      <c r="L867" s="0" t="s">
        <v>25</v>
      </c>
      <c r="M867" s="0" t="s">
        <v>857</v>
      </c>
      <c r="N867" s="0" t="s">
        <v>2037</v>
      </c>
      <c r="O867" s="0" t="n">
        <v>1</v>
      </c>
      <c r="R867" s="3"/>
      <c r="S867" s="2" t="s">
        <v>28</v>
      </c>
    </row>
    <row r="868" customFormat="false" ht="15" hidden="false" customHeight="false" outlineLevel="0" collapsed="false">
      <c r="A868" s="0" t="n">
        <v>867</v>
      </c>
      <c r="D868" s="0" t="s">
        <v>2038</v>
      </c>
      <c r="E868" s="0" t="s">
        <v>20</v>
      </c>
      <c r="H868" s="0" t="s">
        <v>21</v>
      </c>
      <c r="I868" s="2" t="s">
        <v>22</v>
      </c>
      <c r="J868" s="2" t="s">
        <v>854</v>
      </c>
      <c r="K868" s="0" t="s">
        <v>855</v>
      </c>
      <c r="L868" s="0" t="s">
        <v>25</v>
      </c>
      <c r="M868" s="0" t="s">
        <v>857</v>
      </c>
      <c r="N868" s="0" t="s">
        <v>2039</v>
      </c>
      <c r="O868" s="0" t="n">
        <v>1</v>
      </c>
      <c r="R868" s="3"/>
      <c r="S868" s="2" t="s">
        <v>28</v>
      </c>
    </row>
    <row r="869" customFormat="false" ht="15" hidden="false" customHeight="false" outlineLevel="0" collapsed="false">
      <c r="A869" s="0" t="n">
        <v>868</v>
      </c>
      <c r="D869" s="0" t="s">
        <v>2040</v>
      </c>
      <c r="E869" s="0" t="s">
        <v>253</v>
      </c>
      <c r="H869" s="0" t="s">
        <v>21</v>
      </c>
      <c r="I869" s="2" t="s">
        <v>22</v>
      </c>
      <c r="J869" s="2" t="s">
        <v>854</v>
      </c>
      <c r="K869" s="0" t="s">
        <v>855</v>
      </c>
      <c r="L869" s="0" t="s">
        <v>2041</v>
      </c>
      <c r="M869" s="0" t="s">
        <v>857</v>
      </c>
      <c r="N869" s="0" t="s">
        <v>2042</v>
      </c>
      <c r="O869" s="0" t="n">
        <v>1</v>
      </c>
      <c r="P869" s="0" t="s">
        <v>253</v>
      </c>
      <c r="Q869" s="0" t="s">
        <v>2043</v>
      </c>
      <c r="R869" s="3"/>
      <c r="S869" s="2" t="s">
        <v>2044</v>
      </c>
    </row>
    <row r="870" customFormat="false" ht="15" hidden="false" customHeight="false" outlineLevel="0" collapsed="false">
      <c r="A870" s="0" t="n">
        <v>869</v>
      </c>
      <c r="D870" s="0" t="s">
        <v>2045</v>
      </c>
      <c r="E870" s="0" t="s">
        <v>253</v>
      </c>
      <c r="H870" s="0" t="s">
        <v>21</v>
      </c>
      <c r="I870" s="2" t="s">
        <v>22</v>
      </c>
      <c r="J870" s="2" t="s">
        <v>854</v>
      </c>
      <c r="K870" s="0" t="s">
        <v>855</v>
      </c>
      <c r="L870" s="0" t="s">
        <v>2046</v>
      </c>
      <c r="M870" s="0" t="s">
        <v>857</v>
      </c>
      <c r="N870" s="0" t="s">
        <v>2047</v>
      </c>
      <c r="O870" s="0" t="n">
        <v>1</v>
      </c>
      <c r="P870" s="0" t="s">
        <v>253</v>
      </c>
      <c r="Q870" s="0" t="s">
        <v>2048</v>
      </c>
      <c r="R870" s="3"/>
      <c r="S870" s="2" t="s">
        <v>2049</v>
      </c>
    </row>
    <row r="871" customFormat="false" ht="15" hidden="false" customHeight="false" outlineLevel="0" collapsed="false">
      <c r="A871" s="0" t="n">
        <v>870</v>
      </c>
      <c r="D871" s="0" t="s">
        <v>2050</v>
      </c>
      <c r="E871" s="0" t="s">
        <v>20</v>
      </c>
      <c r="H871" s="0" t="s">
        <v>21</v>
      </c>
      <c r="I871" s="2" t="s">
        <v>22</v>
      </c>
      <c r="J871" s="2" t="s">
        <v>854</v>
      </c>
      <c r="K871" s="0" t="s">
        <v>855</v>
      </c>
      <c r="L871" s="0" t="s">
        <v>25</v>
      </c>
      <c r="M871" s="0" t="s">
        <v>857</v>
      </c>
      <c r="N871" s="0" t="s">
        <v>2051</v>
      </c>
      <c r="O871" s="0" t="n">
        <v>1</v>
      </c>
      <c r="R871" s="3"/>
      <c r="S871" s="2" t="s">
        <v>28</v>
      </c>
    </row>
    <row r="872" customFormat="false" ht="15" hidden="false" customHeight="false" outlineLevel="0" collapsed="false">
      <c r="A872" s="0" t="n">
        <v>871</v>
      </c>
      <c r="D872" s="0" t="s">
        <v>2052</v>
      </c>
      <c r="E872" s="0" t="s">
        <v>253</v>
      </c>
      <c r="H872" s="0" t="s">
        <v>21</v>
      </c>
      <c r="I872" s="2" t="s">
        <v>22</v>
      </c>
      <c r="J872" s="2" t="s">
        <v>854</v>
      </c>
      <c r="K872" s="0" t="s">
        <v>855</v>
      </c>
      <c r="L872" s="0" t="s">
        <v>25</v>
      </c>
      <c r="M872" s="0" t="s">
        <v>857</v>
      </c>
      <c r="N872" s="0" t="s">
        <v>2053</v>
      </c>
      <c r="O872" s="0" t="n">
        <v>1</v>
      </c>
      <c r="P872" s="0" t="s">
        <v>253</v>
      </c>
      <c r="R872" s="3"/>
      <c r="S872" s="2" t="s">
        <v>28</v>
      </c>
    </row>
    <row r="873" customFormat="false" ht="15" hidden="false" customHeight="false" outlineLevel="0" collapsed="false">
      <c r="A873" s="0" t="n">
        <v>872</v>
      </c>
      <c r="D873" s="0" t="s">
        <v>2054</v>
      </c>
      <c r="E873" s="0" t="s">
        <v>20</v>
      </c>
      <c r="H873" s="0" t="s">
        <v>21</v>
      </c>
      <c r="I873" s="2" t="s">
        <v>22</v>
      </c>
      <c r="J873" s="2" t="s">
        <v>854</v>
      </c>
      <c r="K873" s="0" t="s">
        <v>855</v>
      </c>
      <c r="L873" s="0" t="s">
        <v>25</v>
      </c>
      <c r="M873" s="0" t="s">
        <v>857</v>
      </c>
      <c r="N873" s="0" t="s">
        <v>2055</v>
      </c>
      <c r="O873" s="0" t="n">
        <v>1</v>
      </c>
      <c r="R873" s="3"/>
      <c r="S873" s="2" t="s">
        <v>28</v>
      </c>
    </row>
    <row r="874" customFormat="false" ht="15" hidden="false" customHeight="false" outlineLevel="0" collapsed="false">
      <c r="A874" s="0" t="n">
        <v>873</v>
      </c>
      <c r="D874" s="0" t="s">
        <v>2056</v>
      </c>
      <c r="E874" s="0" t="s">
        <v>73</v>
      </c>
      <c r="H874" s="0" t="s">
        <v>21</v>
      </c>
      <c r="I874" s="2" t="s">
        <v>22</v>
      </c>
      <c r="J874" s="2" t="s">
        <v>854</v>
      </c>
      <c r="K874" s="0" t="s">
        <v>855</v>
      </c>
      <c r="L874" s="0" t="s">
        <v>25</v>
      </c>
      <c r="M874" s="0" t="s">
        <v>857</v>
      </c>
      <c r="N874" s="0" t="s">
        <v>2057</v>
      </c>
      <c r="O874" s="0" t="n">
        <v>1</v>
      </c>
      <c r="P874" s="0" t="s">
        <v>73</v>
      </c>
      <c r="R874" s="3"/>
      <c r="S874" s="2" t="s">
        <v>28</v>
      </c>
    </row>
    <row r="875" customFormat="false" ht="15" hidden="false" customHeight="false" outlineLevel="0" collapsed="false">
      <c r="A875" s="0" t="n">
        <v>874</v>
      </c>
      <c r="D875" s="0" t="s">
        <v>2058</v>
      </c>
      <c r="E875" s="0" t="s">
        <v>20</v>
      </c>
      <c r="H875" s="0" t="s">
        <v>21</v>
      </c>
      <c r="I875" s="2" t="s">
        <v>22</v>
      </c>
      <c r="J875" s="2" t="s">
        <v>854</v>
      </c>
      <c r="K875" s="0" t="s">
        <v>855</v>
      </c>
      <c r="L875" s="0" t="s">
        <v>25</v>
      </c>
      <c r="M875" s="0" t="s">
        <v>857</v>
      </c>
      <c r="N875" s="0" t="s">
        <v>2059</v>
      </c>
      <c r="O875" s="0" t="n">
        <v>1</v>
      </c>
      <c r="R875" s="3"/>
      <c r="S875" s="2" t="s">
        <v>28</v>
      </c>
    </row>
    <row r="876" customFormat="false" ht="15" hidden="false" customHeight="false" outlineLevel="0" collapsed="false">
      <c r="A876" s="0" t="n">
        <v>875</v>
      </c>
      <c r="D876" s="0" t="s">
        <v>2060</v>
      </c>
      <c r="E876" s="0" t="s">
        <v>20</v>
      </c>
      <c r="H876" s="0" t="s">
        <v>21</v>
      </c>
      <c r="I876" s="2" t="s">
        <v>22</v>
      </c>
      <c r="J876" s="2" t="s">
        <v>854</v>
      </c>
      <c r="K876" s="0" t="s">
        <v>855</v>
      </c>
      <c r="L876" s="0" t="s">
        <v>25</v>
      </c>
      <c r="M876" s="0" t="s">
        <v>857</v>
      </c>
      <c r="N876" s="0" t="s">
        <v>2061</v>
      </c>
      <c r="O876" s="0" t="n">
        <v>1</v>
      </c>
      <c r="R876" s="3"/>
      <c r="S876" s="2" t="s">
        <v>28</v>
      </c>
    </row>
    <row r="877" customFormat="false" ht="15" hidden="false" customHeight="false" outlineLevel="0" collapsed="false">
      <c r="A877" s="0" t="n">
        <v>876</v>
      </c>
      <c r="D877" s="0" t="s">
        <v>2062</v>
      </c>
      <c r="E877" s="0" t="s">
        <v>522</v>
      </c>
      <c r="H877" s="0" t="s">
        <v>21</v>
      </c>
      <c r="I877" s="2" t="s">
        <v>22</v>
      </c>
      <c r="J877" s="2" t="s">
        <v>854</v>
      </c>
      <c r="K877" s="0" t="s">
        <v>855</v>
      </c>
      <c r="L877" s="0" t="s">
        <v>25</v>
      </c>
      <c r="M877" s="0" t="s">
        <v>857</v>
      </c>
      <c r="N877" s="0" t="s">
        <v>2063</v>
      </c>
      <c r="O877" s="0" t="n">
        <v>1</v>
      </c>
      <c r="P877" s="0" t="s">
        <v>522</v>
      </c>
      <c r="R877" s="3"/>
      <c r="S877" s="2" t="s">
        <v>28</v>
      </c>
    </row>
    <row r="878" customFormat="false" ht="15" hidden="false" customHeight="false" outlineLevel="0" collapsed="false">
      <c r="A878" s="0" t="n">
        <v>877</v>
      </c>
      <c r="D878" s="0" t="s">
        <v>2064</v>
      </c>
      <c r="E878" s="0" t="s">
        <v>20</v>
      </c>
      <c r="H878" s="0" t="s">
        <v>21</v>
      </c>
      <c r="I878" s="2" t="s">
        <v>22</v>
      </c>
      <c r="J878" s="2" t="s">
        <v>854</v>
      </c>
      <c r="K878" s="0" t="s">
        <v>855</v>
      </c>
      <c r="L878" s="0" t="s">
        <v>25</v>
      </c>
      <c r="M878" s="0" t="s">
        <v>857</v>
      </c>
      <c r="N878" s="0" t="s">
        <v>2065</v>
      </c>
      <c r="O878" s="0" t="n">
        <v>1</v>
      </c>
      <c r="R878" s="3"/>
      <c r="S878" s="2" t="s">
        <v>28</v>
      </c>
    </row>
    <row r="879" customFormat="false" ht="15" hidden="false" customHeight="false" outlineLevel="0" collapsed="false">
      <c r="A879" s="0" t="n">
        <v>878</v>
      </c>
      <c r="D879" s="0" t="s">
        <v>2066</v>
      </c>
      <c r="E879" s="0" t="s">
        <v>20</v>
      </c>
      <c r="H879" s="0" t="s">
        <v>21</v>
      </c>
      <c r="I879" s="2" t="s">
        <v>22</v>
      </c>
      <c r="J879" s="2" t="s">
        <v>854</v>
      </c>
      <c r="K879" s="0" t="s">
        <v>855</v>
      </c>
      <c r="L879" s="0" t="s">
        <v>25</v>
      </c>
      <c r="M879" s="0" t="s">
        <v>857</v>
      </c>
      <c r="N879" s="0" t="s">
        <v>2067</v>
      </c>
      <c r="O879" s="0" t="n">
        <v>1</v>
      </c>
      <c r="R879" s="3"/>
      <c r="S879" s="2" t="s">
        <v>28</v>
      </c>
    </row>
    <row r="880" customFormat="false" ht="15" hidden="false" customHeight="false" outlineLevel="0" collapsed="false">
      <c r="A880" s="0" t="n">
        <v>879</v>
      </c>
      <c r="D880" s="0" t="s">
        <v>2068</v>
      </c>
      <c r="E880" s="0" t="s">
        <v>253</v>
      </c>
      <c r="H880" s="0" t="s">
        <v>21</v>
      </c>
      <c r="I880" s="2" t="s">
        <v>22</v>
      </c>
      <c r="J880" s="2" t="s">
        <v>854</v>
      </c>
      <c r="K880" s="0" t="s">
        <v>855</v>
      </c>
      <c r="L880" s="0" t="s">
        <v>25</v>
      </c>
      <c r="M880" s="0" t="s">
        <v>857</v>
      </c>
      <c r="N880" s="0" t="s">
        <v>2069</v>
      </c>
      <c r="O880" s="0" t="n">
        <v>1</v>
      </c>
      <c r="P880" s="0" t="s">
        <v>253</v>
      </c>
      <c r="R880" s="3"/>
      <c r="S880" s="2" t="s">
        <v>28</v>
      </c>
    </row>
    <row r="881" customFormat="false" ht="15" hidden="false" customHeight="false" outlineLevel="0" collapsed="false">
      <c r="A881" s="0" t="n">
        <v>880</v>
      </c>
      <c r="D881" s="0" t="s">
        <v>2070</v>
      </c>
      <c r="E881" s="0" t="s">
        <v>253</v>
      </c>
      <c r="H881" s="0" t="s">
        <v>21</v>
      </c>
      <c r="I881" s="2" t="s">
        <v>22</v>
      </c>
      <c r="J881" s="2" t="s">
        <v>854</v>
      </c>
      <c r="K881" s="0" t="s">
        <v>855</v>
      </c>
      <c r="L881" s="0" t="s">
        <v>25</v>
      </c>
      <c r="M881" s="0" t="s">
        <v>857</v>
      </c>
      <c r="N881" s="0" t="s">
        <v>2071</v>
      </c>
      <c r="O881" s="0" t="n">
        <v>1</v>
      </c>
      <c r="P881" s="0" t="s">
        <v>253</v>
      </c>
      <c r="R881" s="3"/>
      <c r="S881" s="2" t="s">
        <v>28</v>
      </c>
    </row>
    <row r="882" customFormat="false" ht="15" hidden="false" customHeight="false" outlineLevel="0" collapsed="false">
      <c r="A882" s="0" t="n">
        <v>881</v>
      </c>
      <c r="D882" s="0" t="s">
        <v>2072</v>
      </c>
      <c r="E882" s="0" t="s">
        <v>253</v>
      </c>
      <c r="H882" s="0" t="s">
        <v>21</v>
      </c>
      <c r="I882" s="2" t="s">
        <v>22</v>
      </c>
      <c r="J882" s="2" t="s">
        <v>854</v>
      </c>
      <c r="K882" s="0" t="s">
        <v>855</v>
      </c>
      <c r="L882" s="0" t="s">
        <v>25</v>
      </c>
      <c r="M882" s="0" t="s">
        <v>857</v>
      </c>
      <c r="N882" s="0" t="s">
        <v>2073</v>
      </c>
      <c r="O882" s="0" t="n">
        <v>1</v>
      </c>
      <c r="P882" s="0" t="s">
        <v>253</v>
      </c>
      <c r="R882" s="3"/>
      <c r="S882" s="2" t="s">
        <v>28</v>
      </c>
    </row>
    <row r="883" customFormat="false" ht="15" hidden="false" customHeight="false" outlineLevel="0" collapsed="false">
      <c r="A883" s="0" t="n">
        <v>882</v>
      </c>
      <c r="D883" s="0" t="s">
        <v>2074</v>
      </c>
      <c r="E883" s="0" t="s">
        <v>253</v>
      </c>
      <c r="H883" s="0" t="s">
        <v>21</v>
      </c>
      <c r="I883" s="2" t="s">
        <v>22</v>
      </c>
      <c r="J883" s="2" t="s">
        <v>854</v>
      </c>
      <c r="K883" s="0" t="s">
        <v>855</v>
      </c>
      <c r="L883" s="0" t="s">
        <v>25</v>
      </c>
      <c r="M883" s="0" t="s">
        <v>857</v>
      </c>
      <c r="N883" s="0" t="s">
        <v>2075</v>
      </c>
      <c r="O883" s="0" t="n">
        <v>1</v>
      </c>
      <c r="P883" s="0" t="s">
        <v>253</v>
      </c>
      <c r="R883" s="3"/>
      <c r="S883" s="2" t="s">
        <v>28</v>
      </c>
    </row>
    <row r="884" customFormat="false" ht="15" hidden="false" customHeight="false" outlineLevel="0" collapsed="false">
      <c r="A884" s="0" t="n">
        <v>883</v>
      </c>
      <c r="D884" s="0" t="s">
        <v>2076</v>
      </c>
      <c r="E884" s="0" t="s">
        <v>253</v>
      </c>
      <c r="H884" s="0" t="s">
        <v>21</v>
      </c>
      <c r="I884" s="2" t="s">
        <v>22</v>
      </c>
      <c r="J884" s="2" t="s">
        <v>854</v>
      </c>
      <c r="K884" s="0" t="s">
        <v>855</v>
      </c>
      <c r="L884" s="0" t="s">
        <v>25</v>
      </c>
      <c r="M884" s="0" t="s">
        <v>857</v>
      </c>
      <c r="N884" s="0" t="s">
        <v>2077</v>
      </c>
      <c r="O884" s="0" t="n">
        <v>1</v>
      </c>
      <c r="P884" s="0" t="s">
        <v>253</v>
      </c>
      <c r="R884" s="3"/>
      <c r="S884" s="2" t="s">
        <v>28</v>
      </c>
    </row>
    <row r="885" customFormat="false" ht="15" hidden="false" customHeight="false" outlineLevel="0" collapsed="false">
      <c r="A885" s="0" t="n">
        <v>884</v>
      </c>
      <c r="D885" s="0" t="s">
        <v>2078</v>
      </c>
      <c r="E885" s="0" t="s">
        <v>20</v>
      </c>
      <c r="H885" s="0" t="s">
        <v>21</v>
      </c>
      <c r="I885" s="2" t="s">
        <v>22</v>
      </c>
      <c r="J885" s="2" t="s">
        <v>854</v>
      </c>
      <c r="K885" s="0" t="s">
        <v>855</v>
      </c>
      <c r="L885" s="0" t="s">
        <v>25</v>
      </c>
      <c r="M885" s="0" t="s">
        <v>857</v>
      </c>
      <c r="N885" s="0" t="s">
        <v>2079</v>
      </c>
      <c r="O885" s="0" t="n">
        <v>1</v>
      </c>
      <c r="P885" s="0" t="s">
        <v>43</v>
      </c>
      <c r="R885" s="3"/>
      <c r="S885" s="2" t="s">
        <v>28</v>
      </c>
    </row>
    <row r="886" customFormat="false" ht="15" hidden="false" customHeight="false" outlineLevel="0" collapsed="false">
      <c r="A886" s="0" t="n">
        <v>885</v>
      </c>
      <c r="D886" s="0" t="s">
        <v>2080</v>
      </c>
      <c r="E886" s="0" t="s">
        <v>410</v>
      </c>
      <c r="H886" s="0" t="s">
        <v>21</v>
      </c>
      <c r="I886" s="2" t="s">
        <v>22</v>
      </c>
      <c r="J886" s="2" t="s">
        <v>854</v>
      </c>
      <c r="K886" s="0" t="s">
        <v>855</v>
      </c>
      <c r="L886" s="0" t="s">
        <v>25</v>
      </c>
      <c r="M886" s="0" t="s">
        <v>857</v>
      </c>
      <c r="N886" s="0" t="s">
        <v>2081</v>
      </c>
      <c r="O886" s="0" t="n">
        <v>1</v>
      </c>
      <c r="P886" s="0" t="s">
        <v>410</v>
      </c>
      <c r="R886" s="3"/>
      <c r="S886" s="2" t="s">
        <v>28</v>
      </c>
    </row>
    <row r="887" customFormat="false" ht="15" hidden="false" customHeight="false" outlineLevel="0" collapsed="false">
      <c r="A887" s="0" t="n">
        <v>886</v>
      </c>
      <c r="D887" s="0" t="s">
        <v>2082</v>
      </c>
      <c r="E887" s="0" t="s">
        <v>20</v>
      </c>
      <c r="H887" s="0" t="s">
        <v>21</v>
      </c>
      <c r="I887" s="2" t="s">
        <v>22</v>
      </c>
      <c r="J887" s="2" t="s">
        <v>854</v>
      </c>
      <c r="K887" s="0" t="s">
        <v>855</v>
      </c>
      <c r="L887" s="0" t="s">
        <v>25</v>
      </c>
      <c r="M887" s="0" t="s">
        <v>857</v>
      </c>
      <c r="N887" s="0" t="s">
        <v>2083</v>
      </c>
      <c r="O887" s="0" t="n">
        <v>1</v>
      </c>
      <c r="R887" s="3"/>
      <c r="S887" s="2" t="s">
        <v>28</v>
      </c>
    </row>
    <row r="888" customFormat="false" ht="15" hidden="false" customHeight="false" outlineLevel="0" collapsed="false">
      <c r="A888" s="0" t="n">
        <v>887</v>
      </c>
      <c r="D888" s="0" t="s">
        <v>2084</v>
      </c>
      <c r="E888" s="0" t="s">
        <v>20</v>
      </c>
      <c r="H888" s="0" t="s">
        <v>21</v>
      </c>
      <c r="I888" s="2" t="s">
        <v>22</v>
      </c>
      <c r="J888" s="2" t="s">
        <v>854</v>
      </c>
      <c r="K888" s="0" t="s">
        <v>855</v>
      </c>
      <c r="L888" s="0" t="s">
        <v>25</v>
      </c>
      <c r="M888" s="0" t="s">
        <v>857</v>
      </c>
      <c r="N888" s="0" t="s">
        <v>2085</v>
      </c>
      <c r="O888" s="0" t="n">
        <v>1</v>
      </c>
      <c r="R888" s="3"/>
      <c r="S888" s="2" t="s">
        <v>28</v>
      </c>
    </row>
    <row r="889" customFormat="false" ht="15" hidden="false" customHeight="false" outlineLevel="0" collapsed="false">
      <c r="A889" s="0" t="n">
        <v>888</v>
      </c>
      <c r="D889" s="0" t="s">
        <v>2086</v>
      </c>
      <c r="E889" s="0" t="s">
        <v>20</v>
      </c>
      <c r="H889" s="0" t="s">
        <v>21</v>
      </c>
      <c r="I889" s="2" t="s">
        <v>22</v>
      </c>
      <c r="J889" s="2" t="s">
        <v>854</v>
      </c>
      <c r="K889" s="0" t="s">
        <v>855</v>
      </c>
      <c r="L889" s="0" t="s">
        <v>25</v>
      </c>
      <c r="M889" s="0" t="s">
        <v>857</v>
      </c>
      <c r="N889" s="0" t="s">
        <v>2087</v>
      </c>
      <c r="O889" s="0" t="n">
        <v>1</v>
      </c>
      <c r="R889" s="3"/>
      <c r="S889" s="2" t="s">
        <v>28</v>
      </c>
    </row>
    <row r="890" customFormat="false" ht="15" hidden="false" customHeight="false" outlineLevel="0" collapsed="false">
      <c r="A890" s="0" t="n">
        <v>889</v>
      </c>
      <c r="D890" s="0" t="s">
        <v>2088</v>
      </c>
      <c r="E890" s="0" t="s">
        <v>20</v>
      </c>
      <c r="H890" s="0" t="s">
        <v>21</v>
      </c>
      <c r="I890" s="2" t="s">
        <v>22</v>
      </c>
      <c r="J890" s="2" t="s">
        <v>854</v>
      </c>
      <c r="K890" s="0" t="s">
        <v>855</v>
      </c>
      <c r="L890" s="0" t="s">
        <v>25</v>
      </c>
      <c r="M890" s="0" t="s">
        <v>857</v>
      </c>
      <c r="N890" s="0" t="s">
        <v>2089</v>
      </c>
      <c r="O890" s="0" t="n">
        <v>1</v>
      </c>
      <c r="R890" s="3"/>
      <c r="S890" s="2" t="s">
        <v>28</v>
      </c>
    </row>
    <row r="891" customFormat="false" ht="15" hidden="false" customHeight="false" outlineLevel="0" collapsed="false">
      <c r="A891" s="0" t="n">
        <v>890</v>
      </c>
      <c r="D891" s="0" t="s">
        <v>2090</v>
      </c>
      <c r="E891" s="0" t="s">
        <v>20</v>
      </c>
      <c r="H891" s="0" t="s">
        <v>21</v>
      </c>
      <c r="I891" s="2" t="s">
        <v>22</v>
      </c>
      <c r="J891" s="2" t="s">
        <v>854</v>
      </c>
      <c r="K891" s="0" t="s">
        <v>855</v>
      </c>
      <c r="L891" s="0" t="s">
        <v>25</v>
      </c>
      <c r="M891" s="0" t="s">
        <v>857</v>
      </c>
      <c r="N891" s="0" t="s">
        <v>2091</v>
      </c>
      <c r="O891" s="0" t="n">
        <v>1</v>
      </c>
      <c r="R891" s="3"/>
      <c r="S891" s="2" t="s">
        <v>28</v>
      </c>
    </row>
    <row r="892" customFormat="false" ht="15" hidden="false" customHeight="false" outlineLevel="0" collapsed="false">
      <c r="A892" s="0" t="n">
        <v>891</v>
      </c>
      <c r="D892" s="0" t="s">
        <v>2092</v>
      </c>
      <c r="E892" s="0" t="s">
        <v>20</v>
      </c>
      <c r="H892" s="0" t="s">
        <v>21</v>
      </c>
      <c r="I892" s="2" t="s">
        <v>22</v>
      </c>
      <c r="J892" s="2" t="s">
        <v>854</v>
      </c>
      <c r="K892" s="0" t="s">
        <v>855</v>
      </c>
      <c r="L892" s="0" t="s">
        <v>25</v>
      </c>
      <c r="M892" s="0" t="s">
        <v>857</v>
      </c>
      <c r="N892" s="0" t="s">
        <v>2093</v>
      </c>
      <c r="O892" s="0" t="n">
        <v>1</v>
      </c>
      <c r="R892" s="3"/>
      <c r="S892" s="2" t="s">
        <v>28</v>
      </c>
    </row>
    <row r="893" customFormat="false" ht="15" hidden="false" customHeight="false" outlineLevel="0" collapsed="false">
      <c r="A893" s="0" t="n">
        <v>892</v>
      </c>
      <c r="D893" s="0" t="s">
        <v>2094</v>
      </c>
      <c r="E893" s="0" t="s">
        <v>20</v>
      </c>
      <c r="H893" s="0" t="s">
        <v>21</v>
      </c>
      <c r="I893" s="2" t="s">
        <v>22</v>
      </c>
      <c r="J893" s="2" t="s">
        <v>854</v>
      </c>
      <c r="K893" s="0" t="s">
        <v>855</v>
      </c>
      <c r="L893" s="0" t="s">
        <v>25</v>
      </c>
      <c r="M893" s="0" t="s">
        <v>857</v>
      </c>
      <c r="N893" s="0" t="s">
        <v>2095</v>
      </c>
      <c r="O893" s="0" t="n">
        <v>1</v>
      </c>
      <c r="R893" s="3"/>
      <c r="S893" s="2" t="s">
        <v>28</v>
      </c>
    </row>
    <row r="894" customFormat="false" ht="15" hidden="false" customHeight="false" outlineLevel="0" collapsed="false">
      <c r="A894" s="0" t="n">
        <v>893</v>
      </c>
      <c r="D894" s="0" t="s">
        <v>2096</v>
      </c>
      <c r="E894" s="0" t="s">
        <v>268</v>
      </c>
      <c r="H894" s="0" t="s">
        <v>21</v>
      </c>
      <c r="I894" s="2" t="s">
        <v>22</v>
      </c>
      <c r="J894" s="2" t="s">
        <v>854</v>
      </c>
      <c r="K894" s="0" t="s">
        <v>855</v>
      </c>
      <c r="L894" s="0" t="s">
        <v>25</v>
      </c>
      <c r="M894" s="0" t="s">
        <v>857</v>
      </c>
      <c r="N894" s="0" t="s">
        <v>2097</v>
      </c>
      <c r="O894" s="0" t="n">
        <v>1</v>
      </c>
      <c r="P894" s="0" t="s">
        <v>268</v>
      </c>
      <c r="R894" s="3"/>
      <c r="S894" s="2" t="s">
        <v>28</v>
      </c>
    </row>
    <row r="895" customFormat="false" ht="15" hidden="false" customHeight="false" outlineLevel="0" collapsed="false">
      <c r="A895" s="0" t="n">
        <v>894</v>
      </c>
      <c r="D895" s="0" t="s">
        <v>2098</v>
      </c>
      <c r="E895" s="0" t="s">
        <v>20</v>
      </c>
      <c r="H895" s="0" t="s">
        <v>21</v>
      </c>
      <c r="I895" s="2" t="s">
        <v>22</v>
      </c>
      <c r="J895" s="2" t="s">
        <v>854</v>
      </c>
      <c r="K895" s="0" t="s">
        <v>855</v>
      </c>
      <c r="L895" s="0" t="s">
        <v>25</v>
      </c>
      <c r="M895" s="0" t="s">
        <v>857</v>
      </c>
      <c r="N895" s="0" t="s">
        <v>2099</v>
      </c>
      <c r="O895" s="0" t="n">
        <v>1</v>
      </c>
      <c r="R895" s="3"/>
      <c r="S895" s="2" t="s">
        <v>28</v>
      </c>
    </row>
    <row r="896" customFormat="false" ht="15" hidden="false" customHeight="false" outlineLevel="0" collapsed="false">
      <c r="A896" s="0" t="n">
        <v>895</v>
      </c>
      <c r="D896" s="0" t="s">
        <v>2100</v>
      </c>
      <c r="E896" s="0" t="s">
        <v>20</v>
      </c>
      <c r="H896" s="0" t="s">
        <v>21</v>
      </c>
      <c r="I896" s="2" t="s">
        <v>22</v>
      </c>
      <c r="J896" s="2" t="s">
        <v>854</v>
      </c>
      <c r="K896" s="0" t="s">
        <v>855</v>
      </c>
      <c r="L896" s="0" t="s">
        <v>25</v>
      </c>
      <c r="M896" s="0" t="s">
        <v>857</v>
      </c>
      <c r="N896" s="0" t="s">
        <v>2101</v>
      </c>
      <c r="O896" s="0" t="n">
        <v>1</v>
      </c>
      <c r="R896" s="3"/>
      <c r="S896" s="2" t="s">
        <v>28</v>
      </c>
    </row>
    <row r="897" customFormat="false" ht="15" hidden="false" customHeight="false" outlineLevel="0" collapsed="false">
      <c r="A897" s="0" t="n">
        <v>896</v>
      </c>
      <c r="D897" s="0" t="s">
        <v>2102</v>
      </c>
      <c r="E897" s="0" t="s">
        <v>20</v>
      </c>
      <c r="H897" s="0" t="s">
        <v>21</v>
      </c>
      <c r="I897" s="2" t="s">
        <v>22</v>
      </c>
      <c r="J897" s="2" t="s">
        <v>854</v>
      </c>
      <c r="K897" s="0" t="s">
        <v>855</v>
      </c>
      <c r="L897" s="0" t="s">
        <v>25</v>
      </c>
      <c r="M897" s="0" t="s">
        <v>857</v>
      </c>
      <c r="N897" s="0" t="s">
        <v>2103</v>
      </c>
      <c r="O897" s="0" t="n">
        <v>1</v>
      </c>
      <c r="R897" s="3"/>
      <c r="S897" s="2" t="s">
        <v>28</v>
      </c>
    </row>
    <row r="898" customFormat="false" ht="15" hidden="false" customHeight="false" outlineLevel="0" collapsed="false">
      <c r="A898" s="0" t="n">
        <v>897</v>
      </c>
      <c r="D898" s="0" t="s">
        <v>2104</v>
      </c>
      <c r="E898" s="0" t="s">
        <v>20</v>
      </c>
      <c r="H898" s="0" t="s">
        <v>21</v>
      </c>
      <c r="I898" s="2" t="s">
        <v>22</v>
      </c>
      <c r="J898" s="2" t="s">
        <v>854</v>
      </c>
      <c r="K898" s="0" t="s">
        <v>855</v>
      </c>
      <c r="L898" s="0" t="s">
        <v>25</v>
      </c>
      <c r="M898" s="0" t="s">
        <v>857</v>
      </c>
      <c r="N898" s="0" t="s">
        <v>2105</v>
      </c>
      <c r="O898" s="0" t="n">
        <v>1</v>
      </c>
      <c r="R898" s="3"/>
      <c r="S898" s="2" t="s">
        <v>28</v>
      </c>
    </row>
    <row r="899" customFormat="false" ht="15" hidden="false" customHeight="false" outlineLevel="0" collapsed="false">
      <c r="A899" s="0" t="n">
        <v>898</v>
      </c>
      <c r="D899" s="0" t="s">
        <v>2106</v>
      </c>
      <c r="E899" s="0" t="s">
        <v>20</v>
      </c>
      <c r="H899" s="0" t="s">
        <v>21</v>
      </c>
      <c r="I899" s="2" t="s">
        <v>22</v>
      </c>
      <c r="J899" s="2" t="s">
        <v>854</v>
      </c>
      <c r="K899" s="0" t="s">
        <v>855</v>
      </c>
      <c r="L899" s="0" t="s">
        <v>25</v>
      </c>
      <c r="M899" s="0" t="s">
        <v>857</v>
      </c>
      <c r="N899" s="0" t="s">
        <v>452</v>
      </c>
      <c r="O899" s="0" t="n">
        <v>1</v>
      </c>
      <c r="R899" s="3"/>
      <c r="S899" s="2" t="s">
        <v>28</v>
      </c>
    </row>
    <row r="900" customFormat="false" ht="15" hidden="false" customHeight="false" outlineLevel="0" collapsed="false">
      <c r="A900" s="0" t="n">
        <v>899</v>
      </c>
      <c r="D900" s="0" t="s">
        <v>2107</v>
      </c>
      <c r="E900" s="0" t="s">
        <v>20</v>
      </c>
      <c r="H900" s="0" t="s">
        <v>21</v>
      </c>
      <c r="I900" s="2" t="s">
        <v>22</v>
      </c>
      <c r="J900" s="2" t="s">
        <v>854</v>
      </c>
      <c r="K900" s="0" t="s">
        <v>855</v>
      </c>
      <c r="L900" s="0" t="s">
        <v>25</v>
      </c>
      <c r="M900" s="0" t="s">
        <v>857</v>
      </c>
      <c r="N900" s="0" t="s">
        <v>2108</v>
      </c>
      <c r="O900" s="0" t="n">
        <v>1</v>
      </c>
      <c r="R900" s="3"/>
      <c r="S900" s="2" t="s">
        <v>28</v>
      </c>
    </row>
    <row r="901" customFormat="false" ht="15" hidden="false" customHeight="false" outlineLevel="0" collapsed="false">
      <c r="A901" s="0" t="n">
        <v>900</v>
      </c>
      <c r="D901" s="0" t="s">
        <v>2109</v>
      </c>
      <c r="E901" s="0" t="s">
        <v>20</v>
      </c>
      <c r="H901" s="0" t="s">
        <v>21</v>
      </c>
      <c r="I901" s="2" t="s">
        <v>22</v>
      </c>
      <c r="J901" s="2" t="s">
        <v>854</v>
      </c>
      <c r="K901" s="0" t="s">
        <v>855</v>
      </c>
      <c r="L901" s="0" t="s">
        <v>25</v>
      </c>
      <c r="M901" s="0" t="s">
        <v>857</v>
      </c>
      <c r="N901" s="0" t="s">
        <v>2110</v>
      </c>
      <c r="O901" s="0" t="n">
        <v>1</v>
      </c>
      <c r="R901" s="3"/>
      <c r="S901" s="2" t="s">
        <v>28</v>
      </c>
    </row>
    <row r="902" customFormat="false" ht="15" hidden="false" customHeight="false" outlineLevel="0" collapsed="false">
      <c r="A902" s="0" t="n">
        <v>901</v>
      </c>
      <c r="D902" s="0" t="s">
        <v>2111</v>
      </c>
      <c r="E902" s="0" t="s">
        <v>20</v>
      </c>
      <c r="H902" s="0" t="s">
        <v>21</v>
      </c>
      <c r="I902" s="2" t="s">
        <v>22</v>
      </c>
      <c r="J902" s="2" t="s">
        <v>854</v>
      </c>
      <c r="K902" s="0" t="s">
        <v>855</v>
      </c>
      <c r="L902" s="0" t="s">
        <v>25</v>
      </c>
      <c r="M902" s="0" t="s">
        <v>857</v>
      </c>
      <c r="N902" s="0" t="s">
        <v>2112</v>
      </c>
      <c r="O902" s="0" t="n">
        <v>1</v>
      </c>
      <c r="R902" s="3"/>
      <c r="S902" s="2" t="s">
        <v>28</v>
      </c>
    </row>
    <row r="903" customFormat="false" ht="15" hidden="false" customHeight="false" outlineLevel="0" collapsed="false">
      <c r="A903" s="0" t="n">
        <v>902</v>
      </c>
      <c r="D903" s="0" t="s">
        <v>2113</v>
      </c>
      <c r="E903" s="0" t="s">
        <v>20</v>
      </c>
      <c r="H903" s="0" t="s">
        <v>21</v>
      </c>
      <c r="I903" s="2" t="s">
        <v>22</v>
      </c>
      <c r="J903" s="2" t="s">
        <v>854</v>
      </c>
      <c r="K903" s="0" t="s">
        <v>855</v>
      </c>
      <c r="L903" s="0" t="s">
        <v>25</v>
      </c>
      <c r="M903" s="0" t="s">
        <v>857</v>
      </c>
      <c r="N903" s="0" t="s">
        <v>2114</v>
      </c>
      <c r="O903" s="0" t="n">
        <v>1</v>
      </c>
      <c r="R903" s="3"/>
      <c r="S903" s="2" t="s">
        <v>28</v>
      </c>
    </row>
    <row r="904" customFormat="false" ht="15" hidden="false" customHeight="false" outlineLevel="0" collapsed="false">
      <c r="A904" s="0" t="n">
        <v>903</v>
      </c>
      <c r="D904" s="0" t="s">
        <v>2115</v>
      </c>
      <c r="E904" s="0" t="s">
        <v>210</v>
      </c>
      <c r="H904" s="0" t="s">
        <v>21</v>
      </c>
      <c r="I904" s="2" t="s">
        <v>22</v>
      </c>
      <c r="J904" s="2" t="s">
        <v>854</v>
      </c>
      <c r="K904" s="0" t="s">
        <v>855</v>
      </c>
      <c r="L904" s="0" t="s">
        <v>25</v>
      </c>
      <c r="M904" s="0" t="s">
        <v>857</v>
      </c>
      <c r="N904" s="0" t="s">
        <v>2116</v>
      </c>
      <c r="O904" s="0" t="n">
        <v>1</v>
      </c>
      <c r="P904" s="0" t="s">
        <v>210</v>
      </c>
      <c r="R904" s="3"/>
      <c r="S904" s="2" t="s">
        <v>28</v>
      </c>
    </row>
    <row r="905" customFormat="false" ht="15" hidden="false" customHeight="false" outlineLevel="0" collapsed="false">
      <c r="A905" s="0" t="n">
        <v>904</v>
      </c>
      <c r="D905" s="0" t="s">
        <v>2117</v>
      </c>
      <c r="E905" s="0" t="s">
        <v>20</v>
      </c>
      <c r="H905" s="0" t="s">
        <v>21</v>
      </c>
      <c r="I905" s="2" t="s">
        <v>22</v>
      </c>
      <c r="J905" s="2" t="s">
        <v>854</v>
      </c>
      <c r="K905" s="0" t="s">
        <v>855</v>
      </c>
      <c r="L905" s="0" t="s">
        <v>2118</v>
      </c>
      <c r="M905" s="0" t="s">
        <v>857</v>
      </c>
      <c r="N905" s="0" t="s">
        <v>2119</v>
      </c>
      <c r="O905" s="0" t="n">
        <v>1</v>
      </c>
      <c r="Q905" s="0" t="s">
        <v>2120</v>
      </c>
      <c r="R905" s="3"/>
      <c r="S905" s="2" t="s">
        <v>2121</v>
      </c>
    </row>
    <row r="906" customFormat="false" ht="15" hidden="false" customHeight="false" outlineLevel="0" collapsed="false">
      <c r="A906" s="0" t="n">
        <v>905</v>
      </c>
      <c r="D906" s="0" t="s">
        <v>2122</v>
      </c>
      <c r="E906" s="0" t="s">
        <v>20</v>
      </c>
      <c r="H906" s="0" t="s">
        <v>21</v>
      </c>
      <c r="I906" s="2" t="s">
        <v>22</v>
      </c>
      <c r="J906" s="2" t="s">
        <v>854</v>
      </c>
      <c r="K906" s="0" t="s">
        <v>855</v>
      </c>
      <c r="L906" s="0" t="s">
        <v>25</v>
      </c>
      <c r="M906" s="0" t="s">
        <v>857</v>
      </c>
      <c r="N906" s="0" t="s">
        <v>2123</v>
      </c>
      <c r="O906" s="0" t="n">
        <v>1</v>
      </c>
      <c r="R906" s="3"/>
      <c r="S906" s="2" t="s">
        <v>28</v>
      </c>
    </row>
    <row r="907" customFormat="false" ht="15" hidden="false" customHeight="false" outlineLevel="0" collapsed="false">
      <c r="A907" s="0" t="n">
        <v>906</v>
      </c>
      <c r="D907" s="0" t="s">
        <v>2124</v>
      </c>
      <c r="E907" s="0" t="s">
        <v>20</v>
      </c>
      <c r="H907" s="0" t="s">
        <v>21</v>
      </c>
      <c r="I907" s="2" t="s">
        <v>22</v>
      </c>
      <c r="J907" s="2" t="s">
        <v>854</v>
      </c>
      <c r="K907" s="0" t="s">
        <v>855</v>
      </c>
      <c r="L907" s="0" t="s">
        <v>25</v>
      </c>
      <c r="M907" s="0" t="s">
        <v>857</v>
      </c>
      <c r="N907" s="0" t="s">
        <v>2125</v>
      </c>
      <c r="O907" s="0" t="n">
        <v>1</v>
      </c>
      <c r="R907" s="3"/>
      <c r="S907" s="2" t="s">
        <v>28</v>
      </c>
    </row>
    <row r="908" customFormat="false" ht="15" hidden="false" customHeight="false" outlineLevel="0" collapsed="false">
      <c r="A908" s="0" t="n">
        <v>907</v>
      </c>
      <c r="D908" s="0" t="s">
        <v>2126</v>
      </c>
      <c r="E908" s="0" t="s">
        <v>20</v>
      </c>
      <c r="H908" s="0" t="s">
        <v>21</v>
      </c>
      <c r="I908" s="2" t="s">
        <v>22</v>
      </c>
      <c r="J908" s="2" t="s">
        <v>854</v>
      </c>
      <c r="K908" s="0" t="s">
        <v>855</v>
      </c>
      <c r="L908" s="0" t="s">
        <v>25</v>
      </c>
      <c r="M908" s="0" t="s">
        <v>857</v>
      </c>
      <c r="N908" s="0" t="s">
        <v>2127</v>
      </c>
      <c r="O908" s="0" t="n">
        <v>1</v>
      </c>
      <c r="R908" s="3"/>
      <c r="S908" s="2" t="s">
        <v>28</v>
      </c>
    </row>
    <row r="909" customFormat="false" ht="15" hidden="false" customHeight="false" outlineLevel="0" collapsed="false">
      <c r="A909" s="0" t="n">
        <v>908</v>
      </c>
      <c r="D909" s="0" t="s">
        <v>2128</v>
      </c>
      <c r="E909" s="0" t="s">
        <v>20</v>
      </c>
      <c r="H909" s="0" t="s">
        <v>21</v>
      </c>
      <c r="I909" s="2" t="s">
        <v>22</v>
      </c>
      <c r="J909" s="2" t="s">
        <v>854</v>
      </c>
      <c r="K909" s="0" t="s">
        <v>855</v>
      </c>
      <c r="L909" s="0" t="s">
        <v>25</v>
      </c>
      <c r="M909" s="0" t="s">
        <v>857</v>
      </c>
      <c r="N909" s="0" t="s">
        <v>2129</v>
      </c>
      <c r="O909" s="0" t="n">
        <v>1</v>
      </c>
      <c r="P909" s="0" t="s">
        <v>43</v>
      </c>
      <c r="R909" s="3"/>
      <c r="S909" s="2" t="s">
        <v>28</v>
      </c>
    </row>
    <row r="910" customFormat="false" ht="15" hidden="false" customHeight="false" outlineLevel="0" collapsed="false">
      <c r="A910" s="0" t="n">
        <v>909</v>
      </c>
      <c r="D910" s="0" t="s">
        <v>2130</v>
      </c>
      <c r="E910" s="0" t="s">
        <v>20</v>
      </c>
      <c r="H910" s="0" t="s">
        <v>21</v>
      </c>
      <c r="I910" s="2" t="s">
        <v>22</v>
      </c>
      <c r="J910" s="2" t="s">
        <v>854</v>
      </c>
      <c r="K910" s="0" t="s">
        <v>855</v>
      </c>
      <c r="L910" s="0" t="s">
        <v>25</v>
      </c>
      <c r="M910" s="0" t="s">
        <v>857</v>
      </c>
      <c r="N910" s="0" t="s">
        <v>2131</v>
      </c>
      <c r="O910" s="0" t="n">
        <v>1</v>
      </c>
      <c r="R910" s="3"/>
      <c r="S910" s="2" t="s">
        <v>28</v>
      </c>
    </row>
    <row r="911" customFormat="false" ht="15" hidden="false" customHeight="false" outlineLevel="0" collapsed="false">
      <c r="A911" s="0" t="n">
        <v>910</v>
      </c>
      <c r="D911" s="0" t="s">
        <v>2132</v>
      </c>
      <c r="E911" s="0" t="s">
        <v>68</v>
      </c>
      <c r="H911" s="0" t="s">
        <v>21</v>
      </c>
      <c r="I911" s="2" t="s">
        <v>22</v>
      </c>
      <c r="J911" s="2" t="s">
        <v>854</v>
      </c>
      <c r="K911" s="0" t="s">
        <v>855</v>
      </c>
      <c r="L911" s="0" t="s">
        <v>25</v>
      </c>
      <c r="M911" s="0" t="s">
        <v>857</v>
      </c>
      <c r="N911" s="0" t="s">
        <v>2133</v>
      </c>
      <c r="O911" s="0" t="n">
        <v>1</v>
      </c>
      <c r="P911" s="0" t="s">
        <v>68</v>
      </c>
      <c r="R911" s="3"/>
      <c r="S911" s="2" t="s">
        <v>28</v>
      </c>
    </row>
    <row r="912" customFormat="false" ht="15" hidden="false" customHeight="false" outlineLevel="0" collapsed="false">
      <c r="A912" s="0" t="n">
        <v>911</v>
      </c>
      <c r="D912" s="0" t="s">
        <v>2134</v>
      </c>
      <c r="E912" s="0" t="s">
        <v>173</v>
      </c>
      <c r="H912" s="0" t="s">
        <v>21</v>
      </c>
      <c r="I912" s="2" t="s">
        <v>22</v>
      </c>
      <c r="J912" s="2" t="s">
        <v>854</v>
      </c>
      <c r="K912" s="0" t="s">
        <v>855</v>
      </c>
      <c r="L912" s="0" t="s">
        <v>25</v>
      </c>
      <c r="M912" s="0" t="s">
        <v>857</v>
      </c>
      <c r="N912" s="0" t="s">
        <v>2135</v>
      </c>
      <c r="O912" s="0" t="n">
        <v>1</v>
      </c>
      <c r="P912" s="0" t="s">
        <v>173</v>
      </c>
      <c r="R912" s="3"/>
      <c r="S912" s="2" t="s">
        <v>28</v>
      </c>
    </row>
    <row r="913" customFormat="false" ht="15" hidden="false" customHeight="false" outlineLevel="0" collapsed="false">
      <c r="A913" s="0" t="n">
        <v>912</v>
      </c>
      <c r="D913" s="0" t="s">
        <v>2136</v>
      </c>
      <c r="E913" s="0" t="s">
        <v>20</v>
      </c>
      <c r="H913" s="0" t="s">
        <v>21</v>
      </c>
      <c r="I913" s="2" t="s">
        <v>22</v>
      </c>
      <c r="J913" s="2" t="s">
        <v>854</v>
      </c>
      <c r="K913" s="0" t="s">
        <v>855</v>
      </c>
      <c r="L913" s="0" t="s">
        <v>25</v>
      </c>
      <c r="M913" s="0" t="s">
        <v>857</v>
      </c>
      <c r="N913" s="0" t="s">
        <v>2137</v>
      </c>
      <c r="O913" s="0" t="n">
        <v>1</v>
      </c>
      <c r="R913" s="3"/>
      <c r="S913" s="2" t="s">
        <v>28</v>
      </c>
    </row>
    <row r="914" customFormat="false" ht="15" hidden="false" customHeight="false" outlineLevel="0" collapsed="false">
      <c r="A914" s="0" t="n">
        <v>913</v>
      </c>
      <c r="D914" s="0" t="s">
        <v>2138</v>
      </c>
      <c r="E914" s="0" t="s">
        <v>20</v>
      </c>
      <c r="H914" s="0" t="s">
        <v>21</v>
      </c>
      <c r="I914" s="2" t="s">
        <v>22</v>
      </c>
      <c r="J914" s="2" t="s">
        <v>854</v>
      </c>
      <c r="K914" s="0" t="s">
        <v>855</v>
      </c>
      <c r="L914" s="0" t="s">
        <v>182</v>
      </c>
      <c r="M914" s="0" t="s">
        <v>857</v>
      </c>
      <c r="N914" s="0" t="s">
        <v>2139</v>
      </c>
      <c r="O914" s="0" t="n">
        <v>1</v>
      </c>
      <c r="P914" s="0" t="s">
        <v>184</v>
      </c>
      <c r="R914" s="3"/>
      <c r="S914" s="2" t="s">
        <v>28</v>
      </c>
    </row>
    <row r="915" customFormat="false" ht="15" hidden="false" customHeight="false" outlineLevel="0" collapsed="false">
      <c r="A915" s="0" t="n">
        <v>914</v>
      </c>
      <c r="D915" s="0" t="s">
        <v>2140</v>
      </c>
      <c r="E915" s="0" t="s">
        <v>20</v>
      </c>
      <c r="H915" s="0" t="s">
        <v>21</v>
      </c>
      <c r="I915" s="2" t="s">
        <v>22</v>
      </c>
      <c r="J915" s="2" t="s">
        <v>854</v>
      </c>
      <c r="K915" s="0" t="s">
        <v>855</v>
      </c>
      <c r="L915" s="0" t="s">
        <v>25</v>
      </c>
      <c r="M915" s="0" t="s">
        <v>857</v>
      </c>
      <c r="N915" s="0" t="s">
        <v>2141</v>
      </c>
      <c r="O915" s="0" t="n">
        <v>1</v>
      </c>
      <c r="R915" s="3"/>
      <c r="S915" s="2" t="s">
        <v>28</v>
      </c>
    </row>
    <row r="916" customFormat="false" ht="15" hidden="false" customHeight="false" outlineLevel="0" collapsed="false">
      <c r="A916" s="0" t="n">
        <v>915</v>
      </c>
      <c r="D916" s="0" t="s">
        <v>2142</v>
      </c>
      <c r="E916" s="0" t="s">
        <v>20</v>
      </c>
      <c r="H916" s="0" t="s">
        <v>21</v>
      </c>
      <c r="I916" s="2" t="s">
        <v>22</v>
      </c>
      <c r="J916" s="2" t="s">
        <v>854</v>
      </c>
      <c r="K916" s="0" t="s">
        <v>855</v>
      </c>
      <c r="L916" s="0" t="s">
        <v>25</v>
      </c>
      <c r="M916" s="0" t="s">
        <v>857</v>
      </c>
      <c r="N916" s="0" t="s">
        <v>2143</v>
      </c>
      <c r="O916" s="0" t="n">
        <v>1</v>
      </c>
      <c r="R916" s="3"/>
      <c r="S916" s="2" t="s">
        <v>28</v>
      </c>
    </row>
    <row r="917" customFormat="false" ht="15" hidden="false" customHeight="false" outlineLevel="0" collapsed="false">
      <c r="A917" s="0" t="n">
        <v>916</v>
      </c>
      <c r="D917" s="0" t="s">
        <v>2144</v>
      </c>
      <c r="E917" s="0" t="s">
        <v>253</v>
      </c>
      <c r="H917" s="0" t="s">
        <v>21</v>
      </c>
      <c r="I917" s="2" t="s">
        <v>22</v>
      </c>
      <c r="J917" s="2" t="s">
        <v>854</v>
      </c>
      <c r="K917" s="0" t="s">
        <v>855</v>
      </c>
      <c r="L917" s="0" t="s">
        <v>25</v>
      </c>
      <c r="M917" s="0" t="s">
        <v>857</v>
      </c>
      <c r="N917" s="0" t="s">
        <v>2145</v>
      </c>
      <c r="O917" s="0" t="n">
        <v>1</v>
      </c>
      <c r="P917" s="0" t="s">
        <v>253</v>
      </c>
      <c r="R917" s="3"/>
      <c r="S917" s="2" t="s">
        <v>28</v>
      </c>
    </row>
    <row r="918" customFormat="false" ht="15" hidden="false" customHeight="false" outlineLevel="0" collapsed="false">
      <c r="A918" s="0" t="n">
        <v>917</v>
      </c>
      <c r="D918" s="0" t="s">
        <v>2146</v>
      </c>
      <c r="E918" s="0" t="s">
        <v>20</v>
      </c>
      <c r="H918" s="0" t="s">
        <v>21</v>
      </c>
      <c r="I918" s="2" t="s">
        <v>22</v>
      </c>
      <c r="J918" s="2" t="s">
        <v>854</v>
      </c>
      <c r="K918" s="0" t="s">
        <v>855</v>
      </c>
      <c r="L918" s="0" t="s">
        <v>25</v>
      </c>
      <c r="M918" s="0" t="s">
        <v>857</v>
      </c>
      <c r="N918" s="0" t="s">
        <v>2147</v>
      </c>
      <c r="O918" s="0" t="n">
        <v>1</v>
      </c>
      <c r="R918" s="3"/>
      <c r="S918" s="2" t="s">
        <v>28</v>
      </c>
    </row>
    <row r="919" customFormat="false" ht="15" hidden="false" customHeight="false" outlineLevel="0" collapsed="false">
      <c r="A919" s="0" t="n">
        <v>918</v>
      </c>
      <c r="D919" s="0" t="s">
        <v>2148</v>
      </c>
      <c r="E919" s="0" t="s">
        <v>20</v>
      </c>
      <c r="H919" s="0" t="s">
        <v>21</v>
      </c>
      <c r="I919" s="2" t="s">
        <v>22</v>
      </c>
      <c r="J919" s="2" t="s">
        <v>854</v>
      </c>
      <c r="K919" s="0" t="s">
        <v>855</v>
      </c>
      <c r="L919" s="0" t="s">
        <v>25</v>
      </c>
      <c r="M919" s="0" t="s">
        <v>857</v>
      </c>
      <c r="N919" s="0" t="s">
        <v>2149</v>
      </c>
      <c r="O919" s="0" t="n">
        <v>1</v>
      </c>
      <c r="R919" s="3"/>
      <c r="S919" s="2" t="s">
        <v>28</v>
      </c>
    </row>
    <row r="920" customFormat="false" ht="15" hidden="false" customHeight="false" outlineLevel="0" collapsed="false">
      <c r="A920" s="0" t="n">
        <v>919</v>
      </c>
      <c r="D920" s="0" t="s">
        <v>2150</v>
      </c>
      <c r="E920" s="0" t="s">
        <v>1539</v>
      </c>
      <c r="H920" s="0" t="s">
        <v>21</v>
      </c>
      <c r="I920" s="2" t="s">
        <v>22</v>
      </c>
      <c r="J920" s="2" t="s">
        <v>854</v>
      </c>
      <c r="K920" s="0" t="s">
        <v>855</v>
      </c>
      <c r="L920" s="0" t="s">
        <v>889</v>
      </c>
      <c r="M920" s="0" t="s">
        <v>857</v>
      </c>
      <c r="N920" s="0" t="s">
        <v>2151</v>
      </c>
      <c r="O920" s="0" t="n">
        <v>1</v>
      </c>
      <c r="R920" s="3"/>
      <c r="S920" s="2" t="s">
        <v>28</v>
      </c>
    </row>
    <row r="921" customFormat="false" ht="15" hidden="false" customHeight="false" outlineLevel="0" collapsed="false">
      <c r="A921" s="0" t="n">
        <v>920</v>
      </c>
      <c r="D921" s="0" t="s">
        <v>2152</v>
      </c>
      <c r="E921" s="0" t="s">
        <v>20</v>
      </c>
      <c r="H921" s="0" t="s">
        <v>21</v>
      </c>
      <c r="I921" s="2" t="s">
        <v>22</v>
      </c>
      <c r="J921" s="2" t="s">
        <v>854</v>
      </c>
      <c r="K921" s="0" t="s">
        <v>855</v>
      </c>
      <c r="L921" s="0" t="s">
        <v>25</v>
      </c>
      <c r="M921" s="0" t="s">
        <v>857</v>
      </c>
      <c r="N921" s="0" t="s">
        <v>2153</v>
      </c>
      <c r="O921" s="0" t="n">
        <v>1</v>
      </c>
      <c r="R921" s="3"/>
      <c r="S921" s="2" t="s">
        <v>28</v>
      </c>
    </row>
    <row r="922" customFormat="false" ht="15" hidden="false" customHeight="false" outlineLevel="0" collapsed="false">
      <c r="A922" s="0" t="n">
        <v>921</v>
      </c>
      <c r="D922" s="0" t="s">
        <v>2154</v>
      </c>
      <c r="E922" s="0" t="s">
        <v>20</v>
      </c>
      <c r="H922" s="0" t="s">
        <v>21</v>
      </c>
      <c r="I922" s="2" t="s">
        <v>22</v>
      </c>
      <c r="J922" s="2" t="s">
        <v>854</v>
      </c>
      <c r="K922" s="0" t="s">
        <v>855</v>
      </c>
      <c r="L922" s="0" t="s">
        <v>25</v>
      </c>
      <c r="M922" s="0" t="s">
        <v>857</v>
      </c>
      <c r="N922" s="0" t="s">
        <v>2155</v>
      </c>
      <c r="O922" s="0" t="n">
        <v>1</v>
      </c>
      <c r="R922" s="3"/>
      <c r="S922" s="2" t="s">
        <v>28</v>
      </c>
    </row>
    <row r="923" customFormat="false" ht="15" hidden="false" customHeight="false" outlineLevel="0" collapsed="false">
      <c r="A923" s="0" t="n">
        <v>922</v>
      </c>
      <c r="D923" s="0" t="s">
        <v>2156</v>
      </c>
      <c r="E923" s="0" t="s">
        <v>20</v>
      </c>
      <c r="H923" s="0" t="s">
        <v>21</v>
      </c>
      <c r="I923" s="2" t="s">
        <v>22</v>
      </c>
      <c r="J923" s="2" t="s">
        <v>854</v>
      </c>
      <c r="K923" s="0" t="s">
        <v>855</v>
      </c>
      <c r="L923" s="0" t="s">
        <v>25</v>
      </c>
      <c r="M923" s="0" t="s">
        <v>857</v>
      </c>
      <c r="N923" s="0" t="s">
        <v>2157</v>
      </c>
      <c r="O923" s="0" t="n">
        <v>1</v>
      </c>
      <c r="R923" s="3"/>
      <c r="S923" s="2" t="s">
        <v>28</v>
      </c>
    </row>
    <row r="924" customFormat="false" ht="15" hidden="false" customHeight="false" outlineLevel="0" collapsed="false">
      <c r="A924" s="0" t="n">
        <v>923</v>
      </c>
      <c r="D924" s="0" t="s">
        <v>2158</v>
      </c>
      <c r="E924" s="0" t="s">
        <v>501</v>
      </c>
      <c r="H924" s="0" t="s">
        <v>21</v>
      </c>
      <c r="I924" s="2" t="s">
        <v>22</v>
      </c>
      <c r="J924" s="2" t="s">
        <v>854</v>
      </c>
      <c r="K924" s="0" t="s">
        <v>855</v>
      </c>
      <c r="L924" s="0" t="s">
        <v>25</v>
      </c>
      <c r="M924" s="0" t="s">
        <v>857</v>
      </c>
      <c r="N924" s="0" t="s">
        <v>2159</v>
      </c>
      <c r="O924" s="0" t="n">
        <v>1</v>
      </c>
      <c r="P924" s="0" t="s">
        <v>501</v>
      </c>
      <c r="R924" s="3"/>
      <c r="S924" s="2" t="s">
        <v>28</v>
      </c>
    </row>
    <row r="925" customFormat="false" ht="15" hidden="false" customHeight="false" outlineLevel="0" collapsed="false">
      <c r="A925" s="0" t="n">
        <v>924</v>
      </c>
      <c r="D925" s="0" t="s">
        <v>2160</v>
      </c>
      <c r="E925" s="0" t="s">
        <v>20</v>
      </c>
      <c r="H925" s="0" t="s">
        <v>21</v>
      </c>
      <c r="I925" s="2" t="s">
        <v>22</v>
      </c>
      <c r="J925" s="2" t="s">
        <v>854</v>
      </c>
      <c r="K925" s="0" t="s">
        <v>855</v>
      </c>
      <c r="L925" s="0" t="s">
        <v>25</v>
      </c>
      <c r="M925" s="0" t="s">
        <v>857</v>
      </c>
      <c r="N925" s="0" t="s">
        <v>2161</v>
      </c>
      <c r="O925" s="0" t="n">
        <v>1</v>
      </c>
      <c r="R925" s="3"/>
      <c r="S925" s="2" t="s">
        <v>28</v>
      </c>
    </row>
    <row r="926" customFormat="false" ht="15" hidden="false" customHeight="false" outlineLevel="0" collapsed="false">
      <c r="A926" s="0" t="n">
        <v>925</v>
      </c>
      <c r="D926" s="0" t="s">
        <v>2162</v>
      </c>
      <c r="E926" s="0" t="s">
        <v>20</v>
      </c>
      <c r="H926" s="0" t="s">
        <v>21</v>
      </c>
      <c r="I926" s="2" t="s">
        <v>22</v>
      </c>
      <c r="J926" s="2" t="s">
        <v>854</v>
      </c>
      <c r="K926" s="0" t="s">
        <v>855</v>
      </c>
      <c r="L926" s="0" t="s">
        <v>25</v>
      </c>
      <c r="M926" s="0" t="s">
        <v>857</v>
      </c>
      <c r="N926" s="0" t="s">
        <v>2163</v>
      </c>
      <c r="O926" s="0" t="n">
        <v>1</v>
      </c>
      <c r="R926" s="3"/>
      <c r="S926" s="2" t="s">
        <v>28</v>
      </c>
    </row>
    <row r="927" customFormat="false" ht="15" hidden="false" customHeight="false" outlineLevel="0" collapsed="false">
      <c r="A927" s="0" t="n">
        <v>926</v>
      </c>
      <c r="D927" s="0" t="s">
        <v>2164</v>
      </c>
      <c r="E927" s="0" t="s">
        <v>20</v>
      </c>
      <c r="H927" s="0" t="s">
        <v>21</v>
      </c>
      <c r="I927" s="2" t="s">
        <v>22</v>
      </c>
      <c r="J927" s="2" t="s">
        <v>854</v>
      </c>
      <c r="K927" s="0" t="s">
        <v>855</v>
      </c>
      <c r="L927" s="0" t="s">
        <v>25</v>
      </c>
      <c r="M927" s="0" t="s">
        <v>857</v>
      </c>
      <c r="N927" s="0" t="s">
        <v>2165</v>
      </c>
      <c r="O927" s="0" t="n">
        <v>1</v>
      </c>
      <c r="R927" s="3"/>
      <c r="S927" s="2" t="s">
        <v>28</v>
      </c>
    </row>
    <row r="928" customFormat="false" ht="15" hidden="false" customHeight="false" outlineLevel="0" collapsed="false">
      <c r="A928" s="0" t="n">
        <v>927</v>
      </c>
      <c r="D928" s="0" t="s">
        <v>2166</v>
      </c>
      <c r="E928" s="0" t="s">
        <v>20</v>
      </c>
      <c r="H928" s="0" t="s">
        <v>21</v>
      </c>
      <c r="I928" s="2" t="s">
        <v>22</v>
      </c>
      <c r="J928" s="2" t="s">
        <v>854</v>
      </c>
      <c r="K928" s="0" t="s">
        <v>855</v>
      </c>
      <c r="L928" s="0" t="s">
        <v>420</v>
      </c>
      <c r="M928" s="0" t="s">
        <v>857</v>
      </c>
      <c r="N928" s="0" t="s">
        <v>2167</v>
      </c>
      <c r="O928" s="0" t="n">
        <v>1</v>
      </c>
      <c r="P928" s="0" t="s">
        <v>422</v>
      </c>
      <c r="R928" s="3"/>
      <c r="S928" s="2" t="s">
        <v>28</v>
      </c>
    </row>
    <row r="929" customFormat="false" ht="15" hidden="false" customHeight="false" outlineLevel="0" collapsed="false">
      <c r="A929" s="0" t="n">
        <v>928</v>
      </c>
      <c r="D929" s="0" t="s">
        <v>2168</v>
      </c>
      <c r="E929" s="0" t="s">
        <v>20</v>
      </c>
      <c r="H929" s="0" t="s">
        <v>21</v>
      </c>
      <c r="I929" s="2" t="s">
        <v>22</v>
      </c>
      <c r="J929" s="2" t="s">
        <v>854</v>
      </c>
      <c r="K929" s="0" t="s">
        <v>855</v>
      </c>
      <c r="L929" s="0" t="s">
        <v>25</v>
      </c>
      <c r="M929" s="0" t="s">
        <v>857</v>
      </c>
      <c r="N929" s="0" t="s">
        <v>2169</v>
      </c>
      <c r="O929" s="0" t="n">
        <v>1</v>
      </c>
      <c r="R929" s="3"/>
      <c r="S929" s="2" t="s">
        <v>28</v>
      </c>
    </row>
    <row r="930" customFormat="false" ht="15" hidden="false" customHeight="false" outlineLevel="0" collapsed="false">
      <c r="A930" s="0" t="n">
        <v>929</v>
      </c>
      <c r="D930" s="0" t="s">
        <v>2170</v>
      </c>
      <c r="E930" s="0" t="s">
        <v>387</v>
      </c>
      <c r="H930" s="0" t="s">
        <v>21</v>
      </c>
      <c r="I930" s="2" t="s">
        <v>22</v>
      </c>
      <c r="J930" s="2" t="s">
        <v>854</v>
      </c>
      <c r="K930" s="0" t="s">
        <v>855</v>
      </c>
      <c r="L930" s="0" t="s">
        <v>25</v>
      </c>
      <c r="M930" s="0" t="s">
        <v>857</v>
      </c>
      <c r="N930" s="0" t="s">
        <v>2171</v>
      </c>
      <c r="O930" s="0" t="n">
        <v>1</v>
      </c>
      <c r="P930" s="0" t="s">
        <v>387</v>
      </c>
      <c r="R930" s="3"/>
      <c r="S930" s="2" t="s">
        <v>28</v>
      </c>
    </row>
    <row r="931" customFormat="false" ht="15" hidden="false" customHeight="false" outlineLevel="0" collapsed="false">
      <c r="A931" s="0" t="n">
        <v>930</v>
      </c>
      <c r="D931" s="0" t="s">
        <v>2172</v>
      </c>
      <c r="E931" s="0" t="s">
        <v>20</v>
      </c>
      <c r="H931" s="0" t="s">
        <v>21</v>
      </c>
      <c r="I931" s="2" t="s">
        <v>22</v>
      </c>
      <c r="J931" s="2" t="s">
        <v>854</v>
      </c>
      <c r="K931" s="0" t="s">
        <v>855</v>
      </c>
      <c r="L931" s="0" t="s">
        <v>25</v>
      </c>
      <c r="M931" s="0" t="s">
        <v>857</v>
      </c>
      <c r="N931" s="0" t="s">
        <v>2173</v>
      </c>
      <c r="O931" s="0" t="n">
        <v>1</v>
      </c>
      <c r="R931" s="3"/>
      <c r="S931" s="2" t="s">
        <v>28</v>
      </c>
    </row>
    <row r="932" customFormat="false" ht="15" hidden="false" customHeight="false" outlineLevel="0" collapsed="false">
      <c r="A932" s="0" t="n">
        <v>931</v>
      </c>
      <c r="D932" s="0" t="s">
        <v>2174</v>
      </c>
      <c r="E932" s="0" t="s">
        <v>210</v>
      </c>
      <c r="H932" s="0" t="s">
        <v>21</v>
      </c>
      <c r="I932" s="2" t="s">
        <v>22</v>
      </c>
      <c r="J932" s="2" t="s">
        <v>854</v>
      </c>
      <c r="K932" s="0" t="s">
        <v>855</v>
      </c>
      <c r="L932" s="0" t="s">
        <v>25</v>
      </c>
      <c r="M932" s="0" t="s">
        <v>857</v>
      </c>
      <c r="N932" s="0" t="s">
        <v>2175</v>
      </c>
      <c r="O932" s="0" t="n">
        <v>1</v>
      </c>
      <c r="P932" s="0" t="s">
        <v>210</v>
      </c>
      <c r="R932" s="3"/>
      <c r="S932" s="2" t="s">
        <v>28</v>
      </c>
    </row>
    <row r="933" customFormat="false" ht="15" hidden="false" customHeight="false" outlineLevel="0" collapsed="false">
      <c r="A933" s="0" t="n">
        <v>932</v>
      </c>
      <c r="D933" s="0" t="s">
        <v>2176</v>
      </c>
      <c r="E933" s="0" t="s">
        <v>188</v>
      </c>
      <c r="H933" s="0" t="s">
        <v>21</v>
      </c>
      <c r="I933" s="2" t="s">
        <v>22</v>
      </c>
      <c r="J933" s="2" t="s">
        <v>854</v>
      </c>
      <c r="K933" s="0" t="s">
        <v>855</v>
      </c>
      <c r="L933" s="0" t="s">
        <v>25</v>
      </c>
      <c r="M933" s="0" t="s">
        <v>857</v>
      </c>
      <c r="N933" s="0" t="s">
        <v>2177</v>
      </c>
      <c r="O933" s="0" t="n">
        <v>1</v>
      </c>
      <c r="P933" s="0" t="s">
        <v>188</v>
      </c>
      <c r="R933" s="3"/>
      <c r="S933" s="2" t="s">
        <v>28</v>
      </c>
    </row>
    <row r="934" customFormat="false" ht="15" hidden="false" customHeight="false" outlineLevel="0" collapsed="false">
      <c r="A934" s="0" t="n">
        <v>933</v>
      </c>
      <c r="D934" s="0" t="s">
        <v>2178</v>
      </c>
      <c r="E934" s="0" t="s">
        <v>20</v>
      </c>
      <c r="H934" s="0" t="s">
        <v>21</v>
      </c>
      <c r="I934" s="2" t="s">
        <v>22</v>
      </c>
      <c r="J934" s="2" t="s">
        <v>854</v>
      </c>
      <c r="K934" s="0" t="s">
        <v>855</v>
      </c>
      <c r="L934" s="0" t="s">
        <v>25</v>
      </c>
      <c r="M934" s="0" t="s">
        <v>857</v>
      </c>
      <c r="N934" s="0" t="s">
        <v>2179</v>
      </c>
      <c r="O934" s="0" t="n">
        <v>1</v>
      </c>
      <c r="R934" s="3"/>
      <c r="S934" s="2" t="s">
        <v>28</v>
      </c>
    </row>
    <row r="935" customFormat="false" ht="15" hidden="false" customHeight="false" outlineLevel="0" collapsed="false">
      <c r="A935" s="0" t="n">
        <v>934</v>
      </c>
      <c r="D935" s="0" t="s">
        <v>2180</v>
      </c>
      <c r="E935" s="0" t="s">
        <v>253</v>
      </c>
      <c r="H935" s="0" t="s">
        <v>21</v>
      </c>
      <c r="I935" s="2" t="s">
        <v>22</v>
      </c>
      <c r="J935" s="2" t="s">
        <v>854</v>
      </c>
      <c r="K935" s="0" t="s">
        <v>855</v>
      </c>
      <c r="L935" s="0" t="s">
        <v>25</v>
      </c>
      <c r="M935" s="0" t="s">
        <v>857</v>
      </c>
      <c r="N935" s="0" t="s">
        <v>2181</v>
      </c>
      <c r="O935" s="0" t="n">
        <v>1</v>
      </c>
      <c r="P935" s="0" t="s">
        <v>253</v>
      </c>
      <c r="R935" s="3"/>
      <c r="S935" s="2" t="s">
        <v>28</v>
      </c>
    </row>
    <row r="936" customFormat="false" ht="15" hidden="false" customHeight="false" outlineLevel="0" collapsed="false">
      <c r="A936" s="0" t="n">
        <v>935</v>
      </c>
      <c r="D936" s="0" t="s">
        <v>2182</v>
      </c>
      <c r="E936" s="0" t="s">
        <v>173</v>
      </c>
      <c r="H936" s="0" t="s">
        <v>21</v>
      </c>
      <c r="I936" s="2" t="s">
        <v>22</v>
      </c>
      <c r="J936" s="2" t="s">
        <v>854</v>
      </c>
      <c r="K936" s="0" t="s">
        <v>855</v>
      </c>
      <c r="L936" s="0" t="s">
        <v>25</v>
      </c>
      <c r="M936" s="0" t="s">
        <v>857</v>
      </c>
      <c r="N936" s="0" t="s">
        <v>2183</v>
      </c>
      <c r="O936" s="0" t="n">
        <v>1</v>
      </c>
      <c r="P936" s="0" t="s">
        <v>173</v>
      </c>
      <c r="R936" s="3"/>
      <c r="S936" s="2" t="s">
        <v>28</v>
      </c>
    </row>
    <row r="937" customFormat="false" ht="15" hidden="false" customHeight="false" outlineLevel="0" collapsed="false">
      <c r="A937" s="0" t="n">
        <v>936</v>
      </c>
      <c r="D937" s="0" t="s">
        <v>2184</v>
      </c>
      <c r="E937" s="0" t="s">
        <v>20</v>
      </c>
      <c r="H937" s="0" t="s">
        <v>21</v>
      </c>
      <c r="I937" s="2" t="s">
        <v>22</v>
      </c>
      <c r="J937" s="2" t="s">
        <v>854</v>
      </c>
      <c r="K937" s="0" t="s">
        <v>855</v>
      </c>
      <c r="L937" s="0" t="s">
        <v>25</v>
      </c>
      <c r="M937" s="0" t="s">
        <v>857</v>
      </c>
      <c r="N937" s="0" t="s">
        <v>2185</v>
      </c>
      <c r="O937" s="0" t="n">
        <v>1</v>
      </c>
      <c r="R937" s="3"/>
      <c r="S937" s="2" t="s">
        <v>28</v>
      </c>
    </row>
    <row r="938" customFormat="false" ht="15" hidden="false" customHeight="false" outlineLevel="0" collapsed="false">
      <c r="A938" s="0" t="n">
        <v>937</v>
      </c>
      <c r="D938" s="0" t="s">
        <v>2186</v>
      </c>
      <c r="E938" s="0" t="s">
        <v>20</v>
      </c>
      <c r="H938" s="0" t="s">
        <v>21</v>
      </c>
      <c r="I938" s="2" t="s">
        <v>22</v>
      </c>
      <c r="J938" s="2" t="s">
        <v>854</v>
      </c>
      <c r="K938" s="0" t="s">
        <v>855</v>
      </c>
      <c r="L938" s="0" t="s">
        <v>25</v>
      </c>
      <c r="M938" s="0" t="s">
        <v>857</v>
      </c>
      <c r="N938" s="0" t="s">
        <v>2187</v>
      </c>
      <c r="O938" s="0" t="n">
        <v>1</v>
      </c>
      <c r="R938" s="3"/>
      <c r="S938" s="2" t="s">
        <v>28</v>
      </c>
    </row>
    <row r="939" customFormat="false" ht="15" hidden="false" customHeight="false" outlineLevel="0" collapsed="false">
      <c r="A939" s="0" t="n">
        <v>938</v>
      </c>
      <c r="D939" s="0" t="s">
        <v>2188</v>
      </c>
      <c r="E939" s="0" t="s">
        <v>268</v>
      </c>
      <c r="H939" s="0" t="s">
        <v>21</v>
      </c>
      <c r="I939" s="2" t="s">
        <v>22</v>
      </c>
      <c r="J939" s="2" t="s">
        <v>854</v>
      </c>
      <c r="K939" s="0" t="s">
        <v>855</v>
      </c>
      <c r="L939" s="0" t="s">
        <v>25</v>
      </c>
      <c r="M939" s="0" t="s">
        <v>857</v>
      </c>
      <c r="N939" s="0" t="s">
        <v>2189</v>
      </c>
      <c r="O939" s="0" t="n">
        <v>1</v>
      </c>
      <c r="P939" s="0" t="s">
        <v>268</v>
      </c>
      <c r="R939" s="3"/>
      <c r="S939" s="2" t="s">
        <v>28</v>
      </c>
    </row>
    <row r="940" customFormat="false" ht="15" hidden="false" customHeight="false" outlineLevel="0" collapsed="false">
      <c r="A940" s="0" t="n">
        <v>939</v>
      </c>
      <c r="D940" s="0" t="s">
        <v>2190</v>
      </c>
      <c r="E940" s="0" t="s">
        <v>20</v>
      </c>
      <c r="H940" s="0" t="s">
        <v>21</v>
      </c>
      <c r="I940" s="2" t="s">
        <v>22</v>
      </c>
      <c r="J940" s="2" t="s">
        <v>854</v>
      </c>
      <c r="K940" s="0" t="s">
        <v>855</v>
      </c>
      <c r="L940" s="0" t="s">
        <v>25</v>
      </c>
      <c r="M940" s="0" t="s">
        <v>857</v>
      </c>
      <c r="N940" s="0" t="s">
        <v>2191</v>
      </c>
      <c r="O940" s="0" t="n">
        <v>1</v>
      </c>
      <c r="R940" s="3"/>
      <c r="S940" s="2" t="s">
        <v>28</v>
      </c>
    </row>
    <row r="941" customFormat="false" ht="15" hidden="false" customHeight="false" outlineLevel="0" collapsed="false">
      <c r="A941" s="0" t="n">
        <v>940</v>
      </c>
      <c r="D941" s="0" t="s">
        <v>2192</v>
      </c>
      <c r="E941" s="0" t="s">
        <v>20</v>
      </c>
      <c r="H941" s="0" t="s">
        <v>21</v>
      </c>
      <c r="I941" s="2" t="s">
        <v>22</v>
      </c>
      <c r="J941" s="2" t="s">
        <v>854</v>
      </c>
      <c r="K941" s="0" t="s">
        <v>855</v>
      </c>
      <c r="L941" s="0" t="s">
        <v>25</v>
      </c>
      <c r="M941" s="0" t="s">
        <v>857</v>
      </c>
      <c r="N941" s="0" t="s">
        <v>2193</v>
      </c>
      <c r="O941" s="0" t="n">
        <v>1</v>
      </c>
      <c r="R941" s="3"/>
      <c r="S941" s="2" t="s">
        <v>28</v>
      </c>
    </row>
    <row r="942" customFormat="false" ht="15" hidden="false" customHeight="false" outlineLevel="0" collapsed="false">
      <c r="A942" s="0" t="n">
        <v>941</v>
      </c>
      <c r="D942" s="0" t="s">
        <v>2194</v>
      </c>
      <c r="E942" s="0" t="s">
        <v>20</v>
      </c>
      <c r="H942" s="0" t="s">
        <v>21</v>
      </c>
      <c r="I942" s="2" t="s">
        <v>22</v>
      </c>
      <c r="J942" s="2" t="s">
        <v>854</v>
      </c>
      <c r="K942" s="0" t="s">
        <v>855</v>
      </c>
      <c r="L942" s="0" t="s">
        <v>25</v>
      </c>
      <c r="M942" s="0" t="s">
        <v>857</v>
      </c>
      <c r="N942" s="0" t="s">
        <v>2195</v>
      </c>
      <c r="O942" s="0" t="n">
        <v>1</v>
      </c>
      <c r="R942" s="3"/>
      <c r="S942" s="2" t="s">
        <v>28</v>
      </c>
    </row>
    <row r="943" customFormat="false" ht="15" hidden="false" customHeight="false" outlineLevel="0" collapsed="false">
      <c r="A943" s="0" t="n">
        <v>942</v>
      </c>
      <c r="D943" s="0" t="s">
        <v>2196</v>
      </c>
      <c r="E943" s="0" t="s">
        <v>20</v>
      </c>
      <c r="H943" s="0" t="s">
        <v>21</v>
      </c>
      <c r="I943" s="2" t="s">
        <v>22</v>
      </c>
      <c r="J943" s="2" t="s">
        <v>854</v>
      </c>
      <c r="K943" s="0" t="s">
        <v>855</v>
      </c>
      <c r="L943" s="0" t="s">
        <v>25</v>
      </c>
      <c r="M943" s="0" t="s">
        <v>857</v>
      </c>
      <c r="N943" s="0" t="s">
        <v>2197</v>
      </c>
      <c r="O943" s="0" t="n">
        <v>1</v>
      </c>
      <c r="R943" s="3"/>
      <c r="S943" s="2" t="s">
        <v>28</v>
      </c>
    </row>
    <row r="944" customFormat="false" ht="15" hidden="false" customHeight="false" outlineLevel="0" collapsed="false">
      <c r="A944" s="0" t="n">
        <v>943</v>
      </c>
      <c r="D944" s="0" t="s">
        <v>2198</v>
      </c>
      <c r="E944" s="0" t="s">
        <v>20</v>
      </c>
      <c r="H944" s="0" t="s">
        <v>21</v>
      </c>
      <c r="I944" s="2" t="s">
        <v>22</v>
      </c>
      <c r="J944" s="2" t="s">
        <v>854</v>
      </c>
      <c r="K944" s="0" t="s">
        <v>855</v>
      </c>
      <c r="L944" s="0" t="s">
        <v>25</v>
      </c>
      <c r="M944" s="0" t="s">
        <v>857</v>
      </c>
      <c r="N944" s="0" t="s">
        <v>2199</v>
      </c>
      <c r="O944" s="0" t="n">
        <v>1</v>
      </c>
      <c r="R944" s="3"/>
      <c r="S944" s="2" t="s">
        <v>28</v>
      </c>
    </row>
    <row r="945" customFormat="false" ht="15" hidden="false" customHeight="false" outlineLevel="0" collapsed="false">
      <c r="A945" s="0" t="n">
        <v>944</v>
      </c>
      <c r="D945" s="0" t="s">
        <v>2200</v>
      </c>
      <c r="E945" s="0" t="s">
        <v>20</v>
      </c>
      <c r="H945" s="0" t="s">
        <v>21</v>
      </c>
      <c r="I945" s="2" t="s">
        <v>22</v>
      </c>
      <c r="J945" s="2" t="s">
        <v>854</v>
      </c>
      <c r="K945" s="0" t="s">
        <v>855</v>
      </c>
      <c r="L945" s="0" t="s">
        <v>25</v>
      </c>
      <c r="M945" s="0" t="s">
        <v>857</v>
      </c>
      <c r="N945" s="0" t="s">
        <v>2201</v>
      </c>
      <c r="O945" s="0" t="n">
        <v>1</v>
      </c>
      <c r="R945" s="3"/>
      <c r="S945" s="2" t="s">
        <v>28</v>
      </c>
    </row>
    <row r="946" customFormat="false" ht="15" hidden="false" customHeight="false" outlineLevel="0" collapsed="false">
      <c r="A946" s="0" t="n">
        <v>945</v>
      </c>
      <c r="D946" s="0" t="s">
        <v>2202</v>
      </c>
      <c r="E946" s="0" t="s">
        <v>20</v>
      </c>
      <c r="H946" s="0" t="s">
        <v>21</v>
      </c>
      <c r="I946" s="2" t="s">
        <v>22</v>
      </c>
      <c r="J946" s="2" t="s">
        <v>854</v>
      </c>
      <c r="K946" s="0" t="s">
        <v>855</v>
      </c>
      <c r="L946" s="0" t="s">
        <v>25</v>
      </c>
      <c r="M946" s="0" t="s">
        <v>857</v>
      </c>
      <c r="N946" s="0" t="s">
        <v>2203</v>
      </c>
      <c r="O946" s="0" t="n">
        <v>1</v>
      </c>
      <c r="P946" s="0" t="s">
        <v>43</v>
      </c>
      <c r="R946" s="3"/>
      <c r="S946" s="2" t="s">
        <v>28</v>
      </c>
    </row>
    <row r="947" customFormat="false" ht="15" hidden="false" customHeight="false" outlineLevel="0" collapsed="false">
      <c r="A947" s="0" t="n">
        <v>946</v>
      </c>
      <c r="D947" s="0" t="s">
        <v>2204</v>
      </c>
      <c r="E947" s="0" t="s">
        <v>188</v>
      </c>
      <c r="H947" s="0" t="s">
        <v>21</v>
      </c>
      <c r="I947" s="2" t="s">
        <v>22</v>
      </c>
      <c r="J947" s="2" t="s">
        <v>854</v>
      </c>
      <c r="K947" s="0" t="s">
        <v>855</v>
      </c>
      <c r="L947" s="0" t="s">
        <v>25</v>
      </c>
      <c r="M947" s="0" t="s">
        <v>857</v>
      </c>
      <c r="N947" s="0" t="s">
        <v>2205</v>
      </c>
      <c r="O947" s="0" t="n">
        <v>1</v>
      </c>
      <c r="P947" s="0" t="s">
        <v>188</v>
      </c>
      <c r="R947" s="3"/>
      <c r="S947" s="2" t="s">
        <v>28</v>
      </c>
    </row>
    <row r="948" customFormat="false" ht="15" hidden="false" customHeight="false" outlineLevel="0" collapsed="false">
      <c r="A948" s="0" t="n">
        <v>947</v>
      </c>
      <c r="D948" s="0" t="s">
        <v>2206</v>
      </c>
      <c r="E948" s="0" t="s">
        <v>20</v>
      </c>
      <c r="H948" s="0" t="s">
        <v>21</v>
      </c>
      <c r="I948" s="2" t="s">
        <v>22</v>
      </c>
      <c r="J948" s="2" t="s">
        <v>854</v>
      </c>
      <c r="K948" s="0" t="s">
        <v>855</v>
      </c>
      <c r="L948" s="0" t="s">
        <v>25</v>
      </c>
      <c r="M948" s="0" t="s">
        <v>857</v>
      </c>
      <c r="N948" s="0" t="s">
        <v>2207</v>
      </c>
      <c r="O948" s="0" t="n">
        <v>1</v>
      </c>
      <c r="R948" s="3"/>
      <c r="S948" s="2" t="s">
        <v>28</v>
      </c>
    </row>
    <row r="949" customFormat="false" ht="15" hidden="false" customHeight="false" outlineLevel="0" collapsed="false">
      <c r="A949" s="0" t="n">
        <v>948</v>
      </c>
      <c r="D949" s="0" t="s">
        <v>2208</v>
      </c>
      <c r="E949" s="0" t="s">
        <v>20</v>
      </c>
      <c r="H949" s="0" t="s">
        <v>21</v>
      </c>
      <c r="I949" s="2" t="s">
        <v>22</v>
      </c>
      <c r="J949" s="2" t="s">
        <v>854</v>
      </c>
      <c r="K949" s="0" t="s">
        <v>855</v>
      </c>
      <c r="L949" s="0" t="s">
        <v>25</v>
      </c>
      <c r="M949" s="0" t="s">
        <v>857</v>
      </c>
      <c r="N949" s="0" t="s">
        <v>2209</v>
      </c>
      <c r="O949" s="0" t="n">
        <v>1</v>
      </c>
      <c r="R949" s="3"/>
      <c r="S949" s="2" t="s">
        <v>28</v>
      </c>
    </row>
    <row r="950" customFormat="false" ht="15" hidden="false" customHeight="false" outlineLevel="0" collapsed="false">
      <c r="A950" s="0" t="n">
        <v>949</v>
      </c>
      <c r="D950" s="0" t="s">
        <v>2210</v>
      </c>
      <c r="E950" s="0" t="s">
        <v>73</v>
      </c>
      <c r="F950" s="0" t="s">
        <v>2211</v>
      </c>
      <c r="H950" s="0" t="s">
        <v>21</v>
      </c>
      <c r="I950" s="2" t="s">
        <v>22</v>
      </c>
      <c r="J950" s="2" t="s">
        <v>854</v>
      </c>
      <c r="K950" s="0" t="s">
        <v>855</v>
      </c>
      <c r="L950" s="0" t="s">
        <v>2212</v>
      </c>
      <c r="M950" s="0" t="s">
        <v>857</v>
      </c>
      <c r="N950" s="0" t="s">
        <v>2213</v>
      </c>
      <c r="O950" s="0" t="n">
        <v>1</v>
      </c>
      <c r="P950" s="0" t="s">
        <v>73</v>
      </c>
      <c r="Q950" s="0" t="s">
        <v>2214</v>
      </c>
      <c r="R950" s="3" t="s">
        <v>2215</v>
      </c>
      <c r="S950" s="2" t="s">
        <v>2216</v>
      </c>
    </row>
    <row r="951" customFormat="false" ht="15" hidden="false" customHeight="false" outlineLevel="0" collapsed="false">
      <c r="A951" s="0" t="n">
        <v>950</v>
      </c>
      <c r="D951" s="0" t="s">
        <v>2217</v>
      </c>
      <c r="E951" s="0" t="s">
        <v>20</v>
      </c>
      <c r="H951" s="0" t="s">
        <v>21</v>
      </c>
      <c r="I951" s="2" t="s">
        <v>22</v>
      </c>
      <c r="J951" s="2" t="s">
        <v>854</v>
      </c>
      <c r="K951" s="0" t="s">
        <v>855</v>
      </c>
      <c r="L951" s="0" t="s">
        <v>25</v>
      </c>
      <c r="M951" s="0" t="s">
        <v>857</v>
      </c>
      <c r="N951" s="0" t="s">
        <v>2218</v>
      </c>
      <c r="O951" s="0" t="n">
        <v>1</v>
      </c>
      <c r="R951" s="3"/>
      <c r="S951" s="2" t="s">
        <v>28</v>
      </c>
    </row>
    <row r="952" customFormat="false" ht="15" hidden="false" customHeight="false" outlineLevel="0" collapsed="false">
      <c r="A952" s="0" t="n">
        <v>951</v>
      </c>
      <c r="D952" s="0" t="s">
        <v>2219</v>
      </c>
      <c r="E952" s="0" t="s">
        <v>20</v>
      </c>
      <c r="H952" s="0" t="s">
        <v>21</v>
      </c>
      <c r="I952" s="2" t="s">
        <v>22</v>
      </c>
      <c r="J952" s="2" t="s">
        <v>854</v>
      </c>
      <c r="K952" s="0" t="s">
        <v>855</v>
      </c>
      <c r="L952" s="0" t="s">
        <v>25</v>
      </c>
      <c r="M952" s="0" t="s">
        <v>857</v>
      </c>
      <c r="N952" s="0" t="s">
        <v>2220</v>
      </c>
      <c r="O952" s="0" t="n">
        <v>1</v>
      </c>
      <c r="R952" s="3"/>
      <c r="S952" s="2" t="s">
        <v>28</v>
      </c>
    </row>
    <row r="953" customFormat="false" ht="15" hidden="false" customHeight="false" outlineLevel="0" collapsed="false">
      <c r="A953" s="0" t="n">
        <v>952</v>
      </c>
      <c r="D953" s="0" t="s">
        <v>2221</v>
      </c>
      <c r="E953" s="0" t="s">
        <v>20</v>
      </c>
      <c r="H953" s="0" t="s">
        <v>21</v>
      </c>
      <c r="I953" s="2" t="s">
        <v>22</v>
      </c>
      <c r="J953" s="2" t="s">
        <v>854</v>
      </c>
      <c r="K953" s="0" t="s">
        <v>855</v>
      </c>
      <c r="L953" s="0" t="s">
        <v>25</v>
      </c>
      <c r="M953" s="0" t="s">
        <v>857</v>
      </c>
      <c r="N953" s="0" t="s">
        <v>2222</v>
      </c>
      <c r="O953" s="0" t="n">
        <v>1</v>
      </c>
      <c r="R953" s="3"/>
      <c r="S953" s="2" t="s">
        <v>28</v>
      </c>
    </row>
    <row r="954" customFormat="false" ht="15" hidden="false" customHeight="false" outlineLevel="0" collapsed="false">
      <c r="A954" s="0" t="n">
        <v>953</v>
      </c>
      <c r="D954" s="0" t="s">
        <v>2223</v>
      </c>
      <c r="E954" s="0" t="s">
        <v>301</v>
      </c>
      <c r="H954" s="0" t="s">
        <v>21</v>
      </c>
      <c r="I954" s="2" t="s">
        <v>22</v>
      </c>
      <c r="J954" s="2" t="s">
        <v>854</v>
      </c>
      <c r="K954" s="0" t="s">
        <v>855</v>
      </c>
      <c r="L954" s="0" t="s">
        <v>25</v>
      </c>
      <c r="M954" s="0" t="s">
        <v>857</v>
      </c>
      <c r="N954" s="0" t="s">
        <v>2224</v>
      </c>
      <c r="O954" s="0" t="n">
        <v>1</v>
      </c>
      <c r="P954" s="0" t="s">
        <v>301</v>
      </c>
      <c r="R954" s="3"/>
      <c r="S954" s="2" t="s">
        <v>28</v>
      </c>
    </row>
    <row r="955" customFormat="false" ht="15" hidden="false" customHeight="false" outlineLevel="0" collapsed="false">
      <c r="A955" s="0" t="n">
        <v>954</v>
      </c>
      <c r="D955" s="0" t="s">
        <v>2225</v>
      </c>
      <c r="E955" s="0" t="s">
        <v>287</v>
      </c>
      <c r="H955" s="0" t="s">
        <v>21</v>
      </c>
      <c r="I955" s="2" t="s">
        <v>22</v>
      </c>
      <c r="J955" s="2" t="s">
        <v>854</v>
      </c>
      <c r="K955" s="0" t="s">
        <v>855</v>
      </c>
      <c r="L955" s="0" t="s">
        <v>25</v>
      </c>
      <c r="M955" s="0" t="s">
        <v>857</v>
      </c>
      <c r="N955" s="0" t="s">
        <v>2226</v>
      </c>
      <c r="O955" s="0" t="n">
        <v>1</v>
      </c>
      <c r="P955" s="0" t="s">
        <v>287</v>
      </c>
      <c r="R955" s="3"/>
      <c r="S955" s="2" t="s">
        <v>28</v>
      </c>
    </row>
    <row r="956" customFormat="false" ht="15" hidden="false" customHeight="false" outlineLevel="0" collapsed="false">
      <c r="A956" s="0" t="n">
        <v>955</v>
      </c>
      <c r="D956" s="0" t="s">
        <v>2227</v>
      </c>
      <c r="E956" s="0" t="s">
        <v>20</v>
      </c>
      <c r="H956" s="0" t="s">
        <v>21</v>
      </c>
      <c r="I956" s="2" t="s">
        <v>22</v>
      </c>
      <c r="J956" s="2" t="s">
        <v>854</v>
      </c>
      <c r="K956" s="0" t="s">
        <v>855</v>
      </c>
      <c r="L956" s="0" t="s">
        <v>25</v>
      </c>
      <c r="M956" s="0" t="s">
        <v>857</v>
      </c>
      <c r="N956" s="0" t="s">
        <v>2228</v>
      </c>
      <c r="O956" s="0" t="n">
        <v>1</v>
      </c>
      <c r="R956" s="3"/>
      <c r="S956" s="2" t="s">
        <v>28</v>
      </c>
    </row>
    <row r="957" customFormat="false" ht="15" hidden="false" customHeight="false" outlineLevel="0" collapsed="false">
      <c r="A957" s="0" t="n">
        <v>956</v>
      </c>
      <c r="D957" s="0" t="s">
        <v>2229</v>
      </c>
      <c r="E957" s="0" t="s">
        <v>20</v>
      </c>
      <c r="H957" s="0" t="s">
        <v>21</v>
      </c>
      <c r="I957" s="2" t="s">
        <v>22</v>
      </c>
      <c r="J957" s="2" t="s">
        <v>854</v>
      </c>
      <c r="K957" s="0" t="s">
        <v>855</v>
      </c>
      <c r="L957" s="0" t="s">
        <v>25</v>
      </c>
      <c r="M957" s="0" t="s">
        <v>857</v>
      </c>
      <c r="N957" s="0" t="s">
        <v>2230</v>
      </c>
      <c r="O957" s="0" t="n">
        <v>1</v>
      </c>
      <c r="R957" s="3"/>
      <c r="S957" s="2" t="s">
        <v>28</v>
      </c>
    </row>
    <row r="958" customFormat="false" ht="15" hidden="false" customHeight="false" outlineLevel="0" collapsed="false">
      <c r="A958" s="0" t="n">
        <v>957</v>
      </c>
      <c r="D958" s="0" t="s">
        <v>2231</v>
      </c>
      <c r="E958" s="0" t="s">
        <v>68</v>
      </c>
      <c r="H958" s="0" t="s">
        <v>21</v>
      </c>
      <c r="I958" s="2" t="s">
        <v>22</v>
      </c>
      <c r="J958" s="2" t="s">
        <v>854</v>
      </c>
      <c r="K958" s="0" t="s">
        <v>855</v>
      </c>
      <c r="L958" s="0" t="s">
        <v>25</v>
      </c>
      <c r="M958" s="0" t="s">
        <v>857</v>
      </c>
      <c r="N958" s="0" t="s">
        <v>2232</v>
      </c>
      <c r="O958" s="0" t="n">
        <v>1</v>
      </c>
      <c r="P958" s="0" t="s">
        <v>68</v>
      </c>
      <c r="R958" s="3"/>
      <c r="S958" s="2" t="s">
        <v>28</v>
      </c>
    </row>
    <row r="959" customFormat="false" ht="15" hidden="false" customHeight="false" outlineLevel="0" collapsed="false">
      <c r="A959" s="0" t="n">
        <v>958</v>
      </c>
      <c r="D959" s="0" t="s">
        <v>2233</v>
      </c>
      <c r="E959" s="0" t="s">
        <v>20</v>
      </c>
      <c r="H959" s="0" t="s">
        <v>21</v>
      </c>
      <c r="I959" s="2" t="s">
        <v>22</v>
      </c>
      <c r="J959" s="2" t="s">
        <v>854</v>
      </c>
      <c r="K959" s="0" t="s">
        <v>855</v>
      </c>
      <c r="L959" s="0" t="s">
        <v>25</v>
      </c>
      <c r="M959" s="0" t="s">
        <v>857</v>
      </c>
      <c r="N959" s="0" t="s">
        <v>2234</v>
      </c>
      <c r="O959" s="0" t="n">
        <v>1</v>
      </c>
      <c r="R959" s="3"/>
      <c r="S959" s="2" t="s">
        <v>28</v>
      </c>
    </row>
    <row r="960" customFormat="false" ht="15" hidden="false" customHeight="false" outlineLevel="0" collapsed="false">
      <c r="A960" s="0" t="n">
        <v>959</v>
      </c>
      <c r="D960" s="0" t="s">
        <v>2235</v>
      </c>
      <c r="E960" s="0" t="s">
        <v>20</v>
      </c>
      <c r="H960" s="0" t="s">
        <v>21</v>
      </c>
      <c r="I960" s="2" t="s">
        <v>22</v>
      </c>
      <c r="J960" s="2" t="s">
        <v>854</v>
      </c>
      <c r="K960" s="0" t="s">
        <v>855</v>
      </c>
      <c r="L960" s="0" t="s">
        <v>25</v>
      </c>
      <c r="M960" s="0" t="s">
        <v>857</v>
      </c>
      <c r="N960" s="0" t="s">
        <v>2236</v>
      </c>
      <c r="O960" s="0" t="n">
        <v>1</v>
      </c>
      <c r="R960" s="3"/>
      <c r="S960" s="2" t="s">
        <v>28</v>
      </c>
    </row>
    <row r="961" customFormat="false" ht="15" hidden="false" customHeight="false" outlineLevel="0" collapsed="false">
      <c r="A961" s="0" t="n">
        <v>960</v>
      </c>
      <c r="D961" s="0" t="s">
        <v>2237</v>
      </c>
      <c r="E961" s="0" t="s">
        <v>829</v>
      </c>
      <c r="H961" s="0" t="s">
        <v>21</v>
      </c>
      <c r="I961" s="2" t="s">
        <v>22</v>
      </c>
      <c r="J961" s="2" t="s">
        <v>854</v>
      </c>
      <c r="K961" s="0" t="s">
        <v>855</v>
      </c>
      <c r="L961" s="0" t="s">
        <v>25</v>
      </c>
      <c r="M961" s="0" t="s">
        <v>857</v>
      </c>
      <c r="N961" s="0" t="s">
        <v>2238</v>
      </c>
      <c r="O961" s="0" t="n">
        <v>1</v>
      </c>
      <c r="P961" s="0" t="s">
        <v>829</v>
      </c>
      <c r="R961" s="3"/>
      <c r="S961" s="2" t="s">
        <v>28</v>
      </c>
    </row>
    <row r="962" customFormat="false" ht="15" hidden="false" customHeight="false" outlineLevel="0" collapsed="false">
      <c r="A962" s="0" t="n">
        <v>961</v>
      </c>
      <c r="D962" s="0" t="s">
        <v>2239</v>
      </c>
      <c r="E962" s="0" t="s">
        <v>20</v>
      </c>
      <c r="H962" s="0" t="s">
        <v>21</v>
      </c>
      <c r="I962" s="2" t="s">
        <v>22</v>
      </c>
      <c r="J962" s="2" t="s">
        <v>854</v>
      </c>
      <c r="K962" s="0" t="s">
        <v>855</v>
      </c>
      <c r="L962" s="0" t="s">
        <v>204</v>
      </c>
      <c r="M962" s="0" t="s">
        <v>857</v>
      </c>
      <c r="N962" s="0" t="s">
        <v>2240</v>
      </c>
      <c r="O962" s="0" t="n">
        <v>1</v>
      </c>
      <c r="P962" s="0" t="s">
        <v>206</v>
      </c>
      <c r="R962" s="3"/>
      <c r="S962" s="2" t="s">
        <v>28</v>
      </c>
    </row>
    <row r="963" customFormat="false" ht="15" hidden="false" customHeight="false" outlineLevel="0" collapsed="false">
      <c r="A963" s="0" t="n">
        <v>962</v>
      </c>
      <c r="D963" s="0" t="s">
        <v>2241</v>
      </c>
      <c r="E963" s="0" t="s">
        <v>20</v>
      </c>
      <c r="H963" s="0" t="s">
        <v>21</v>
      </c>
      <c r="I963" s="2" t="s">
        <v>22</v>
      </c>
      <c r="J963" s="2" t="s">
        <v>854</v>
      </c>
      <c r="K963" s="0" t="s">
        <v>855</v>
      </c>
      <c r="L963" s="0" t="s">
        <v>25</v>
      </c>
      <c r="M963" s="0" t="s">
        <v>857</v>
      </c>
      <c r="N963" s="0" t="s">
        <v>2242</v>
      </c>
      <c r="O963" s="0" t="n">
        <v>1</v>
      </c>
      <c r="R963" s="3"/>
      <c r="S963" s="2" t="s">
        <v>28</v>
      </c>
    </row>
    <row r="964" customFormat="false" ht="15" hidden="false" customHeight="false" outlineLevel="0" collapsed="false">
      <c r="A964" s="0" t="n">
        <v>963</v>
      </c>
      <c r="D964" s="0" t="s">
        <v>2243</v>
      </c>
      <c r="E964" s="0" t="s">
        <v>173</v>
      </c>
      <c r="H964" s="0" t="s">
        <v>21</v>
      </c>
      <c r="I964" s="2" t="s">
        <v>22</v>
      </c>
      <c r="J964" s="2" t="s">
        <v>854</v>
      </c>
      <c r="K964" s="0" t="s">
        <v>855</v>
      </c>
      <c r="L964" s="0" t="s">
        <v>2244</v>
      </c>
      <c r="M964" s="0" t="s">
        <v>857</v>
      </c>
      <c r="N964" s="0" t="s">
        <v>2245</v>
      </c>
      <c r="O964" s="0" t="n">
        <v>1</v>
      </c>
      <c r="P964" s="0" t="s">
        <v>173</v>
      </c>
      <c r="Q964" s="0" t="s">
        <v>2246</v>
      </c>
      <c r="R964" s="3"/>
      <c r="S964" s="2" t="s">
        <v>2247</v>
      </c>
    </row>
    <row r="965" customFormat="false" ht="15" hidden="false" customHeight="false" outlineLevel="0" collapsed="false">
      <c r="A965" s="0" t="n">
        <v>964</v>
      </c>
      <c r="D965" s="0" t="s">
        <v>2248</v>
      </c>
      <c r="E965" s="0" t="s">
        <v>253</v>
      </c>
      <c r="H965" s="0" t="s">
        <v>21</v>
      </c>
      <c r="I965" s="2" t="s">
        <v>22</v>
      </c>
      <c r="J965" s="2" t="s">
        <v>854</v>
      </c>
      <c r="K965" s="0" t="s">
        <v>855</v>
      </c>
      <c r="L965" s="0" t="s">
        <v>25</v>
      </c>
      <c r="M965" s="0" t="s">
        <v>857</v>
      </c>
      <c r="N965" s="0" t="s">
        <v>2249</v>
      </c>
      <c r="O965" s="0" t="n">
        <v>1</v>
      </c>
      <c r="P965" s="0" t="s">
        <v>253</v>
      </c>
      <c r="R965" s="3"/>
      <c r="S965" s="2" t="s">
        <v>28</v>
      </c>
    </row>
    <row r="966" customFormat="false" ht="15" hidden="false" customHeight="false" outlineLevel="0" collapsed="false">
      <c r="A966" s="0" t="n">
        <v>965</v>
      </c>
      <c r="D966" s="0" t="s">
        <v>2250</v>
      </c>
      <c r="E966" s="0" t="s">
        <v>20</v>
      </c>
      <c r="H966" s="0" t="s">
        <v>21</v>
      </c>
      <c r="I966" s="2" t="s">
        <v>22</v>
      </c>
      <c r="J966" s="2" t="s">
        <v>854</v>
      </c>
      <c r="K966" s="0" t="s">
        <v>855</v>
      </c>
      <c r="L966" s="0" t="s">
        <v>2251</v>
      </c>
      <c r="M966" s="0" t="s">
        <v>857</v>
      </c>
      <c r="N966" s="0" t="s">
        <v>2252</v>
      </c>
      <c r="O966" s="0" t="n">
        <v>1</v>
      </c>
      <c r="Q966" s="0" t="s">
        <v>2253</v>
      </c>
      <c r="R966" s="3"/>
      <c r="S966" s="2" t="s">
        <v>2254</v>
      </c>
    </row>
    <row r="967" customFormat="false" ht="15" hidden="false" customHeight="false" outlineLevel="0" collapsed="false">
      <c r="A967" s="0" t="n">
        <v>966</v>
      </c>
      <c r="D967" s="0" t="s">
        <v>2255</v>
      </c>
      <c r="E967" s="0" t="s">
        <v>173</v>
      </c>
      <c r="H967" s="0" t="s">
        <v>21</v>
      </c>
      <c r="I967" s="2" t="s">
        <v>22</v>
      </c>
      <c r="J967" s="2" t="s">
        <v>854</v>
      </c>
      <c r="K967" s="0" t="s">
        <v>855</v>
      </c>
      <c r="L967" s="0" t="s">
        <v>25</v>
      </c>
      <c r="M967" s="0" t="s">
        <v>857</v>
      </c>
      <c r="N967" s="0" t="s">
        <v>2256</v>
      </c>
      <c r="O967" s="0" t="n">
        <v>1</v>
      </c>
      <c r="P967" s="0" t="s">
        <v>173</v>
      </c>
      <c r="R967" s="3"/>
      <c r="S967" s="2" t="s">
        <v>28</v>
      </c>
    </row>
    <row r="968" customFormat="false" ht="15" hidden="false" customHeight="false" outlineLevel="0" collapsed="false">
      <c r="A968" s="0" t="n">
        <v>967</v>
      </c>
      <c r="D968" s="0" t="s">
        <v>2257</v>
      </c>
      <c r="E968" s="0" t="s">
        <v>253</v>
      </c>
      <c r="H968" s="0" t="s">
        <v>21</v>
      </c>
      <c r="I968" s="2" t="s">
        <v>22</v>
      </c>
      <c r="J968" s="2" t="s">
        <v>854</v>
      </c>
      <c r="K968" s="0" t="s">
        <v>855</v>
      </c>
      <c r="L968" s="0" t="s">
        <v>2258</v>
      </c>
      <c r="M968" s="0" t="s">
        <v>857</v>
      </c>
      <c r="N968" s="0" t="s">
        <v>2259</v>
      </c>
      <c r="O968" s="0" t="n">
        <v>1</v>
      </c>
      <c r="P968" s="0" t="s">
        <v>253</v>
      </c>
      <c r="Q968" s="0" t="s">
        <v>2260</v>
      </c>
      <c r="R968" s="3"/>
      <c r="S968" s="2" t="s">
        <v>2261</v>
      </c>
    </row>
    <row r="969" customFormat="false" ht="15" hidden="false" customHeight="false" outlineLevel="0" collapsed="false">
      <c r="A969" s="0" t="n">
        <v>968</v>
      </c>
      <c r="D969" s="0" t="s">
        <v>2262</v>
      </c>
      <c r="E969" s="0" t="s">
        <v>253</v>
      </c>
      <c r="H969" s="0" t="s">
        <v>21</v>
      </c>
      <c r="I969" s="2" t="s">
        <v>22</v>
      </c>
      <c r="J969" s="2" t="s">
        <v>854</v>
      </c>
      <c r="K969" s="0" t="s">
        <v>855</v>
      </c>
      <c r="L969" s="0" t="s">
        <v>25</v>
      </c>
      <c r="M969" s="0" t="s">
        <v>857</v>
      </c>
      <c r="N969" s="0" t="s">
        <v>2263</v>
      </c>
      <c r="O969" s="0" t="n">
        <v>1</v>
      </c>
      <c r="P969" s="0" t="s">
        <v>253</v>
      </c>
      <c r="R969" s="3"/>
      <c r="S969" s="2" t="s">
        <v>28</v>
      </c>
    </row>
    <row r="970" customFormat="false" ht="15" hidden="false" customHeight="false" outlineLevel="0" collapsed="false">
      <c r="A970" s="0" t="n">
        <v>969</v>
      </c>
      <c r="D970" s="0" t="s">
        <v>2264</v>
      </c>
      <c r="E970" s="0" t="s">
        <v>253</v>
      </c>
      <c r="H970" s="0" t="s">
        <v>21</v>
      </c>
      <c r="I970" s="2" t="s">
        <v>22</v>
      </c>
      <c r="J970" s="2" t="s">
        <v>854</v>
      </c>
      <c r="K970" s="0" t="s">
        <v>855</v>
      </c>
      <c r="L970" s="0" t="s">
        <v>25</v>
      </c>
      <c r="M970" s="0" t="s">
        <v>857</v>
      </c>
      <c r="N970" s="0" t="s">
        <v>2265</v>
      </c>
      <c r="O970" s="0" t="n">
        <v>1</v>
      </c>
      <c r="P970" s="0" t="s">
        <v>253</v>
      </c>
      <c r="R970" s="3"/>
      <c r="S970" s="2" t="s">
        <v>28</v>
      </c>
    </row>
    <row r="971" customFormat="false" ht="15" hidden="false" customHeight="false" outlineLevel="0" collapsed="false">
      <c r="A971" s="0" t="n">
        <v>970</v>
      </c>
      <c r="D971" s="0" t="s">
        <v>2266</v>
      </c>
      <c r="E971" s="0" t="s">
        <v>20</v>
      </c>
      <c r="H971" s="0" t="s">
        <v>21</v>
      </c>
      <c r="I971" s="2" t="s">
        <v>22</v>
      </c>
      <c r="J971" s="2" t="s">
        <v>854</v>
      </c>
      <c r="K971" s="0" t="s">
        <v>855</v>
      </c>
      <c r="L971" s="0" t="s">
        <v>420</v>
      </c>
      <c r="M971" s="0" t="s">
        <v>857</v>
      </c>
      <c r="N971" s="0" t="s">
        <v>2267</v>
      </c>
      <c r="O971" s="0" t="n">
        <v>1</v>
      </c>
      <c r="P971" s="0" t="s">
        <v>422</v>
      </c>
      <c r="R971" s="3"/>
      <c r="S971" s="2" t="s">
        <v>28</v>
      </c>
    </row>
    <row r="972" customFormat="false" ht="15" hidden="false" customHeight="false" outlineLevel="0" collapsed="false">
      <c r="A972" s="0" t="n">
        <v>971</v>
      </c>
      <c r="D972" s="0" t="s">
        <v>2268</v>
      </c>
      <c r="E972" s="0" t="s">
        <v>20</v>
      </c>
      <c r="H972" s="0" t="s">
        <v>21</v>
      </c>
      <c r="I972" s="2" t="s">
        <v>22</v>
      </c>
      <c r="J972" s="2" t="s">
        <v>854</v>
      </c>
      <c r="K972" s="0" t="s">
        <v>855</v>
      </c>
      <c r="L972" s="0" t="s">
        <v>25</v>
      </c>
      <c r="M972" s="0" t="s">
        <v>857</v>
      </c>
      <c r="N972" s="0" t="s">
        <v>2269</v>
      </c>
      <c r="O972" s="0" t="n">
        <v>1</v>
      </c>
      <c r="R972" s="3"/>
      <c r="S972" s="2" t="s">
        <v>28</v>
      </c>
    </row>
    <row r="973" customFormat="false" ht="15" hidden="false" customHeight="false" outlineLevel="0" collapsed="false">
      <c r="A973" s="0" t="n">
        <v>972</v>
      </c>
      <c r="D973" s="0" t="s">
        <v>2270</v>
      </c>
      <c r="E973" s="0" t="s">
        <v>577</v>
      </c>
      <c r="H973" s="0" t="s">
        <v>21</v>
      </c>
      <c r="I973" s="2" t="s">
        <v>22</v>
      </c>
      <c r="J973" s="2" t="s">
        <v>854</v>
      </c>
      <c r="K973" s="0" t="s">
        <v>855</v>
      </c>
      <c r="L973" s="0" t="s">
        <v>25</v>
      </c>
      <c r="M973" s="0" t="s">
        <v>857</v>
      </c>
      <c r="N973" s="0" t="s">
        <v>2271</v>
      </c>
      <c r="O973" s="0" t="n">
        <v>1</v>
      </c>
      <c r="P973" s="0" t="s">
        <v>577</v>
      </c>
      <c r="R973" s="3"/>
      <c r="S973" s="2" t="s">
        <v>28</v>
      </c>
    </row>
    <row r="974" customFormat="false" ht="15" hidden="false" customHeight="false" outlineLevel="0" collapsed="false">
      <c r="A974" s="0" t="n">
        <v>973</v>
      </c>
      <c r="D974" s="0" t="s">
        <v>2272</v>
      </c>
      <c r="E974" s="0" t="s">
        <v>268</v>
      </c>
      <c r="H974" s="0" t="s">
        <v>21</v>
      </c>
      <c r="I974" s="2" t="s">
        <v>22</v>
      </c>
      <c r="J974" s="2" t="s">
        <v>854</v>
      </c>
      <c r="K974" s="0" t="s">
        <v>855</v>
      </c>
      <c r="L974" s="0" t="s">
        <v>25</v>
      </c>
      <c r="M974" s="0" t="s">
        <v>857</v>
      </c>
      <c r="N974" s="0" t="s">
        <v>2273</v>
      </c>
      <c r="O974" s="0" t="n">
        <v>1</v>
      </c>
      <c r="P974" s="0" t="s">
        <v>268</v>
      </c>
      <c r="R974" s="3"/>
      <c r="S974" s="2" t="s">
        <v>28</v>
      </c>
    </row>
    <row r="975" customFormat="false" ht="15" hidden="false" customHeight="false" outlineLevel="0" collapsed="false">
      <c r="A975" s="0" t="n">
        <v>974</v>
      </c>
      <c r="D975" s="0" t="s">
        <v>2274</v>
      </c>
      <c r="E975" s="0" t="s">
        <v>20</v>
      </c>
      <c r="H975" s="0" t="s">
        <v>21</v>
      </c>
      <c r="I975" s="2" t="s">
        <v>22</v>
      </c>
      <c r="J975" s="2" t="s">
        <v>854</v>
      </c>
      <c r="K975" s="0" t="s">
        <v>855</v>
      </c>
      <c r="L975" s="0" t="s">
        <v>25</v>
      </c>
      <c r="M975" s="0" t="s">
        <v>857</v>
      </c>
      <c r="N975" s="0" t="s">
        <v>2275</v>
      </c>
      <c r="O975" s="0" t="n">
        <v>1</v>
      </c>
      <c r="R975" s="3"/>
      <c r="S975" s="2" t="s">
        <v>28</v>
      </c>
    </row>
    <row r="976" customFormat="false" ht="15" hidden="false" customHeight="false" outlineLevel="0" collapsed="false">
      <c r="A976" s="0" t="n">
        <v>975</v>
      </c>
      <c r="D976" s="0" t="s">
        <v>2276</v>
      </c>
      <c r="E976" s="0" t="s">
        <v>287</v>
      </c>
      <c r="H976" s="0" t="s">
        <v>21</v>
      </c>
      <c r="I976" s="2" t="s">
        <v>22</v>
      </c>
      <c r="J976" s="2" t="s">
        <v>854</v>
      </c>
      <c r="K976" s="0" t="s">
        <v>855</v>
      </c>
      <c r="L976" s="0" t="s">
        <v>25</v>
      </c>
      <c r="M976" s="0" t="s">
        <v>857</v>
      </c>
      <c r="N976" s="0" t="s">
        <v>2277</v>
      </c>
      <c r="O976" s="0" t="n">
        <v>1</v>
      </c>
      <c r="P976" s="0" t="s">
        <v>287</v>
      </c>
      <c r="R976" s="3"/>
      <c r="S976" s="2" t="s">
        <v>28</v>
      </c>
    </row>
    <row r="977" customFormat="false" ht="15" hidden="false" customHeight="false" outlineLevel="0" collapsed="false">
      <c r="A977" s="0" t="n">
        <v>976</v>
      </c>
      <c r="D977" s="0" t="s">
        <v>2278</v>
      </c>
      <c r="E977" s="0" t="s">
        <v>20</v>
      </c>
      <c r="H977" s="0" t="s">
        <v>21</v>
      </c>
      <c r="I977" s="2" t="s">
        <v>22</v>
      </c>
      <c r="J977" s="2" t="s">
        <v>854</v>
      </c>
      <c r="K977" s="0" t="s">
        <v>855</v>
      </c>
      <c r="L977" s="0" t="s">
        <v>204</v>
      </c>
      <c r="M977" s="0" t="s">
        <v>857</v>
      </c>
      <c r="N977" s="0" t="s">
        <v>2279</v>
      </c>
      <c r="O977" s="0" t="n">
        <v>1</v>
      </c>
      <c r="P977" s="0" t="s">
        <v>206</v>
      </c>
      <c r="R977" s="3"/>
      <c r="S977" s="2" t="s">
        <v>28</v>
      </c>
    </row>
    <row r="978" customFormat="false" ht="15" hidden="false" customHeight="false" outlineLevel="0" collapsed="false">
      <c r="A978" s="0" t="n">
        <v>977</v>
      </c>
      <c r="D978" s="0" t="s">
        <v>2280</v>
      </c>
      <c r="E978" s="0" t="s">
        <v>20</v>
      </c>
      <c r="H978" s="0" t="s">
        <v>21</v>
      </c>
      <c r="I978" s="2" t="s">
        <v>22</v>
      </c>
      <c r="J978" s="2" t="s">
        <v>854</v>
      </c>
      <c r="K978" s="0" t="s">
        <v>855</v>
      </c>
      <c r="L978" s="0" t="s">
        <v>25</v>
      </c>
      <c r="M978" s="0" t="s">
        <v>857</v>
      </c>
      <c r="N978" s="0" t="s">
        <v>2281</v>
      </c>
      <c r="O978" s="0" t="n">
        <v>1</v>
      </c>
      <c r="R978" s="3"/>
      <c r="S978" s="2" t="s">
        <v>28</v>
      </c>
    </row>
    <row r="979" customFormat="false" ht="15" hidden="false" customHeight="false" outlineLevel="0" collapsed="false">
      <c r="A979" s="0" t="n">
        <v>978</v>
      </c>
      <c r="D979" s="0" t="s">
        <v>2282</v>
      </c>
      <c r="E979" s="0" t="s">
        <v>287</v>
      </c>
      <c r="H979" s="0" t="s">
        <v>21</v>
      </c>
      <c r="I979" s="2" t="s">
        <v>22</v>
      </c>
      <c r="J979" s="2" t="s">
        <v>854</v>
      </c>
      <c r="K979" s="0" t="s">
        <v>855</v>
      </c>
      <c r="L979" s="0" t="s">
        <v>25</v>
      </c>
      <c r="M979" s="0" t="s">
        <v>857</v>
      </c>
      <c r="N979" s="0" t="s">
        <v>2283</v>
      </c>
      <c r="O979" s="0" t="n">
        <v>1</v>
      </c>
      <c r="P979" s="0" t="s">
        <v>287</v>
      </c>
      <c r="R979" s="3"/>
      <c r="S979" s="2" t="s">
        <v>28</v>
      </c>
    </row>
    <row r="980" customFormat="false" ht="15" hidden="false" customHeight="false" outlineLevel="0" collapsed="false">
      <c r="A980" s="0" t="n">
        <v>979</v>
      </c>
      <c r="D980" s="0" t="s">
        <v>2284</v>
      </c>
      <c r="E980" s="0" t="s">
        <v>501</v>
      </c>
      <c r="H980" s="0" t="s">
        <v>21</v>
      </c>
      <c r="I980" s="2" t="s">
        <v>22</v>
      </c>
      <c r="J980" s="2" t="s">
        <v>854</v>
      </c>
      <c r="K980" s="0" t="s">
        <v>855</v>
      </c>
      <c r="L980" s="0" t="s">
        <v>25</v>
      </c>
      <c r="M980" s="0" t="s">
        <v>857</v>
      </c>
      <c r="N980" s="0" t="s">
        <v>2285</v>
      </c>
      <c r="O980" s="0" t="n">
        <v>1</v>
      </c>
      <c r="P980" s="0" t="s">
        <v>501</v>
      </c>
      <c r="R980" s="3"/>
      <c r="S980" s="2" t="s">
        <v>28</v>
      </c>
    </row>
    <row r="981" customFormat="false" ht="15" hidden="false" customHeight="false" outlineLevel="0" collapsed="false">
      <c r="A981" s="0" t="n">
        <v>980</v>
      </c>
      <c r="D981" s="0" t="s">
        <v>2286</v>
      </c>
      <c r="E981" s="0" t="s">
        <v>253</v>
      </c>
      <c r="H981" s="0" t="s">
        <v>21</v>
      </c>
      <c r="I981" s="2" t="s">
        <v>22</v>
      </c>
      <c r="J981" s="2" t="s">
        <v>854</v>
      </c>
      <c r="K981" s="0" t="s">
        <v>855</v>
      </c>
      <c r="L981" s="0" t="s">
        <v>25</v>
      </c>
      <c r="M981" s="0" t="s">
        <v>857</v>
      </c>
      <c r="N981" s="0" t="s">
        <v>2287</v>
      </c>
      <c r="O981" s="0" t="n">
        <v>1</v>
      </c>
      <c r="P981" s="0" t="s">
        <v>253</v>
      </c>
      <c r="R981" s="3"/>
      <c r="S981" s="2" t="s">
        <v>28</v>
      </c>
    </row>
    <row r="982" customFormat="false" ht="15" hidden="false" customHeight="false" outlineLevel="0" collapsed="false">
      <c r="A982" s="0" t="n">
        <v>981</v>
      </c>
      <c r="D982" s="0" t="s">
        <v>2288</v>
      </c>
      <c r="E982" s="0" t="s">
        <v>20</v>
      </c>
      <c r="H982" s="0" t="s">
        <v>21</v>
      </c>
      <c r="I982" s="2" t="s">
        <v>22</v>
      </c>
      <c r="J982" s="2" t="s">
        <v>854</v>
      </c>
      <c r="K982" s="0" t="s">
        <v>855</v>
      </c>
      <c r="L982" s="0" t="s">
        <v>25</v>
      </c>
      <c r="M982" s="0" t="s">
        <v>857</v>
      </c>
      <c r="N982" s="0" t="s">
        <v>2289</v>
      </c>
      <c r="O982" s="0" t="n">
        <v>1</v>
      </c>
      <c r="R982" s="3"/>
      <c r="S982" s="2" t="s">
        <v>28</v>
      </c>
    </row>
    <row r="983" customFormat="false" ht="15" hidden="false" customHeight="false" outlineLevel="0" collapsed="false">
      <c r="A983" s="0" t="n">
        <v>982</v>
      </c>
      <c r="D983" s="0" t="s">
        <v>2290</v>
      </c>
      <c r="E983" s="0" t="s">
        <v>20</v>
      </c>
      <c r="H983" s="0" t="s">
        <v>21</v>
      </c>
      <c r="I983" s="2" t="s">
        <v>22</v>
      </c>
      <c r="J983" s="2" t="s">
        <v>854</v>
      </c>
      <c r="K983" s="0" t="s">
        <v>855</v>
      </c>
      <c r="L983" s="0" t="s">
        <v>25</v>
      </c>
      <c r="M983" s="0" t="s">
        <v>857</v>
      </c>
      <c r="N983" s="0" t="s">
        <v>2291</v>
      </c>
      <c r="O983" s="0" t="n">
        <v>1</v>
      </c>
      <c r="R983" s="3"/>
      <c r="S983" s="2" t="s">
        <v>28</v>
      </c>
    </row>
    <row r="984" customFormat="false" ht="15" hidden="false" customHeight="false" outlineLevel="0" collapsed="false">
      <c r="A984" s="0" t="n">
        <v>983</v>
      </c>
      <c r="D984" s="0" t="s">
        <v>2292</v>
      </c>
      <c r="E984" s="0" t="s">
        <v>20</v>
      </c>
      <c r="H984" s="0" t="s">
        <v>21</v>
      </c>
      <c r="I984" s="2" t="s">
        <v>22</v>
      </c>
      <c r="J984" s="2" t="s">
        <v>854</v>
      </c>
      <c r="K984" s="0" t="s">
        <v>855</v>
      </c>
      <c r="L984" s="0" t="s">
        <v>25</v>
      </c>
      <c r="M984" s="0" t="s">
        <v>857</v>
      </c>
      <c r="N984" s="0" t="s">
        <v>2293</v>
      </c>
      <c r="O984" s="0" t="n">
        <v>1</v>
      </c>
      <c r="R984" s="3"/>
      <c r="S984" s="2" t="s">
        <v>28</v>
      </c>
    </row>
    <row r="985" customFormat="false" ht="15" hidden="false" customHeight="false" outlineLevel="0" collapsed="false">
      <c r="A985" s="0" t="n">
        <v>984</v>
      </c>
      <c r="D985" s="0" t="s">
        <v>2294</v>
      </c>
      <c r="E985" s="0" t="s">
        <v>20</v>
      </c>
      <c r="H985" s="0" t="s">
        <v>21</v>
      </c>
      <c r="I985" s="2" t="s">
        <v>22</v>
      </c>
      <c r="J985" s="2" t="s">
        <v>854</v>
      </c>
      <c r="K985" s="0" t="s">
        <v>855</v>
      </c>
      <c r="L985" s="0" t="s">
        <v>25</v>
      </c>
      <c r="M985" s="0" t="s">
        <v>857</v>
      </c>
      <c r="N985" s="0" t="s">
        <v>2295</v>
      </c>
      <c r="O985" s="0" t="n">
        <v>1</v>
      </c>
      <c r="R985" s="3"/>
      <c r="S985" s="2" t="s">
        <v>28</v>
      </c>
    </row>
    <row r="986" customFormat="false" ht="15" hidden="false" customHeight="false" outlineLevel="0" collapsed="false">
      <c r="A986" s="0" t="n">
        <v>985</v>
      </c>
      <c r="D986" s="0" t="s">
        <v>2296</v>
      </c>
      <c r="E986" s="0" t="s">
        <v>20</v>
      </c>
      <c r="H986" s="0" t="s">
        <v>21</v>
      </c>
      <c r="I986" s="2" t="s">
        <v>22</v>
      </c>
      <c r="J986" s="2" t="s">
        <v>854</v>
      </c>
      <c r="K986" s="0" t="s">
        <v>855</v>
      </c>
      <c r="L986" s="0" t="s">
        <v>25</v>
      </c>
      <c r="M986" s="0" t="s">
        <v>857</v>
      </c>
      <c r="N986" s="0" t="s">
        <v>2297</v>
      </c>
      <c r="O986" s="0" t="n">
        <v>1</v>
      </c>
      <c r="R986" s="3"/>
      <c r="S986" s="2" t="s">
        <v>28</v>
      </c>
    </row>
    <row r="987" customFormat="false" ht="15" hidden="false" customHeight="false" outlineLevel="0" collapsed="false">
      <c r="A987" s="0" t="n">
        <v>986</v>
      </c>
      <c r="D987" s="0" t="s">
        <v>2298</v>
      </c>
      <c r="E987" s="0" t="s">
        <v>287</v>
      </c>
      <c r="H987" s="0" t="s">
        <v>21</v>
      </c>
      <c r="I987" s="2" t="s">
        <v>22</v>
      </c>
      <c r="J987" s="2" t="s">
        <v>854</v>
      </c>
      <c r="K987" s="0" t="s">
        <v>855</v>
      </c>
      <c r="L987" s="0" t="s">
        <v>25</v>
      </c>
      <c r="M987" s="0" t="s">
        <v>857</v>
      </c>
      <c r="N987" s="0" t="s">
        <v>2299</v>
      </c>
      <c r="O987" s="0" t="n">
        <v>1</v>
      </c>
      <c r="P987" s="0" t="s">
        <v>287</v>
      </c>
      <c r="R987" s="3"/>
      <c r="S987" s="2" t="s">
        <v>28</v>
      </c>
    </row>
    <row r="988" customFormat="false" ht="15" hidden="false" customHeight="false" outlineLevel="0" collapsed="false">
      <c r="A988" s="0" t="n">
        <v>987</v>
      </c>
      <c r="D988" s="0" t="s">
        <v>2300</v>
      </c>
      <c r="E988" s="0" t="s">
        <v>173</v>
      </c>
      <c r="H988" s="0" t="s">
        <v>21</v>
      </c>
      <c r="I988" s="2" t="s">
        <v>22</v>
      </c>
      <c r="J988" s="2" t="s">
        <v>854</v>
      </c>
      <c r="K988" s="0" t="s">
        <v>855</v>
      </c>
      <c r="L988" s="0" t="s">
        <v>25</v>
      </c>
      <c r="M988" s="0" t="s">
        <v>857</v>
      </c>
      <c r="N988" s="0" t="s">
        <v>2301</v>
      </c>
      <c r="O988" s="0" t="n">
        <v>1</v>
      </c>
      <c r="P988" s="0" t="s">
        <v>173</v>
      </c>
      <c r="R988" s="3"/>
      <c r="S988" s="2" t="s">
        <v>28</v>
      </c>
    </row>
    <row r="989" customFormat="false" ht="15" hidden="false" customHeight="false" outlineLevel="0" collapsed="false">
      <c r="A989" s="0" t="n">
        <v>988</v>
      </c>
      <c r="D989" s="0" t="s">
        <v>2302</v>
      </c>
      <c r="E989" s="0" t="s">
        <v>253</v>
      </c>
      <c r="H989" s="0" t="s">
        <v>21</v>
      </c>
      <c r="I989" s="2" t="s">
        <v>22</v>
      </c>
      <c r="J989" s="2" t="s">
        <v>854</v>
      </c>
      <c r="K989" s="0" t="s">
        <v>855</v>
      </c>
      <c r="L989" s="0" t="s">
        <v>2303</v>
      </c>
      <c r="M989" s="0" t="s">
        <v>857</v>
      </c>
      <c r="N989" s="0" t="s">
        <v>2304</v>
      </c>
      <c r="O989" s="0" t="n">
        <v>1</v>
      </c>
      <c r="P989" s="0" t="s">
        <v>253</v>
      </c>
      <c r="Q989" s="0" t="s">
        <v>2305</v>
      </c>
      <c r="R989" s="3"/>
      <c r="S989" s="2" t="s">
        <v>2306</v>
      </c>
    </row>
    <row r="990" customFormat="false" ht="15" hidden="false" customHeight="false" outlineLevel="0" collapsed="false">
      <c r="A990" s="0" t="n">
        <v>989</v>
      </c>
      <c r="D990" s="0" t="s">
        <v>2307</v>
      </c>
      <c r="E990" s="0" t="s">
        <v>20</v>
      </c>
      <c r="H990" s="0" t="s">
        <v>21</v>
      </c>
      <c r="I990" s="2" t="s">
        <v>22</v>
      </c>
      <c r="J990" s="2" t="s">
        <v>854</v>
      </c>
      <c r="K990" s="0" t="s">
        <v>855</v>
      </c>
      <c r="L990" s="0" t="s">
        <v>25</v>
      </c>
      <c r="M990" s="0" t="s">
        <v>857</v>
      </c>
      <c r="N990" s="0" t="s">
        <v>2308</v>
      </c>
      <c r="O990" s="0" t="n">
        <v>1</v>
      </c>
      <c r="R990" s="3"/>
      <c r="S990" s="2" t="s">
        <v>28</v>
      </c>
    </row>
    <row r="991" customFormat="false" ht="15" hidden="false" customHeight="false" outlineLevel="0" collapsed="false">
      <c r="A991" s="0" t="n">
        <v>990</v>
      </c>
      <c r="D991" s="0" t="s">
        <v>2309</v>
      </c>
      <c r="E991" s="0" t="s">
        <v>20</v>
      </c>
      <c r="H991" s="0" t="s">
        <v>21</v>
      </c>
      <c r="I991" s="2" t="s">
        <v>22</v>
      </c>
      <c r="J991" s="2" t="s">
        <v>854</v>
      </c>
      <c r="K991" s="0" t="s">
        <v>855</v>
      </c>
      <c r="L991" s="0" t="s">
        <v>420</v>
      </c>
      <c r="M991" s="0" t="s">
        <v>857</v>
      </c>
      <c r="N991" s="0" t="s">
        <v>2310</v>
      </c>
      <c r="O991" s="0" t="n">
        <v>1</v>
      </c>
      <c r="P991" s="0" t="s">
        <v>422</v>
      </c>
      <c r="R991" s="3"/>
      <c r="S991" s="2" t="s">
        <v>28</v>
      </c>
    </row>
    <row r="992" customFormat="false" ht="15" hidden="false" customHeight="false" outlineLevel="0" collapsed="false">
      <c r="A992" s="0" t="n">
        <v>991</v>
      </c>
      <c r="D992" s="0" t="s">
        <v>2311</v>
      </c>
      <c r="E992" s="0" t="s">
        <v>20</v>
      </c>
      <c r="H992" s="0" t="s">
        <v>21</v>
      </c>
      <c r="I992" s="2" t="s">
        <v>22</v>
      </c>
      <c r="J992" s="2" t="s">
        <v>854</v>
      </c>
      <c r="K992" s="0" t="s">
        <v>855</v>
      </c>
      <c r="L992" s="0" t="s">
        <v>25</v>
      </c>
      <c r="M992" s="0" t="s">
        <v>857</v>
      </c>
      <c r="N992" s="0" t="s">
        <v>2312</v>
      </c>
      <c r="O992" s="0" t="n">
        <v>1</v>
      </c>
      <c r="R992" s="3"/>
      <c r="S992" s="2" t="s">
        <v>28</v>
      </c>
    </row>
    <row r="993" customFormat="false" ht="15" hidden="false" customHeight="false" outlineLevel="0" collapsed="false">
      <c r="A993" s="0" t="n">
        <v>992</v>
      </c>
      <c r="D993" s="0" t="s">
        <v>2313</v>
      </c>
      <c r="E993" s="0" t="s">
        <v>20</v>
      </c>
      <c r="H993" s="0" t="s">
        <v>21</v>
      </c>
      <c r="I993" s="2" t="s">
        <v>22</v>
      </c>
      <c r="J993" s="2" t="s">
        <v>854</v>
      </c>
      <c r="K993" s="0" t="s">
        <v>855</v>
      </c>
      <c r="L993" s="0" t="s">
        <v>25</v>
      </c>
      <c r="M993" s="0" t="s">
        <v>857</v>
      </c>
      <c r="N993" s="0" t="s">
        <v>2314</v>
      </c>
      <c r="O993" s="0" t="n">
        <v>1</v>
      </c>
      <c r="P993" s="0" t="s">
        <v>43</v>
      </c>
      <c r="R993" s="3"/>
      <c r="S993" s="2" t="s">
        <v>28</v>
      </c>
    </row>
    <row r="994" customFormat="false" ht="15" hidden="false" customHeight="false" outlineLevel="0" collapsed="false">
      <c r="A994" s="0" t="n">
        <v>993</v>
      </c>
      <c r="D994" s="0" t="s">
        <v>2315</v>
      </c>
      <c r="E994" s="0" t="s">
        <v>501</v>
      </c>
      <c r="H994" s="0" t="s">
        <v>21</v>
      </c>
      <c r="I994" s="2" t="s">
        <v>22</v>
      </c>
      <c r="J994" s="2" t="s">
        <v>854</v>
      </c>
      <c r="K994" s="0" t="s">
        <v>855</v>
      </c>
      <c r="L994" s="0" t="s">
        <v>25</v>
      </c>
      <c r="M994" s="0" t="s">
        <v>857</v>
      </c>
      <c r="N994" s="0" t="s">
        <v>2316</v>
      </c>
      <c r="O994" s="0" t="n">
        <v>1</v>
      </c>
      <c r="P994" s="0" t="s">
        <v>501</v>
      </c>
      <c r="R994" s="3"/>
      <c r="S994" s="2" t="s">
        <v>28</v>
      </c>
    </row>
    <row r="995" customFormat="false" ht="15" hidden="false" customHeight="false" outlineLevel="0" collapsed="false">
      <c r="A995" s="0" t="n">
        <v>994</v>
      </c>
      <c r="D995" s="0" t="s">
        <v>2317</v>
      </c>
      <c r="E995" s="0" t="s">
        <v>20</v>
      </c>
      <c r="H995" s="0" t="s">
        <v>21</v>
      </c>
      <c r="I995" s="2" t="s">
        <v>22</v>
      </c>
      <c r="J995" s="2" t="s">
        <v>854</v>
      </c>
      <c r="K995" s="0" t="s">
        <v>855</v>
      </c>
      <c r="L995" s="0" t="s">
        <v>25</v>
      </c>
      <c r="M995" s="0" t="s">
        <v>857</v>
      </c>
      <c r="N995" s="0" t="s">
        <v>2318</v>
      </c>
      <c r="O995" s="0" t="n">
        <v>1</v>
      </c>
      <c r="R995" s="3"/>
      <c r="S995" s="2" t="s">
        <v>28</v>
      </c>
    </row>
    <row r="996" customFormat="false" ht="15" hidden="false" customHeight="false" outlineLevel="0" collapsed="false">
      <c r="A996" s="0" t="n">
        <v>995</v>
      </c>
      <c r="D996" s="0" t="s">
        <v>2319</v>
      </c>
      <c r="E996" s="0" t="s">
        <v>501</v>
      </c>
      <c r="H996" s="0" t="s">
        <v>21</v>
      </c>
      <c r="I996" s="2" t="s">
        <v>22</v>
      </c>
      <c r="J996" s="2" t="s">
        <v>854</v>
      </c>
      <c r="K996" s="0" t="s">
        <v>855</v>
      </c>
      <c r="L996" s="0" t="s">
        <v>25</v>
      </c>
      <c r="M996" s="0" t="s">
        <v>857</v>
      </c>
      <c r="N996" s="0" t="s">
        <v>2320</v>
      </c>
      <c r="O996" s="0" t="n">
        <v>1</v>
      </c>
      <c r="P996" s="0" t="s">
        <v>501</v>
      </c>
      <c r="R996" s="3"/>
      <c r="S996" s="2" t="s">
        <v>28</v>
      </c>
    </row>
    <row r="997" customFormat="false" ht="15" hidden="false" customHeight="false" outlineLevel="0" collapsed="false">
      <c r="A997" s="0" t="n">
        <v>996</v>
      </c>
      <c r="D997" s="0" t="s">
        <v>2321</v>
      </c>
      <c r="E997" s="0" t="s">
        <v>20</v>
      </c>
      <c r="H997" s="0" t="s">
        <v>21</v>
      </c>
      <c r="I997" s="2" t="s">
        <v>22</v>
      </c>
      <c r="J997" s="2" t="s">
        <v>854</v>
      </c>
      <c r="K997" s="0" t="s">
        <v>855</v>
      </c>
      <c r="L997" s="0" t="s">
        <v>25</v>
      </c>
      <c r="M997" s="0" t="s">
        <v>857</v>
      </c>
      <c r="N997" s="0" t="s">
        <v>2322</v>
      </c>
      <c r="O997" s="0" t="n">
        <v>1</v>
      </c>
      <c r="R997" s="3"/>
      <c r="S997" s="2" t="s">
        <v>28</v>
      </c>
    </row>
    <row r="998" customFormat="false" ht="15" hidden="false" customHeight="false" outlineLevel="0" collapsed="false">
      <c r="A998" s="0" t="n">
        <v>997</v>
      </c>
      <c r="D998" s="0" t="s">
        <v>2323</v>
      </c>
      <c r="E998" s="0" t="s">
        <v>20</v>
      </c>
      <c r="H998" s="0" t="s">
        <v>21</v>
      </c>
      <c r="I998" s="2" t="s">
        <v>22</v>
      </c>
      <c r="J998" s="2" t="s">
        <v>854</v>
      </c>
      <c r="K998" s="0" t="s">
        <v>855</v>
      </c>
      <c r="L998" s="0" t="s">
        <v>25</v>
      </c>
      <c r="M998" s="0" t="s">
        <v>857</v>
      </c>
      <c r="N998" s="0" t="s">
        <v>2324</v>
      </c>
      <c r="O998" s="0" t="n">
        <v>1</v>
      </c>
      <c r="R998" s="3"/>
      <c r="S998" s="2" t="s">
        <v>28</v>
      </c>
    </row>
    <row r="999" customFormat="false" ht="15" hidden="false" customHeight="false" outlineLevel="0" collapsed="false">
      <c r="A999" s="0" t="n">
        <v>998</v>
      </c>
      <c r="D999" s="0" t="s">
        <v>2325</v>
      </c>
      <c r="E999" s="0" t="s">
        <v>20</v>
      </c>
      <c r="H999" s="0" t="s">
        <v>21</v>
      </c>
      <c r="I999" s="2" t="s">
        <v>22</v>
      </c>
      <c r="J999" s="2" t="s">
        <v>854</v>
      </c>
      <c r="K999" s="0" t="s">
        <v>855</v>
      </c>
      <c r="L999" s="0" t="s">
        <v>2326</v>
      </c>
      <c r="M999" s="0" t="s">
        <v>857</v>
      </c>
      <c r="N999" s="0" t="s">
        <v>2327</v>
      </c>
      <c r="O999" s="0" t="n">
        <v>1</v>
      </c>
      <c r="R999" s="3"/>
      <c r="S999" s="2" t="s">
        <v>2328</v>
      </c>
    </row>
    <row r="1000" customFormat="false" ht="15" hidden="false" customHeight="false" outlineLevel="0" collapsed="false">
      <c r="A1000" s="0" t="n">
        <v>999</v>
      </c>
      <c r="D1000" s="0" t="s">
        <v>2329</v>
      </c>
      <c r="E1000" s="0" t="s">
        <v>20</v>
      </c>
      <c r="H1000" s="0" t="s">
        <v>21</v>
      </c>
      <c r="I1000" s="2" t="s">
        <v>22</v>
      </c>
      <c r="J1000" s="2" t="s">
        <v>854</v>
      </c>
      <c r="K1000" s="0" t="s">
        <v>855</v>
      </c>
      <c r="L1000" s="0" t="s">
        <v>25</v>
      </c>
      <c r="M1000" s="0" t="s">
        <v>857</v>
      </c>
      <c r="N1000" s="0" t="s">
        <v>2330</v>
      </c>
      <c r="O1000" s="0" t="n">
        <v>1</v>
      </c>
      <c r="R1000" s="3"/>
      <c r="S1000" s="2" t="s">
        <v>28</v>
      </c>
    </row>
    <row r="1001" customFormat="false" ht="15" hidden="false" customHeight="false" outlineLevel="0" collapsed="false">
      <c r="A1001" s="0" t="n">
        <v>1000</v>
      </c>
      <c r="D1001" s="0" t="s">
        <v>2331</v>
      </c>
      <c r="E1001" s="0" t="s">
        <v>20</v>
      </c>
      <c r="H1001" s="0" t="s">
        <v>21</v>
      </c>
      <c r="I1001" s="2" t="s">
        <v>22</v>
      </c>
      <c r="J1001" s="2" t="s">
        <v>854</v>
      </c>
      <c r="K1001" s="0" t="s">
        <v>855</v>
      </c>
      <c r="L1001" s="0" t="s">
        <v>25</v>
      </c>
      <c r="M1001" s="0" t="s">
        <v>857</v>
      </c>
      <c r="N1001" s="0" t="s">
        <v>2332</v>
      </c>
      <c r="O1001" s="0" t="n">
        <v>1</v>
      </c>
      <c r="R1001" s="3"/>
      <c r="S1001" s="2" t="s">
        <v>28</v>
      </c>
    </row>
    <row r="1002" customFormat="false" ht="15" hidden="false" customHeight="false" outlineLevel="0" collapsed="false">
      <c r="A1002" s="0" t="n">
        <v>1001</v>
      </c>
      <c r="D1002" s="0" t="s">
        <v>2333</v>
      </c>
      <c r="E1002" s="0" t="s">
        <v>287</v>
      </c>
      <c r="H1002" s="0" t="s">
        <v>21</v>
      </c>
      <c r="I1002" s="2" t="s">
        <v>22</v>
      </c>
      <c r="J1002" s="2" t="s">
        <v>854</v>
      </c>
      <c r="K1002" s="0" t="s">
        <v>855</v>
      </c>
      <c r="L1002" s="0" t="s">
        <v>25</v>
      </c>
      <c r="M1002" s="0" t="s">
        <v>857</v>
      </c>
      <c r="N1002" s="0" t="s">
        <v>2334</v>
      </c>
      <c r="O1002" s="0" t="n">
        <v>1</v>
      </c>
      <c r="P1002" s="0" t="s">
        <v>287</v>
      </c>
      <c r="R1002" s="3"/>
      <c r="S1002" s="2" t="s">
        <v>28</v>
      </c>
    </row>
    <row r="1003" customFormat="false" ht="15" hidden="false" customHeight="false" outlineLevel="0" collapsed="false">
      <c r="A1003" s="0" t="n">
        <v>1002</v>
      </c>
      <c r="D1003" s="0" t="s">
        <v>2335</v>
      </c>
      <c r="E1003" s="0" t="s">
        <v>268</v>
      </c>
      <c r="H1003" s="0" t="s">
        <v>21</v>
      </c>
      <c r="I1003" s="2" t="s">
        <v>22</v>
      </c>
      <c r="J1003" s="2" t="s">
        <v>854</v>
      </c>
      <c r="K1003" s="0" t="s">
        <v>855</v>
      </c>
      <c r="L1003" s="0" t="s">
        <v>25</v>
      </c>
      <c r="M1003" s="0" t="s">
        <v>857</v>
      </c>
      <c r="N1003" s="0" t="s">
        <v>2336</v>
      </c>
      <c r="O1003" s="0" t="n">
        <v>1</v>
      </c>
      <c r="P1003" s="0" t="s">
        <v>268</v>
      </c>
      <c r="R1003" s="3"/>
      <c r="S1003" s="2" t="s">
        <v>28</v>
      </c>
    </row>
    <row r="1004" customFormat="false" ht="15" hidden="false" customHeight="false" outlineLevel="0" collapsed="false">
      <c r="A1004" s="0" t="n">
        <v>1003</v>
      </c>
      <c r="D1004" s="0" t="s">
        <v>2337</v>
      </c>
      <c r="E1004" s="0" t="s">
        <v>287</v>
      </c>
      <c r="H1004" s="0" t="s">
        <v>21</v>
      </c>
      <c r="I1004" s="2" t="s">
        <v>22</v>
      </c>
      <c r="J1004" s="2" t="s">
        <v>854</v>
      </c>
      <c r="K1004" s="0" t="s">
        <v>855</v>
      </c>
      <c r="L1004" s="0" t="s">
        <v>2338</v>
      </c>
      <c r="M1004" s="0" t="s">
        <v>857</v>
      </c>
      <c r="N1004" s="0" t="s">
        <v>2339</v>
      </c>
      <c r="O1004" s="0" t="n">
        <v>1</v>
      </c>
      <c r="P1004" s="0" t="s">
        <v>287</v>
      </c>
      <c r="Q1004" s="0" t="s">
        <v>2340</v>
      </c>
      <c r="R1004" s="3"/>
      <c r="S1004" s="2" t="s">
        <v>2341</v>
      </c>
    </row>
    <row r="1005" customFormat="false" ht="15" hidden="false" customHeight="false" outlineLevel="0" collapsed="false">
      <c r="A1005" s="0" t="n">
        <v>1004</v>
      </c>
      <c r="D1005" s="0" t="s">
        <v>2342</v>
      </c>
      <c r="E1005" s="0" t="s">
        <v>253</v>
      </c>
      <c r="H1005" s="0" t="s">
        <v>21</v>
      </c>
      <c r="I1005" s="2" t="s">
        <v>22</v>
      </c>
      <c r="J1005" s="2" t="s">
        <v>854</v>
      </c>
      <c r="K1005" s="0" t="s">
        <v>855</v>
      </c>
      <c r="L1005" s="0" t="s">
        <v>25</v>
      </c>
      <c r="M1005" s="0" t="s">
        <v>857</v>
      </c>
      <c r="N1005" s="0" t="s">
        <v>2343</v>
      </c>
      <c r="O1005" s="0" t="n">
        <v>1</v>
      </c>
      <c r="P1005" s="0" t="s">
        <v>253</v>
      </c>
      <c r="R1005" s="3"/>
      <c r="S1005" s="2" t="s">
        <v>28</v>
      </c>
    </row>
    <row r="1006" customFormat="false" ht="15" hidden="false" customHeight="false" outlineLevel="0" collapsed="false">
      <c r="A1006" s="0" t="n">
        <v>1005</v>
      </c>
      <c r="D1006" s="0" t="s">
        <v>2344</v>
      </c>
      <c r="E1006" s="0" t="s">
        <v>20</v>
      </c>
      <c r="H1006" s="0" t="s">
        <v>21</v>
      </c>
      <c r="I1006" s="2" t="s">
        <v>22</v>
      </c>
      <c r="J1006" s="2" t="s">
        <v>854</v>
      </c>
      <c r="K1006" s="0" t="s">
        <v>855</v>
      </c>
      <c r="L1006" s="0" t="s">
        <v>182</v>
      </c>
      <c r="M1006" s="0" t="s">
        <v>857</v>
      </c>
      <c r="N1006" s="0" t="s">
        <v>2345</v>
      </c>
      <c r="O1006" s="0" t="n">
        <v>1</v>
      </c>
      <c r="P1006" s="0" t="s">
        <v>184</v>
      </c>
      <c r="R1006" s="3"/>
      <c r="S1006" s="2" t="s">
        <v>28</v>
      </c>
    </row>
    <row r="1007" customFormat="false" ht="15" hidden="false" customHeight="false" outlineLevel="0" collapsed="false">
      <c r="A1007" s="0" t="n">
        <v>1006</v>
      </c>
      <c r="D1007" s="0" t="s">
        <v>2346</v>
      </c>
      <c r="E1007" s="0" t="s">
        <v>20</v>
      </c>
      <c r="H1007" s="0" t="s">
        <v>21</v>
      </c>
      <c r="I1007" s="2" t="s">
        <v>22</v>
      </c>
      <c r="J1007" s="2" t="s">
        <v>854</v>
      </c>
      <c r="K1007" s="0" t="s">
        <v>855</v>
      </c>
      <c r="L1007" s="0" t="s">
        <v>25</v>
      </c>
      <c r="M1007" s="0" t="s">
        <v>857</v>
      </c>
      <c r="N1007" s="0" t="s">
        <v>2187</v>
      </c>
      <c r="O1007" s="0" t="n">
        <v>1</v>
      </c>
      <c r="R1007" s="3"/>
      <c r="S1007" s="2" t="s">
        <v>28</v>
      </c>
    </row>
    <row r="1008" customFormat="false" ht="15" hidden="false" customHeight="false" outlineLevel="0" collapsed="false">
      <c r="A1008" s="0" t="n">
        <v>1007</v>
      </c>
      <c r="D1008" s="0" t="s">
        <v>2347</v>
      </c>
      <c r="E1008" s="0" t="s">
        <v>20</v>
      </c>
      <c r="H1008" s="0" t="s">
        <v>21</v>
      </c>
      <c r="I1008" s="2" t="s">
        <v>22</v>
      </c>
      <c r="J1008" s="2" t="s">
        <v>854</v>
      </c>
      <c r="K1008" s="0" t="s">
        <v>855</v>
      </c>
      <c r="L1008" s="0" t="s">
        <v>25</v>
      </c>
      <c r="M1008" s="0" t="s">
        <v>857</v>
      </c>
      <c r="N1008" s="0" t="s">
        <v>2348</v>
      </c>
      <c r="O1008" s="0" t="n">
        <v>1</v>
      </c>
      <c r="P1008" s="0" t="s">
        <v>43</v>
      </c>
      <c r="R1008" s="3"/>
      <c r="S1008" s="2" t="s">
        <v>28</v>
      </c>
    </row>
    <row r="1009" customFormat="false" ht="15" hidden="false" customHeight="false" outlineLevel="0" collapsed="false">
      <c r="A1009" s="0" t="n">
        <v>1008</v>
      </c>
      <c r="D1009" s="0" t="s">
        <v>2349</v>
      </c>
      <c r="E1009" s="0" t="s">
        <v>20</v>
      </c>
      <c r="H1009" s="0" t="s">
        <v>21</v>
      </c>
      <c r="I1009" s="2" t="s">
        <v>22</v>
      </c>
      <c r="J1009" s="2" t="s">
        <v>854</v>
      </c>
      <c r="K1009" s="0" t="s">
        <v>855</v>
      </c>
      <c r="L1009" s="0" t="s">
        <v>25</v>
      </c>
      <c r="M1009" s="0" t="s">
        <v>857</v>
      </c>
      <c r="N1009" s="0" t="s">
        <v>2350</v>
      </c>
      <c r="O1009" s="0" t="n">
        <v>1</v>
      </c>
      <c r="R1009" s="3"/>
      <c r="S1009" s="2" t="s">
        <v>28</v>
      </c>
    </row>
    <row r="1010" customFormat="false" ht="15" hidden="false" customHeight="false" outlineLevel="0" collapsed="false">
      <c r="A1010" s="0" t="n">
        <v>1009</v>
      </c>
      <c r="D1010" s="0" t="s">
        <v>2351</v>
      </c>
      <c r="E1010" s="0" t="s">
        <v>20</v>
      </c>
      <c r="H1010" s="0" t="s">
        <v>21</v>
      </c>
      <c r="I1010" s="2" t="s">
        <v>22</v>
      </c>
      <c r="J1010" s="2" t="s">
        <v>854</v>
      </c>
      <c r="K1010" s="0" t="s">
        <v>855</v>
      </c>
      <c r="L1010" s="0" t="s">
        <v>25</v>
      </c>
      <c r="M1010" s="0" t="s">
        <v>857</v>
      </c>
      <c r="N1010" s="0" t="s">
        <v>2352</v>
      </c>
      <c r="O1010" s="0" t="n">
        <v>1</v>
      </c>
      <c r="R1010" s="3"/>
      <c r="S1010" s="2" t="s">
        <v>28</v>
      </c>
    </row>
    <row r="1011" customFormat="false" ht="15" hidden="false" customHeight="false" outlineLevel="0" collapsed="false">
      <c r="A1011" s="0" t="n">
        <v>1010</v>
      </c>
      <c r="D1011" s="0" t="s">
        <v>2353</v>
      </c>
      <c r="E1011" s="0" t="s">
        <v>68</v>
      </c>
      <c r="H1011" s="0" t="s">
        <v>21</v>
      </c>
      <c r="I1011" s="2" t="s">
        <v>22</v>
      </c>
      <c r="J1011" s="2" t="s">
        <v>854</v>
      </c>
      <c r="K1011" s="0" t="s">
        <v>855</v>
      </c>
      <c r="L1011" s="0" t="s">
        <v>25</v>
      </c>
      <c r="M1011" s="0" t="s">
        <v>857</v>
      </c>
      <c r="N1011" s="0" t="s">
        <v>2354</v>
      </c>
      <c r="O1011" s="0" t="n">
        <v>1</v>
      </c>
      <c r="P1011" s="0" t="s">
        <v>68</v>
      </c>
      <c r="R1011" s="3"/>
      <c r="S1011" s="2" t="s">
        <v>28</v>
      </c>
    </row>
    <row r="1012" customFormat="false" ht="15" hidden="false" customHeight="false" outlineLevel="0" collapsed="false">
      <c r="A1012" s="0" t="n">
        <v>1011</v>
      </c>
      <c r="D1012" s="0" t="s">
        <v>2355</v>
      </c>
      <c r="E1012" s="0" t="s">
        <v>20</v>
      </c>
      <c r="H1012" s="0" t="s">
        <v>21</v>
      </c>
      <c r="I1012" s="2" t="s">
        <v>22</v>
      </c>
      <c r="J1012" s="2" t="s">
        <v>854</v>
      </c>
      <c r="K1012" s="0" t="s">
        <v>855</v>
      </c>
      <c r="L1012" s="0" t="s">
        <v>25</v>
      </c>
      <c r="M1012" s="0" t="s">
        <v>857</v>
      </c>
      <c r="N1012" s="0" t="s">
        <v>2356</v>
      </c>
      <c r="O1012" s="0" t="n">
        <v>1</v>
      </c>
      <c r="R1012" s="3"/>
      <c r="S1012" s="2" t="s">
        <v>28</v>
      </c>
    </row>
    <row r="1013" customFormat="false" ht="15" hidden="false" customHeight="false" outlineLevel="0" collapsed="false">
      <c r="A1013" s="0" t="n">
        <v>1012</v>
      </c>
      <c r="D1013" s="0" t="s">
        <v>2357</v>
      </c>
      <c r="E1013" s="0" t="s">
        <v>20</v>
      </c>
      <c r="H1013" s="0" t="s">
        <v>21</v>
      </c>
      <c r="I1013" s="2" t="s">
        <v>22</v>
      </c>
      <c r="J1013" s="2" t="s">
        <v>854</v>
      </c>
      <c r="K1013" s="0" t="s">
        <v>855</v>
      </c>
      <c r="L1013" s="0" t="s">
        <v>25</v>
      </c>
      <c r="M1013" s="0" t="s">
        <v>857</v>
      </c>
      <c r="N1013" s="0" t="s">
        <v>2358</v>
      </c>
      <c r="O1013" s="0" t="n">
        <v>1</v>
      </c>
      <c r="R1013" s="3"/>
      <c r="S1013" s="2" t="s">
        <v>28</v>
      </c>
    </row>
    <row r="1014" customFormat="false" ht="15" hidden="false" customHeight="false" outlineLevel="0" collapsed="false">
      <c r="A1014" s="0" t="n">
        <v>1013</v>
      </c>
      <c r="D1014" s="0" t="s">
        <v>2359</v>
      </c>
      <c r="E1014" s="0" t="s">
        <v>20</v>
      </c>
      <c r="H1014" s="0" t="s">
        <v>21</v>
      </c>
      <c r="I1014" s="2" t="s">
        <v>22</v>
      </c>
      <c r="J1014" s="2" t="s">
        <v>854</v>
      </c>
      <c r="K1014" s="0" t="s">
        <v>855</v>
      </c>
      <c r="L1014" s="0" t="s">
        <v>25</v>
      </c>
      <c r="M1014" s="0" t="s">
        <v>857</v>
      </c>
      <c r="N1014" s="0" t="s">
        <v>2360</v>
      </c>
      <c r="O1014" s="0" t="n">
        <v>1</v>
      </c>
      <c r="R1014" s="3"/>
      <c r="S1014" s="2" t="s">
        <v>28</v>
      </c>
    </row>
    <row r="1015" customFormat="false" ht="15" hidden="false" customHeight="false" outlineLevel="0" collapsed="false">
      <c r="A1015" s="0" t="n">
        <v>1014</v>
      </c>
      <c r="D1015" s="0" t="s">
        <v>2361</v>
      </c>
      <c r="E1015" s="0" t="s">
        <v>20</v>
      </c>
      <c r="H1015" s="0" t="s">
        <v>21</v>
      </c>
      <c r="I1015" s="2" t="s">
        <v>22</v>
      </c>
      <c r="J1015" s="2" t="s">
        <v>854</v>
      </c>
      <c r="K1015" s="0" t="s">
        <v>855</v>
      </c>
      <c r="L1015" s="0" t="s">
        <v>25</v>
      </c>
      <c r="M1015" s="0" t="s">
        <v>857</v>
      </c>
      <c r="N1015" s="0" t="s">
        <v>2362</v>
      </c>
      <c r="O1015" s="0" t="n">
        <v>1</v>
      </c>
      <c r="R1015" s="3"/>
      <c r="S1015" s="2" t="s">
        <v>28</v>
      </c>
    </row>
    <row r="1016" customFormat="false" ht="15" hidden="false" customHeight="false" outlineLevel="0" collapsed="false">
      <c r="A1016" s="0" t="n">
        <v>1015</v>
      </c>
      <c r="D1016" s="0" t="s">
        <v>2363</v>
      </c>
      <c r="E1016" s="0" t="s">
        <v>20</v>
      </c>
      <c r="H1016" s="0" t="s">
        <v>21</v>
      </c>
      <c r="I1016" s="2" t="s">
        <v>22</v>
      </c>
      <c r="J1016" s="2" t="s">
        <v>854</v>
      </c>
      <c r="K1016" s="0" t="s">
        <v>855</v>
      </c>
      <c r="L1016" s="0" t="s">
        <v>420</v>
      </c>
      <c r="M1016" s="0" t="s">
        <v>857</v>
      </c>
      <c r="N1016" s="0" t="s">
        <v>2364</v>
      </c>
      <c r="O1016" s="0" t="n">
        <v>1</v>
      </c>
      <c r="P1016" s="0" t="s">
        <v>422</v>
      </c>
      <c r="R1016" s="3"/>
      <c r="S1016" s="2" t="s">
        <v>28</v>
      </c>
    </row>
    <row r="1017" customFormat="false" ht="15" hidden="false" customHeight="false" outlineLevel="0" collapsed="false">
      <c r="A1017" s="0" t="n">
        <v>1016</v>
      </c>
      <c r="D1017" s="0" t="s">
        <v>2365</v>
      </c>
      <c r="E1017" s="0" t="s">
        <v>20</v>
      </c>
      <c r="H1017" s="0" t="s">
        <v>21</v>
      </c>
      <c r="I1017" s="2" t="s">
        <v>22</v>
      </c>
      <c r="J1017" s="2" t="s">
        <v>854</v>
      </c>
      <c r="K1017" s="0" t="s">
        <v>855</v>
      </c>
      <c r="L1017" s="0" t="s">
        <v>25</v>
      </c>
      <c r="M1017" s="0" t="s">
        <v>857</v>
      </c>
      <c r="N1017" s="0" t="s">
        <v>2366</v>
      </c>
      <c r="O1017" s="0" t="n">
        <v>1</v>
      </c>
      <c r="R1017" s="3"/>
      <c r="S1017" s="2" t="s">
        <v>28</v>
      </c>
    </row>
    <row r="1018" customFormat="false" ht="15" hidden="false" customHeight="false" outlineLevel="0" collapsed="false">
      <c r="A1018" s="0" t="n">
        <v>1017</v>
      </c>
      <c r="D1018" s="0" t="s">
        <v>2367</v>
      </c>
      <c r="E1018" s="0" t="s">
        <v>73</v>
      </c>
      <c r="H1018" s="0" t="s">
        <v>21</v>
      </c>
      <c r="I1018" s="2" t="s">
        <v>22</v>
      </c>
      <c r="J1018" s="2" t="s">
        <v>854</v>
      </c>
      <c r="K1018" s="0" t="s">
        <v>855</v>
      </c>
      <c r="L1018" s="0" t="s">
        <v>25</v>
      </c>
      <c r="M1018" s="0" t="s">
        <v>857</v>
      </c>
      <c r="N1018" s="0" t="s">
        <v>2368</v>
      </c>
      <c r="O1018" s="0" t="n">
        <v>1</v>
      </c>
      <c r="P1018" s="0" t="s">
        <v>73</v>
      </c>
      <c r="R1018" s="3"/>
      <c r="S1018" s="2" t="s">
        <v>28</v>
      </c>
    </row>
    <row r="1019" customFormat="false" ht="15" hidden="false" customHeight="false" outlineLevel="0" collapsed="false">
      <c r="A1019" s="0" t="n">
        <v>1018</v>
      </c>
      <c r="D1019" s="0" t="s">
        <v>2369</v>
      </c>
      <c r="E1019" s="0" t="s">
        <v>20</v>
      </c>
      <c r="H1019" s="0" t="s">
        <v>21</v>
      </c>
      <c r="I1019" s="2" t="s">
        <v>22</v>
      </c>
      <c r="J1019" s="2" t="s">
        <v>854</v>
      </c>
      <c r="K1019" s="0" t="s">
        <v>855</v>
      </c>
      <c r="L1019" s="0" t="s">
        <v>25</v>
      </c>
      <c r="M1019" s="0" t="s">
        <v>857</v>
      </c>
      <c r="N1019" s="0" t="s">
        <v>2370</v>
      </c>
      <c r="O1019" s="0" t="n">
        <v>1</v>
      </c>
      <c r="R1019" s="3"/>
      <c r="S1019" s="2" t="s">
        <v>28</v>
      </c>
    </row>
    <row r="1020" customFormat="false" ht="15" hidden="false" customHeight="false" outlineLevel="0" collapsed="false">
      <c r="A1020" s="0" t="n">
        <v>1019</v>
      </c>
      <c r="D1020" s="0" t="s">
        <v>2371</v>
      </c>
      <c r="E1020" s="0" t="s">
        <v>20</v>
      </c>
      <c r="H1020" s="0" t="s">
        <v>21</v>
      </c>
      <c r="I1020" s="2" t="s">
        <v>22</v>
      </c>
      <c r="J1020" s="2" t="s">
        <v>854</v>
      </c>
      <c r="K1020" s="0" t="s">
        <v>855</v>
      </c>
      <c r="L1020" s="0" t="s">
        <v>25</v>
      </c>
      <c r="M1020" s="0" t="s">
        <v>857</v>
      </c>
      <c r="N1020" s="0" t="s">
        <v>2372</v>
      </c>
      <c r="O1020" s="0" t="n">
        <v>1</v>
      </c>
      <c r="R1020" s="3"/>
      <c r="S1020" s="2" t="s">
        <v>28</v>
      </c>
    </row>
    <row r="1021" customFormat="false" ht="15" hidden="false" customHeight="false" outlineLevel="0" collapsed="false">
      <c r="A1021" s="0" t="n">
        <v>1020</v>
      </c>
      <c r="D1021" s="0" t="s">
        <v>2373</v>
      </c>
      <c r="E1021" s="0" t="s">
        <v>20</v>
      </c>
      <c r="H1021" s="0" t="s">
        <v>21</v>
      </c>
      <c r="I1021" s="2" t="s">
        <v>22</v>
      </c>
      <c r="J1021" s="2" t="s">
        <v>854</v>
      </c>
      <c r="K1021" s="0" t="s">
        <v>855</v>
      </c>
      <c r="L1021" s="0" t="s">
        <v>25</v>
      </c>
      <c r="M1021" s="0" t="s">
        <v>857</v>
      </c>
      <c r="N1021" s="0" t="s">
        <v>2374</v>
      </c>
      <c r="O1021" s="0" t="n">
        <v>1</v>
      </c>
      <c r="R1021" s="3"/>
      <c r="S1021" s="2" t="s">
        <v>28</v>
      </c>
    </row>
    <row r="1022" customFormat="false" ht="15" hidden="false" customHeight="false" outlineLevel="0" collapsed="false">
      <c r="A1022" s="0" t="n">
        <v>1021</v>
      </c>
      <c r="D1022" s="0" t="s">
        <v>2375</v>
      </c>
      <c r="E1022" s="0" t="s">
        <v>210</v>
      </c>
      <c r="H1022" s="0" t="s">
        <v>21</v>
      </c>
      <c r="I1022" s="2" t="s">
        <v>22</v>
      </c>
      <c r="J1022" s="2" t="s">
        <v>854</v>
      </c>
      <c r="K1022" s="0" t="s">
        <v>855</v>
      </c>
      <c r="L1022" s="0" t="s">
        <v>25</v>
      </c>
      <c r="M1022" s="0" t="s">
        <v>857</v>
      </c>
      <c r="N1022" s="0" t="s">
        <v>2376</v>
      </c>
      <c r="O1022" s="0" t="n">
        <v>1</v>
      </c>
      <c r="P1022" s="0" t="s">
        <v>210</v>
      </c>
      <c r="R1022" s="3"/>
      <c r="S1022" s="2" t="s">
        <v>28</v>
      </c>
    </row>
    <row r="1023" customFormat="false" ht="15" hidden="false" customHeight="false" outlineLevel="0" collapsed="false">
      <c r="A1023" s="0" t="n">
        <v>1022</v>
      </c>
      <c r="D1023" s="0" t="s">
        <v>2377</v>
      </c>
      <c r="E1023" s="0" t="s">
        <v>287</v>
      </c>
      <c r="H1023" s="0" t="s">
        <v>21</v>
      </c>
      <c r="I1023" s="2" t="s">
        <v>22</v>
      </c>
      <c r="J1023" s="2" t="s">
        <v>854</v>
      </c>
      <c r="K1023" s="0" t="s">
        <v>855</v>
      </c>
      <c r="L1023" s="0" t="s">
        <v>25</v>
      </c>
      <c r="M1023" s="0" t="s">
        <v>857</v>
      </c>
      <c r="N1023" s="0" t="s">
        <v>2378</v>
      </c>
      <c r="O1023" s="0" t="n">
        <v>1</v>
      </c>
      <c r="P1023" s="0" t="s">
        <v>287</v>
      </c>
      <c r="R1023" s="3"/>
      <c r="S1023" s="2" t="s">
        <v>28</v>
      </c>
    </row>
    <row r="1024" customFormat="false" ht="15" hidden="false" customHeight="false" outlineLevel="0" collapsed="false">
      <c r="A1024" s="0" t="n">
        <v>1023</v>
      </c>
      <c r="D1024" s="0" t="s">
        <v>2379</v>
      </c>
      <c r="E1024" s="0" t="s">
        <v>20</v>
      </c>
      <c r="H1024" s="0" t="s">
        <v>21</v>
      </c>
      <c r="I1024" s="2" t="s">
        <v>22</v>
      </c>
      <c r="J1024" s="2" t="s">
        <v>854</v>
      </c>
      <c r="K1024" s="0" t="s">
        <v>855</v>
      </c>
      <c r="L1024" s="0" t="s">
        <v>25</v>
      </c>
      <c r="M1024" s="0" t="s">
        <v>857</v>
      </c>
      <c r="N1024" s="0" t="s">
        <v>2380</v>
      </c>
      <c r="O1024" s="0" t="n">
        <v>1</v>
      </c>
      <c r="R1024" s="3"/>
      <c r="S1024" s="2" t="s">
        <v>28</v>
      </c>
    </row>
    <row r="1025" customFormat="false" ht="15" hidden="false" customHeight="false" outlineLevel="0" collapsed="false">
      <c r="A1025" s="0" t="n">
        <v>1024</v>
      </c>
      <c r="D1025" s="0" t="s">
        <v>2381</v>
      </c>
      <c r="E1025" s="0" t="s">
        <v>20</v>
      </c>
      <c r="H1025" s="0" t="s">
        <v>21</v>
      </c>
      <c r="I1025" s="2" t="s">
        <v>22</v>
      </c>
      <c r="J1025" s="2" t="s">
        <v>854</v>
      </c>
      <c r="K1025" s="0" t="s">
        <v>855</v>
      </c>
      <c r="L1025" s="0" t="s">
        <v>25</v>
      </c>
      <c r="M1025" s="0" t="s">
        <v>857</v>
      </c>
      <c r="N1025" s="0" t="s">
        <v>2382</v>
      </c>
      <c r="O1025" s="0" t="n">
        <v>1</v>
      </c>
      <c r="R1025" s="3"/>
      <c r="S1025" s="2" t="s">
        <v>28</v>
      </c>
    </row>
    <row r="1026" customFormat="false" ht="15" hidden="false" customHeight="false" outlineLevel="0" collapsed="false">
      <c r="A1026" s="0" t="n">
        <v>1025</v>
      </c>
      <c r="D1026" s="0" t="s">
        <v>2383</v>
      </c>
      <c r="E1026" s="0" t="s">
        <v>20</v>
      </c>
      <c r="H1026" s="0" t="s">
        <v>21</v>
      </c>
      <c r="I1026" s="2" t="s">
        <v>22</v>
      </c>
      <c r="J1026" s="2" t="s">
        <v>854</v>
      </c>
      <c r="K1026" s="0" t="s">
        <v>855</v>
      </c>
      <c r="L1026" s="0" t="s">
        <v>25</v>
      </c>
      <c r="M1026" s="0" t="s">
        <v>857</v>
      </c>
      <c r="N1026" s="0" t="s">
        <v>2384</v>
      </c>
      <c r="O1026" s="0" t="n">
        <v>1</v>
      </c>
      <c r="R1026" s="3"/>
      <c r="S1026" s="2" t="s">
        <v>28</v>
      </c>
    </row>
    <row r="1027" customFormat="false" ht="15" hidden="false" customHeight="false" outlineLevel="0" collapsed="false">
      <c r="A1027" s="0" t="n">
        <v>1026</v>
      </c>
      <c r="D1027" s="0" t="s">
        <v>2385</v>
      </c>
      <c r="E1027" s="0" t="s">
        <v>501</v>
      </c>
      <c r="H1027" s="0" t="s">
        <v>21</v>
      </c>
      <c r="I1027" s="2" t="s">
        <v>22</v>
      </c>
      <c r="J1027" s="2" t="s">
        <v>854</v>
      </c>
      <c r="K1027" s="0" t="s">
        <v>855</v>
      </c>
      <c r="L1027" s="0" t="s">
        <v>25</v>
      </c>
      <c r="M1027" s="0" t="s">
        <v>857</v>
      </c>
      <c r="N1027" s="0" t="s">
        <v>2386</v>
      </c>
      <c r="O1027" s="0" t="n">
        <v>1</v>
      </c>
      <c r="P1027" s="0" t="s">
        <v>501</v>
      </c>
      <c r="R1027" s="3"/>
      <c r="S1027" s="2" t="s">
        <v>28</v>
      </c>
    </row>
    <row r="1028" customFormat="false" ht="15" hidden="false" customHeight="false" outlineLevel="0" collapsed="false">
      <c r="A1028" s="0" t="n">
        <v>1027</v>
      </c>
      <c r="D1028" s="0" t="s">
        <v>2387</v>
      </c>
      <c r="E1028" s="0" t="s">
        <v>20</v>
      </c>
      <c r="H1028" s="0" t="s">
        <v>21</v>
      </c>
      <c r="I1028" s="2" t="s">
        <v>22</v>
      </c>
      <c r="J1028" s="2" t="s">
        <v>854</v>
      </c>
      <c r="K1028" s="0" t="s">
        <v>855</v>
      </c>
      <c r="L1028" s="0" t="s">
        <v>25</v>
      </c>
      <c r="M1028" s="0" t="s">
        <v>857</v>
      </c>
      <c r="N1028" s="0" t="s">
        <v>2388</v>
      </c>
      <c r="O1028" s="0" t="n">
        <v>1</v>
      </c>
      <c r="R1028" s="3"/>
      <c r="S1028" s="2" t="s">
        <v>28</v>
      </c>
    </row>
    <row r="1029" customFormat="false" ht="15" hidden="false" customHeight="false" outlineLevel="0" collapsed="false">
      <c r="A1029" s="0" t="n">
        <v>1028</v>
      </c>
      <c r="D1029" s="0" t="s">
        <v>2389</v>
      </c>
      <c r="E1029" s="0" t="s">
        <v>73</v>
      </c>
      <c r="H1029" s="0" t="s">
        <v>21</v>
      </c>
      <c r="I1029" s="2" t="s">
        <v>22</v>
      </c>
      <c r="J1029" s="2" t="s">
        <v>854</v>
      </c>
      <c r="K1029" s="0" t="s">
        <v>855</v>
      </c>
      <c r="L1029" s="0" t="s">
        <v>25</v>
      </c>
      <c r="M1029" s="0" t="s">
        <v>857</v>
      </c>
      <c r="N1029" s="0" t="s">
        <v>2390</v>
      </c>
      <c r="O1029" s="0" t="n">
        <v>1</v>
      </c>
      <c r="P1029" s="0" t="s">
        <v>73</v>
      </c>
      <c r="R1029" s="3"/>
      <c r="S1029" s="2" t="s">
        <v>28</v>
      </c>
    </row>
    <row r="1030" customFormat="false" ht="15" hidden="false" customHeight="false" outlineLevel="0" collapsed="false">
      <c r="A1030" s="0" t="n">
        <v>1029</v>
      </c>
      <c r="D1030" s="0" t="s">
        <v>2391</v>
      </c>
      <c r="E1030" s="0" t="s">
        <v>20</v>
      </c>
      <c r="H1030" s="0" t="s">
        <v>21</v>
      </c>
      <c r="I1030" s="2" t="s">
        <v>22</v>
      </c>
      <c r="J1030" s="2" t="s">
        <v>854</v>
      </c>
      <c r="K1030" s="0" t="s">
        <v>855</v>
      </c>
      <c r="L1030" s="0" t="s">
        <v>25</v>
      </c>
      <c r="M1030" s="0" t="s">
        <v>857</v>
      </c>
      <c r="N1030" s="0" t="s">
        <v>2392</v>
      </c>
      <c r="O1030" s="0" t="n">
        <v>1</v>
      </c>
      <c r="R1030" s="3"/>
      <c r="S1030" s="2" t="s">
        <v>28</v>
      </c>
    </row>
    <row r="1031" customFormat="false" ht="15" hidden="false" customHeight="false" outlineLevel="0" collapsed="false">
      <c r="A1031" s="0" t="n">
        <v>1030</v>
      </c>
      <c r="D1031" s="0" t="s">
        <v>2393</v>
      </c>
      <c r="E1031" s="0" t="s">
        <v>73</v>
      </c>
      <c r="H1031" s="0" t="s">
        <v>21</v>
      </c>
      <c r="I1031" s="2" t="s">
        <v>22</v>
      </c>
      <c r="J1031" s="2" t="s">
        <v>854</v>
      </c>
      <c r="K1031" s="0" t="s">
        <v>855</v>
      </c>
      <c r="L1031" s="0" t="s">
        <v>25</v>
      </c>
      <c r="M1031" s="0" t="s">
        <v>857</v>
      </c>
      <c r="N1031" s="0" t="s">
        <v>2394</v>
      </c>
      <c r="O1031" s="0" t="n">
        <v>1</v>
      </c>
      <c r="P1031" s="0" t="s">
        <v>73</v>
      </c>
      <c r="R1031" s="3"/>
      <c r="S1031" s="2" t="s">
        <v>28</v>
      </c>
    </row>
    <row r="1032" customFormat="false" ht="15" hidden="false" customHeight="false" outlineLevel="0" collapsed="false">
      <c r="A1032" s="0" t="n">
        <v>1031</v>
      </c>
      <c r="D1032" s="0" t="s">
        <v>2395</v>
      </c>
      <c r="E1032" s="0" t="s">
        <v>20</v>
      </c>
      <c r="H1032" s="0" t="s">
        <v>21</v>
      </c>
      <c r="I1032" s="2" t="s">
        <v>22</v>
      </c>
      <c r="J1032" s="2" t="s">
        <v>854</v>
      </c>
      <c r="K1032" s="0" t="s">
        <v>855</v>
      </c>
      <c r="L1032" s="0" t="s">
        <v>25</v>
      </c>
      <c r="M1032" s="0" t="s">
        <v>857</v>
      </c>
      <c r="N1032" s="0" t="s">
        <v>2396</v>
      </c>
      <c r="O1032" s="0" t="n">
        <v>1</v>
      </c>
      <c r="R1032" s="3"/>
      <c r="S1032" s="2" t="s">
        <v>28</v>
      </c>
    </row>
    <row r="1033" customFormat="false" ht="15" hidden="false" customHeight="false" outlineLevel="0" collapsed="false">
      <c r="A1033" s="0" t="n">
        <v>1032</v>
      </c>
      <c r="D1033" s="0" t="s">
        <v>2397</v>
      </c>
      <c r="E1033" s="0" t="s">
        <v>20</v>
      </c>
      <c r="H1033" s="0" t="s">
        <v>21</v>
      </c>
      <c r="I1033" s="2" t="s">
        <v>22</v>
      </c>
      <c r="J1033" s="2" t="s">
        <v>854</v>
      </c>
      <c r="K1033" s="0" t="s">
        <v>855</v>
      </c>
      <c r="L1033" s="0" t="s">
        <v>25</v>
      </c>
      <c r="M1033" s="0" t="s">
        <v>857</v>
      </c>
      <c r="N1033" s="0" t="s">
        <v>2398</v>
      </c>
      <c r="O1033" s="0" t="n">
        <v>1</v>
      </c>
      <c r="R1033" s="3"/>
      <c r="S1033" s="2" t="s">
        <v>28</v>
      </c>
    </row>
    <row r="1034" customFormat="false" ht="15" hidden="false" customHeight="false" outlineLevel="0" collapsed="false">
      <c r="A1034" s="0" t="n">
        <v>1033</v>
      </c>
      <c r="D1034" s="0" t="s">
        <v>2399</v>
      </c>
      <c r="E1034" s="0" t="s">
        <v>210</v>
      </c>
      <c r="H1034" s="0" t="s">
        <v>21</v>
      </c>
      <c r="I1034" s="2" t="s">
        <v>22</v>
      </c>
      <c r="J1034" s="2" t="s">
        <v>854</v>
      </c>
      <c r="K1034" s="0" t="s">
        <v>855</v>
      </c>
      <c r="L1034" s="0" t="s">
        <v>25</v>
      </c>
      <c r="M1034" s="0" t="s">
        <v>857</v>
      </c>
      <c r="N1034" s="0" t="s">
        <v>2400</v>
      </c>
      <c r="O1034" s="0" t="n">
        <v>1</v>
      </c>
      <c r="P1034" s="0" t="s">
        <v>210</v>
      </c>
      <c r="R1034" s="3"/>
      <c r="S1034" s="2" t="s">
        <v>28</v>
      </c>
    </row>
    <row r="1035" customFormat="false" ht="15" hidden="false" customHeight="false" outlineLevel="0" collapsed="false">
      <c r="A1035" s="0" t="n">
        <v>1034</v>
      </c>
      <c r="D1035" s="0" t="s">
        <v>2401</v>
      </c>
      <c r="E1035" s="0" t="s">
        <v>20</v>
      </c>
      <c r="H1035" s="0" t="s">
        <v>21</v>
      </c>
      <c r="I1035" s="2" t="s">
        <v>22</v>
      </c>
      <c r="J1035" s="2" t="s">
        <v>854</v>
      </c>
      <c r="K1035" s="0" t="s">
        <v>855</v>
      </c>
      <c r="L1035" s="0" t="s">
        <v>25</v>
      </c>
      <c r="M1035" s="0" t="s">
        <v>857</v>
      </c>
      <c r="N1035" s="0" t="s">
        <v>2402</v>
      </c>
      <c r="O1035" s="0" t="n">
        <v>1</v>
      </c>
      <c r="R1035" s="3"/>
      <c r="S1035" s="2" t="s">
        <v>28</v>
      </c>
    </row>
    <row r="1036" customFormat="false" ht="15" hidden="false" customHeight="false" outlineLevel="0" collapsed="false">
      <c r="A1036" s="0" t="n">
        <v>1035</v>
      </c>
      <c r="D1036" s="0" t="s">
        <v>2403</v>
      </c>
      <c r="E1036" s="0" t="s">
        <v>20</v>
      </c>
      <c r="H1036" s="0" t="s">
        <v>21</v>
      </c>
      <c r="I1036" s="2" t="s">
        <v>22</v>
      </c>
      <c r="J1036" s="2" t="s">
        <v>854</v>
      </c>
      <c r="K1036" s="0" t="s">
        <v>855</v>
      </c>
      <c r="L1036" s="0" t="s">
        <v>25</v>
      </c>
      <c r="M1036" s="0" t="s">
        <v>857</v>
      </c>
      <c r="N1036" s="0" t="s">
        <v>2404</v>
      </c>
      <c r="O1036" s="0" t="n">
        <v>1</v>
      </c>
      <c r="R1036" s="3"/>
      <c r="S1036" s="2" t="s">
        <v>28</v>
      </c>
    </row>
    <row r="1037" customFormat="false" ht="15" hidden="false" customHeight="false" outlineLevel="0" collapsed="false">
      <c r="A1037" s="0" t="n">
        <v>1036</v>
      </c>
      <c r="D1037" s="0" t="s">
        <v>2405</v>
      </c>
      <c r="E1037" s="0" t="s">
        <v>73</v>
      </c>
      <c r="H1037" s="0" t="s">
        <v>21</v>
      </c>
      <c r="I1037" s="2" t="s">
        <v>22</v>
      </c>
      <c r="J1037" s="2" t="s">
        <v>854</v>
      </c>
      <c r="K1037" s="0" t="s">
        <v>855</v>
      </c>
      <c r="L1037" s="0" t="s">
        <v>25</v>
      </c>
      <c r="M1037" s="0" t="s">
        <v>857</v>
      </c>
      <c r="N1037" s="0" t="s">
        <v>2406</v>
      </c>
      <c r="O1037" s="0" t="n">
        <v>1</v>
      </c>
      <c r="P1037" s="0" t="s">
        <v>73</v>
      </c>
      <c r="R1037" s="3"/>
      <c r="S1037" s="2" t="s">
        <v>28</v>
      </c>
    </row>
    <row r="1038" customFormat="false" ht="15" hidden="false" customHeight="false" outlineLevel="0" collapsed="false">
      <c r="A1038" s="0" t="n">
        <v>1037</v>
      </c>
      <c r="D1038" s="0" t="s">
        <v>2407</v>
      </c>
      <c r="E1038" s="0" t="s">
        <v>20</v>
      </c>
      <c r="H1038" s="0" t="s">
        <v>21</v>
      </c>
      <c r="I1038" s="2" t="s">
        <v>22</v>
      </c>
      <c r="J1038" s="2" t="s">
        <v>854</v>
      </c>
      <c r="K1038" s="0" t="s">
        <v>855</v>
      </c>
      <c r="L1038" s="0" t="s">
        <v>25</v>
      </c>
      <c r="M1038" s="0" t="s">
        <v>857</v>
      </c>
      <c r="N1038" s="0" t="s">
        <v>2408</v>
      </c>
      <c r="O1038" s="0" t="n">
        <v>1</v>
      </c>
      <c r="R1038" s="3"/>
      <c r="S1038" s="2" t="s">
        <v>28</v>
      </c>
    </row>
    <row r="1039" customFormat="false" ht="15" hidden="false" customHeight="false" outlineLevel="0" collapsed="false">
      <c r="A1039" s="0" t="n">
        <v>1038</v>
      </c>
      <c r="D1039" s="0" t="s">
        <v>2409</v>
      </c>
      <c r="E1039" s="0" t="s">
        <v>287</v>
      </c>
      <c r="H1039" s="0" t="s">
        <v>21</v>
      </c>
      <c r="I1039" s="2" t="s">
        <v>22</v>
      </c>
      <c r="J1039" s="2" t="s">
        <v>854</v>
      </c>
      <c r="K1039" s="0" t="s">
        <v>855</v>
      </c>
      <c r="L1039" s="0" t="s">
        <v>25</v>
      </c>
      <c r="M1039" s="0" t="s">
        <v>857</v>
      </c>
      <c r="N1039" s="0" t="s">
        <v>2410</v>
      </c>
      <c r="O1039" s="0" t="n">
        <v>1</v>
      </c>
      <c r="P1039" s="0" t="s">
        <v>287</v>
      </c>
      <c r="R1039" s="3"/>
      <c r="S1039" s="2" t="s">
        <v>28</v>
      </c>
    </row>
    <row r="1040" customFormat="false" ht="15" hidden="false" customHeight="false" outlineLevel="0" collapsed="false">
      <c r="A1040" s="0" t="n">
        <v>1039</v>
      </c>
      <c r="D1040" s="0" t="s">
        <v>2411</v>
      </c>
      <c r="E1040" s="0" t="s">
        <v>20</v>
      </c>
      <c r="H1040" s="0" t="s">
        <v>21</v>
      </c>
      <c r="I1040" s="2" t="s">
        <v>22</v>
      </c>
      <c r="J1040" s="2" t="s">
        <v>854</v>
      </c>
      <c r="K1040" s="0" t="s">
        <v>855</v>
      </c>
      <c r="L1040" s="0" t="s">
        <v>25</v>
      </c>
      <c r="M1040" s="0" t="s">
        <v>857</v>
      </c>
      <c r="N1040" s="0" t="s">
        <v>2412</v>
      </c>
      <c r="O1040" s="0" t="n">
        <v>1</v>
      </c>
      <c r="R1040" s="3"/>
      <c r="S1040" s="2" t="s">
        <v>28</v>
      </c>
    </row>
    <row r="1041" customFormat="false" ht="15" hidden="false" customHeight="false" outlineLevel="0" collapsed="false">
      <c r="A1041" s="0" t="n">
        <v>1040</v>
      </c>
      <c r="D1041" s="0" t="s">
        <v>2413</v>
      </c>
      <c r="E1041" s="0" t="s">
        <v>20</v>
      </c>
      <c r="H1041" s="0" t="s">
        <v>21</v>
      </c>
      <c r="I1041" s="2" t="s">
        <v>22</v>
      </c>
      <c r="J1041" s="2" t="s">
        <v>854</v>
      </c>
      <c r="K1041" s="0" t="s">
        <v>855</v>
      </c>
      <c r="L1041" s="0" t="s">
        <v>25</v>
      </c>
      <c r="M1041" s="0" t="s">
        <v>857</v>
      </c>
      <c r="N1041" s="0" t="s">
        <v>2414</v>
      </c>
      <c r="O1041" s="0" t="n">
        <v>1</v>
      </c>
      <c r="R1041" s="3"/>
      <c r="S1041" s="2" t="s">
        <v>28</v>
      </c>
    </row>
    <row r="1042" customFormat="false" ht="15" hidden="false" customHeight="false" outlineLevel="0" collapsed="false">
      <c r="A1042" s="0" t="n">
        <v>1041</v>
      </c>
      <c r="D1042" s="0" t="s">
        <v>2415</v>
      </c>
      <c r="E1042" s="0" t="s">
        <v>20</v>
      </c>
      <c r="H1042" s="0" t="s">
        <v>21</v>
      </c>
      <c r="I1042" s="2" t="s">
        <v>22</v>
      </c>
      <c r="J1042" s="2" t="s">
        <v>854</v>
      </c>
      <c r="K1042" s="0" t="s">
        <v>855</v>
      </c>
      <c r="L1042" s="0" t="s">
        <v>25</v>
      </c>
      <c r="M1042" s="0" t="s">
        <v>857</v>
      </c>
      <c r="N1042" s="0" t="s">
        <v>2416</v>
      </c>
      <c r="O1042" s="0" t="n">
        <v>1</v>
      </c>
      <c r="R1042" s="3"/>
      <c r="S1042" s="2" t="s">
        <v>28</v>
      </c>
    </row>
    <row r="1043" customFormat="false" ht="15" hidden="false" customHeight="false" outlineLevel="0" collapsed="false">
      <c r="A1043" s="0" t="n">
        <v>1042</v>
      </c>
      <c r="D1043" s="0" t="s">
        <v>2417</v>
      </c>
      <c r="E1043" s="0" t="s">
        <v>20</v>
      </c>
      <c r="H1043" s="0" t="s">
        <v>21</v>
      </c>
      <c r="I1043" s="2" t="s">
        <v>22</v>
      </c>
      <c r="J1043" s="2" t="s">
        <v>854</v>
      </c>
      <c r="K1043" s="0" t="s">
        <v>855</v>
      </c>
      <c r="L1043" s="0" t="s">
        <v>25</v>
      </c>
      <c r="M1043" s="0" t="s">
        <v>857</v>
      </c>
      <c r="N1043" s="0" t="s">
        <v>2418</v>
      </c>
      <c r="O1043" s="0" t="n">
        <v>1</v>
      </c>
      <c r="R1043" s="3"/>
      <c r="S1043" s="2" t="s">
        <v>28</v>
      </c>
    </row>
    <row r="1044" customFormat="false" ht="15" hidden="false" customHeight="false" outlineLevel="0" collapsed="false">
      <c r="A1044" s="0" t="n">
        <v>1043</v>
      </c>
      <c r="D1044" s="0" t="s">
        <v>2419</v>
      </c>
      <c r="E1044" s="0" t="s">
        <v>268</v>
      </c>
      <c r="H1044" s="0" t="s">
        <v>21</v>
      </c>
      <c r="I1044" s="2" t="s">
        <v>22</v>
      </c>
      <c r="J1044" s="2" t="s">
        <v>854</v>
      </c>
      <c r="K1044" s="0" t="s">
        <v>855</v>
      </c>
      <c r="L1044" s="0" t="s">
        <v>25</v>
      </c>
      <c r="M1044" s="0" t="s">
        <v>857</v>
      </c>
      <c r="N1044" s="0" t="s">
        <v>2420</v>
      </c>
      <c r="O1044" s="0" t="n">
        <v>1</v>
      </c>
      <c r="P1044" s="0" t="s">
        <v>293</v>
      </c>
      <c r="R1044" s="3"/>
      <c r="S1044" s="2" t="s">
        <v>28</v>
      </c>
    </row>
    <row r="1045" customFormat="false" ht="15" hidden="false" customHeight="false" outlineLevel="0" collapsed="false">
      <c r="A1045" s="0" t="n">
        <v>1044</v>
      </c>
      <c r="D1045" s="0" t="s">
        <v>2421</v>
      </c>
      <c r="E1045" s="0" t="s">
        <v>20</v>
      </c>
      <c r="H1045" s="0" t="s">
        <v>21</v>
      </c>
      <c r="I1045" s="2" t="s">
        <v>22</v>
      </c>
      <c r="J1045" s="2" t="s">
        <v>854</v>
      </c>
      <c r="K1045" s="0" t="s">
        <v>855</v>
      </c>
      <c r="L1045" s="0" t="s">
        <v>420</v>
      </c>
      <c r="M1045" s="0" t="s">
        <v>857</v>
      </c>
      <c r="N1045" s="0" t="s">
        <v>2422</v>
      </c>
      <c r="O1045" s="0" t="n">
        <v>1</v>
      </c>
      <c r="P1045" s="0" t="s">
        <v>422</v>
      </c>
      <c r="R1045" s="3"/>
      <c r="S1045" s="2" t="s">
        <v>28</v>
      </c>
    </row>
    <row r="1046" customFormat="false" ht="15" hidden="false" customHeight="false" outlineLevel="0" collapsed="false">
      <c r="A1046" s="0" t="n">
        <v>1045</v>
      </c>
      <c r="D1046" s="0" t="s">
        <v>2423</v>
      </c>
      <c r="E1046" s="0" t="s">
        <v>20</v>
      </c>
      <c r="H1046" s="0" t="s">
        <v>21</v>
      </c>
      <c r="I1046" s="2" t="s">
        <v>22</v>
      </c>
      <c r="J1046" s="2" t="s">
        <v>854</v>
      </c>
      <c r="K1046" s="0" t="s">
        <v>855</v>
      </c>
      <c r="L1046" s="0" t="s">
        <v>25</v>
      </c>
      <c r="M1046" s="0" t="s">
        <v>857</v>
      </c>
      <c r="N1046" s="0" t="s">
        <v>2424</v>
      </c>
      <c r="O1046" s="0" t="n">
        <v>1</v>
      </c>
      <c r="R1046" s="3"/>
      <c r="S1046" s="2" t="s">
        <v>28</v>
      </c>
    </row>
    <row r="1047" customFormat="false" ht="15" hidden="false" customHeight="false" outlineLevel="0" collapsed="false">
      <c r="A1047" s="0" t="n">
        <v>1046</v>
      </c>
      <c r="D1047" s="0" t="s">
        <v>2425</v>
      </c>
      <c r="E1047" s="0" t="s">
        <v>20</v>
      </c>
      <c r="H1047" s="0" t="s">
        <v>21</v>
      </c>
      <c r="I1047" s="2" t="s">
        <v>22</v>
      </c>
      <c r="J1047" s="2" t="s">
        <v>854</v>
      </c>
      <c r="K1047" s="0" t="s">
        <v>855</v>
      </c>
      <c r="L1047" s="0" t="s">
        <v>25</v>
      </c>
      <c r="M1047" s="0" t="s">
        <v>857</v>
      </c>
      <c r="N1047" s="0" t="s">
        <v>2426</v>
      </c>
      <c r="O1047" s="0" t="n">
        <v>1</v>
      </c>
      <c r="P1047" s="0" t="s">
        <v>43</v>
      </c>
      <c r="R1047" s="3"/>
      <c r="S1047" s="2" t="s">
        <v>28</v>
      </c>
    </row>
    <row r="1048" customFormat="false" ht="15" hidden="false" customHeight="false" outlineLevel="0" collapsed="false">
      <c r="A1048" s="0" t="n">
        <v>1047</v>
      </c>
      <c r="D1048" s="0" t="s">
        <v>2427</v>
      </c>
      <c r="E1048" s="0" t="s">
        <v>253</v>
      </c>
      <c r="H1048" s="0" t="s">
        <v>21</v>
      </c>
      <c r="I1048" s="2" t="s">
        <v>22</v>
      </c>
      <c r="J1048" s="2" t="s">
        <v>854</v>
      </c>
      <c r="K1048" s="0" t="s">
        <v>855</v>
      </c>
      <c r="L1048" s="0" t="s">
        <v>25</v>
      </c>
      <c r="M1048" s="0" t="s">
        <v>857</v>
      </c>
      <c r="N1048" s="0" t="s">
        <v>2428</v>
      </c>
      <c r="O1048" s="0" t="n">
        <v>1</v>
      </c>
      <c r="P1048" s="0" t="s">
        <v>253</v>
      </c>
      <c r="R1048" s="3"/>
      <c r="S1048" s="2" t="s">
        <v>28</v>
      </c>
    </row>
    <row r="1049" customFormat="false" ht="15" hidden="false" customHeight="false" outlineLevel="0" collapsed="false">
      <c r="A1049" s="0" t="n">
        <v>1048</v>
      </c>
      <c r="D1049" s="0" t="s">
        <v>2429</v>
      </c>
      <c r="E1049" s="0" t="s">
        <v>253</v>
      </c>
      <c r="H1049" s="0" t="s">
        <v>21</v>
      </c>
      <c r="I1049" s="2" t="s">
        <v>22</v>
      </c>
      <c r="J1049" s="2" t="s">
        <v>854</v>
      </c>
      <c r="K1049" s="0" t="s">
        <v>855</v>
      </c>
      <c r="L1049" s="0" t="s">
        <v>2430</v>
      </c>
      <c r="M1049" s="0" t="s">
        <v>857</v>
      </c>
      <c r="N1049" s="0" t="s">
        <v>2431</v>
      </c>
      <c r="O1049" s="0" t="n">
        <v>1</v>
      </c>
      <c r="P1049" s="0" t="s">
        <v>253</v>
      </c>
      <c r="Q1049" s="0" t="s">
        <v>2432</v>
      </c>
      <c r="R1049" s="3"/>
      <c r="S1049" s="2" t="s">
        <v>2433</v>
      </c>
    </row>
    <row r="1050" customFormat="false" ht="15" hidden="false" customHeight="false" outlineLevel="0" collapsed="false">
      <c r="A1050" s="0" t="n">
        <v>1049</v>
      </c>
      <c r="D1050" s="0" t="s">
        <v>2434</v>
      </c>
      <c r="E1050" s="0" t="s">
        <v>253</v>
      </c>
      <c r="H1050" s="0" t="s">
        <v>21</v>
      </c>
      <c r="I1050" s="2" t="s">
        <v>22</v>
      </c>
      <c r="J1050" s="2" t="s">
        <v>854</v>
      </c>
      <c r="K1050" s="0" t="s">
        <v>855</v>
      </c>
      <c r="L1050" s="0" t="s">
        <v>2435</v>
      </c>
      <c r="M1050" s="0" t="s">
        <v>857</v>
      </c>
      <c r="N1050" s="0" t="s">
        <v>2436</v>
      </c>
      <c r="O1050" s="0" t="n">
        <v>1</v>
      </c>
      <c r="P1050" s="0" t="s">
        <v>253</v>
      </c>
      <c r="Q1050" s="0" t="s">
        <v>2437</v>
      </c>
      <c r="R1050" s="3"/>
      <c r="S1050" s="2" t="s">
        <v>2438</v>
      </c>
    </row>
    <row r="1051" customFormat="false" ht="15" hidden="false" customHeight="false" outlineLevel="0" collapsed="false">
      <c r="A1051" s="0" t="n">
        <v>1050</v>
      </c>
      <c r="D1051" s="0" t="s">
        <v>2439</v>
      </c>
      <c r="E1051" s="0" t="s">
        <v>253</v>
      </c>
      <c r="H1051" s="0" t="s">
        <v>21</v>
      </c>
      <c r="I1051" s="2" t="s">
        <v>22</v>
      </c>
      <c r="J1051" s="2" t="s">
        <v>854</v>
      </c>
      <c r="K1051" s="0" t="s">
        <v>855</v>
      </c>
      <c r="L1051" s="0" t="s">
        <v>25</v>
      </c>
      <c r="M1051" s="0" t="s">
        <v>857</v>
      </c>
      <c r="N1051" s="0" t="s">
        <v>2440</v>
      </c>
      <c r="O1051" s="0" t="n">
        <v>1</v>
      </c>
      <c r="P1051" s="0" t="s">
        <v>253</v>
      </c>
      <c r="R1051" s="3"/>
      <c r="S1051" s="2" t="s">
        <v>28</v>
      </c>
    </row>
    <row r="1052" customFormat="false" ht="15" hidden="false" customHeight="false" outlineLevel="0" collapsed="false">
      <c r="A1052" s="0" t="n">
        <v>1051</v>
      </c>
      <c r="D1052" s="0" t="s">
        <v>2441</v>
      </c>
      <c r="E1052" s="0" t="s">
        <v>287</v>
      </c>
      <c r="H1052" s="0" t="s">
        <v>21</v>
      </c>
      <c r="I1052" s="2" t="s">
        <v>22</v>
      </c>
      <c r="J1052" s="2" t="s">
        <v>854</v>
      </c>
      <c r="K1052" s="0" t="s">
        <v>855</v>
      </c>
      <c r="L1052" s="0" t="s">
        <v>25</v>
      </c>
      <c r="M1052" s="0" t="s">
        <v>857</v>
      </c>
      <c r="N1052" s="0" t="s">
        <v>2442</v>
      </c>
      <c r="O1052" s="0" t="n">
        <v>1</v>
      </c>
      <c r="P1052" s="0" t="s">
        <v>287</v>
      </c>
      <c r="R1052" s="3"/>
      <c r="S1052" s="2" t="s">
        <v>28</v>
      </c>
    </row>
    <row r="1053" customFormat="false" ht="15" hidden="false" customHeight="false" outlineLevel="0" collapsed="false">
      <c r="A1053" s="0" t="n">
        <v>1052</v>
      </c>
      <c r="D1053" s="0" t="s">
        <v>2443</v>
      </c>
      <c r="E1053" s="0" t="s">
        <v>20</v>
      </c>
      <c r="H1053" s="0" t="s">
        <v>21</v>
      </c>
      <c r="I1053" s="2" t="s">
        <v>22</v>
      </c>
      <c r="J1053" s="2" t="s">
        <v>854</v>
      </c>
      <c r="K1053" s="0" t="s">
        <v>855</v>
      </c>
      <c r="L1053" s="0" t="s">
        <v>25</v>
      </c>
      <c r="M1053" s="0" t="s">
        <v>857</v>
      </c>
      <c r="N1053" s="0" t="s">
        <v>2444</v>
      </c>
      <c r="O1053" s="0" t="n">
        <v>1</v>
      </c>
      <c r="P1053" s="0" t="s">
        <v>43</v>
      </c>
      <c r="R1053" s="3"/>
      <c r="S1053" s="2" t="s">
        <v>28</v>
      </c>
    </row>
    <row r="1054" customFormat="false" ht="15" hidden="false" customHeight="false" outlineLevel="0" collapsed="false">
      <c r="A1054" s="0" t="n">
        <v>1053</v>
      </c>
      <c r="D1054" s="0" t="s">
        <v>2445</v>
      </c>
      <c r="E1054" s="0" t="s">
        <v>253</v>
      </c>
      <c r="H1054" s="0" t="s">
        <v>21</v>
      </c>
      <c r="I1054" s="2" t="s">
        <v>22</v>
      </c>
      <c r="J1054" s="2" t="s">
        <v>854</v>
      </c>
      <c r="K1054" s="0" t="s">
        <v>855</v>
      </c>
      <c r="L1054" s="0" t="s">
        <v>25</v>
      </c>
      <c r="M1054" s="0" t="s">
        <v>857</v>
      </c>
      <c r="N1054" s="0" t="s">
        <v>2446</v>
      </c>
      <c r="O1054" s="0" t="n">
        <v>1</v>
      </c>
      <c r="P1054" s="0" t="s">
        <v>253</v>
      </c>
      <c r="R1054" s="3"/>
      <c r="S1054" s="2" t="s">
        <v>28</v>
      </c>
    </row>
    <row r="1055" customFormat="false" ht="15" hidden="false" customHeight="false" outlineLevel="0" collapsed="false">
      <c r="A1055" s="0" t="n">
        <v>1054</v>
      </c>
      <c r="D1055" s="0" t="s">
        <v>2447</v>
      </c>
      <c r="E1055" s="0" t="s">
        <v>20</v>
      </c>
      <c r="H1055" s="0" t="s">
        <v>21</v>
      </c>
      <c r="I1055" s="2" t="s">
        <v>22</v>
      </c>
      <c r="J1055" s="2" t="s">
        <v>854</v>
      </c>
      <c r="K1055" s="0" t="s">
        <v>855</v>
      </c>
      <c r="L1055" s="0" t="s">
        <v>25</v>
      </c>
      <c r="M1055" s="0" t="s">
        <v>857</v>
      </c>
      <c r="N1055" s="0" t="s">
        <v>2448</v>
      </c>
      <c r="O1055" s="0" t="n">
        <v>1</v>
      </c>
      <c r="R1055" s="3"/>
      <c r="S1055" s="2" t="s">
        <v>28</v>
      </c>
    </row>
    <row r="1056" customFormat="false" ht="15" hidden="false" customHeight="false" outlineLevel="0" collapsed="false">
      <c r="A1056" s="0" t="n">
        <v>1055</v>
      </c>
      <c r="D1056" s="0" t="s">
        <v>2449</v>
      </c>
      <c r="E1056" s="0" t="s">
        <v>20</v>
      </c>
      <c r="H1056" s="0" t="s">
        <v>21</v>
      </c>
      <c r="I1056" s="2" t="s">
        <v>22</v>
      </c>
      <c r="J1056" s="2" t="s">
        <v>854</v>
      </c>
      <c r="K1056" s="0" t="s">
        <v>855</v>
      </c>
      <c r="L1056" s="0" t="s">
        <v>25</v>
      </c>
      <c r="M1056" s="0" t="s">
        <v>857</v>
      </c>
      <c r="N1056" s="0" t="s">
        <v>2450</v>
      </c>
      <c r="O1056" s="0" t="n">
        <v>1</v>
      </c>
      <c r="R1056" s="3"/>
      <c r="S1056" s="2" t="s">
        <v>28</v>
      </c>
    </row>
    <row r="1057" customFormat="false" ht="15" hidden="false" customHeight="false" outlineLevel="0" collapsed="false">
      <c r="A1057" s="0" t="n">
        <v>1056</v>
      </c>
      <c r="D1057" s="0" t="s">
        <v>2451</v>
      </c>
      <c r="E1057" s="0" t="s">
        <v>20</v>
      </c>
      <c r="H1057" s="0" t="s">
        <v>21</v>
      </c>
      <c r="I1057" s="2" t="s">
        <v>22</v>
      </c>
      <c r="J1057" s="2" t="s">
        <v>854</v>
      </c>
      <c r="K1057" s="0" t="s">
        <v>855</v>
      </c>
      <c r="L1057" s="0" t="s">
        <v>25</v>
      </c>
      <c r="M1057" s="0" t="s">
        <v>857</v>
      </c>
      <c r="N1057" s="0" t="s">
        <v>2452</v>
      </c>
      <c r="O1057" s="0" t="n">
        <v>1</v>
      </c>
      <c r="R1057" s="3"/>
      <c r="S1057" s="2" t="s">
        <v>28</v>
      </c>
    </row>
    <row r="1058" customFormat="false" ht="15" hidden="false" customHeight="false" outlineLevel="0" collapsed="false">
      <c r="A1058" s="0" t="n">
        <v>1057</v>
      </c>
      <c r="D1058" s="0" t="s">
        <v>2453</v>
      </c>
      <c r="E1058" s="0" t="s">
        <v>188</v>
      </c>
      <c r="H1058" s="0" t="s">
        <v>21</v>
      </c>
      <c r="I1058" s="2" t="s">
        <v>22</v>
      </c>
      <c r="J1058" s="2" t="s">
        <v>854</v>
      </c>
      <c r="K1058" s="0" t="s">
        <v>855</v>
      </c>
      <c r="L1058" s="0" t="s">
        <v>25</v>
      </c>
      <c r="M1058" s="0" t="s">
        <v>857</v>
      </c>
      <c r="N1058" s="0" t="s">
        <v>2454</v>
      </c>
      <c r="O1058" s="0" t="n">
        <v>1</v>
      </c>
      <c r="P1058" s="0" t="s">
        <v>188</v>
      </c>
      <c r="R1058" s="3"/>
      <c r="S1058" s="2" t="s">
        <v>28</v>
      </c>
    </row>
    <row r="1059" customFormat="false" ht="15" hidden="false" customHeight="false" outlineLevel="0" collapsed="false">
      <c r="A1059" s="0" t="n">
        <v>1058</v>
      </c>
      <c r="D1059" s="0" t="s">
        <v>2455</v>
      </c>
      <c r="E1059" s="0" t="s">
        <v>188</v>
      </c>
      <c r="H1059" s="0" t="s">
        <v>21</v>
      </c>
      <c r="I1059" s="2" t="s">
        <v>22</v>
      </c>
      <c r="J1059" s="2" t="s">
        <v>854</v>
      </c>
      <c r="K1059" s="0" t="s">
        <v>855</v>
      </c>
      <c r="L1059" s="0" t="s">
        <v>25</v>
      </c>
      <c r="M1059" s="0" t="s">
        <v>857</v>
      </c>
      <c r="N1059" s="0" t="s">
        <v>2456</v>
      </c>
      <c r="O1059" s="0" t="n">
        <v>1</v>
      </c>
      <c r="P1059" s="0" t="s">
        <v>188</v>
      </c>
      <c r="R1059" s="3"/>
      <c r="S1059" s="2" t="s">
        <v>28</v>
      </c>
    </row>
    <row r="1060" customFormat="false" ht="15" hidden="false" customHeight="false" outlineLevel="0" collapsed="false">
      <c r="A1060" s="0" t="n">
        <v>1059</v>
      </c>
      <c r="D1060" s="0" t="s">
        <v>2457</v>
      </c>
      <c r="E1060" s="0" t="s">
        <v>20</v>
      </c>
      <c r="H1060" s="0" t="s">
        <v>21</v>
      </c>
      <c r="I1060" s="2" t="s">
        <v>22</v>
      </c>
      <c r="J1060" s="2" t="s">
        <v>854</v>
      </c>
      <c r="K1060" s="0" t="s">
        <v>855</v>
      </c>
      <c r="L1060" s="0" t="s">
        <v>25</v>
      </c>
      <c r="M1060" s="0" t="s">
        <v>857</v>
      </c>
      <c r="N1060" s="0" t="s">
        <v>2458</v>
      </c>
      <c r="O1060" s="0" t="n">
        <v>1</v>
      </c>
      <c r="R1060" s="3"/>
      <c r="S1060" s="2" t="s">
        <v>28</v>
      </c>
    </row>
    <row r="1061" customFormat="false" ht="15" hidden="false" customHeight="false" outlineLevel="0" collapsed="false">
      <c r="A1061" s="0" t="n">
        <v>1060</v>
      </c>
      <c r="D1061" s="0" t="s">
        <v>2459</v>
      </c>
      <c r="E1061" s="0" t="s">
        <v>376</v>
      </c>
      <c r="H1061" s="0" t="s">
        <v>21</v>
      </c>
      <c r="I1061" s="2" t="s">
        <v>22</v>
      </c>
      <c r="J1061" s="2" t="s">
        <v>854</v>
      </c>
      <c r="K1061" s="0" t="s">
        <v>855</v>
      </c>
      <c r="L1061" s="0" t="s">
        <v>25</v>
      </c>
      <c r="M1061" s="0" t="s">
        <v>857</v>
      </c>
      <c r="N1061" s="0" t="s">
        <v>2460</v>
      </c>
      <c r="O1061" s="0" t="n">
        <v>1</v>
      </c>
      <c r="P1061" s="0" t="s">
        <v>376</v>
      </c>
      <c r="R1061" s="3"/>
      <c r="S1061" s="2" t="s">
        <v>28</v>
      </c>
    </row>
    <row r="1062" customFormat="false" ht="15" hidden="false" customHeight="false" outlineLevel="0" collapsed="false">
      <c r="A1062" s="0" t="n">
        <v>1061</v>
      </c>
      <c r="D1062" s="0" t="s">
        <v>2461</v>
      </c>
      <c r="E1062" s="0" t="s">
        <v>20</v>
      </c>
      <c r="H1062" s="0" t="s">
        <v>21</v>
      </c>
      <c r="I1062" s="2" t="s">
        <v>22</v>
      </c>
      <c r="J1062" s="2" t="s">
        <v>854</v>
      </c>
      <c r="K1062" s="0" t="s">
        <v>855</v>
      </c>
      <c r="L1062" s="0" t="s">
        <v>25</v>
      </c>
      <c r="M1062" s="0" t="s">
        <v>857</v>
      </c>
      <c r="N1062" s="0" t="s">
        <v>2462</v>
      </c>
      <c r="O1062" s="0" t="n">
        <v>1</v>
      </c>
      <c r="R1062" s="3"/>
      <c r="S1062" s="2" t="s">
        <v>28</v>
      </c>
    </row>
    <row r="1063" customFormat="false" ht="15" hidden="false" customHeight="false" outlineLevel="0" collapsed="false">
      <c r="A1063" s="0" t="n">
        <v>1062</v>
      </c>
      <c r="D1063" s="0" t="s">
        <v>2463</v>
      </c>
      <c r="E1063" s="0" t="s">
        <v>888</v>
      </c>
      <c r="H1063" s="0" t="s">
        <v>21</v>
      </c>
      <c r="I1063" s="2" t="s">
        <v>22</v>
      </c>
      <c r="J1063" s="2" t="s">
        <v>854</v>
      </c>
      <c r="K1063" s="0" t="s">
        <v>855</v>
      </c>
      <c r="L1063" s="0" t="s">
        <v>889</v>
      </c>
      <c r="M1063" s="0" t="s">
        <v>857</v>
      </c>
      <c r="N1063" s="0" t="s">
        <v>2464</v>
      </c>
      <c r="O1063" s="0" t="n">
        <v>1</v>
      </c>
      <c r="R1063" s="3"/>
      <c r="S1063" s="2" t="s">
        <v>28</v>
      </c>
    </row>
    <row r="1064" customFormat="false" ht="15" hidden="false" customHeight="false" outlineLevel="0" collapsed="false">
      <c r="A1064" s="0" t="n">
        <v>1063</v>
      </c>
      <c r="D1064" s="0" t="s">
        <v>2465</v>
      </c>
      <c r="E1064" s="0" t="s">
        <v>20</v>
      </c>
      <c r="H1064" s="0" t="s">
        <v>21</v>
      </c>
      <c r="I1064" s="2" t="s">
        <v>22</v>
      </c>
      <c r="J1064" s="2" t="s">
        <v>854</v>
      </c>
      <c r="K1064" s="0" t="s">
        <v>855</v>
      </c>
      <c r="L1064" s="0" t="s">
        <v>25</v>
      </c>
      <c r="M1064" s="0" t="s">
        <v>857</v>
      </c>
      <c r="N1064" s="0" t="s">
        <v>2466</v>
      </c>
      <c r="O1064" s="0" t="n">
        <v>1</v>
      </c>
      <c r="R1064" s="3"/>
      <c r="S1064" s="2" t="s">
        <v>28</v>
      </c>
    </row>
    <row r="1065" customFormat="false" ht="15" hidden="false" customHeight="false" outlineLevel="0" collapsed="false">
      <c r="A1065" s="0" t="n">
        <v>1064</v>
      </c>
      <c r="D1065" s="0" t="s">
        <v>2467</v>
      </c>
      <c r="E1065" s="0" t="s">
        <v>20</v>
      </c>
      <c r="H1065" s="0" t="s">
        <v>21</v>
      </c>
      <c r="I1065" s="2" t="s">
        <v>22</v>
      </c>
      <c r="J1065" s="2" t="s">
        <v>854</v>
      </c>
      <c r="K1065" s="0" t="s">
        <v>855</v>
      </c>
      <c r="L1065" s="0" t="s">
        <v>25</v>
      </c>
      <c r="M1065" s="0" t="s">
        <v>857</v>
      </c>
      <c r="N1065" s="0" t="s">
        <v>2468</v>
      </c>
      <c r="O1065" s="0" t="n">
        <v>1</v>
      </c>
      <c r="R1065" s="3"/>
      <c r="S1065" s="2" t="s">
        <v>28</v>
      </c>
    </row>
    <row r="1066" customFormat="false" ht="15" hidden="false" customHeight="false" outlineLevel="0" collapsed="false">
      <c r="A1066" s="0" t="n">
        <v>1065</v>
      </c>
      <c r="D1066" s="0" t="s">
        <v>2469</v>
      </c>
      <c r="E1066" s="0" t="s">
        <v>68</v>
      </c>
      <c r="H1066" s="0" t="s">
        <v>21</v>
      </c>
      <c r="I1066" s="2" t="s">
        <v>22</v>
      </c>
      <c r="J1066" s="2" t="s">
        <v>854</v>
      </c>
      <c r="K1066" s="0" t="s">
        <v>855</v>
      </c>
      <c r="L1066" s="0" t="s">
        <v>25</v>
      </c>
      <c r="M1066" s="0" t="s">
        <v>857</v>
      </c>
      <c r="N1066" s="0" t="s">
        <v>2470</v>
      </c>
      <c r="O1066" s="0" t="n">
        <v>1</v>
      </c>
      <c r="P1066" s="0" t="s">
        <v>68</v>
      </c>
      <c r="R1066" s="3"/>
      <c r="S1066" s="2" t="s">
        <v>28</v>
      </c>
    </row>
    <row r="1067" customFormat="false" ht="15" hidden="false" customHeight="false" outlineLevel="0" collapsed="false">
      <c r="A1067" s="0" t="n">
        <v>1066</v>
      </c>
      <c r="D1067" s="0" t="s">
        <v>2471</v>
      </c>
      <c r="E1067" s="0" t="s">
        <v>501</v>
      </c>
      <c r="H1067" s="0" t="s">
        <v>21</v>
      </c>
      <c r="I1067" s="2" t="s">
        <v>22</v>
      </c>
      <c r="J1067" s="2" t="s">
        <v>854</v>
      </c>
      <c r="K1067" s="0" t="s">
        <v>855</v>
      </c>
      <c r="L1067" s="0" t="s">
        <v>25</v>
      </c>
      <c r="M1067" s="0" t="s">
        <v>857</v>
      </c>
      <c r="N1067" s="0" t="s">
        <v>2472</v>
      </c>
      <c r="O1067" s="0" t="n">
        <v>1</v>
      </c>
      <c r="P1067" s="0" t="s">
        <v>501</v>
      </c>
      <c r="R1067" s="3"/>
      <c r="S1067" s="2" t="s">
        <v>28</v>
      </c>
    </row>
    <row r="1068" customFormat="false" ht="15" hidden="false" customHeight="false" outlineLevel="0" collapsed="false">
      <c r="A1068" s="0" t="n">
        <v>1067</v>
      </c>
      <c r="D1068" s="0" t="s">
        <v>2473</v>
      </c>
      <c r="E1068" s="0" t="s">
        <v>20</v>
      </c>
      <c r="H1068" s="0" t="s">
        <v>21</v>
      </c>
      <c r="I1068" s="2" t="s">
        <v>22</v>
      </c>
      <c r="J1068" s="2" t="s">
        <v>854</v>
      </c>
      <c r="K1068" s="0" t="s">
        <v>855</v>
      </c>
      <c r="L1068" s="0" t="s">
        <v>25</v>
      </c>
      <c r="M1068" s="0" t="s">
        <v>857</v>
      </c>
      <c r="N1068" s="0" t="s">
        <v>2474</v>
      </c>
      <c r="O1068" s="0" t="n">
        <v>1</v>
      </c>
      <c r="R1068" s="3"/>
      <c r="S1068" s="2" t="s">
        <v>28</v>
      </c>
    </row>
    <row r="1069" customFormat="false" ht="15" hidden="false" customHeight="false" outlineLevel="0" collapsed="false">
      <c r="A1069" s="0" t="n">
        <v>1068</v>
      </c>
      <c r="D1069" s="0" t="s">
        <v>2475</v>
      </c>
      <c r="E1069" s="0" t="s">
        <v>20</v>
      </c>
      <c r="H1069" s="0" t="s">
        <v>21</v>
      </c>
      <c r="I1069" s="2" t="s">
        <v>22</v>
      </c>
      <c r="J1069" s="2" t="s">
        <v>854</v>
      </c>
      <c r="K1069" s="0" t="s">
        <v>855</v>
      </c>
      <c r="L1069" s="0" t="s">
        <v>25</v>
      </c>
      <c r="M1069" s="0" t="s">
        <v>857</v>
      </c>
      <c r="N1069" s="0" t="s">
        <v>2476</v>
      </c>
      <c r="O1069" s="0" t="n">
        <v>1</v>
      </c>
      <c r="P1069" s="0" t="s">
        <v>43</v>
      </c>
      <c r="R1069" s="3"/>
      <c r="S1069" s="2" t="s">
        <v>28</v>
      </c>
    </row>
    <row r="1070" customFormat="false" ht="15" hidden="false" customHeight="false" outlineLevel="0" collapsed="false">
      <c r="A1070" s="0" t="n">
        <v>1069</v>
      </c>
      <c r="D1070" s="0" t="s">
        <v>2477</v>
      </c>
      <c r="E1070" s="0" t="s">
        <v>287</v>
      </c>
      <c r="H1070" s="0" t="s">
        <v>21</v>
      </c>
      <c r="I1070" s="2" t="s">
        <v>22</v>
      </c>
      <c r="J1070" s="2" t="s">
        <v>854</v>
      </c>
      <c r="K1070" s="0" t="s">
        <v>855</v>
      </c>
      <c r="L1070" s="0" t="s">
        <v>25</v>
      </c>
      <c r="M1070" s="0" t="s">
        <v>857</v>
      </c>
      <c r="N1070" s="0" t="s">
        <v>2478</v>
      </c>
      <c r="O1070" s="0" t="n">
        <v>1</v>
      </c>
      <c r="P1070" s="0" t="s">
        <v>287</v>
      </c>
      <c r="R1070" s="3"/>
      <c r="S1070" s="2" t="s">
        <v>28</v>
      </c>
    </row>
    <row r="1071" customFormat="false" ht="15" hidden="false" customHeight="false" outlineLevel="0" collapsed="false">
      <c r="A1071" s="0" t="n">
        <v>1070</v>
      </c>
      <c r="D1071" s="0" t="s">
        <v>2479</v>
      </c>
      <c r="E1071" s="0" t="s">
        <v>20</v>
      </c>
      <c r="H1071" s="0" t="s">
        <v>21</v>
      </c>
      <c r="I1071" s="2" t="s">
        <v>22</v>
      </c>
      <c r="J1071" s="2" t="s">
        <v>854</v>
      </c>
      <c r="K1071" s="0" t="s">
        <v>855</v>
      </c>
      <c r="L1071" s="0" t="s">
        <v>25</v>
      </c>
      <c r="M1071" s="0" t="s">
        <v>857</v>
      </c>
      <c r="N1071" s="0" t="s">
        <v>2480</v>
      </c>
      <c r="O1071" s="0" t="n">
        <v>1</v>
      </c>
      <c r="R1071" s="3"/>
      <c r="S1071" s="2" t="s">
        <v>28</v>
      </c>
    </row>
    <row r="1072" customFormat="false" ht="15" hidden="false" customHeight="false" outlineLevel="0" collapsed="false">
      <c r="A1072" s="0" t="n">
        <v>1071</v>
      </c>
      <c r="D1072" s="0" t="s">
        <v>2481</v>
      </c>
      <c r="E1072" s="0" t="s">
        <v>20</v>
      </c>
      <c r="H1072" s="0" t="s">
        <v>21</v>
      </c>
      <c r="I1072" s="2" t="s">
        <v>22</v>
      </c>
      <c r="J1072" s="2" t="s">
        <v>854</v>
      </c>
      <c r="K1072" s="0" t="s">
        <v>855</v>
      </c>
      <c r="L1072" s="0" t="s">
        <v>25</v>
      </c>
      <c r="M1072" s="0" t="s">
        <v>857</v>
      </c>
      <c r="N1072" s="0" t="s">
        <v>2482</v>
      </c>
      <c r="O1072" s="0" t="n">
        <v>1</v>
      </c>
      <c r="R1072" s="3"/>
      <c r="S1072" s="2" t="s">
        <v>28</v>
      </c>
    </row>
    <row r="1073" customFormat="false" ht="15" hidden="false" customHeight="false" outlineLevel="0" collapsed="false">
      <c r="A1073" s="0" t="n">
        <v>1072</v>
      </c>
      <c r="D1073" s="0" t="s">
        <v>2483</v>
      </c>
      <c r="E1073" s="0" t="s">
        <v>20</v>
      </c>
      <c r="H1073" s="0" t="s">
        <v>21</v>
      </c>
      <c r="I1073" s="2" t="s">
        <v>22</v>
      </c>
      <c r="J1073" s="2" t="s">
        <v>854</v>
      </c>
      <c r="K1073" s="0" t="s">
        <v>855</v>
      </c>
      <c r="L1073" s="0" t="s">
        <v>25</v>
      </c>
      <c r="M1073" s="0" t="s">
        <v>857</v>
      </c>
      <c r="N1073" s="0" t="s">
        <v>2484</v>
      </c>
      <c r="O1073" s="0" t="n">
        <v>1</v>
      </c>
      <c r="R1073" s="3"/>
      <c r="S1073" s="2" t="s">
        <v>28</v>
      </c>
    </row>
    <row r="1074" customFormat="false" ht="15" hidden="false" customHeight="false" outlineLevel="0" collapsed="false">
      <c r="A1074" s="0" t="n">
        <v>1073</v>
      </c>
      <c r="D1074" s="0" t="s">
        <v>2485</v>
      </c>
      <c r="E1074" s="0" t="s">
        <v>20</v>
      </c>
      <c r="F1074" s="0" t="s">
        <v>2486</v>
      </c>
      <c r="H1074" s="0" t="s">
        <v>21</v>
      </c>
      <c r="I1074" s="2" t="s">
        <v>22</v>
      </c>
      <c r="J1074" s="2" t="s">
        <v>854</v>
      </c>
      <c r="K1074" s="0" t="s">
        <v>855</v>
      </c>
      <c r="L1074" s="0" t="s">
        <v>2487</v>
      </c>
      <c r="M1074" s="0" t="s">
        <v>857</v>
      </c>
      <c r="N1074" s="0" t="s">
        <v>2488</v>
      </c>
      <c r="O1074" s="0" t="n">
        <v>1</v>
      </c>
      <c r="Q1074" s="0" t="s">
        <v>2489</v>
      </c>
      <c r="R1074" s="3" t="s">
        <v>2490</v>
      </c>
      <c r="S1074" s="2" t="s">
        <v>2491</v>
      </c>
    </row>
    <row r="1075" customFormat="false" ht="15" hidden="false" customHeight="false" outlineLevel="0" collapsed="false">
      <c r="A1075" s="0" t="n">
        <v>1074</v>
      </c>
      <c r="D1075" s="0" t="s">
        <v>2492</v>
      </c>
      <c r="E1075" s="0" t="s">
        <v>20</v>
      </c>
      <c r="H1075" s="0" t="s">
        <v>21</v>
      </c>
      <c r="I1075" s="2" t="s">
        <v>22</v>
      </c>
      <c r="J1075" s="2" t="s">
        <v>854</v>
      </c>
      <c r="K1075" s="0" t="s">
        <v>855</v>
      </c>
      <c r="L1075" s="0" t="s">
        <v>25</v>
      </c>
      <c r="M1075" s="0" t="s">
        <v>857</v>
      </c>
      <c r="N1075" s="0" t="s">
        <v>2493</v>
      </c>
      <c r="O1075" s="0" t="n">
        <v>1</v>
      </c>
      <c r="R1075" s="3"/>
      <c r="S1075" s="2" t="s">
        <v>28</v>
      </c>
    </row>
    <row r="1076" customFormat="false" ht="15" hidden="false" customHeight="false" outlineLevel="0" collapsed="false">
      <c r="A1076" s="0" t="n">
        <v>1075</v>
      </c>
      <c r="D1076" s="0" t="s">
        <v>2494</v>
      </c>
      <c r="E1076" s="0" t="s">
        <v>20</v>
      </c>
      <c r="H1076" s="0" t="s">
        <v>21</v>
      </c>
      <c r="I1076" s="2" t="s">
        <v>22</v>
      </c>
      <c r="J1076" s="2" t="s">
        <v>854</v>
      </c>
      <c r="K1076" s="0" t="s">
        <v>855</v>
      </c>
      <c r="L1076" s="0" t="s">
        <v>25</v>
      </c>
      <c r="M1076" s="0" t="s">
        <v>857</v>
      </c>
      <c r="N1076" s="0" t="s">
        <v>2495</v>
      </c>
      <c r="O1076" s="0" t="n">
        <v>1</v>
      </c>
      <c r="R1076" s="3"/>
      <c r="S1076" s="2" t="s">
        <v>28</v>
      </c>
    </row>
    <row r="1077" customFormat="false" ht="15" hidden="false" customHeight="false" outlineLevel="0" collapsed="false">
      <c r="A1077" s="0" t="n">
        <v>1076</v>
      </c>
      <c r="D1077" s="0" t="s">
        <v>2496</v>
      </c>
      <c r="E1077" s="0" t="s">
        <v>2497</v>
      </c>
      <c r="H1077" s="0" t="s">
        <v>21</v>
      </c>
      <c r="I1077" s="2" t="s">
        <v>22</v>
      </c>
      <c r="J1077" s="2" t="s">
        <v>854</v>
      </c>
      <c r="K1077" s="0" t="s">
        <v>855</v>
      </c>
      <c r="L1077" s="0" t="s">
        <v>25</v>
      </c>
      <c r="M1077" s="0" t="s">
        <v>857</v>
      </c>
      <c r="N1077" s="0" t="s">
        <v>2498</v>
      </c>
      <c r="O1077" s="0" t="n">
        <v>1</v>
      </c>
      <c r="P1077" s="0" t="s">
        <v>2497</v>
      </c>
      <c r="R1077" s="3"/>
      <c r="S1077" s="2" t="s">
        <v>28</v>
      </c>
    </row>
    <row r="1078" customFormat="false" ht="15" hidden="false" customHeight="false" outlineLevel="0" collapsed="false">
      <c r="A1078" s="0" t="n">
        <v>1077</v>
      </c>
      <c r="D1078" s="0" t="s">
        <v>2499</v>
      </c>
      <c r="E1078" s="0" t="s">
        <v>410</v>
      </c>
      <c r="H1078" s="0" t="s">
        <v>21</v>
      </c>
      <c r="I1078" s="2" t="s">
        <v>22</v>
      </c>
      <c r="J1078" s="2" t="s">
        <v>854</v>
      </c>
      <c r="K1078" s="0" t="s">
        <v>855</v>
      </c>
      <c r="L1078" s="0" t="s">
        <v>25</v>
      </c>
      <c r="M1078" s="0" t="s">
        <v>857</v>
      </c>
      <c r="N1078" s="0" t="s">
        <v>2500</v>
      </c>
      <c r="O1078" s="0" t="n">
        <v>1</v>
      </c>
      <c r="P1078" s="0" t="s">
        <v>410</v>
      </c>
      <c r="R1078" s="3"/>
      <c r="S1078" s="2" t="s">
        <v>28</v>
      </c>
    </row>
    <row r="1079" customFormat="false" ht="15" hidden="false" customHeight="false" outlineLevel="0" collapsed="false">
      <c r="A1079" s="0" t="n">
        <v>1078</v>
      </c>
      <c r="D1079" s="0" t="s">
        <v>2501</v>
      </c>
      <c r="E1079" s="0" t="s">
        <v>20</v>
      </c>
      <c r="H1079" s="0" t="s">
        <v>21</v>
      </c>
      <c r="I1079" s="2" t="s">
        <v>22</v>
      </c>
      <c r="J1079" s="2" t="s">
        <v>854</v>
      </c>
      <c r="K1079" s="0" t="s">
        <v>855</v>
      </c>
      <c r="L1079" s="0" t="s">
        <v>25</v>
      </c>
      <c r="M1079" s="0" t="s">
        <v>857</v>
      </c>
      <c r="N1079" s="0" t="s">
        <v>2502</v>
      </c>
      <c r="O1079" s="0" t="n">
        <v>1</v>
      </c>
      <c r="R1079" s="3"/>
      <c r="S1079" s="2" t="s">
        <v>28</v>
      </c>
    </row>
    <row r="1080" customFormat="false" ht="15" hidden="false" customHeight="false" outlineLevel="0" collapsed="false">
      <c r="A1080" s="0" t="n">
        <v>1079</v>
      </c>
      <c r="D1080" s="0" t="s">
        <v>2503</v>
      </c>
      <c r="E1080" s="0" t="s">
        <v>20</v>
      </c>
      <c r="H1080" s="0" t="s">
        <v>21</v>
      </c>
      <c r="I1080" s="2" t="s">
        <v>22</v>
      </c>
      <c r="J1080" s="2" t="s">
        <v>854</v>
      </c>
      <c r="K1080" s="0" t="s">
        <v>855</v>
      </c>
      <c r="L1080" s="0" t="s">
        <v>182</v>
      </c>
      <c r="M1080" s="0" t="s">
        <v>857</v>
      </c>
      <c r="N1080" s="0" t="s">
        <v>2504</v>
      </c>
      <c r="O1080" s="0" t="n">
        <v>1</v>
      </c>
      <c r="P1080" s="0" t="s">
        <v>184</v>
      </c>
      <c r="R1080" s="3"/>
      <c r="S1080" s="2" t="s">
        <v>28</v>
      </c>
    </row>
    <row r="1081" customFormat="false" ht="15" hidden="false" customHeight="false" outlineLevel="0" collapsed="false">
      <c r="A1081" s="0" t="n">
        <v>1080</v>
      </c>
      <c r="D1081" s="0" t="s">
        <v>2505</v>
      </c>
      <c r="E1081" s="0" t="s">
        <v>20</v>
      </c>
      <c r="H1081" s="0" t="s">
        <v>21</v>
      </c>
      <c r="I1081" s="2" t="s">
        <v>22</v>
      </c>
      <c r="J1081" s="2" t="s">
        <v>854</v>
      </c>
      <c r="K1081" s="0" t="s">
        <v>855</v>
      </c>
      <c r="L1081" s="0" t="s">
        <v>420</v>
      </c>
      <c r="M1081" s="0" t="s">
        <v>857</v>
      </c>
      <c r="N1081" s="0" t="s">
        <v>2506</v>
      </c>
      <c r="O1081" s="0" t="n">
        <v>1</v>
      </c>
      <c r="P1081" s="0" t="s">
        <v>422</v>
      </c>
      <c r="R1081" s="3"/>
      <c r="S1081" s="2" t="s">
        <v>28</v>
      </c>
    </row>
    <row r="1082" customFormat="false" ht="15" hidden="false" customHeight="false" outlineLevel="0" collapsed="false">
      <c r="A1082" s="0" t="n">
        <v>1081</v>
      </c>
      <c r="D1082" s="0" t="s">
        <v>2507</v>
      </c>
      <c r="E1082" s="0" t="s">
        <v>173</v>
      </c>
      <c r="H1082" s="0" t="s">
        <v>21</v>
      </c>
      <c r="I1082" s="2" t="s">
        <v>22</v>
      </c>
      <c r="J1082" s="2" t="s">
        <v>854</v>
      </c>
      <c r="K1082" s="0" t="s">
        <v>855</v>
      </c>
      <c r="L1082" s="0" t="s">
        <v>2508</v>
      </c>
      <c r="M1082" s="0" t="s">
        <v>857</v>
      </c>
      <c r="N1082" s="0" t="s">
        <v>2509</v>
      </c>
      <c r="O1082" s="0" t="n">
        <v>1</v>
      </c>
      <c r="P1082" s="0" t="s">
        <v>173</v>
      </c>
      <c r="Q1082" s="0" t="s">
        <v>2510</v>
      </c>
      <c r="R1082" s="3"/>
      <c r="S1082" s="2" t="s">
        <v>2511</v>
      </c>
    </row>
    <row r="1083" customFormat="false" ht="15" hidden="false" customHeight="false" outlineLevel="0" collapsed="false">
      <c r="A1083" s="0" t="n">
        <v>1082</v>
      </c>
      <c r="D1083" s="0" t="s">
        <v>2512</v>
      </c>
      <c r="E1083" s="0" t="s">
        <v>173</v>
      </c>
      <c r="H1083" s="0" t="s">
        <v>21</v>
      </c>
      <c r="I1083" s="2" t="s">
        <v>22</v>
      </c>
      <c r="J1083" s="2" t="s">
        <v>854</v>
      </c>
      <c r="K1083" s="0" t="s">
        <v>855</v>
      </c>
      <c r="L1083" s="0" t="s">
        <v>25</v>
      </c>
      <c r="M1083" s="0" t="s">
        <v>857</v>
      </c>
      <c r="N1083" s="0" t="s">
        <v>2513</v>
      </c>
      <c r="O1083" s="0" t="n">
        <v>1</v>
      </c>
      <c r="P1083" s="0" t="s">
        <v>173</v>
      </c>
      <c r="R1083" s="3"/>
      <c r="S1083" s="2" t="s">
        <v>28</v>
      </c>
    </row>
    <row r="1084" customFormat="false" ht="15" hidden="false" customHeight="false" outlineLevel="0" collapsed="false">
      <c r="A1084" s="0" t="n">
        <v>1083</v>
      </c>
      <c r="D1084" s="0" t="s">
        <v>2514</v>
      </c>
      <c r="E1084" s="0" t="s">
        <v>20</v>
      </c>
      <c r="H1084" s="0" t="s">
        <v>21</v>
      </c>
      <c r="I1084" s="2" t="s">
        <v>22</v>
      </c>
      <c r="J1084" s="2" t="s">
        <v>854</v>
      </c>
      <c r="K1084" s="0" t="s">
        <v>855</v>
      </c>
      <c r="L1084" s="0" t="s">
        <v>25</v>
      </c>
      <c r="M1084" s="0" t="s">
        <v>857</v>
      </c>
      <c r="N1084" s="0" t="s">
        <v>2515</v>
      </c>
      <c r="O1084" s="0" t="n">
        <v>1</v>
      </c>
      <c r="R1084" s="3"/>
      <c r="S1084" s="2" t="s">
        <v>28</v>
      </c>
    </row>
    <row r="1085" customFormat="false" ht="15" hidden="false" customHeight="false" outlineLevel="0" collapsed="false">
      <c r="A1085" s="0" t="n">
        <v>1084</v>
      </c>
      <c r="D1085" s="0" t="s">
        <v>2516</v>
      </c>
      <c r="E1085" s="0" t="s">
        <v>20</v>
      </c>
      <c r="H1085" s="0" t="s">
        <v>21</v>
      </c>
      <c r="I1085" s="2" t="s">
        <v>22</v>
      </c>
      <c r="J1085" s="2" t="s">
        <v>854</v>
      </c>
      <c r="K1085" s="0" t="s">
        <v>855</v>
      </c>
      <c r="L1085" s="0" t="s">
        <v>25</v>
      </c>
      <c r="M1085" s="0" t="s">
        <v>857</v>
      </c>
      <c r="N1085" s="0" t="s">
        <v>2517</v>
      </c>
      <c r="O1085" s="0" t="n">
        <v>1</v>
      </c>
      <c r="R1085" s="3"/>
      <c r="S1085" s="2" t="s">
        <v>28</v>
      </c>
    </row>
    <row r="1086" customFormat="false" ht="15" hidden="false" customHeight="false" outlineLevel="0" collapsed="false">
      <c r="A1086" s="0" t="n">
        <v>1085</v>
      </c>
      <c r="D1086" s="0" t="s">
        <v>2518</v>
      </c>
      <c r="E1086" s="0" t="s">
        <v>20</v>
      </c>
      <c r="H1086" s="0" t="s">
        <v>21</v>
      </c>
      <c r="I1086" s="2" t="s">
        <v>22</v>
      </c>
      <c r="J1086" s="2" t="s">
        <v>854</v>
      </c>
      <c r="K1086" s="0" t="s">
        <v>855</v>
      </c>
      <c r="L1086" s="0" t="s">
        <v>25</v>
      </c>
      <c r="M1086" s="0" t="s">
        <v>857</v>
      </c>
      <c r="N1086" s="0" t="s">
        <v>2519</v>
      </c>
      <c r="O1086" s="0" t="n">
        <v>1</v>
      </c>
      <c r="R1086" s="3"/>
      <c r="S1086" s="2" t="s">
        <v>28</v>
      </c>
    </row>
    <row r="1087" customFormat="false" ht="15" hidden="false" customHeight="false" outlineLevel="0" collapsed="false">
      <c r="A1087" s="0" t="n">
        <v>1086</v>
      </c>
      <c r="D1087" s="0" t="s">
        <v>2520</v>
      </c>
      <c r="E1087" s="0" t="s">
        <v>173</v>
      </c>
      <c r="H1087" s="0" t="s">
        <v>21</v>
      </c>
      <c r="I1087" s="2" t="s">
        <v>22</v>
      </c>
      <c r="J1087" s="2" t="s">
        <v>854</v>
      </c>
      <c r="K1087" s="0" t="s">
        <v>855</v>
      </c>
      <c r="L1087" s="0" t="s">
        <v>25</v>
      </c>
      <c r="M1087" s="0" t="s">
        <v>857</v>
      </c>
      <c r="N1087" s="0" t="s">
        <v>2521</v>
      </c>
      <c r="O1087" s="0" t="n">
        <v>1</v>
      </c>
      <c r="P1087" s="0" t="s">
        <v>173</v>
      </c>
      <c r="R1087" s="3"/>
      <c r="S1087" s="2" t="s">
        <v>28</v>
      </c>
    </row>
    <row r="1088" customFormat="false" ht="15" hidden="false" customHeight="false" outlineLevel="0" collapsed="false">
      <c r="A1088" s="0" t="n">
        <v>1087</v>
      </c>
      <c r="D1088" s="0" t="s">
        <v>2522</v>
      </c>
      <c r="E1088" s="0" t="s">
        <v>20</v>
      </c>
      <c r="H1088" s="0" t="s">
        <v>21</v>
      </c>
      <c r="I1088" s="2" t="s">
        <v>22</v>
      </c>
      <c r="J1088" s="2" t="s">
        <v>854</v>
      </c>
      <c r="K1088" s="0" t="s">
        <v>855</v>
      </c>
      <c r="L1088" s="0" t="s">
        <v>25</v>
      </c>
      <c r="M1088" s="0" t="s">
        <v>857</v>
      </c>
      <c r="N1088" s="0" t="s">
        <v>2523</v>
      </c>
      <c r="O1088" s="0" t="n">
        <v>1</v>
      </c>
      <c r="R1088" s="3"/>
      <c r="S1088" s="2" t="s">
        <v>28</v>
      </c>
    </row>
    <row r="1089" customFormat="false" ht="15" hidden="false" customHeight="false" outlineLevel="0" collapsed="false">
      <c r="A1089" s="0" t="n">
        <v>1088</v>
      </c>
      <c r="D1089" s="0" t="s">
        <v>2524</v>
      </c>
      <c r="E1089" s="0" t="s">
        <v>20</v>
      </c>
      <c r="H1089" s="0" t="s">
        <v>21</v>
      </c>
      <c r="I1089" s="2" t="s">
        <v>22</v>
      </c>
      <c r="J1089" s="2" t="s">
        <v>854</v>
      </c>
      <c r="K1089" s="0" t="s">
        <v>855</v>
      </c>
      <c r="L1089" s="0" t="s">
        <v>25</v>
      </c>
      <c r="M1089" s="0" t="s">
        <v>857</v>
      </c>
      <c r="N1089" s="0" t="s">
        <v>2525</v>
      </c>
      <c r="O1089" s="0" t="n">
        <v>1</v>
      </c>
      <c r="R1089" s="3"/>
      <c r="S1089" s="2" t="s">
        <v>28</v>
      </c>
    </row>
    <row r="1090" customFormat="false" ht="15" hidden="false" customHeight="false" outlineLevel="0" collapsed="false">
      <c r="A1090" s="0" t="n">
        <v>1089</v>
      </c>
      <c r="D1090" s="0" t="s">
        <v>2526</v>
      </c>
      <c r="E1090" s="0" t="s">
        <v>20</v>
      </c>
      <c r="H1090" s="0" t="s">
        <v>21</v>
      </c>
      <c r="I1090" s="2" t="s">
        <v>22</v>
      </c>
      <c r="J1090" s="2" t="s">
        <v>854</v>
      </c>
      <c r="K1090" s="0" t="s">
        <v>855</v>
      </c>
      <c r="L1090" s="0" t="s">
        <v>25</v>
      </c>
      <c r="M1090" s="0" t="s">
        <v>857</v>
      </c>
      <c r="N1090" s="0" t="s">
        <v>2527</v>
      </c>
      <c r="O1090" s="0" t="n">
        <v>1</v>
      </c>
      <c r="R1090" s="3"/>
      <c r="S1090" s="2" t="s">
        <v>28</v>
      </c>
    </row>
    <row r="1091" customFormat="false" ht="15" hidden="false" customHeight="false" outlineLevel="0" collapsed="false">
      <c r="A1091" s="0" t="n">
        <v>1090</v>
      </c>
      <c r="D1091" s="0" t="s">
        <v>2528</v>
      </c>
      <c r="E1091" s="0" t="s">
        <v>20</v>
      </c>
      <c r="H1091" s="0" t="s">
        <v>21</v>
      </c>
      <c r="I1091" s="2" t="s">
        <v>22</v>
      </c>
      <c r="J1091" s="2" t="s">
        <v>854</v>
      </c>
      <c r="K1091" s="0" t="s">
        <v>855</v>
      </c>
      <c r="L1091" s="0" t="s">
        <v>182</v>
      </c>
      <c r="M1091" s="0" t="s">
        <v>857</v>
      </c>
      <c r="N1091" s="0" t="s">
        <v>2529</v>
      </c>
      <c r="O1091" s="0" t="n">
        <v>1</v>
      </c>
      <c r="P1091" s="0" t="s">
        <v>184</v>
      </c>
      <c r="R1091" s="3"/>
      <c r="S1091" s="2" t="s">
        <v>28</v>
      </c>
    </row>
    <row r="1092" customFormat="false" ht="15" hidden="false" customHeight="false" outlineLevel="0" collapsed="false">
      <c r="A1092" s="0" t="n">
        <v>1091</v>
      </c>
      <c r="D1092" s="0" t="s">
        <v>2530</v>
      </c>
      <c r="E1092" s="0" t="s">
        <v>20</v>
      </c>
      <c r="H1092" s="0" t="s">
        <v>21</v>
      </c>
      <c r="I1092" s="2" t="s">
        <v>22</v>
      </c>
      <c r="J1092" s="2" t="s">
        <v>854</v>
      </c>
      <c r="K1092" s="0" t="s">
        <v>855</v>
      </c>
      <c r="L1092" s="0" t="s">
        <v>25</v>
      </c>
      <c r="M1092" s="0" t="s">
        <v>857</v>
      </c>
      <c r="N1092" s="0" t="s">
        <v>2531</v>
      </c>
      <c r="O1092" s="0" t="n">
        <v>1</v>
      </c>
      <c r="R1092" s="3"/>
      <c r="S1092" s="2" t="s">
        <v>28</v>
      </c>
    </row>
    <row r="1093" customFormat="false" ht="15" hidden="false" customHeight="false" outlineLevel="0" collapsed="false">
      <c r="A1093" s="0" t="n">
        <v>1092</v>
      </c>
      <c r="D1093" s="0" t="s">
        <v>2532</v>
      </c>
      <c r="E1093" s="0" t="s">
        <v>20</v>
      </c>
      <c r="H1093" s="0" t="s">
        <v>21</v>
      </c>
      <c r="I1093" s="2" t="s">
        <v>22</v>
      </c>
      <c r="J1093" s="2" t="s">
        <v>854</v>
      </c>
      <c r="K1093" s="0" t="s">
        <v>855</v>
      </c>
      <c r="L1093" s="0" t="s">
        <v>25</v>
      </c>
      <c r="M1093" s="0" t="s">
        <v>857</v>
      </c>
      <c r="N1093" s="0" t="s">
        <v>2533</v>
      </c>
      <c r="O1093" s="0" t="n">
        <v>1</v>
      </c>
      <c r="P1093" s="0" t="s">
        <v>43</v>
      </c>
      <c r="R1093" s="3"/>
      <c r="S1093" s="2" t="s">
        <v>28</v>
      </c>
    </row>
    <row r="1094" customFormat="false" ht="15" hidden="false" customHeight="false" outlineLevel="0" collapsed="false">
      <c r="A1094" s="0" t="n">
        <v>1093</v>
      </c>
      <c r="D1094" s="0" t="s">
        <v>2534</v>
      </c>
      <c r="E1094" s="0" t="s">
        <v>253</v>
      </c>
      <c r="H1094" s="0" t="s">
        <v>21</v>
      </c>
      <c r="I1094" s="2" t="s">
        <v>22</v>
      </c>
      <c r="J1094" s="2" t="s">
        <v>854</v>
      </c>
      <c r="K1094" s="0" t="s">
        <v>855</v>
      </c>
      <c r="L1094" s="0" t="s">
        <v>25</v>
      </c>
      <c r="M1094" s="0" t="s">
        <v>857</v>
      </c>
      <c r="N1094" s="0" t="s">
        <v>2535</v>
      </c>
      <c r="O1094" s="0" t="n">
        <v>1</v>
      </c>
      <c r="P1094" s="0" t="s">
        <v>253</v>
      </c>
      <c r="R1094" s="3"/>
      <c r="S1094" s="2" t="s">
        <v>28</v>
      </c>
    </row>
    <row r="1095" customFormat="false" ht="15" hidden="false" customHeight="false" outlineLevel="0" collapsed="false">
      <c r="A1095" s="0" t="n">
        <v>1094</v>
      </c>
      <c r="D1095" s="0" t="s">
        <v>2536</v>
      </c>
      <c r="E1095" s="0" t="s">
        <v>20</v>
      </c>
      <c r="H1095" s="0" t="s">
        <v>21</v>
      </c>
      <c r="I1095" s="2" t="s">
        <v>22</v>
      </c>
      <c r="J1095" s="2" t="s">
        <v>854</v>
      </c>
      <c r="K1095" s="0" t="s">
        <v>855</v>
      </c>
      <c r="L1095" s="0" t="s">
        <v>25</v>
      </c>
      <c r="M1095" s="0" t="s">
        <v>857</v>
      </c>
      <c r="N1095" s="0" t="s">
        <v>2537</v>
      </c>
      <c r="O1095" s="0" t="n">
        <v>1</v>
      </c>
      <c r="R1095" s="3"/>
      <c r="S1095" s="2" t="s">
        <v>28</v>
      </c>
    </row>
    <row r="1096" customFormat="false" ht="15" hidden="false" customHeight="false" outlineLevel="0" collapsed="false">
      <c r="A1096" s="0" t="n">
        <v>1095</v>
      </c>
      <c r="D1096" s="0" t="s">
        <v>2538</v>
      </c>
      <c r="E1096" s="0" t="s">
        <v>577</v>
      </c>
      <c r="H1096" s="0" t="s">
        <v>21</v>
      </c>
      <c r="I1096" s="2" t="s">
        <v>22</v>
      </c>
      <c r="J1096" s="2" t="s">
        <v>854</v>
      </c>
      <c r="K1096" s="0" t="s">
        <v>855</v>
      </c>
      <c r="L1096" s="0" t="s">
        <v>25</v>
      </c>
      <c r="M1096" s="0" t="s">
        <v>857</v>
      </c>
      <c r="N1096" s="0" t="s">
        <v>2539</v>
      </c>
      <c r="O1096" s="0" t="n">
        <v>1</v>
      </c>
      <c r="P1096" s="0" t="s">
        <v>577</v>
      </c>
      <c r="R1096" s="3"/>
      <c r="S1096" s="2" t="s">
        <v>28</v>
      </c>
    </row>
    <row r="1097" customFormat="false" ht="15" hidden="false" customHeight="false" outlineLevel="0" collapsed="false">
      <c r="A1097" s="0" t="n">
        <v>1096</v>
      </c>
      <c r="D1097" s="0" t="s">
        <v>2540</v>
      </c>
      <c r="E1097" s="0" t="s">
        <v>20</v>
      </c>
      <c r="H1097" s="0" t="s">
        <v>21</v>
      </c>
      <c r="I1097" s="2" t="s">
        <v>22</v>
      </c>
      <c r="J1097" s="2" t="s">
        <v>854</v>
      </c>
      <c r="K1097" s="0" t="s">
        <v>855</v>
      </c>
      <c r="L1097" s="0" t="s">
        <v>25</v>
      </c>
      <c r="M1097" s="0" t="s">
        <v>857</v>
      </c>
      <c r="N1097" s="0" t="s">
        <v>2541</v>
      </c>
      <c r="O1097" s="0" t="n">
        <v>1</v>
      </c>
      <c r="R1097" s="3"/>
      <c r="S1097" s="2" t="s">
        <v>28</v>
      </c>
    </row>
    <row r="1098" customFormat="false" ht="15" hidden="false" customHeight="false" outlineLevel="0" collapsed="false">
      <c r="A1098" s="0" t="n">
        <v>1097</v>
      </c>
      <c r="D1098" s="0" t="s">
        <v>2542</v>
      </c>
      <c r="E1098" s="0" t="s">
        <v>20</v>
      </c>
      <c r="H1098" s="0" t="s">
        <v>21</v>
      </c>
      <c r="I1098" s="2" t="s">
        <v>22</v>
      </c>
      <c r="J1098" s="2" t="s">
        <v>854</v>
      </c>
      <c r="K1098" s="0" t="s">
        <v>855</v>
      </c>
      <c r="L1098" s="0" t="s">
        <v>25</v>
      </c>
      <c r="M1098" s="0" t="s">
        <v>857</v>
      </c>
      <c r="N1098" s="0" t="s">
        <v>2543</v>
      </c>
      <c r="O1098" s="0" t="n">
        <v>1</v>
      </c>
      <c r="R1098" s="3"/>
      <c r="S1098" s="2" t="s">
        <v>28</v>
      </c>
    </row>
    <row r="1099" customFormat="false" ht="15" hidden="false" customHeight="false" outlineLevel="0" collapsed="false">
      <c r="A1099" s="0" t="n">
        <v>1098</v>
      </c>
      <c r="D1099" s="0" t="s">
        <v>2544</v>
      </c>
      <c r="E1099" s="0" t="s">
        <v>20</v>
      </c>
      <c r="H1099" s="0" t="s">
        <v>21</v>
      </c>
      <c r="I1099" s="2" t="s">
        <v>22</v>
      </c>
      <c r="J1099" s="2" t="s">
        <v>854</v>
      </c>
      <c r="K1099" s="0" t="s">
        <v>855</v>
      </c>
      <c r="L1099" s="0" t="s">
        <v>25</v>
      </c>
      <c r="M1099" s="0" t="s">
        <v>857</v>
      </c>
      <c r="N1099" s="0" t="s">
        <v>2545</v>
      </c>
      <c r="O1099" s="0" t="n">
        <v>1</v>
      </c>
      <c r="R1099" s="3"/>
      <c r="S1099" s="2" t="s">
        <v>28</v>
      </c>
    </row>
    <row r="1100" customFormat="false" ht="15" hidden="false" customHeight="false" outlineLevel="0" collapsed="false">
      <c r="A1100" s="0" t="n">
        <v>1099</v>
      </c>
      <c r="D1100" s="0" t="s">
        <v>2546</v>
      </c>
      <c r="E1100" s="0" t="s">
        <v>173</v>
      </c>
      <c r="H1100" s="0" t="s">
        <v>21</v>
      </c>
      <c r="I1100" s="2" t="s">
        <v>22</v>
      </c>
      <c r="J1100" s="2" t="s">
        <v>854</v>
      </c>
      <c r="K1100" s="0" t="s">
        <v>855</v>
      </c>
      <c r="L1100" s="0" t="s">
        <v>25</v>
      </c>
      <c r="M1100" s="0" t="s">
        <v>857</v>
      </c>
      <c r="N1100" s="0" t="s">
        <v>2547</v>
      </c>
      <c r="O1100" s="0" t="n">
        <v>1</v>
      </c>
      <c r="P1100" s="0" t="s">
        <v>173</v>
      </c>
      <c r="R1100" s="3"/>
      <c r="S1100" s="2" t="s">
        <v>28</v>
      </c>
    </row>
    <row r="1101" customFormat="false" ht="15" hidden="false" customHeight="false" outlineLevel="0" collapsed="false">
      <c r="A1101" s="0" t="n">
        <v>1100</v>
      </c>
      <c r="D1101" s="0" t="s">
        <v>2548</v>
      </c>
      <c r="E1101" s="0" t="s">
        <v>287</v>
      </c>
      <c r="H1101" s="0" t="s">
        <v>21</v>
      </c>
      <c r="I1101" s="2" t="s">
        <v>22</v>
      </c>
      <c r="J1101" s="2" t="s">
        <v>854</v>
      </c>
      <c r="K1101" s="0" t="s">
        <v>855</v>
      </c>
      <c r="L1101" s="0" t="s">
        <v>25</v>
      </c>
      <c r="M1101" s="0" t="s">
        <v>857</v>
      </c>
      <c r="N1101" s="0" t="s">
        <v>2549</v>
      </c>
      <c r="O1101" s="0" t="n">
        <v>1</v>
      </c>
      <c r="P1101" s="0" t="s">
        <v>287</v>
      </c>
      <c r="R1101" s="3"/>
      <c r="S1101" s="2" t="s">
        <v>28</v>
      </c>
    </row>
    <row r="1102" customFormat="false" ht="15" hidden="false" customHeight="false" outlineLevel="0" collapsed="false">
      <c r="A1102" s="0" t="n">
        <v>1101</v>
      </c>
      <c r="D1102" s="0" t="s">
        <v>2550</v>
      </c>
      <c r="E1102" s="0" t="s">
        <v>501</v>
      </c>
      <c r="H1102" s="0" t="s">
        <v>21</v>
      </c>
      <c r="I1102" s="2" t="s">
        <v>22</v>
      </c>
      <c r="J1102" s="2" t="s">
        <v>854</v>
      </c>
      <c r="K1102" s="0" t="s">
        <v>855</v>
      </c>
      <c r="L1102" s="0" t="s">
        <v>25</v>
      </c>
      <c r="M1102" s="0" t="s">
        <v>857</v>
      </c>
      <c r="N1102" s="0" t="s">
        <v>2551</v>
      </c>
      <c r="O1102" s="0" t="n">
        <v>1</v>
      </c>
      <c r="P1102" s="0" t="s">
        <v>501</v>
      </c>
      <c r="R1102" s="3"/>
      <c r="S1102" s="2" t="s">
        <v>28</v>
      </c>
    </row>
    <row r="1103" customFormat="false" ht="15" hidden="false" customHeight="false" outlineLevel="0" collapsed="false">
      <c r="A1103" s="0" t="n">
        <v>1102</v>
      </c>
      <c r="D1103" s="0" t="s">
        <v>2552</v>
      </c>
      <c r="E1103" s="0" t="s">
        <v>301</v>
      </c>
      <c r="H1103" s="0" t="s">
        <v>21</v>
      </c>
      <c r="I1103" s="2" t="s">
        <v>22</v>
      </c>
      <c r="J1103" s="2" t="s">
        <v>854</v>
      </c>
      <c r="K1103" s="0" t="s">
        <v>855</v>
      </c>
      <c r="L1103" s="0" t="s">
        <v>25</v>
      </c>
      <c r="M1103" s="0" t="s">
        <v>857</v>
      </c>
      <c r="N1103" s="0" t="s">
        <v>2553</v>
      </c>
      <c r="O1103" s="0" t="n">
        <v>1</v>
      </c>
      <c r="P1103" s="0" t="s">
        <v>301</v>
      </c>
      <c r="R1103" s="3"/>
      <c r="S1103" s="2" t="s">
        <v>28</v>
      </c>
    </row>
    <row r="1104" customFormat="false" ht="15" hidden="false" customHeight="false" outlineLevel="0" collapsed="false">
      <c r="A1104" s="0" t="n">
        <v>1103</v>
      </c>
      <c r="D1104" s="0" t="s">
        <v>2554</v>
      </c>
      <c r="E1104" s="0" t="s">
        <v>501</v>
      </c>
      <c r="H1104" s="0" t="s">
        <v>21</v>
      </c>
      <c r="I1104" s="2" t="s">
        <v>22</v>
      </c>
      <c r="J1104" s="2" t="s">
        <v>854</v>
      </c>
      <c r="K1104" s="0" t="s">
        <v>855</v>
      </c>
      <c r="L1104" s="0" t="s">
        <v>25</v>
      </c>
      <c r="M1104" s="0" t="s">
        <v>857</v>
      </c>
      <c r="N1104" s="0" t="s">
        <v>2555</v>
      </c>
      <c r="O1104" s="0" t="n">
        <v>1</v>
      </c>
      <c r="P1104" s="0" t="s">
        <v>501</v>
      </c>
      <c r="R1104" s="3"/>
      <c r="S1104" s="2" t="s">
        <v>28</v>
      </c>
    </row>
    <row r="1105" customFormat="false" ht="15" hidden="false" customHeight="false" outlineLevel="0" collapsed="false">
      <c r="A1105" s="0" t="n">
        <v>1104</v>
      </c>
      <c r="D1105" s="0" t="s">
        <v>2556</v>
      </c>
      <c r="E1105" s="0" t="s">
        <v>188</v>
      </c>
      <c r="H1105" s="0" t="s">
        <v>21</v>
      </c>
      <c r="I1105" s="2" t="s">
        <v>22</v>
      </c>
      <c r="J1105" s="2" t="s">
        <v>854</v>
      </c>
      <c r="K1105" s="0" t="s">
        <v>855</v>
      </c>
      <c r="L1105" s="0" t="s">
        <v>25</v>
      </c>
      <c r="M1105" s="0" t="s">
        <v>857</v>
      </c>
      <c r="N1105" s="0" t="s">
        <v>2557</v>
      </c>
      <c r="O1105" s="0" t="n">
        <v>1</v>
      </c>
      <c r="P1105" s="0" t="s">
        <v>188</v>
      </c>
      <c r="R1105" s="3"/>
      <c r="S1105" s="2" t="s">
        <v>28</v>
      </c>
    </row>
    <row r="1106" customFormat="false" ht="15" hidden="false" customHeight="false" outlineLevel="0" collapsed="false">
      <c r="A1106" s="0" t="n">
        <v>1105</v>
      </c>
      <c r="D1106" s="0" t="s">
        <v>2558</v>
      </c>
      <c r="E1106" s="0" t="s">
        <v>20</v>
      </c>
      <c r="H1106" s="0" t="s">
        <v>21</v>
      </c>
      <c r="I1106" s="2" t="s">
        <v>22</v>
      </c>
      <c r="J1106" s="2" t="s">
        <v>854</v>
      </c>
      <c r="K1106" s="0" t="s">
        <v>855</v>
      </c>
      <c r="L1106" s="0" t="s">
        <v>25</v>
      </c>
      <c r="M1106" s="0" t="s">
        <v>857</v>
      </c>
      <c r="N1106" s="0" t="s">
        <v>2559</v>
      </c>
      <c r="O1106" s="0" t="n">
        <v>1</v>
      </c>
      <c r="R1106" s="3"/>
      <c r="S1106" s="2" t="s">
        <v>28</v>
      </c>
    </row>
    <row r="1107" customFormat="false" ht="15" hidden="false" customHeight="false" outlineLevel="0" collapsed="false">
      <c r="A1107" s="0" t="n">
        <v>1106</v>
      </c>
      <c r="D1107" s="0" t="s">
        <v>2560</v>
      </c>
      <c r="E1107" s="0" t="s">
        <v>188</v>
      </c>
      <c r="H1107" s="0" t="s">
        <v>21</v>
      </c>
      <c r="I1107" s="2" t="s">
        <v>22</v>
      </c>
      <c r="J1107" s="2" t="s">
        <v>854</v>
      </c>
      <c r="K1107" s="0" t="s">
        <v>855</v>
      </c>
      <c r="L1107" s="0" t="s">
        <v>25</v>
      </c>
      <c r="M1107" s="0" t="s">
        <v>857</v>
      </c>
      <c r="N1107" s="0" t="s">
        <v>2561</v>
      </c>
      <c r="O1107" s="0" t="n">
        <v>1</v>
      </c>
      <c r="P1107" s="0" t="s">
        <v>188</v>
      </c>
      <c r="R1107" s="3"/>
      <c r="S1107" s="2" t="s">
        <v>28</v>
      </c>
    </row>
    <row r="1108" customFormat="false" ht="15" hidden="false" customHeight="false" outlineLevel="0" collapsed="false">
      <c r="A1108" s="0" t="n">
        <v>1107</v>
      </c>
      <c r="D1108" s="0" t="s">
        <v>2562</v>
      </c>
      <c r="E1108" s="0" t="s">
        <v>20</v>
      </c>
      <c r="H1108" s="0" t="s">
        <v>21</v>
      </c>
      <c r="I1108" s="2" t="s">
        <v>22</v>
      </c>
      <c r="J1108" s="2" t="s">
        <v>854</v>
      </c>
      <c r="K1108" s="0" t="s">
        <v>855</v>
      </c>
      <c r="L1108" s="0" t="s">
        <v>25</v>
      </c>
      <c r="M1108" s="0" t="s">
        <v>857</v>
      </c>
      <c r="N1108" s="0" t="s">
        <v>2563</v>
      </c>
      <c r="O1108" s="0" t="n">
        <v>1</v>
      </c>
      <c r="R1108" s="3"/>
      <c r="S1108" s="2" t="s">
        <v>28</v>
      </c>
    </row>
    <row r="1109" customFormat="false" ht="15" hidden="false" customHeight="false" outlineLevel="0" collapsed="false">
      <c r="A1109" s="0" t="n">
        <v>1108</v>
      </c>
      <c r="D1109" s="0" t="s">
        <v>2564</v>
      </c>
      <c r="E1109" s="0" t="s">
        <v>20</v>
      </c>
      <c r="H1109" s="0" t="s">
        <v>21</v>
      </c>
      <c r="I1109" s="2" t="s">
        <v>22</v>
      </c>
      <c r="J1109" s="2" t="s">
        <v>854</v>
      </c>
      <c r="K1109" s="0" t="s">
        <v>855</v>
      </c>
      <c r="L1109" s="0" t="s">
        <v>25</v>
      </c>
      <c r="M1109" s="0" t="s">
        <v>857</v>
      </c>
      <c r="N1109" s="0" t="s">
        <v>2565</v>
      </c>
      <c r="O1109" s="0" t="n">
        <v>1</v>
      </c>
      <c r="R1109" s="3"/>
      <c r="S1109" s="2" t="s">
        <v>28</v>
      </c>
    </row>
    <row r="1110" customFormat="false" ht="15" hidden="false" customHeight="false" outlineLevel="0" collapsed="false">
      <c r="A1110" s="0" t="n">
        <v>1109</v>
      </c>
      <c r="D1110" s="0" t="s">
        <v>2566</v>
      </c>
      <c r="E1110" s="0" t="s">
        <v>173</v>
      </c>
      <c r="H1110" s="0" t="s">
        <v>21</v>
      </c>
      <c r="I1110" s="2" t="s">
        <v>22</v>
      </c>
      <c r="J1110" s="2" t="s">
        <v>854</v>
      </c>
      <c r="K1110" s="0" t="s">
        <v>855</v>
      </c>
      <c r="L1110" s="0" t="s">
        <v>25</v>
      </c>
      <c r="M1110" s="0" t="s">
        <v>857</v>
      </c>
      <c r="N1110" s="0" t="s">
        <v>2567</v>
      </c>
      <c r="O1110" s="0" t="n">
        <v>1</v>
      </c>
      <c r="P1110" s="0" t="s">
        <v>173</v>
      </c>
      <c r="R1110" s="3"/>
      <c r="S1110" s="2" t="s">
        <v>28</v>
      </c>
    </row>
    <row r="1111" customFormat="false" ht="15" hidden="false" customHeight="false" outlineLevel="0" collapsed="false">
      <c r="A1111" s="0" t="n">
        <v>1110</v>
      </c>
      <c r="D1111" s="0" t="s">
        <v>2568</v>
      </c>
      <c r="E1111" s="0" t="s">
        <v>253</v>
      </c>
      <c r="H1111" s="0" t="s">
        <v>21</v>
      </c>
      <c r="I1111" s="2" t="s">
        <v>22</v>
      </c>
      <c r="J1111" s="2" t="s">
        <v>854</v>
      </c>
      <c r="K1111" s="0" t="s">
        <v>855</v>
      </c>
      <c r="L1111" s="0" t="s">
        <v>25</v>
      </c>
      <c r="M1111" s="0" t="s">
        <v>857</v>
      </c>
      <c r="N1111" s="0" t="s">
        <v>2569</v>
      </c>
      <c r="O1111" s="0" t="n">
        <v>1</v>
      </c>
      <c r="P1111" s="0" t="s">
        <v>253</v>
      </c>
      <c r="R1111" s="3"/>
      <c r="S1111" s="2" t="s">
        <v>28</v>
      </c>
    </row>
    <row r="1112" customFormat="false" ht="15" hidden="false" customHeight="false" outlineLevel="0" collapsed="false">
      <c r="A1112" s="0" t="n">
        <v>1111</v>
      </c>
      <c r="D1112" s="0" t="s">
        <v>2570</v>
      </c>
      <c r="E1112" s="0" t="s">
        <v>20</v>
      </c>
      <c r="H1112" s="0" t="s">
        <v>21</v>
      </c>
      <c r="I1112" s="2" t="s">
        <v>22</v>
      </c>
      <c r="J1112" s="2" t="s">
        <v>854</v>
      </c>
      <c r="K1112" s="0" t="s">
        <v>855</v>
      </c>
      <c r="L1112" s="0" t="s">
        <v>25</v>
      </c>
      <c r="M1112" s="0" t="s">
        <v>857</v>
      </c>
      <c r="N1112" s="0" t="s">
        <v>2571</v>
      </c>
      <c r="O1112" s="0" t="n">
        <v>1</v>
      </c>
      <c r="R1112" s="3"/>
      <c r="S1112" s="2" t="s">
        <v>28</v>
      </c>
    </row>
    <row r="1113" customFormat="false" ht="15" hidden="false" customHeight="false" outlineLevel="0" collapsed="false">
      <c r="A1113" s="0" t="n">
        <v>1112</v>
      </c>
      <c r="D1113" s="0" t="s">
        <v>2572</v>
      </c>
      <c r="E1113" s="0" t="s">
        <v>20</v>
      </c>
      <c r="H1113" s="0" t="s">
        <v>21</v>
      </c>
      <c r="I1113" s="2" t="s">
        <v>22</v>
      </c>
      <c r="J1113" s="2" t="s">
        <v>854</v>
      </c>
      <c r="K1113" s="0" t="s">
        <v>855</v>
      </c>
      <c r="L1113" s="0" t="s">
        <v>420</v>
      </c>
      <c r="M1113" s="0" t="s">
        <v>857</v>
      </c>
      <c r="N1113" s="0" t="s">
        <v>2573</v>
      </c>
      <c r="O1113" s="0" t="n">
        <v>1</v>
      </c>
      <c r="P1113" s="0" t="s">
        <v>422</v>
      </c>
      <c r="R1113" s="3"/>
      <c r="S1113" s="2" t="s">
        <v>28</v>
      </c>
    </row>
    <row r="1114" customFormat="false" ht="15" hidden="false" customHeight="false" outlineLevel="0" collapsed="false">
      <c r="A1114" s="0" t="n">
        <v>1113</v>
      </c>
      <c r="D1114" s="0" t="s">
        <v>2574</v>
      </c>
      <c r="E1114" s="0" t="s">
        <v>20</v>
      </c>
      <c r="H1114" s="0" t="s">
        <v>21</v>
      </c>
      <c r="I1114" s="2" t="s">
        <v>22</v>
      </c>
      <c r="J1114" s="2" t="s">
        <v>854</v>
      </c>
      <c r="K1114" s="0" t="s">
        <v>855</v>
      </c>
      <c r="L1114" s="0" t="s">
        <v>25</v>
      </c>
      <c r="M1114" s="0" t="s">
        <v>857</v>
      </c>
      <c r="N1114" s="0" t="s">
        <v>2575</v>
      </c>
      <c r="O1114" s="0" t="n">
        <v>1</v>
      </c>
      <c r="R1114" s="3"/>
      <c r="S1114" s="2" t="s">
        <v>28</v>
      </c>
    </row>
    <row r="1115" customFormat="false" ht="15" hidden="false" customHeight="false" outlineLevel="0" collapsed="false">
      <c r="A1115" s="0" t="n">
        <v>1114</v>
      </c>
      <c r="D1115" s="0" t="s">
        <v>2576</v>
      </c>
      <c r="E1115" s="0" t="s">
        <v>20</v>
      </c>
      <c r="H1115" s="0" t="s">
        <v>21</v>
      </c>
      <c r="I1115" s="2" t="s">
        <v>22</v>
      </c>
      <c r="J1115" s="2" t="s">
        <v>854</v>
      </c>
      <c r="K1115" s="0" t="s">
        <v>855</v>
      </c>
      <c r="L1115" s="0" t="s">
        <v>25</v>
      </c>
      <c r="M1115" s="0" t="s">
        <v>857</v>
      </c>
      <c r="N1115" s="0" t="s">
        <v>2577</v>
      </c>
      <c r="O1115" s="0" t="n">
        <v>1</v>
      </c>
      <c r="R1115" s="3"/>
      <c r="S1115" s="2" t="s">
        <v>28</v>
      </c>
    </row>
    <row r="1116" customFormat="false" ht="15" hidden="false" customHeight="false" outlineLevel="0" collapsed="false">
      <c r="A1116" s="0" t="n">
        <v>1115</v>
      </c>
      <c r="D1116" s="0" t="s">
        <v>2578</v>
      </c>
      <c r="E1116" s="0" t="s">
        <v>20</v>
      </c>
      <c r="H1116" s="0" t="s">
        <v>21</v>
      </c>
      <c r="I1116" s="2" t="s">
        <v>22</v>
      </c>
      <c r="J1116" s="2" t="s">
        <v>854</v>
      </c>
      <c r="K1116" s="0" t="s">
        <v>855</v>
      </c>
      <c r="L1116" s="0" t="s">
        <v>420</v>
      </c>
      <c r="M1116" s="0" t="s">
        <v>857</v>
      </c>
      <c r="N1116" s="0" t="s">
        <v>2579</v>
      </c>
      <c r="O1116" s="0" t="n">
        <v>1</v>
      </c>
      <c r="P1116" s="0" t="s">
        <v>422</v>
      </c>
      <c r="R1116" s="3"/>
      <c r="S1116" s="2" t="s">
        <v>28</v>
      </c>
    </row>
    <row r="1117" customFormat="false" ht="15" hidden="false" customHeight="false" outlineLevel="0" collapsed="false">
      <c r="A1117" s="0" t="n">
        <v>1116</v>
      </c>
      <c r="D1117" s="0" t="s">
        <v>2580</v>
      </c>
      <c r="E1117" s="0" t="s">
        <v>173</v>
      </c>
      <c r="H1117" s="0" t="s">
        <v>21</v>
      </c>
      <c r="I1117" s="2" t="s">
        <v>22</v>
      </c>
      <c r="J1117" s="2" t="s">
        <v>854</v>
      </c>
      <c r="K1117" s="0" t="s">
        <v>855</v>
      </c>
      <c r="L1117" s="0" t="s">
        <v>25</v>
      </c>
      <c r="M1117" s="0" t="s">
        <v>857</v>
      </c>
      <c r="N1117" s="0" t="s">
        <v>2581</v>
      </c>
      <c r="O1117" s="0" t="n">
        <v>1</v>
      </c>
      <c r="P1117" s="0" t="s">
        <v>173</v>
      </c>
      <c r="R1117" s="3"/>
      <c r="S1117" s="2" t="s">
        <v>28</v>
      </c>
    </row>
    <row r="1118" customFormat="false" ht="15" hidden="false" customHeight="false" outlineLevel="0" collapsed="false">
      <c r="A1118" s="0" t="n">
        <v>1117</v>
      </c>
      <c r="D1118" s="0" t="s">
        <v>2582</v>
      </c>
      <c r="E1118" s="0" t="s">
        <v>555</v>
      </c>
      <c r="H1118" s="0" t="s">
        <v>21</v>
      </c>
      <c r="I1118" s="2" t="s">
        <v>22</v>
      </c>
      <c r="J1118" s="2" t="s">
        <v>854</v>
      </c>
      <c r="K1118" s="0" t="s">
        <v>855</v>
      </c>
      <c r="L1118" s="0" t="s">
        <v>25</v>
      </c>
      <c r="M1118" s="0" t="s">
        <v>857</v>
      </c>
      <c r="N1118" s="0" t="s">
        <v>2583</v>
      </c>
      <c r="O1118" s="0" t="n">
        <v>1</v>
      </c>
      <c r="P1118" s="0" t="s">
        <v>555</v>
      </c>
      <c r="R1118" s="3"/>
      <c r="S1118" s="2" t="s">
        <v>28</v>
      </c>
    </row>
    <row r="1119" customFormat="false" ht="15" hidden="false" customHeight="false" outlineLevel="0" collapsed="false">
      <c r="A1119" s="0" t="n">
        <v>1118</v>
      </c>
      <c r="D1119" s="0" t="s">
        <v>2584</v>
      </c>
      <c r="E1119" s="0" t="s">
        <v>210</v>
      </c>
      <c r="H1119" s="0" t="s">
        <v>21</v>
      </c>
      <c r="I1119" s="2" t="s">
        <v>22</v>
      </c>
      <c r="J1119" s="2" t="s">
        <v>854</v>
      </c>
      <c r="K1119" s="0" t="s">
        <v>855</v>
      </c>
      <c r="L1119" s="0" t="s">
        <v>25</v>
      </c>
      <c r="M1119" s="0" t="s">
        <v>857</v>
      </c>
      <c r="N1119" s="0" t="s">
        <v>2585</v>
      </c>
      <c r="O1119" s="0" t="n">
        <v>1</v>
      </c>
      <c r="P1119" s="0" t="s">
        <v>210</v>
      </c>
      <c r="R1119" s="3"/>
      <c r="S1119" s="2" t="s">
        <v>28</v>
      </c>
    </row>
    <row r="1120" customFormat="false" ht="15" hidden="false" customHeight="false" outlineLevel="0" collapsed="false">
      <c r="A1120" s="0" t="n">
        <v>1119</v>
      </c>
      <c r="D1120" s="0" t="s">
        <v>2586</v>
      </c>
      <c r="E1120" s="0" t="s">
        <v>20</v>
      </c>
      <c r="H1120" s="0" t="s">
        <v>21</v>
      </c>
      <c r="I1120" s="2" t="s">
        <v>22</v>
      </c>
      <c r="J1120" s="2" t="s">
        <v>854</v>
      </c>
      <c r="K1120" s="0" t="s">
        <v>855</v>
      </c>
      <c r="L1120" s="0" t="s">
        <v>25</v>
      </c>
      <c r="M1120" s="0" t="s">
        <v>857</v>
      </c>
      <c r="N1120" s="0" t="s">
        <v>2587</v>
      </c>
      <c r="O1120" s="0" t="n">
        <v>1</v>
      </c>
      <c r="R1120" s="3"/>
      <c r="S1120" s="2" t="s">
        <v>28</v>
      </c>
    </row>
    <row r="1121" customFormat="false" ht="15" hidden="false" customHeight="false" outlineLevel="0" collapsed="false">
      <c r="A1121" s="0" t="n">
        <v>1120</v>
      </c>
      <c r="D1121" s="0" t="s">
        <v>2588</v>
      </c>
      <c r="E1121" s="0" t="s">
        <v>20</v>
      </c>
      <c r="H1121" s="0" t="s">
        <v>21</v>
      </c>
      <c r="I1121" s="2" t="s">
        <v>22</v>
      </c>
      <c r="J1121" s="2" t="s">
        <v>854</v>
      </c>
      <c r="K1121" s="0" t="s">
        <v>855</v>
      </c>
      <c r="L1121" s="0" t="s">
        <v>25</v>
      </c>
      <c r="M1121" s="0" t="s">
        <v>857</v>
      </c>
      <c r="N1121" s="0" t="s">
        <v>2589</v>
      </c>
      <c r="O1121" s="0" t="n">
        <v>1</v>
      </c>
      <c r="R1121" s="3"/>
      <c r="S1121" s="2" t="s">
        <v>28</v>
      </c>
    </row>
    <row r="1122" customFormat="false" ht="15" hidden="false" customHeight="false" outlineLevel="0" collapsed="false">
      <c r="A1122" s="0" t="n">
        <v>1121</v>
      </c>
      <c r="D1122" s="0" t="s">
        <v>2590</v>
      </c>
      <c r="E1122" s="0" t="s">
        <v>287</v>
      </c>
      <c r="H1122" s="0" t="s">
        <v>21</v>
      </c>
      <c r="I1122" s="2" t="s">
        <v>22</v>
      </c>
      <c r="J1122" s="2" t="s">
        <v>854</v>
      </c>
      <c r="K1122" s="0" t="s">
        <v>855</v>
      </c>
      <c r="L1122" s="0" t="s">
        <v>25</v>
      </c>
      <c r="M1122" s="0" t="s">
        <v>857</v>
      </c>
      <c r="N1122" s="0" t="s">
        <v>2591</v>
      </c>
      <c r="O1122" s="0" t="n">
        <v>1</v>
      </c>
      <c r="P1122" s="0" t="s">
        <v>287</v>
      </c>
      <c r="R1122" s="3"/>
      <c r="S1122" s="2" t="s">
        <v>28</v>
      </c>
    </row>
    <row r="1123" customFormat="false" ht="15" hidden="false" customHeight="false" outlineLevel="0" collapsed="false">
      <c r="A1123" s="0" t="n">
        <v>1122</v>
      </c>
      <c r="D1123" s="0" t="s">
        <v>2592</v>
      </c>
      <c r="E1123" s="0" t="s">
        <v>20</v>
      </c>
      <c r="H1123" s="0" t="s">
        <v>21</v>
      </c>
      <c r="I1123" s="2" t="s">
        <v>22</v>
      </c>
      <c r="J1123" s="2" t="s">
        <v>854</v>
      </c>
      <c r="K1123" s="0" t="s">
        <v>855</v>
      </c>
      <c r="L1123" s="0" t="s">
        <v>25</v>
      </c>
      <c r="M1123" s="0" t="s">
        <v>857</v>
      </c>
      <c r="N1123" s="0" t="s">
        <v>2593</v>
      </c>
      <c r="O1123" s="0" t="n">
        <v>1</v>
      </c>
      <c r="R1123" s="3"/>
      <c r="S1123" s="2" t="s">
        <v>28</v>
      </c>
    </row>
    <row r="1124" customFormat="false" ht="15" hidden="false" customHeight="false" outlineLevel="0" collapsed="false">
      <c r="A1124" s="0" t="n">
        <v>1123</v>
      </c>
      <c r="D1124" s="0" t="s">
        <v>2594</v>
      </c>
      <c r="E1124" s="0" t="s">
        <v>501</v>
      </c>
      <c r="H1124" s="0" t="s">
        <v>21</v>
      </c>
      <c r="I1124" s="2" t="s">
        <v>22</v>
      </c>
      <c r="J1124" s="2" t="s">
        <v>854</v>
      </c>
      <c r="K1124" s="0" t="s">
        <v>855</v>
      </c>
      <c r="L1124" s="0" t="s">
        <v>25</v>
      </c>
      <c r="M1124" s="0" t="s">
        <v>857</v>
      </c>
      <c r="N1124" s="0" t="s">
        <v>2595</v>
      </c>
      <c r="O1124" s="0" t="n">
        <v>1</v>
      </c>
      <c r="P1124" s="0" t="s">
        <v>501</v>
      </c>
      <c r="R1124" s="3"/>
      <c r="S1124" s="2" t="s">
        <v>28</v>
      </c>
    </row>
    <row r="1125" customFormat="false" ht="15" hidden="false" customHeight="false" outlineLevel="0" collapsed="false">
      <c r="A1125" s="0" t="n">
        <v>1124</v>
      </c>
      <c r="D1125" s="0" t="s">
        <v>2596</v>
      </c>
      <c r="E1125" s="0" t="s">
        <v>20</v>
      </c>
      <c r="H1125" s="0" t="s">
        <v>21</v>
      </c>
      <c r="I1125" s="2" t="s">
        <v>22</v>
      </c>
      <c r="J1125" s="2" t="s">
        <v>854</v>
      </c>
      <c r="K1125" s="0" t="s">
        <v>855</v>
      </c>
      <c r="L1125" s="0" t="s">
        <v>25</v>
      </c>
      <c r="M1125" s="0" t="s">
        <v>857</v>
      </c>
      <c r="N1125" s="0" t="s">
        <v>2597</v>
      </c>
      <c r="O1125" s="0" t="n">
        <v>1</v>
      </c>
      <c r="R1125" s="3"/>
      <c r="S1125" s="2" t="s">
        <v>28</v>
      </c>
    </row>
    <row r="1126" customFormat="false" ht="15" hidden="false" customHeight="false" outlineLevel="0" collapsed="false">
      <c r="A1126" s="0" t="n">
        <v>1125</v>
      </c>
      <c r="D1126" s="0" t="s">
        <v>2598</v>
      </c>
      <c r="E1126" s="0" t="s">
        <v>20</v>
      </c>
      <c r="H1126" s="0" t="s">
        <v>21</v>
      </c>
      <c r="I1126" s="2" t="s">
        <v>22</v>
      </c>
      <c r="J1126" s="2" t="s">
        <v>854</v>
      </c>
      <c r="K1126" s="0" t="s">
        <v>855</v>
      </c>
      <c r="L1126" s="0" t="s">
        <v>25</v>
      </c>
      <c r="M1126" s="0" t="s">
        <v>857</v>
      </c>
      <c r="N1126" s="0" t="s">
        <v>2599</v>
      </c>
      <c r="O1126" s="0" t="n">
        <v>1</v>
      </c>
      <c r="R1126" s="3"/>
      <c r="S1126" s="2" t="s">
        <v>28</v>
      </c>
    </row>
    <row r="1127" customFormat="false" ht="15" hidden="false" customHeight="false" outlineLevel="0" collapsed="false">
      <c r="A1127" s="0" t="n">
        <v>1126</v>
      </c>
      <c r="D1127" s="0" t="s">
        <v>2600</v>
      </c>
      <c r="E1127" s="0" t="s">
        <v>253</v>
      </c>
      <c r="H1127" s="0" t="s">
        <v>21</v>
      </c>
      <c r="I1127" s="2" t="s">
        <v>22</v>
      </c>
      <c r="J1127" s="2" t="s">
        <v>854</v>
      </c>
      <c r="K1127" s="0" t="s">
        <v>855</v>
      </c>
      <c r="L1127" s="0" t="s">
        <v>25</v>
      </c>
      <c r="M1127" s="0" t="s">
        <v>857</v>
      </c>
      <c r="N1127" s="0" t="s">
        <v>2601</v>
      </c>
      <c r="O1127" s="0" t="n">
        <v>1</v>
      </c>
      <c r="P1127" s="0" t="s">
        <v>253</v>
      </c>
      <c r="R1127" s="3"/>
      <c r="S1127" s="2" t="s">
        <v>28</v>
      </c>
    </row>
    <row r="1128" customFormat="false" ht="15" hidden="false" customHeight="false" outlineLevel="0" collapsed="false">
      <c r="A1128" s="0" t="n">
        <v>1127</v>
      </c>
      <c r="D1128" s="0" t="s">
        <v>2602</v>
      </c>
      <c r="E1128" s="0" t="s">
        <v>20</v>
      </c>
      <c r="H1128" s="0" t="s">
        <v>21</v>
      </c>
      <c r="I1128" s="2" t="s">
        <v>22</v>
      </c>
      <c r="J1128" s="2" t="s">
        <v>854</v>
      </c>
      <c r="K1128" s="0" t="s">
        <v>855</v>
      </c>
      <c r="L1128" s="0" t="s">
        <v>25</v>
      </c>
      <c r="M1128" s="0" t="s">
        <v>857</v>
      </c>
      <c r="N1128" s="0" t="s">
        <v>2603</v>
      </c>
      <c r="O1128" s="0" t="n">
        <v>1</v>
      </c>
      <c r="R1128" s="3"/>
      <c r="S1128" s="2" t="s">
        <v>28</v>
      </c>
    </row>
    <row r="1129" customFormat="false" ht="15" hidden="false" customHeight="false" outlineLevel="0" collapsed="false">
      <c r="A1129" s="0" t="n">
        <v>1128</v>
      </c>
      <c r="D1129" s="0" t="s">
        <v>2604</v>
      </c>
      <c r="E1129" s="0" t="s">
        <v>20</v>
      </c>
      <c r="H1129" s="0" t="s">
        <v>21</v>
      </c>
      <c r="I1129" s="2" t="s">
        <v>22</v>
      </c>
      <c r="J1129" s="2" t="s">
        <v>854</v>
      </c>
      <c r="K1129" s="0" t="s">
        <v>855</v>
      </c>
      <c r="L1129" s="0" t="s">
        <v>25</v>
      </c>
      <c r="M1129" s="0" t="s">
        <v>857</v>
      </c>
      <c r="N1129" s="0" t="s">
        <v>2605</v>
      </c>
      <c r="O1129" s="0" t="n">
        <v>1</v>
      </c>
      <c r="P1129" s="0" t="s">
        <v>43</v>
      </c>
      <c r="R1129" s="3"/>
      <c r="S1129" s="2" t="s">
        <v>28</v>
      </c>
    </row>
    <row r="1130" customFormat="false" ht="15" hidden="false" customHeight="false" outlineLevel="0" collapsed="false">
      <c r="A1130" s="0" t="n">
        <v>1129</v>
      </c>
      <c r="D1130" s="0" t="s">
        <v>2606</v>
      </c>
      <c r="E1130" s="0" t="s">
        <v>20</v>
      </c>
      <c r="H1130" s="0" t="s">
        <v>21</v>
      </c>
      <c r="I1130" s="2" t="s">
        <v>22</v>
      </c>
      <c r="J1130" s="2" t="s">
        <v>854</v>
      </c>
      <c r="K1130" s="0" t="s">
        <v>855</v>
      </c>
      <c r="L1130" s="0" t="s">
        <v>25</v>
      </c>
      <c r="M1130" s="0" t="s">
        <v>857</v>
      </c>
      <c r="N1130" s="0" t="s">
        <v>2607</v>
      </c>
      <c r="O1130" s="0" t="n">
        <v>1</v>
      </c>
      <c r="R1130" s="3"/>
      <c r="S1130" s="2" t="s">
        <v>28</v>
      </c>
    </row>
    <row r="1131" customFormat="false" ht="15" hidden="false" customHeight="false" outlineLevel="0" collapsed="false">
      <c r="A1131" s="0" t="n">
        <v>1130</v>
      </c>
      <c r="D1131" s="0" t="s">
        <v>2608</v>
      </c>
      <c r="E1131" s="0" t="s">
        <v>20</v>
      </c>
      <c r="H1131" s="0" t="s">
        <v>21</v>
      </c>
      <c r="I1131" s="2" t="s">
        <v>22</v>
      </c>
      <c r="J1131" s="2" t="s">
        <v>854</v>
      </c>
      <c r="K1131" s="0" t="s">
        <v>855</v>
      </c>
      <c r="L1131" s="0" t="s">
        <v>25</v>
      </c>
      <c r="M1131" s="0" t="s">
        <v>857</v>
      </c>
      <c r="N1131" s="0" t="s">
        <v>2609</v>
      </c>
      <c r="O1131" s="0" t="n">
        <v>1</v>
      </c>
      <c r="P1131" s="0" t="s">
        <v>43</v>
      </c>
      <c r="R1131" s="3"/>
      <c r="S1131" s="2" t="s">
        <v>28</v>
      </c>
    </row>
    <row r="1132" customFormat="false" ht="15" hidden="false" customHeight="false" outlineLevel="0" collapsed="false">
      <c r="A1132" s="0" t="n">
        <v>1131</v>
      </c>
      <c r="D1132" s="0" t="s">
        <v>2610</v>
      </c>
      <c r="E1132" s="0" t="s">
        <v>210</v>
      </c>
      <c r="H1132" s="0" t="s">
        <v>21</v>
      </c>
      <c r="I1132" s="2" t="s">
        <v>22</v>
      </c>
      <c r="J1132" s="2" t="s">
        <v>854</v>
      </c>
      <c r="K1132" s="0" t="s">
        <v>855</v>
      </c>
      <c r="L1132" s="0" t="s">
        <v>25</v>
      </c>
      <c r="M1132" s="0" t="s">
        <v>857</v>
      </c>
      <c r="N1132" s="0" t="s">
        <v>2611</v>
      </c>
      <c r="O1132" s="0" t="n">
        <v>1</v>
      </c>
      <c r="P1132" s="0" t="s">
        <v>210</v>
      </c>
      <c r="R1132" s="3"/>
      <c r="S1132" s="2" t="s">
        <v>28</v>
      </c>
    </row>
    <row r="1133" customFormat="false" ht="15" hidden="false" customHeight="false" outlineLevel="0" collapsed="false">
      <c r="A1133" s="0" t="n">
        <v>1132</v>
      </c>
      <c r="D1133" s="0" t="s">
        <v>2612</v>
      </c>
      <c r="E1133" s="0" t="s">
        <v>2613</v>
      </c>
      <c r="H1133" s="0" t="s">
        <v>21</v>
      </c>
      <c r="I1133" s="2" t="s">
        <v>22</v>
      </c>
      <c r="J1133" s="2" t="s">
        <v>854</v>
      </c>
      <c r="K1133" s="0" t="s">
        <v>855</v>
      </c>
      <c r="L1133" s="0" t="s">
        <v>25</v>
      </c>
      <c r="M1133" s="0" t="s">
        <v>857</v>
      </c>
      <c r="N1133" s="0" t="s">
        <v>2614</v>
      </c>
      <c r="O1133" s="0" t="n">
        <v>1</v>
      </c>
      <c r="P1133" s="0" t="s">
        <v>2613</v>
      </c>
      <c r="R1133" s="3"/>
      <c r="S1133" s="2" t="s">
        <v>28</v>
      </c>
    </row>
    <row r="1134" customFormat="false" ht="15" hidden="false" customHeight="false" outlineLevel="0" collapsed="false">
      <c r="A1134" s="0" t="n">
        <v>1133</v>
      </c>
      <c r="D1134" s="0" t="s">
        <v>2615</v>
      </c>
      <c r="E1134" s="0" t="s">
        <v>20</v>
      </c>
      <c r="H1134" s="0" t="s">
        <v>21</v>
      </c>
      <c r="I1134" s="2" t="s">
        <v>22</v>
      </c>
      <c r="J1134" s="2" t="s">
        <v>854</v>
      </c>
      <c r="K1134" s="0" t="s">
        <v>855</v>
      </c>
      <c r="L1134" s="0" t="s">
        <v>25</v>
      </c>
      <c r="M1134" s="0" t="s">
        <v>857</v>
      </c>
      <c r="N1134" s="0" t="s">
        <v>2616</v>
      </c>
      <c r="O1134" s="0" t="n">
        <v>1</v>
      </c>
      <c r="R1134" s="3"/>
      <c r="S1134" s="2" t="s">
        <v>28</v>
      </c>
    </row>
    <row r="1135" customFormat="false" ht="15" hidden="false" customHeight="false" outlineLevel="0" collapsed="false">
      <c r="A1135" s="0" t="n">
        <v>1134</v>
      </c>
      <c r="D1135" s="0" t="s">
        <v>2617</v>
      </c>
      <c r="E1135" s="0" t="s">
        <v>20</v>
      </c>
      <c r="H1135" s="0" t="s">
        <v>21</v>
      </c>
      <c r="I1135" s="2" t="s">
        <v>22</v>
      </c>
      <c r="J1135" s="2" t="s">
        <v>854</v>
      </c>
      <c r="K1135" s="0" t="s">
        <v>855</v>
      </c>
      <c r="L1135" s="0" t="s">
        <v>25</v>
      </c>
      <c r="M1135" s="0" t="s">
        <v>857</v>
      </c>
      <c r="N1135" s="0" t="s">
        <v>2618</v>
      </c>
      <c r="O1135" s="0" t="n">
        <v>1</v>
      </c>
      <c r="R1135" s="3"/>
      <c r="S1135" s="2" t="s">
        <v>28</v>
      </c>
    </row>
    <row r="1136" customFormat="false" ht="15" hidden="false" customHeight="false" outlineLevel="0" collapsed="false">
      <c r="A1136" s="0" t="n">
        <v>1135</v>
      </c>
      <c r="D1136" s="0" t="s">
        <v>2619</v>
      </c>
      <c r="E1136" s="0" t="s">
        <v>20</v>
      </c>
      <c r="H1136" s="0" t="s">
        <v>21</v>
      </c>
      <c r="I1136" s="2" t="s">
        <v>22</v>
      </c>
      <c r="J1136" s="2" t="s">
        <v>854</v>
      </c>
      <c r="K1136" s="0" t="s">
        <v>855</v>
      </c>
      <c r="L1136" s="0" t="s">
        <v>25</v>
      </c>
      <c r="M1136" s="0" t="s">
        <v>857</v>
      </c>
      <c r="N1136" s="0" t="s">
        <v>2620</v>
      </c>
      <c r="O1136" s="0" t="n">
        <v>1</v>
      </c>
      <c r="R1136" s="3"/>
      <c r="S1136" s="2" t="s">
        <v>28</v>
      </c>
    </row>
    <row r="1137" customFormat="false" ht="15" hidden="false" customHeight="false" outlineLevel="0" collapsed="false">
      <c r="A1137" s="0" t="n">
        <v>1136</v>
      </c>
      <c r="D1137" s="0" t="s">
        <v>2621</v>
      </c>
      <c r="E1137" s="0" t="s">
        <v>20</v>
      </c>
      <c r="H1137" s="0" t="s">
        <v>21</v>
      </c>
      <c r="I1137" s="2" t="s">
        <v>22</v>
      </c>
      <c r="J1137" s="2" t="s">
        <v>854</v>
      </c>
      <c r="K1137" s="0" t="s">
        <v>855</v>
      </c>
      <c r="L1137" s="0" t="s">
        <v>25</v>
      </c>
      <c r="M1137" s="0" t="s">
        <v>857</v>
      </c>
      <c r="N1137" s="0" t="s">
        <v>2622</v>
      </c>
      <c r="O1137" s="0" t="n">
        <v>1</v>
      </c>
      <c r="R1137" s="3"/>
      <c r="S1137" s="2" t="s">
        <v>28</v>
      </c>
    </row>
    <row r="1138" customFormat="false" ht="15" hidden="false" customHeight="false" outlineLevel="0" collapsed="false">
      <c r="A1138" s="0" t="n">
        <v>1137</v>
      </c>
      <c r="D1138" s="0" t="s">
        <v>2623</v>
      </c>
      <c r="E1138" s="0" t="s">
        <v>20</v>
      </c>
      <c r="H1138" s="0" t="s">
        <v>21</v>
      </c>
      <c r="I1138" s="2" t="s">
        <v>22</v>
      </c>
      <c r="J1138" s="2" t="s">
        <v>854</v>
      </c>
      <c r="K1138" s="0" t="s">
        <v>855</v>
      </c>
      <c r="L1138" s="0" t="s">
        <v>25</v>
      </c>
      <c r="M1138" s="0" t="s">
        <v>857</v>
      </c>
      <c r="N1138" s="0" t="s">
        <v>2624</v>
      </c>
      <c r="O1138" s="0" t="n">
        <v>1</v>
      </c>
      <c r="R1138" s="3"/>
      <c r="S1138" s="2" t="s">
        <v>28</v>
      </c>
    </row>
    <row r="1139" customFormat="false" ht="15" hidden="false" customHeight="false" outlineLevel="0" collapsed="false">
      <c r="A1139" s="0" t="n">
        <v>1138</v>
      </c>
      <c r="D1139" s="0" t="s">
        <v>2625</v>
      </c>
      <c r="E1139" s="0" t="s">
        <v>20</v>
      </c>
      <c r="H1139" s="0" t="s">
        <v>21</v>
      </c>
      <c r="I1139" s="2" t="s">
        <v>22</v>
      </c>
      <c r="J1139" s="2" t="s">
        <v>854</v>
      </c>
      <c r="K1139" s="0" t="s">
        <v>855</v>
      </c>
      <c r="L1139" s="0" t="s">
        <v>25</v>
      </c>
      <c r="M1139" s="0" t="s">
        <v>857</v>
      </c>
      <c r="N1139" s="0" t="s">
        <v>2626</v>
      </c>
      <c r="O1139" s="0" t="n">
        <v>1</v>
      </c>
      <c r="R1139" s="3"/>
      <c r="S1139" s="2" t="s">
        <v>28</v>
      </c>
    </row>
    <row r="1140" customFormat="false" ht="15" hidden="false" customHeight="false" outlineLevel="0" collapsed="false">
      <c r="A1140" s="0" t="n">
        <v>1139</v>
      </c>
      <c r="D1140" s="0" t="s">
        <v>2627</v>
      </c>
      <c r="E1140" s="0" t="s">
        <v>829</v>
      </c>
      <c r="H1140" s="0" t="s">
        <v>21</v>
      </c>
      <c r="I1140" s="2" t="s">
        <v>22</v>
      </c>
      <c r="J1140" s="2" t="s">
        <v>854</v>
      </c>
      <c r="K1140" s="0" t="s">
        <v>855</v>
      </c>
      <c r="L1140" s="0" t="s">
        <v>25</v>
      </c>
      <c r="M1140" s="0" t="s">
        <v>857</v>
      </c>
      <c r="N1140" s="0" t="s">
        <v>2628</v>
      </c>
      <c r="O1140" s="0" t="n">
        <v>1</v>
      </c>
      <c r="P1140" s="0" t="s">
        <v>829</v>
      </c>
      <c r="R1140" s="3"/>
      <c r="S1140" s="2" t="s">
        <v>28</v>
      </c>
    </row>
    <row r="1141" customFormat="false" ht="15" hidden="false" customHeight="false" outlineLevel="0" collapsed="false">
      <c r="A1141" s="0" t="n">
        <v>1140</v>
      </c>
      <c r="D1141" s="0" t="s">
        <v>2629</v>
      </c>
      <c r="E1141" s="0" t="s">
        <v>173</v>
      </c>
      <c r="H1141" s="0" t="s">
        <v>21</v>
      </c>
      <c r="I1141" s="2" t="s">
        <v>22</v>
      </c>
      <c r="J1141" s="2" t="s">
        <v>854</v>
      </c>
      <c r="K1141" s="0" t="s">
        <v>855</v>
      </c>
      <c r="L1141" s="0" t="s">
        <v>25</v>
      </c>
      <c r="M1141" s="0" t="s">
        <v>857</v>
      </c>
      <c r="N1141" s="0" t="s">
        <v>2630</v>
      </c>
      <c r="O1141" s="0" t="n">
        <v>1</v>
      </c>
      <c r="P1141" s="0" t="s">
        <v>173</v>
      </c>
      <c r="R1141" s="3"/>
      <c r="S1141" s="2" t="s">
        <v>28</v>
      </c>
    </row>
    <row r="1142" customFormat="false" ht="15" hidden="false" customHeight="false" outlineLevel="0" collapsed="false">
      <c r="A1142" s="0" t="n">
        <v>1141</v>
      </c>
      <c r="D1142" s="0" t="s">
        <v>2631</v>
      </c>
      <c r="E1142" s="0" t="s">
        <v>20</v>
      </c>
      <c r="H1142" s="0" t="s">
        <v>21</v>
      </c>
      <c r="I1142" s="2" t="s">
        <v>22</v>
      </c>
      <c r="J1142" s="2" t="s">
        <v>854</v>
      </c>
      <c r="K1142" s="0" t="s">
        <v>855</v>
      </c>
      <c r="L1142" s="0" t="s">
        <v>25</v>
      </c>
      <c r="M1142" s="0" t="s">
        <v>857</v>
      </c>
      <c r="N1142" s="0" t="s">
        <v>2632</v>
      </c>
      <c r="O1142" s="0" t="n">
        <v>1</v>
      </c>
      <c r="R1142" s="3"/>
      <c r="S1142" s="2" t="s">
        <v>28</v>
      </c>
    </row>
    <row r="1143" customFormat="false" ht="15" hidden="false" customHeight="false" outlineLevel="0" collapsed="false">
      <c r="A1143" s="0" t="n">
        <v>1142</v>
      </c>
      <c r="D1143" s="0" t="s">
        <v>2633</v>
      </c>
      <c r="E1143" s="0" t="s">
        <v>253</v>
      </c>
      <c r="H1143" s="0" t="s">
        <v>21</v>
      </c>
      <c r="I1143" s="2" t="s">
        <v>22</v>
      </c>
      <c r="J1143" s="2" t="s">
        <v>854</v>
      </c>
      <c r="K1143" s="0" t="s">
        <v>855</v>
      </c>
      <c r="L1143" s="0" t="s">
        <v>2634</v>
      </c>
      <c r="M1143" s="0" t="s">
        <v>857</v>
      </c>
      <c r="N1143" s="0" t="s">
        <v>2635</v>
      </c>
      <c r="O1143" s="0" t="n">
        <v>1</v>
      </c>
      <c r="P1143" s="0" t="s">
        <v>253</v>
      </c>
      <c r="Q1143" s="0" t="s">
        <v>2636</v>
      </c>
      <c r="R1143" s="3"/>
      <c r="S1143" s="2" t="s">
        <v>2637</v>
      </c>
    </row>
    <row r="1144" customFormat="false" ht="15" hidden="false" customHeight="false" outlineLevel="0" collapsed="false">
      <c r="A1144" s="0" t="n">
        <v>1143</v>
      </c>
      <c r="D1144" s="0" t="s">
        <v>2638</v>
      </c>
      <c r="E1144" s="0" t="s">
        <v>253</v>
      </c>
      <c r="H1144" s="0" t="s">
        <v>21</v>
      </c>
      <c r="I1144" s="2" t="s">
        <v>22</v>
      </c>
      <c r="J1144" s="2" t="s">
        <v>854</v>
      </c>
      <c r="K1144" s="0" t="s">
        <v>855</v>
      </c>
      <c r="L1144" s="0" t="s">
        <v>25</v>
      </c>
      <c r="M1144" s="0" t="s">
        <v>857</v>
      </c>
      <c r="N1144" s="0" t="s">
        <v>2639</v>
      </c>
      <c r="O1144" s="0" t="n">
        <v>1</v>
      </c>
      <c r="P1144" s="0" t="s">
        <v>253</v>
      </c>
      <c r="R1144" s="3"/>
      <c r="S1144" s="2" t="s">
        <v>28</v>
      </c>
    </row>
    <row r="1145" customFormat="false" ht="15" hidden="false" customHeight="false" outlineLevel="0" collapsed="false">
      <c r="A1145" s="0" t="n">
        <v>1144</v>
      </c>
      <c r="D1145" s="0" t="s">
        <v>2640</v>
      </c>
      <c r="E1145" s="0" t="s">
        <v>253</v>
      </c>
      <c r="H1145" s="0" t="s">
        <v>21</v>
      </c>
      <c r="I1145" s="2" t="s">
        <v>22</v>
      </c>
      <c r="J1145" s="2" t="s">
        <v>854</v>
      </c>
      <c r="K1145" s="0" t="s">
        <v>855</v>
      </c>
      <c r="L1145" s="0" t="s">
        <v>25</v>
      </c>
      <c r="M1145" s="0" t="s">
        <v>857</v>
      </c>
      <c r="N1145" s="0" t="s">
        <v>2641</v>
      </c>
      <c r="O1145" s="0" t="n">
        <v>1</v>
      </c>
      <c r="P1145" s="0" t="s">
        <v>253</v>
      </c>
      <c r="R1145" s="3"/>
      <c r="S1145" s="2" t="s">
        <v>28</v>
      </c>
    </row>
    <row r="1146" customFormat="false" ht="15" hidden="false" customHeight="false" outlineLevel="0" collapsed="false">
      <c r="A1146" s="0" t="n">
        <v>1145</v>
      </c>
      <c r="D1146" s="0" t="s">
        <v>2642</v>
      </c>
      <c r="E1146" s="0" t="s">
        <v>253</v>
      </c>
      <c r="H1146" s="0" t="s">
        <v>21</v>
      </c>
      <c r="I1146" s="2" t="s">
        <v>22</v>
      </c>
      <c r="J1146" s="2" t="s">
        <v>854</v>
      </c>
      <c r="K1146" s="0" t="s">
        <v>855</v>
      </c>
      <c r="L1146" s="0" t="s">
        <v>25</v>
      </c>
      <c r="M1146" s="0" t="s">
        <v>857</v>
      </c>
      <c r="N1146" s="0" t="s">
        <v>2643</v>
      </c>
      <c r="O1146" s="0" t="n">
        <v>1</v>
      </c>
      <c r="P1146" s="0" t="s">
        <v>253</v>
      </c>
      <c r="R1146" s="3"/>
      <c r="S1146" s="2" t="s">
        <v>28</v>
      </c>
    </row>
    <row r="1147" customFormat="false" ht="15" hidden="false" customHeight="false" outlineLevel="0" collapsed="false">
      <c r="A1147" s="0" t="n">
        <v>1146</v>
      </c>
      <c r="D1147" s="0" t="s">
        <v>2644</v>
      </c>
      <c r="E1147" s="0" t="s">
        <v>253</v>
      </c>
      <c r="H1147" s="0" t="s">
        <v>21</v>
      </c>
      <c r="I1147" s="2" t="s">
        <v>22</v>
      </c>
      <c r="J1147" s="2" t="s">
        <v>854</v>
      </c>
      <c r="K1147" s="0" t="s">
        <v>855</v>
      </c>
      <c r="L1147" s="0" t="s">
        <v>25</v>
      </c>
      <c r="M1147" s="0" t="s">
        <v>857</v>
      </c>
      <c r="N1147" s="0" t="s">
        <v>2645</v>
      </c>
      <c r="O1147" s="0" t="n">
        <v>1</v>
      </c>
      <c r="P1147" s="0" t="s">
        <v>253</v>
      </c>
      <c r="R1147" s="3"/>
      <c r="S1147" s="2" t="s">
        <v>28</v>
      </c>
    </row>
    <row r="1148" customFormat="false" ht="15" hidden="false" customHeight="false" outlineLevel="0" collapsed="false">
      <c r="A1148" s="0" t="n">
        <v>1147</v>
      </c>
      <c r="D1148" s="0" t="s">
        <v>2646</v>
      </c>
      <c r="E1148" s="0" t="s">
        <v>253</v>
      </c>
      <c r="H1148" s="0" t="s">
        <v>21</v>
      </c>
      <c r="I1148" s="2" t="s">
        <v>22</v>
      </c>
      <c r="J1148" s="2" t="s">
        <v>854</v>
      </c>
      <c r="K1148" s="0" t="s">
        <v>855</v>
      </c>
      <c r="L1148" s="0" t="s">
        <v>2647</v>
      </c>
      <c r="M1148" s="0" t="s">
        <v>857</v>
      </c>
      <c r="N1148" s="0" t="s">
        <v>2648</v>
      </c>
      <c r="O1148" s="0" t="n">
        <v>1</v>
      </c>
      <c r="P1148" s="0" t="s">
        <v>253</v>
      </c>
      <c r="Q1148" s="0" t="s">
        <v>2649</v>
      </c>
      <c r="R1148" s="3"/>
      <c r="S1148" s="2" t="s">
        <v>2650</v>
      </c>
    </row>
    <row r="1149" customFormat="false" ht="15" hidden="false" customHeight="false" outlineLevel="0" collapsed="false">
      <c r="A1149" s="0" t="n">
        <v>1148</v>
      </c>
      <c r="D1149" s="0" t="s">
        <v>2651</v>
      </c>
      <c r="E1149" s="0" t="s">
        <v>253</v>
      </c>
      <c r="H1149" s="0" t="s">
        <v>21</v>
      </c>
      <c r="I1149" s="2" t="s">
        <v>22</v>
      </c>
      <c r="J1149" s="2" t="s">
        <v>854</v>
      </c>
      <c r="K1149" s="0" t="s">
        <v>855</v>
      </c>
      <c r="L1149" s="0" t="s">
        <v>25</v>
      </c>
      <c r="M1149" s="0" t="s">
        <v>857</v>
      </c>
      <c r="N1149" s="0" t="s">
        <v>2652</v>
      </c>
      <c r="O1149" s="0" t="n">
        <v>1</v>
      </c>
      <c r="P1149" s="0" t="s">
        <v>253</v>
      </c>
      <c r="R1149" s="3"/>
      <c r="S1149" s="2" t="s">
        <v>28</v>
      </c>
    </row>
    <row r="1150" customFormat="false" ht="15" hidden="false" customHeight="false" outlineLevel="0" collapsed="false">
      <c r="A1150" s="0" t="n">
        <v>1149</v>
      </c>
      <c r="D1150" s="0" t="s">
        <v>2653</v>
      </c>
      <c r="E1150" s="0" t="s">
        <v>253</v>
      </c>
      <c r="H1150" s="0" t="s">
        <v>21</v>
      </c>
      <c r="I1150" s="2" t="s">
        <v>22</v>
      </c>
      <c r="J1150" s="2" t="s">
        <v>854</v>
      </c>
      <c r="K1150" s="0" t="s">
        <v>855</v>
      </c>
      <c r="L1150" s="0" t="s">
        <v>25</v>
      </c>
      <c r="M1150" s="0" t="s">
        <v>857</v>
      </c>
      <c r="N1150" s="0" t="s">
        <v>2654</v>
      </c>
      <c r="O1150" s="0" t="n">
        <v>1</v>
      </c>
      <c r="P1150" s="0" t="s">
        <v>253</v>
      </c>
      <c r="R1150" s="3"/>
      <c r="S1150" s="2" t="s">
        <v>28</v>
      </c>
    </row>
    <row r="1151" customFormat="false" ht="15" hidden="false" customHeight="false" outlineLevel="0" collapsed="false">
      <c r="A1151" s="0" t="n">
        <v>1150</v>
      </c>
      <c r="D1151" s="0" t="s">
        <v>2655</v>
      </c>
      <c r="E1151" s="0" t="s">
        <v>253</v>
      </c>
      <c r="H1151" s="0" t="s">
        <v>21</v>
      </c>
      <c r="I1151" s="2" t="s">
        <v>22</v>
      </c>
      <c r="J1151" s="2" t="s">
        <v>854</v>
      </c>
      <c r="K1151" s="0" t="s">
        <v>855</v>
      </c>
      <c r="L1151" s="0" t="s">
        <v>25</v>
      </c>
      <c r="M1151" s="0" t="s">
        <v>857</v>
      </c>
      <c r="N1151" s="0" t="s">
        <v>2656</v>
      </c>
      <c r="O1151" s="0" t="n">
        <v>1</v>
      </c>
      <c r="P1151" s="0" t="s">
        <v>253</v>
      </c>
      <c r="R1151" s="3"/>
      <c r="S1151" s="2" t="s">
        <v>28</v>
      </c>
    </row>
    <row r="1152" customFormat="false" ht="15" hidden="false" customHeight="false" outlineLevel="0" collapsed="false">
      <c r="A1152" s="0" t="n">
        <v>1151</v>
      </c>
      <c r="D1152" s="0" t="s">
        <v>2657</v>
      </c>
      <c r="E1152" s="0" t="s">
        <v>253</v>
      </c>
      <c r="H1152" s="0" t="s">
        <v>21</v>
      </c>
      <c r="I1152" s="2" t="s">
        <v>22</v>
      </c>
      <c r="J1152" s="2" t="s">
        <v>854</v>
      </c>
      <c r="K1152" s="0" t="s">
        <v>855</v>
      </c>
      <c r="L1152" s="0" t="s">
        <v>25</v>
      </c>
      <c r="M1152" s="0" t="s">
        <v>857</v>
      </c>
      <c r="N1152" s="0" t="s">
        <v>2658</v>
      </c>
      <c r="O1152" s="0" t="n">
        <v>1</v>
      </c>
      <c r="P1152" s="0" t="s">
        <v>253</v>
      </c>
      <c r="R1152" s="3"/>
      <c r="S1152" s="2" t="s">
        <v>28</v>
      </c>
    </row>
    <row r="1153" customFormat="false" ht="15" hidden="false" customHeight="false" outlineLevel="0" collapsed="false">
      <c r="A1153" s="0" t="n">
        <v>1152</v>
      </c>
      <c r="D1153" s="0" t="s">
        <v>2659</v>
      </c>
      <c r="E1153" s="0" t="s">
        <v>253</v>
      </c>
      <c r="H1153" s="0" t="s">
        <v>21</v>
      </c>
      <c r="I1153" s="2" t="s">
        <v>22</v>
      </c>
      <c r="J1153" s="2" t="s">
        <v>854</v>
      </c>
      <c r="K1153" s="0" t="s">
        <v>855</v>
      </c>
      <c r="L1153" s="0" t="s">
        <v>25</v>
      </c>
      <c r="M1153" s="0" t="s">
        <v>857</v>
      </c>
      <c r="N1153" s="0" t="s">
        <v>2660</v>
      </c>
      <c r="O1153" s="0" t="n">
        <v>1</v>
      </c>
      <c r="P1153" s="0" t="s">
        <v>253</v>
      </c>
      <c r="R1153" s="3"/>
      <c r="S1153" s="2" t="s">
        <v>28</v>
      </c>
    </row>
    <row r="1154" customFormat="false" ht="15" hidden="false" customHeight="false" outlineLevel="0" collapsed="false">
      <c r="A1154" s="0" t="n">
        <v>1153</v>
      </c>
      <c r="D1154" s="0" t="s">
        <v>2661</v>
      </c>
      <c r="E1154" s="0" t="s">
        <v>253</v>
      </c>
      <c r="H1154" s="0" t="s">
        <v>21</v>
      </c>
      <c r="I1154" s="2" t="s">
        <v>22</v>
      </c>
      <c r="J1154" s="2" t="s">
        <v>854</v>
      </c>
      <c r="K1154" s="0" t="s">
        <v>855</v>
      </c>
      <c r="L1154" s="0" t="s">
        <v>2662</v>
      </c>
      <c r="M1154" s="0" t="s">
        <v>857</v>
      </c>
      <c r="N1154" s="0" t="s">
        <v>2663</v>
      </c>
      <c r="O1154" s="0" t="n">
        <v>1</v>
      </c>
      <c r="P1154" s="0" t="s">
        <v>253</v>
      </c>
      <c r="Q1154" s="0" t="s">
        <v>2664</v>
      </c>
      <c r="R1154" s="3"/>
      <c r="S1154" s="2" t="s">
        <v>2665</v>
      </c>
    </row>
    <row r="1155" customFormat="false" ht="15" hidden="false" customHeight="false" outlineLevel="0" collapsed="false">
      <c r="A1155" s="0" t="n">
        <v>1154</v>
      </c>
      <c r="D1155" s="0" t="s">
        <v>2666</v>
      </c>
      <c r="E1155" s="0" t="s">
        <v>253</v>
      </c>
      <c r="H1155" s="0" t="s">
        <v>21</v>
      </c>
      <c r="I1155" s="2" t="s">
        <v>22</v>
      </c>
      <c r="J1155" s="2" t="s">
        <v>854</v>
      </c>
      <c r="K1155" s="0" t="s">
        <v>855</v>
      </c>
      <c r="L1155" s="0" t="s">
        <v>25</v>
      </c>
      <c r="M1155" s="0" t="s">
        <v>857</v>
      </c>
      <c r="N1155" s="0" t="s">
        <v>2667</v>
      </c>
      <c r="O1155" s="0" t="n">
        <v>1</v>
      </c>
      <c r="P1155" s="0" t="s">
        <v>253</v>
      </c>
      <c r="R1155" s="3"/>
      <c r="S1155" s="2" t="s">
        <v>28</v>
      </c>
    </row>
    <row r="1156" customFormat="false" ht="15" hidden="false" customHeight="false" outlineLevel="0" collapsed="false">
      <c r="A1156" s="0" t="n">
        <v>1155</v>
      </c>
      <c r="D1156" s="0" t="s">
        <v>2668</v>
      </c>
      <c r="E1156" s="0" t="s">
        <v>253</v>
      </c>
      <c r="H1156" s="0" t="s">
        <v>21</v>
      </c>
      <c r="I1156" s="2" t="s">
        <v>22</v>
      </c>
      <c r="J1156" s="2" t="s">
        <v>854</v>
      </c>
      <c r="K1156" s="0" t="s">
        <v>855</v>
      </c>
      <c r="L1156" s="0" t="s">
        <v>25</v>
      </c>
      <c r="M1156" s="0" t="s">
        <v>857</v>
      </c>
      <c r="N1156" s="0" t="s">
        <v>2669</v>
      </c>
      <c r="O1156" s="0" t="n">
        <v>1</v>
      </c>
      <c r="P1156" s="0" t="s">
        <v>253</v>
      </c>
      <c r="R1156" s="3"/>
      <c r="S1156" s="2" t="s">
        <v>28</v>
      </c>
    </row>
    <row r="1157" customFormat="false" ht="15" hidden="false" customHeight="false" outlineLevel="0" collapsed="false">
      <c r="A1157" s="0" t="n">
        <v>1156</v>
      </c>
      <c r="D1157" s="0" t="s">
        <v>2670</v>
      </c>
      <c r="E1157" s="0" t="s">
        <v>253</v>
      </c>
      <c r="H1157" s="0" t="s">
        <v>21</v>
      </c>
      <c r="I1157" s="2" t="s">
        <v>22</v>
      </c>
      <c r="J1157" s="2" t="s">
        <v>854</v>
      </c>
      <c r="K1157" s="0" t="s">
        <v>855</v>
      </c>
      <c r="L1157" s="0" t="s">
        <v>25</v>
      </c>
      <c r="M1157" s="0" t="s">
        <v>857</v>
      </c>
      <c r="N1157" s="0" t="s">
        <v>2671</v>
      </c>
      <c r="O1157" s="0" t="n">
        <v>1</v>
      </c>
      <c r="P1157" s="0" t="s">
        <v>253</v>
      </c>
      <c r="R1157" s="3"/>
      <c r="S1157" s="2" t="s">
        <v>28</v>
      </c>
    </row>
    <row r="1158" customFormat="false" ht="15" hidden="false" customHeight="false" outlineLevel="0" collapsed="false">
      <c r="A1158" s="0" t="n">
        <v>1157</v>
      </c>
      <c r="D1158" s="0" t="s">
        <v>2672</v>
      </c>
      <c r="E1158" s="0" t="s">
        <v>253</v>
      </c>
      <c r="H1158" s="0" t="s">
        <v>21</v>
      </c>
      <c r="I1158" s="2" t="s">
        <v>22</v>
      </c>
      <c r="J1158" s="2" t="s">
        <v>854</v>
      </c>
      <c r="K1158" s="0" t="s">
        <v>855</v>
      </c>
      <c r="L1158" s="0" t="s">
        <v>25</v>
      </c>
      <c r="M1158" s="0" t="s">
        <v>857</v>
      </c>
      <c r="N1158" s="0" t="s">
        <v>2673</v>
      </c>
      <c r="O1158" s="0" t="n">
        <v>1</v>
      </c>
      <c r="P1158" s="0" t="s">
        <v>253</v>
      </c>
      <c r="R1158" s="3"/>
      <c r="S1158" s="2" t="s">
        <v>28</v>
      </c>
    </row>
    <row r="1159" customFormat="false" ht="15" hidden="false" customHeight="false" outlineLevel="0" collapsed="false">
      <c r="A1159" s="0" t="n">
        <v>1158</v>
      </c>
      <c r="D1159" s="0" t="s">
        <v>2674</v>
      </c>
      <c r="E1159" s="0" t="s">
        <v>253</v>
      </c>
      <c r="H1159" s="0" t="s">
        <v>21</v>
      </c>
      <c r="I1159" s="2" t="s">
        <v>22</v>
      </c>
      <c r="J1159" s="2" t="s">
        <v>854</v>
      </c>
      <c r="K1159" s="0" t="s">
        <v>855</v>
      </c>
      <c r="L1159" s="0" t="s">
        <v>25</v>
      </c>
      <c r="M1159" s="0" t="s">
        <v>857</v>
      </c>
      <c r="N1159" s="0" t="s">
        <v>2675</v>
      </c>
      <c r="O1159" s="0" t="n">
        <v>1</v>
      </c>
      <c r="P1159" s="0" t="s">
        <v>253</v>
      </c>
      <c r="R1159" s="3"/>
      <c r="S1159" s="2" t="s">
        <v>28</v>
      </c>
    </row>
    <row r="1160" customFormat="false" ht="15" hidden="false" customHeight="false" outlineLevel="0" collapsed="false">
      <c r="A1160" s="0" t="n">
        <v>1159</v>
      </c>
      <c r="D1160" s="0" t="s">
        <v>2676</v>
      </c>
      <c r="E1160" s="0" t="s">
        <v>253</v>
      </c>
      <c r="H1160" s="0" t="s">
        <v>21</v>
      </c>
      <c r="I1160" s="2" t="s">
        <v>22</v>
      </c>
      <c r="J1160" s="2" t="s">
        <v>854</v>
      </c>
      <c r="K1160" s="0" t="s">
        <v>855</v>
      </c>
      <c r="L1160" s="0" t="s">
        <v>2677</v>
      </c>
      <c r="M1160" s="0" t="s">
        <v>857</v>
      </c>
      <c r="N1160" s="0" t="s">
        <v>2678</v>
      </c>
      <c r="O1160" s="0" t="n">
        <v>1</v>
      </c>
      <c r="Q1160" s="0" t="s">
        <v>2679</v>
      </c>
      <c r="R1160" s="3"/>
      <c r="S1160" s="2" t="s">
        <v>2680</v>
      </c>
    </row>
    <row r="1161" customFormat="false" ht="15" hidden="false" customHeight="false" outlineLevel="0" collapsed="false">
      <c r="A1161" s="0" t="n">
        <v>1160</v>
      </c>
      <c r="D1161" s="0" t="s">
        <v>2681</v>
      </c>
      <c r="E1161" s="0" t="s">
        <v>253</v>
      </c>
      <c r="H1161" s="0" t="s">
        <v>21</v>
      </c>
      <c r="I1161" s="2" t="s">
        <v>22</v>
      </c>
      <c r="J1161" s="2" t="s">
        <v>854</v>
      </c>
      <c r="K1161" s="0" t="s">
        <v>855</v>
      </c>
      <c r="L1161" s="0" t="s">
        <v>25</v>
      </c>
      <c r="M1161" s="0" t="s">
        <v>857</v>
      </c>
      <c r="N1161" s="0" t="s">
        <v>2682</v>
      </c>
      <c r="O1161" s="0" t="n">
        <v>1</v>
      </c>
      <c r="P1161" s="0" t="s">
        <v>253</v>
      </c>
      <c r="R1161" s="3"/>
      <c r="S1161" s="2" t="s">
        <v>28</v>
      </c>
    </row>
    <row r="1162" customFormat="false" ht="15" hidden="false" customHeight="false" outlineLevel="0" collapsed="false">
      <c r="A1162" s="0" t="n">
        <v>1161</v>
      </c>
      <c r="D1162" s="0" t="s">
        <v>2683</v>
      </c>
      <c r="E1162" s="0" t="s">
        <v>253</v>
      </c>
      <c r="H1162" s="0" t="s">
        <v>21</v>
      </c>
      <c r="I1162" s="2" t="s">
        <v>22</v>
      </c>
      <c r="J1162" s="2" t="s">
        <v>854</v>
      </c>
      <c r="K1162" s="0" t="s">
        <v>855</v>
      </c>
      <c r="L1162" s="0" t="s">
        <v>25</v>
      </c>
      <c r="M1162" s="0" t="s">
        <v>857</v>
      </c>
      <c r="N1162" s="0" t="s">
        <v>2684</v>
      </c>
      <c r="O1162" s="0" t="n">
        <v>1</v>
      </c>
      <c r="P1162" s="0" t="s">
        <v>253</v>
      </c>
      <c r="R1162" s="3"/>
      <c r="S1162" s="2" t="s">
        <v>28</v>
      </c>
    </row>
    <row r="1163" customFormat="false" ht="15" hidden="false" customHeight="false" outlineLevel="0" collapsed="false">
      <c r="A1163" s="0" t="n">
        <v>1162</v>
      </c>
      <c r="D1163" s="0" t="s">
        <v>2685</v>
      </c>
      <c r="E1163" s="0" t="s">
        <v>253</v>
      </c>
      <c r="H1163" s="0" t="s">
        <v>21</v>
      </c>
      <c r="I1163" s="2" t="s">
        <v>22</v>
      </c>
      <c r="J1163" s="2" t="s">
        <v>854</v>
      </c>
      <c r="K1163" s="0" t="s">
        <v>855</v>
      </c>
      <c r="L1163" s="0" t="s">
        <v>25</v>
      </c>
      <c r="M1163" s="0" t="s">
        <v>857</v>
      </c>
      <c r="N1163" s="0" t="s">
        <v>2686</v>
      </c>
      <c r="O1163" s="0" t="n">
        <v>1</v>
      </c>
      <c r="P1163" s="0" t="s">
        <v>253</v>
      </c>
      <c r="R1163" s="3"/>
      <c r="S1163" s="2" t="s">
        <v>28</v>
      </c>
    </row>
    <row r="1164" customFormat="false" ht="15" hidden="false" customHeight="false" outlineLevel="0" collapsed="false">
      <c r="A1164" s="0" t="n">
        <v>1163</v>
      </c>
      <c r="D1164" s="0" t="s">
        <v>2687</v>
      </c>
      <c r="E1164" s="0" t="s">
        <v>253</v>
      </c>
      <c r="H1164" s="0" t="s">
        <v>21</v>
      </c>
      <c r="I1164" s="2" t="s">
        <v>22</v>
      </c>
      <c r="J1164" s="2" t="s">
        <v>854</v>
      </c>
      <c r="K1164" s="0" t="s">
        <v>855</v>
      </c>
      <c r="L1164" s="0" t="s">
        <v>2688</v>
      </c>
      <c r="M1164" s="0" t="s">
        <v>857</v>
      </c>
      <c r="N1164" s="0" t="s">
        <v>2689</v>
      </c>
      <c r="O1164" s="0" t="n">
        <v>1</v>
      </c>
      <c r="P1164" s="0" t="s">
        <v>253</v>
      </c>
      <c r="Q1164" s="0" t="s">
        <v>2690</v>
      </c>
      <c r="R1164" s="3"/>
      <c r="S1164" s="2" t="s">
        <v>2691</v>
      </c>
    </row>
    <row r="1165" customFormat="false" ht="15" hidden="false" customHeight="false" outlineLevel="0" collapsed="false">
      <c r="A1165" s="0" t="n">
        <v>1164</v>
      </c>
      <c r="D1165" s="0" t="s">
        <v>2692</v>
      </c>
      <c r="E1165" s="0" t="s">
        <v>253</v>
      </c>
      <c r="H1165" s="0" t="s">
        <v>21</v>
      </c>
      <c r="I1165" s="2" t="s">
        <v>22</v>
      </c>
      <c r="J1165" s="2" t="s">
        <v>854</v>
      </c>
      <c r="K1165" s="0" t="s">
        <v>855</v>
      </c>
      <c r="L1165" s="0" t="s">
        <v>25</v>
      </c>
      <c r="M1165" s="0" t="s">
        <v>857</v>
      </c>
      <c r="N1165" s="0" t="s">
        <v>2693</v>
      </c>
      <c r="O1165" s="0" t="n">
        <v>1</v>
      </c>
      <c r="P1165" s="0" t="s">
        <v>253</v>
      </c>
      <c r="R1165" s="3"/>
      <c r="S1165" s="2" t="s">
        <v>28</v>
      </c>
    </row>
    <row r="1166" customFormat="false" ht="15" hidden="false" customHeight="false" outlineLevel="0" collapsed="false">
      <c r="A1166" s="0" t="n">
        <v>1165</v>
      </c>
      <c r="D1166" s="0" t="s">
        <v>2694</v>
      </c>
      <c r="E1166" s="0" t="s">
        <v>253</v>
      </c>
      <c r="H1166" s="0" t="s">
        <v>21</v>
      </c>
      <c r="I1166" s="2" t="s">
        <v>22</v>
      </c>
      <c r="J1166" s="2" t="s">
        <v>854</v>
      </c>
      <c r="K1166" s="0" t="s">
        <v>855</v>
      </c>
      <c r="L1166" s="0" t="s">
        <v>25</v>
      </c>
      <c r="M1166" s="0" t="s">
        <v>857</v>
      </c>
      <c r="N1166" s="0" t="s">
        <v>2695</v>
      </c>
      <c r="O1166" s="0" t="n">
        <v>1</v>
      </c>
      <c r="P1166" s="0" t="s">
        <v>253</v>
      </c>
      <c r="R1166" s="3"/>
      <c r="S1166" s="2" t="s">
        <v>28</v>
      </c>
    </row>
    <row r="1167" customFormat="false" ht="15" hidden="false" customHeight="false" outlineLevel="0" collapsed="false">
      <c r="A1167" s="0" t="n">
        <v>1166</v>
      </c>
      <c r="D1167" s="0" t="s">
        <v>2696</v>
      </c>
      <c r="E1167" s="0" t="s">
        <v>253</v>
      </c>
      <c r="H1167" s="0" t="s">
        <v>21</v>
      </c>
      <c r="I1167" s="2" t="s">
        <v>22</v>
      </c>
      <c r="J1167" s="2" t="s">
        <v>854</v>
      </c>
      <c r="K1167" s="0" t="s">
        <v>855</v>
      </c>
      <c r="L1167" s="0" t="s">
        <v>25</v>
      </c>
      <c r="M1167" s="0" t="s">
        <v>857</v>
      </c>
      <c r="N1167" s="0" t="s">
        <v>2697</v>
      </c>
      <c r="O1167" s="0" t="n">
        <v>1</v>
      </c>
      <c r="P1167" s="0" t="s">
        <v>253</v>
      </c>
      <c r="R1167" s="3"/>
      <c r="S1167" s="2" t="s">
        <v>28</v>
      </c>
    </row>
    <row r="1168" customFormat="false" ht="15" hidden="false" customHeight="false" outlineLevel="0" collapsed="false">
      <c r="A1168" s="0" t="n">
        <v>1167</v>
      </c>
      <c r="D1168" s="0" t="s">
        <v>2698</v>
      </c>
      <c r="E1168" s="0" t="s">
        <v>20</v>
      </c>
      <c r="H1168" s="0" t="s">
        <v>21</v>
      </c>
      <c r="I1168" s="2" t="s">
        <v>22</v>
      </c>
      <c r="J1168" s="2" t="s">
        <v>854</v>
      </c>
      <c r="K1168" s="0" t="s">
        <v>855</v>
      </c>
      <c r="L1168" s="0" t="s">
        <v>25</v>
      </c>
      <c r="M1168" s="0" t="s">
        <v>857</v>
      </c>
      <c r="N1168" s="0" t="s">
        <v>2699</v>
      </c>
      <c r="O1168" s="0" t="n">
        <v>1</v>
      </c>
      <c r="R1168" s="3"/>
      <c r="S1168" s="2" t="s">
        <v>28</v>
      </c>
    </row>
    <row r="1169" customFormat="false" ht="15" hidden="false" customHeight="false" outlineLevel="0" collapsed="false">
      <c r="A1169" s="0" t="n">
        <v>1168</v>
      </c>
      <c r="D1169" s="0" t="s">
        <v>2700</v>
      </c>
      <c r="E1169" s="0" t="s">
        <v>253</v>
      </c>
      <c r="H1169" s="0" t="s">
        <v>21</v>
      </c>
      <c r="I1169" s="2" t="s">
        <v>22</v>
      </c>
      <c r="J1169" s="2" t="s">
        <v>854</v>
      </c>
      <c r="K1169" s="0" t="s">
        <v>855</v>
      </c>
      <c r="L1169" s="0" t="s">
        <v>25</v>
      </c>
      <c r="M1169" s="0" t="s">
        <v>857</v>
      </c>
      <c r="N1169" s="0" t="s">
        <v>2701</v>
      </c>
      <c r="O1169" s="0" t="n">
        <v>1</v>
      </c>
      <c r="P1169" s="0" t="s">
        <v>253</v>
      </c>
      <c r="R1169" s="3"/>
      <c r="S1169" s="2" t="s">
        <v>28</v>
      </c>
    </row>
    <row r="1170" customFormat="false" ht="15" hidden="false" customHeight="false" outlineLevel="0" collapsed="false">
      <c r="A1170" s="0" t="n">
        <v>1169</v>
      </c>
      <c r="D1170" s="0" t="s">
        <v>2702</v>
      </c>
      <c r="E1170" s="0" t="s">
        <v>387</v>
      </c>
      <c r="H1170" s="0" t="s">
        <v>21</v>
      </c>
      <c r="I1170" s="2" t="s">
        <v>22</v>
      </c>
      <c r="J1170" s="2" t="s">
        <v>854</v>
      </c>
      <c r="K1170" s="0" t="s">
        <v>855</v>
      </c>
      <c r="L1170" s="0" t="s">
        <v>25</v>
      </c>
      <c r="M1170" s="0" t="s">
        <v>857</v>
      </c>
      <c r="N1170" s="0" t="s">
        <v>2703</v>
      </c>
      <c r="O1170" s="0" t="n">
        <v>1</v>
      </c>
      <c r="P1170" s="0" t="s">
        <v>387</v>
      </c>
      <c r="R1170" s="3"/>
      <c r="S1170" s="2" t="s">
        <v>28</v>
      </c>
    </row>
    <row r="1171" customFormat="false" ht="15" hidden="false" customHeight="false" outlineLevel="0" collapsed="false">
      <c r="A1171" s="0" t="n">
        <v>1170</v>
      </c>
      <c r="D1171" s="0" t="s">
        <v>2704</v>
      </c>
      <c r="E1171" s="0" t="s">
        <v>20</v>
      </c>
      <c r="H1171" s="0" t="s">
        <v>21</v>
      </c>
      <c r="I1171" s="2" t="s">
        <v>22</v>
      </c>
      <c r="J1171" s="2" t="s">
        <v>854</v>
      </c>
      <c r="K1171" s="0" t="s">
        <v>855</v>
      </c>
      <c r="L1171" s="0" t="s">
        <v>25</v>
      </c>
      <c r="M1171" s="0" t="s">
        <v>857</v>
      </c>
      <c r="N1171" s="0" t="s">
        <v>2705</v>
      </c>
      <c r="O1171" s="0" t="n">
        <v>1</v>
      </c>
      <c r="R1171" s="3"/>
      <c r="S1171" s="2" t="s">
        <v>28</v>
      </c>
    </row>
    <row r="1172" customFormat="false" ht="15" hidden="false" customHeight="false" outlineLevel="0" collapsed="false">
      <c r="A1172" s="0" t="n">
        <v>1171</v>
      </c>
      <c r="D1172" s="0" t="s">
        <v>2706</v>
      </c>
      <c r="E1172" s="0" t="s">
        <v>253</v>
      </c>
      <c r="H1172" s="0" t="s">
        <v>21</v>
      </c>
      <c r="I1172" s="2" t="s">
        <v>22</v>
      </c>
      <c r="J1172" s="2" t="s">
        <v>854</v>
      </c>
      <c r="K1172" s="0" t="s">
        <v>855</v>
      </c>
      <c r="L1172" s="0" t="s">
        <v>25</v>
      </c>
      <c r="M1172" s="0" t="s">
        <v>857</v>
      </c>
      <c r="N1172" s="0" t="s">
        <v>2707</v>
      </c>
      <c r="O1172" s="0" t="n">
        <v>1</v>
      </c>
      <c r="P1172" s="0" t="s">
        <v>253</v>
      </c>
      <c r="R1172" s="3"/>
      <c r="S1172" s="2" t="s">
        <v>28</v>
      </c>
    </row>
    <row r="1173" customFormat="false" ht="15" hidden="false" customHeight="false" outlineLevel="0" collapsed="false">
      <c r="A1173" s="0" t="n">
        <v>1172</v>
      </c>
      <c r="D1173" s="0" t="s">
        <v>2708</v>
      </c>
      <c r="E1173" s="0" t="s">
        <v>387</v>
      </c>
      <c r="H1173" s="0" t="s">
        <v>21</v>
      </c>
      <c r="I1173" s="2" t="s">
        <v>22</v>
      </c>
      <c r="J1173" s="2" t="s">
        <v>854</v>
      </c>
      <c r="K1173" s="0" t="s">
        <v>855</v>
      </c>
      <c r="L1173" s="0" t="s">
        <v>25</v>
      </c>
      <c r="M1173" s="0" t="s">
        <v>857</v>
      </c>
      <c r="N1173" s="0" t="s">
        <v>2709</v>
      </c>
      <c r="O1173" s="0" t="n">
        <v>1</v>
      </c>
      <c r="P1173" s="0" t="s">
        <v>387</v>
      </c>
      <c r="R1173" s="3"/>
      <c r="S1173" s="2" t="s">
        <v>28</v>
      </c>
    </row>
    <row r="1174" customFormat="false" ht="15" hidden="false" customHeight="false" outlineLevel="0" collapsed="false">
      <c r="A1174" s="0" t="n">
        <v>1173</v>
      </c>
      <c r="D1174" s="0" t="s">
        <v>2710</v>
      </c>
      <c r="E1174" s="0" t="s">
        <v>1970</v>
      </c>
      <c r="H1174" s="0" t="s">
        <v>21</v>
      </c>
      <c r="I1174" s="2" t="s">
        <v>22</v>
      </c>
      <c r="J1174" s="2" t="s">
        <v>854</v>
      </c>
      <c r="K1174" s="0" t="s">
        <v>855</v>
      </c>
      <c r="L1174" s="0" t="s">
        <v>2711</v>
      </c>
      <c r="M1174" s="0" t="s">
        <v>857</v>
      </c>
      <c r="N1174" s="0" t="s">
        <v>2712</v>
      </c>
      <c r="O1174" s="0" t="n">
        <v>1</v>
      </c>
      <c r="P1174" s="0" t="s">
        <v>422</v>
      </c>
      <c r="R1174" s="3"/>
      <c r="S1174" s="2" t="s">
        <v>28</v>
      </c>
    </row>
    <row r="1175" customFormat="false" ht="15" hidden="false" customHeight="false" outlineLevel="0" collapsed="false">
      <c r="A1175" s="0" t="n">
        <v>1174</v>
      </c>
      <c r="D1175" s="0" t="s">
        <v>2713</v>
      </c>
      <c r="E1175" s="0" t="s">
        <v>20</v>
      </c>
      <c r="H1175" s="0" t="s">
        <v>21</v>
      </c>
      <c r="I1175" s="2" t="s">
        <v>22</v>
      </c>
      <c r="J1175" s="2" t="s">
        <v>854</v>
      </c>
      <c r="K1175" s="0" t="s">
        <v>855</v>
      </c>
      <c r="L1175" s="0" t="s">
        <v>25</v>
      </c>
      <c r="M1175" s="0" t="s">
        <v>857</v>
      </c>
      <c r="N1175" s="0" t="s">
        <v>2714</v>
      </c>
      <c r="O1175" s="0" t="n">
        <v>1</v>
      </c>
      <c r="R1175" s="3"/>
      <c r="S1175" s="2" t="s">
        <v>28</v>
      </c>
    </row>
    <row r="1176" customFormat="false" ht="15" hidden="false" customHeight="false" outlineLevel="0" collapsed="false">
      <c r="A1176" s="0" t="n">
        <v>1175</v>
      </c>
      <c r="D1176" s="0" t="s">
        <v>2715</v>
      </c>
      <c r="E1176" s="0" t="s">
        <v>20</v>
      </c>
      <c r="H1176" s="0" t="s">
        <v>21</v>
      </c>
      <c r="I1176" s="2" t="s">
        <v>22</v>
      </c>
      <c r="J1176" s="2" t="s">
        <v>854</v>
      </c>
      <c r="K1176" s="0" t="s">
        <v>855</v>
      </c>
      <c r="L1176" s="0" t="s">
        <v>25</v>
      </c>
      <c r="M1176" s="0" t="s">
        <v>857</v>
      </c>
      <c r="N1176" s="0" t="s">
        <v>2716</v>
      </c>
      <c r="O1176" s="0" t="n">
        <v>1</v>
      </c>
      <c r="R1176" s="3"/>
      <c r="S1176" s="2" t="s">
        <v>28</v>
      </c>
    </row>
    <row r="1177" customFormat="false" ht="15" hidden="false" customHeight="false" outlineLevel="0" collapsed="false">
      <c r="A1177" s="0" t="n">
        <v>1176</v>
      </c>
      <c r="D1177" s="0" t="s">
        <v>2717</v>
      </c>
      <c r="E1177" s="0" t="s">
        <v>20</v>
      </c>
      <c r="H1177" s="0" t="s">
        <v>21</v>
      </c>
      <c r="I1177" s="2" t="s">
        <v>22</v>
      </c>
      <c r="J1177" s="2" t="s">
        <v>854</v>
      </c>
      <c r="K1177" s="0" t="s">
        <v>855</v>
      </c>
      <c r="L1177" s="0" t="s">
        <v>25</v>
      </c>
      <c r="M1177" s="0" t="s">
        <v>857</v>
      </c>
      <c r="N1177" s="0" t="s">
        <v>1882</v>
      </c>
      <c r="O1177" s="0" t="n">
        <v>1</v>
      </c>
      <c r="R1177" s="3"/>
      <c r="S1177" s="2" t="s">
        <v>28</v>
      </c>
    </row>
    <row r="1178" customFormat="false" ht="15" hidden="false" customHeight="false" outlineLevel="0" collapsed="false">
      <c r="A1178" s="0" t="n">
        <v>1177</v>
      </c>
      <c r="D1178" s="0" t="s">
        <v>2718</v>
      </c>
      <c r="E1178" s="0" t="s">
        <v>20</v>
      </c>
      <c r="H1178" s="0" t="s">
        <v>21</v>
      </c>
      <c r="I1178" s="2" t="s">
        <v>22</v>
      </c>
      <c r="J1178" s="2" t="s">
        <v>854</v>
      </c>
      <c r="K1178" s="0" t="s">
        <v>855</v>
      </c>
      <c r="L1178" s="0" t="s">
        <v>25</v>
      </c>
      <c r="M1178" s="0" t="s">
        <v>857</v>
      </c>
      <c r="N1178" s="0" t="s">
        <v>2719</v>
      </c>
      <c r="O1178" s="0" t="n">
        <v>1</v>
      </c>
      <c r="R1178" s="3"/>
      <c r="S1178" s="2" t="s">
        <v>28</v>
      </c>
    </row>
    <row r="1179" customFormat="false" ht="15" hidden="false" customHeight="false" outlineLevel="0" collapsed="false">
      <c r="A1179" s="0" t="n">
        <v>1178</v>
      </c>
      <c r="D1179" s="0" t="s">
        <v>2720</v>
      </c>
      <c r="E1179" s="0" t="s">
        <v>20</v>
      </c>
      <c r="H1179" s="0" t="s">
        <v>21</v>
      </c>
      <c r="I1179" s="2" t="s">
        <v>22</v>
      </c>
      <c r="J1179" s="2" t="s">
        <v>854</v>
      </c>
      <c r="K1179" s="0" t="s">
        <v>855</v>
      </c>
      <c r="L1179" s="0" t="s">
        <v>25</v>
      </c>
      <c r="M1179" s="0" t="s">
        <v>857</v>
      </c>
      <c r="N1179" s="0" t="s">
        <v>2721</v>
      </c>
      <c r="O1179" s="0" t="n">
        <v>1</v>
      </c>
      <c r="R1179" s="3"/>
      <c r="S1179" s="2" t="s">
        <v>28</v>
      </c>
    </row>
    <row r="1180" customFormat="false" ht="15" hidden="false" customHeight="false" outlineLevel="0" collapsed="false">
      <c r="A1180" s="0" t="n">
        <v>1179</v>
      </c>
      <c r="D1180" s="0" t="s">
        <v>2722</v>
      </c>
      <c r="E1180" s="0" t="s">
        <v>253</v>
      </c>
      <c r="H1180" s="0" t="s">
        <v>21</v>
      </c>
      <c r="I1180" s="2" t="s">
        <v>22</v>
      </c>
      <c r="J1180" s="2" t="s">
        <v>854</v>
      </c>
      <c r="K1180" s="0" t="s">
        <v>855</v>
      </c>
      <c r="L1180" s="0" t="s">
        <v>2723</v>
      </c>
      <c r="M1180" s="0" t="s">
        <v>857</v>
      </c>
      <c r="N1180" s="0" t="s">
        <v>2724</v>
      </c>
      <c r="O1180" s="0" t="n">
        <v>1</v>
      </c>
      <c r="P1180" s="0" t="s">
        <v>253</v>
      </c>
      <c r="Q1180" s="0" t="s">
        <v>2725</v>
      </c>
      <c r="R1180" s="3"/>
      <c r="S1180" s="2" t="s">
        <v>2726</v>
      </c>
    </row>
    <row r="1181" customFormat="false" ht="15" hidden="false" customHeight="false" outlineLevel="0" collapsed="false">
      <c r="A1181" s="0" t="n">
        <v>1180</v>
      </c>
      <c r="D1181" s="0" t="s">
        <v>2727</v>
      </c>
      <c r="E1181" s="0" t="s">
        <v>20</v>
      </c>
      <c r="H1181" s="0" t="s">
        <v>21</v>
      </c>
      <c r="I1181" s="2" t="s">
        <v>22</v>
      </c>
      <c r="J1181" s="2" t="s">
        <v>854</v>
      </c>
      <c r="K1181" s="0" t="s">
        <v>855</v>
      </c>
      <c r="L1181" s="0" t="s">
        <v>25</v>
      </c>
      <c r="M1181" s="0" t="s">
        <v>857</v>
      </c>
      <c r="N1181" s="0" t="s">
        <v>2728</v>
      </c>
      <c r="O1181" s="0" t="n">
        <v>1</v>
      </c>
      <c r="R1181" s="3"/>
      <c r="S1181" s="2" t="s">
        <v>28</v>
      </c>
    </row>
    <row r="1182" customFormat="false" ht="15" hidden="false" customHeight="false" outlineLevel="0" collapsed="false">
      <c r="A1182" s="0" t="n">
        <v>1181</v>
      </c>
      <c r="D1182" s="0" t="s">
        <v>2729</v>
      </c>
      <c r="E1182" s="0" t="s">
        <v>20</v>
      </c>
      <c r="H1182" s="0" t="s">
        <v>21</v>
      </c>
      <c r="I1182" s="2" t="s">
        <v>22</v>
      </c>
      <c r="J1182" s="2" t="s">
        <v>854</v>
      </c>
      <c r="K1182" s="0" t="s">
        <v>855</v>
      </c>
      <c r="L1182" s="0" t="s">
        <v>25</v>
      </c>
      <c r="M1182" s="0" t="s">
        <v>857</v>
      </c>
      <c r="N1182" s="0" t="s">
        <v>2730</v>
      </c>
      <c r="O1182" s="0" t="n">
        <v>1</v>
      </c>
      <c r="R1182" s="3"/>
      <c r="S1182" s="2" t="s">
        <v>28</v>
      </c>
    </row>
    <row r="1183" customFormat="false" ht="15" hidden="false" customHeight="false" outlineLevel="0" collapsed="false">
      <c r="A1183" s="0" t="n">
        <v>1182</v>
      </c>
      <c r="D1183" s="0" t="s">
        <v>2731</v>
      </c>
      <c r="E1183" s="0" t="s">
        <v>376</v>
      </c>
      <c r="H1183" s="0" t="s">
        <v>21</v>
      </c>
      <c r="I1183" s="2" t="s">
        <v>22</v>
      </c>
      <c r="J1183" s="2" t="s">
        <v>854</v>
      </c>
      <c r="K1183" s="0" t="s">
        <v>855</v>
      </c>
      <c r="L1183" s="0" t="s">
        <v>25</v>
      </c>
      <c r="M1183" s="0" t="s">
        <v>857</v>
      </c>
      <c r="N1183" s="0" t="s">
        <v>2732</v>
      </c>
      <c r="O1183" s="0" t="n">
        <v>1</v>
      </c>
      <c r="P1183" s="0" t="s">
        <v>376</v>
      </c>
      <c r="R1183" s="3"/>
      <c r="S1183" s="2" t="s">
        <v>28</v>
      </c>
    </row>
    <row r="1184" customFormat="false" ht="15" hidden="false" customHeight="false" outlineLevel="0" collapsed="false">
      <c r="A1184" s="0" t="n">
        <v>1183</v>
      </c>
      <c r="D1184" s="0" t="s">
        <v>2733</v>
      </c>
      <c r="E1184" s="0" t="s">
        <v>20</v>
      </c>
      <c r="H1184" s="0" t="s">
        <v>21</v>
      </c>
      <c r="I1184" s="2" t="s">
        <v>22</v>
      </c>
      <c r="J1184" s="2" t="s">
        <v>854</v>
      </c>
      <c r="K1184" s="0" t="s">
        <v>855</v>
      </c>
      <c r="L1184" s="0" t="s">
        <v>25</v>
      </c>
      <c r="M1184" s="0" t="s">
        <v>857</v>
      </c>
      <c r="N1184" s="0" t="s">
        <v>2531</v>
      </c>
      <c r="O1184" s="0" t="n">
        <v>1</v>
      </c>
      <c r="R1184" s="3"/>
      <c r="S1184" s="2" t="s">
        <v>28</v>
      </c>
    </row>
    <row r="1185" customFormat="false" ht="15" hidden="false" customHeight="false" outlineLevel="0" collapsed="false">
      <c r="A1185" s="0" t="n">
        <v>1184</v>
      </c>
      <c r="D1185" s="0" t="s">
        <v>2734</v>
      </c>
      <c r="E1185" s="0" t="s">
        <v>20</v>
      </c>
      <c r="H1185" s="0" t="s">
        <v>21</v>
      </c>
      <c r="I1185" s="2" t="s">
        <v>22</v>
      </c>
      <c r="J1185" s="2" t="s">
        <v>854</v>
      </c>
      <c r="K1185" s="0" t="s">
        <v>855</v>
      </c>
      <c r="L1185" s="0" t="s">
        <v>25</v>
      </c>
      <c r="M1185" s="0" t="s">
        <v>857</v>
      </c>
      <c r="N1185" s="0" t="s">
        <v>2735</v>
      </c>
      <c r="O1185" s="0" t="n">
        <v>1</v>
      </c>
      <c r="R1185" s="3"/>
      <c r="S1185" s="2" t="s">
        <v>28</v>
      </c>
    </row>
    <row r="1186" customFormat="false" ht="15" hidden="false" customHeight="false" outlineLevel="0" collapsed="false">
      <c r="A1186" s="0" t="n">
        <v>1185</v>
      </c>
      <c r="D1186" s="0" t="s">
        <v>2736</v>
      </c>
      <c r="E1186" s="0" t="s">
        <v>20</v>
      </c>
      <c r="H1186" s="0" t="s">
        <v>21</v>
      </c>
      <c r="I1186" s="2" t="s">
        <v>22</v>
      </c>
      <c r="J1186" s="2" t="s">
        <v>854</v>
      </c>
      <c r="K1186" s="0" t="s">
        <v>855</v>
      </c>
      <c r="L1186" s="0" t="s">
        <v>25</v>
      </c>
      <c r="M1186" s="0" t="s">
        <v>857</v>
      </c>
      <c r="N1186" s="0" t="s">
        <v>2737</v>
      </c>
      <c r="O1186" s="0" t="n">
        <v>1</v>
      </c>
      <c r="R1186" s="3"/>
      <c r="S1186" s="2" t="s">
        <v>28</v>
      </c>
    </row>
    <row r="1187" customFormat="false" ht="15" hidden="false" customHeight="false" outlineLevel="0" collapsed="false">
      <c r="A1187" s="0" t="n">
        <v>1186</v>
      </c>
      <c r="D1187" s="0" t="s">
        <v>2738</v>
      </c>
      <c r="E1187" s="0" t="s">
        <v>20</v>
      </c>
      <c r="H1187" s="0" t="s">
        <v>21</v>
      </c>
      <c r="I1187" s="2" t="s">
        <v>22</v>
      </c>
      <c r="J1187" s="2" t="s">
        <v>854</v>
      </c>
      <c r="K1187" s="0" t="s">
        <v>855</v>
      </c>
      <c r="L1187" s="0" t="s">
        <v>25</v>
      </c>
      <c r="M1187" s="0" t="s">
        <v>857</v>
      </c>
      <c r="N1187" s="0" t="s">
        <v>2739</v>
      </c>
      <c r="O1187" s="0" t="n">
        <v>1</v>
      </c>
      <c r="R1187" s="3"/>
      <c r="S1187" s="2" t="s">
        <v>28</v>
      </c>
    </row>
    <row r="1188" customFormat="false" ht="15" hidden="false" customHeight="false" outlineLevel="0" collapsed="false">
      <c r="A1188" s="0" t="n">
        <v>1187</v>
      </c>
      <c r="D1188" s="0" t="s">
        <v>2740</v>
      </c>
      <c r="E1188" s="0" t="s">
        <v>20</v>
      </c>
      <c r="H1188" s="0" t="s">
        <v>21</v>
      </c>
      <c r="I1188" s="2" t="s">
        <v>22</v>
      </c>
      <c r="J1188" s="2" t="s">
        <v>854</v>
      </c>
      <c r="K1188" s="0" t="s">
        <v>855</v>
      </c>
      <c r="L1188" s="0" t="s">
        <v>25</v>
      </c>
      <c r="M1188" s="0" t="s">
        <v>857</v>
      </c>
      <c r="N1188" s="0" t="s">
        <v>2741</v>
      </c>
      <c r="O1188" s="0" t="n">
        <v>1</v>
      </c>
      <c r="R1188" s="3"/>
      <c r="S1188" s="2" t="s">
        <v>28</v>
      </c>
    </row>
    <row r="1189" customFormat="false" ht="15" hidden="false" customHeight="false" outlineLevel="0" collapsed="false">
      <c r="A1189" s="0" t="n">
        <v>1188</v>
      </c>
      <c r="D1189" s="0" t="s">
        <v>2742</v>
      </c>
      <c r="E1189" s="0" t="s">
        <v>20</v>
      </c>
      <c r="H1189" s="0" t="s">
        <v>21</v>
      </c>
      <c r="I1189" s="2" t="s">
        <v>22</v>
      </c>
      <c r="J1189" s="2" t="s">
        <v>854</v>
      </c>
      <c r="K1189" s="0" t="s">
        <v>855</v>
      </c>
      <c r="L1189" s="0" t="s">
        <v>25</v>
      </c>
      <c r="M1189" s="0" t="s">
        <v>857</v>
      </c>
      <c r="N1189" s="0" t="s">
        <v>2743</v>
      </c>
      <c r="O1189" s="0" t="n">
        <v>1</v>
      </c>
      <c r="R1189" s="3"/>
      <c r="S1189" s="2" t="s">
        <v>28</v>
      </c>
    </row>
    <row r="1190" customFormat="false" ht="15" hidden="false" customHeight="false" outlineLevel="0" collapsed="false">
      <c r="A1190" s="0" t="n">
        <v>1189</v>
      </c>
      <c r="D1190" s="0" t="s">
        <v>2744</v>
      </c>
      <c r="E1190" s="0" t="s">
        <v>20</v>
      </c>
      <c r="H1190" s="0" t="s">
        <v>21</v>
      </c>
      <c r="I1190" s="2" t="s">
        <v>22</v>
      </c>
      <c r="J1190" s="2" t="s">
        <v>854</v>
      </c>
      <c r="K1190" s="0" t="s">
        <v>855</v>
      </c>
      <c r="L1190" s="0" t="s">
        <v>25</v>
      </c>
      <c r="M1190" s="0" t="s">
        <v>857</v>
      </c>
      <c r="N1190" s="0" t="s">
        <v>2745</v>
      </c>
      <c r="O1190" s="0" t="n">
        <v>1</v>
      </c>
      <c r="R1190" s="3"/>
      <c r="S1190" s="2" t="s">
        <v>28</v>
      </c>
    </row>
    <row r="1191" customFormat="false" ht="15" hidden="false" customHeight="false" outlineLevel="0" collapsed="false">
      <c r="A1191" s="0" t="n">
        <v>1190</v>
      </c>
      <c r="D1191" s="0" t="s">
        <v>2746</v>
      </c>
      <c r="E1191" s="0" t="s">
        <v>20</v>
      </c>
      <c r="H1191" s="0" t="s">
        <v>21</v>
      </c>
      <c r="I1191" s="2" t="s">
        <v>22</v>
      </c>
      <c r="J1191" s="2" t="s">
        <v>854</v>
      </c>
      <c r="K1191" s="0" t="s">
        <v>855</v>
      </c>
      <c r="L1191" s="0" t="s">
        <v>25</v>
      </c>
      <c r="M1191" s="0" t="s">
        <v>857</v>
      </c>
      <c r="N1191" s="0" t="s">
        <v>2747</v>
      </c>
      <c r="O1191" s="0" t="n">
        <v>1</v>
      </c>
      <c r="R1191" s="3"/>
      <c r="S1191" s="2" t="s">
        <v>28</v>
      </c>
    </row>
    <row r="1192" customFormat="false" ht="15" hidden="false" customHeight="false" outlineLevel="0" collapsed="false">
      <c r="A1192" s="0" t="n">
        <v>1191</v>
      </c>
      <c r="D1192" s="0" t="s">
        <v>2748</v>
      </c>
      <c r="E1192" s="0" t="s">
        <v>287</v>
      </c>
      <c r="H1192" s="0" t="s">
        <v>21</v>
      </c>
      <c r="I1192" s="2" t="s">
        <v>22</v>
      </c>
      <c r="J1192" s="2" t="s">
        <v>854</v>
      </c>
      <c r="K1192" s="0" t="s">
        <v>855</v>
      </c>
      <c r="L1192" s="0" t="s">
        <v>25</v>
      </c>
      <c r="M1192" s="0" t="s">
        <v>857</v>
      </c>
      <c r="N1192" s="0" t="s">
        <v>2749</v>
      </c>
      <c r="O1192" s="0" t="n">
        <v>1</v>
      </c>
      <c r="P1192" s="0" t="s">
        <v>287</v>
      </c>
      <c r="R1192" s="3"/>
      <c r="S1192" s="2" t="s">
        <v>28</v>
      </c>
    </row>
    <row r="1193" customFormat="false" ht="15" hidden="false" customHeight="false" outlineLevel="0" collapsed="false">
      <c r="A1193" s="0" t="n">
        <v>1192</v>
      </c>
      <c r="D1193" s="0" t="s">
        <v>2750</v>
      </c>
      <c r="E1193" s="0" t="s">
        <v>20</v>
      </c>
      <c r="H1193" s="0" t="s">
        <v>21</v>
      </c>
      <c r="I1193" s="2" t="s">
        <v>22</v>
      </c>
      <c r="J1193" s="2" t="s">
        <v>854</v>
      </c>
      <c r="K1193" s="0" t="s">
        <v>855</v>
      </c>
      <c r="L1193" s="0" t="s">
        <v>182</v>
      </c>
      <c r="M1193" s="0" t="s">
        <v>857</v>
      </c>
      <c r="N1193" s="0" t="s">
        <v>2751</v>
      </c>
      <c r="O1193" s="0" t="n">
        <v>1</v>
      </c>
      <c r="P1193" s="0" t="s">
        <v>184</v>
      </c>
      <c r="R1193" s="3"/>
      <c r="S1193" s="2" t="s">
        <v>28</v>
      </c>
    </row>
    <row r="1194" customFormat="false" ht="15" hidden="false" customHeight="false" outlineLevel="0" collapsed="false">
      <c r="A1194" s="0" t="n">
        <v>1193</v>
      </c>
      <c r="D1194" s="0" t="s">
        <v>2752</v>
      </c>
      <c r="E1194" s="0" t="s">
        <v>20</v>
      </c>
      <c r="H1194" s="0" t="s">
        <v>21</v>
      </c>
      <c r="I1194" s="2" t="s">
        <v>22</v>
      </c>
      <c r="J1194" s="2" t="s">
        <v>854</v>
      </c>
      <c r="K1194" s="0" t="s">
        <v>855</v>
      </c>
      <c r="L1194" s="0" t="s">
        <v>420</v>
      </c>
      <c r="M1194" s="0" t="s">
        <v>857</v>
      </c>
      <c r="N1194" s="0" t="s">
        <v>2753</v>
      </c>
      <c r="O1194" s="0" t="n">
        <v>1</v>
      </c>
      <c r="P1194" s="0" t="s">
        <v>422</v>
      </c>
      <c r="R1194" s="3"/>
      <c r="S1194" s="2" t="s">
        <v>28</v>
      </c>
    </row>
    <row r="1195" customFormat="false" ht="15" hidden="false" customHeight="false" outlineLevel="0" collapsed="false">
      <c r="A1195" s="0" t="n">
        <v>1194</v>
      </c>
      <c r="D1195" s="0" t="s">
        <v>2754</v>
      </c>
      <c r="E1195" s="0" t="s">
        <v>20</v>
      </c>
      <c r="H1195" s="0" t="s">
        <v>21</v>
      </c>
      <c r="I1195" s="2" t="s">
        <v>22</v>
      </c>
      <c r="J1195" s="2" t="s">
        <v>854</v>
      </c>
      <c r="K1195" s="0" t="s">
        <v>855</v>
      </c>
      <c r="L1195" s="0" t="s">
        <v>420</v>
      </c>
      <c r="M1195" s="0" t="s">
        <v>857</v>
      </c>
      <c r="N1195" s="0" t="s">
        <v>2755</v>
      </c>
      <c r="O1195" s="0" t="n">
        <v>1</v>
      </c>
      <c r="P1195" s="0" t="s">
        <v>422</v>
      </c>
      <c r="R1195" s="3"/>
      <c r="S1195" s="2" t="s">
        <v>28</v>
      </c>
    </row>
    <row r="1196" customFormat="false" ht="15" hidden="false" customHeight="false" outlineLevel="0" collapsed="false">
      <c r="A1196" s="0" t="n">
        <v>1195</v>
      </c>
      <c r="D1196" s="0" t="s">
        <v>2756</v>
      </c>
      <c r="E1196" s="0" t="s">
        <v>20</v>
      </c>
      <c r="H1196" s="0" t="s">
        <v>21</v>
      </c>
      <c r="I1196" s="2" t="s">
        <v>22</v>
      </c>
      <c r="J1196" s="2" t="s">
        <v>854</v>
      </c>
      <c r="K1196" s="0" t="s">
        <v>855</v>
      </c>
      <c r="L1196" s="0" t="s">
        <v>25</v>
      </c>
      <c r="M1196" s="0" t="s">
        <v>857</v>
      </c>
      <c r="N1196" s="0" t="s">
        <v>2757</v>
      </c>
      <c r="O1196" s="0" t="n">
        <v>1</v>
      </c>
      <c r="R1196" s="3"/>
      <c r="S1196" s="2" t="s">
        <v>28</v>
      </c>
    </row>
    <row r="1197" customFormat="false" ht="15" hidden="false" customHeight="false" outlineLevel="0" collapsed="false">
      <c r="A1197" s="0" t="n">
        <v>1196</v>
      </c>
      <c r="D1197" s="0" t="s">
        <v>2758</v>
      </c>
      <c r="E1197" s="0" t="s">
        <v>287</v>
      </c>
      <c r="H1197" s="0" t="s">
        <v>21</v>
      </c>
      <c r="I1197" s="2" t="s">
        <v>22</v>
      </c>
      <c r="J1197" s="2" t="s">
        <v>854</v>
      </c>
      <c r="K1197" s="0" t="s">
        <v>855</v>
      </c>
      <c r="L1197" s="0" t="s">
        <v>25</v>
      </c>
      <c r="M1197" s="0" t="s">
        <v>857</v>
      </c>
      <c r="N1197" s="0" t="s">
        <v>2759</v>
      </c>
      <c r="O1197" s="0" t="n">
        <v>1</v>
      </c>
      <c r="P1197" s="0" t="s">
        <v>287</v>
      </c>
      <c r="R1197" s="3"/>
      <c r="S1197" s="2" t="s">
        <v>28</v>
      </c>
    </row>
    <row r="1198" customFormat="false" ht="15" hidden="false" customHeight="false" outlineLevel="0" collapsed="false">
      <c r="A1198" s="0" t="n">
        <v>1197</v>
      </c>
      <c r="D1198" s="0" t="s">
        <v>2760</v>
      </c>
      <c r="E1198" s="0" t="s">
        <v>20</v>
      </c>
      <c r="H1198" s="0" t="s">
        <v>21</v>
      </c>
      <c r="I1198" s="2" t="s">
        <v>22</v>
      </c>
      <c r="J1198" s="2" t="s">
        <v>854</v>
      </c>
      <c r="K1198" s="0" t="s">
        <v>855</v>
      </c>
      <c r="L1198" s="0" t="s">
        <v>25</v>
      </c>
      <c r="M1198" s="0" t="s">
        <v>857</v>
      </c>
      <c r="N1198" s="0" t="s">
        <v>2761</v>
      </c>
      <c r="O1198" s="0" t="n">
        <v>1</v>
      </c>
      <c r="P1198" s="0" t="s">
        <v>43</v>
      </c>
      <c r="R1198" s="3"/>
      <c r="S1198" s="2" t="s">
        <v>28</v>
      </c>
    </row>
    <row r="1199" customFormat="false" ht="15" hidden="false" customHeight="false" outlineLevel="0" collapsed="false">
      <c r="A1199" s="0" t="n">
        <v>1198</v>
      </c>
      <c r="D1199" s="0" t="s">
        <v>2762</v>
      </c>
      <c r="E1199" s="0" t="s">
        <v>20</v>
      </c>
      <c r="H1199" s="0" t="s">
        <v>21</v>
      </c>
      <c r="I1199" s="2" t="s">
        <v>22</v>
      </c>
      <c r="J1199" s="2" t="s">
        <v>854</v>
      </c>
      <c r="K1199" s="0" t="s">
        <v>855</v>
      </c>
      <c r="L1199" s="0" t="s">
        <v>25</v>
      </c>
      <c r="M1199" s="0" t="s">
        <v>857</v>
      </c>
      <c r="N1199" s="0" t="s">
        <v>2763</v>
      </c>
      <c r="O1199" s="0" t="n">
        <v>1</v>
      </c>
      <c r="R1199" s="3"/>
      <c r="S1199" s="2" t="s">
        <v>28</v>
      </c>
    </row>
    <row r="1200" customFormat="false" ht="15" hidden="false" customHeight="false" outlineLevel="0" collapsed="false">
      <c r="A1200" s="0" t="n">
        <v>1199</v>
      </c>
      <c r="D1200" s="0" t="s">
        <v>2764</v>
      </c>
      <c r="E1200" s="0" t="s">
        <v>20</v>
      </c>
      <c r="H1200" s="0" t="s">
        <v>21</v>
      </c>
      <c r="I1200" s="2" t="s">
        <v>22</v>
      </c>
      <c r="J1200" s="2" t="s">
        <v>854</v>
      </c>
      <c r="K1200" s="0" t="s">
        <v>855</v>
      </c>
      <c r="L1200" s="0" t="s">
        <v>25</v>
      </c>
      <c r="M1200" s="0" t="s">
        <v>857</v>
      </c>
      <c r="N1200" s="0" t="s">
        <v>2765</v>
      </c>
      <c r="O1200" s="0" t="n">
        <v>1</v>
      </c>
      <c r="R1200" s="3"/>
      <c r="S1200" s="2" t="s">
        <v>28</v>
      </c>
    </row>
    <row r="1201" customFormat="false" ht="15" hidden="false" customHeight="false" outlineLevel="0" collapsed="false">
      <c r="A1201" s="0" t="n">
        <v>1200</v>
      </c>
      <c r="D1201" s="0" t="s">
        <v>2766</v>
      </c>
      <c r="E1201" s="0" t="s">
        <v>188</v>
      </c>
      <c r="H1201" s="0" t="s">
        <v>21</v>
      </c>
      <c r="I1201" s="2" t="s">
        <v>22</v>
      </c>
      <c r="J1201" s="2" t="s">
        <v>854</v>
      </c>
      <c r="K1201" s="0" t="s">
        <v>855</v>
      </c>
      <c r="L1201" s="0" t="s">
        <v>25</v>
      </c>
      <c r="M1201" s="0" t="s">
        <v>857</v>
      </c>
      <c r="N1201" s="0" t="s">
        <v>2767</v>
      </c>
      <c r="O1201" s="0" t="n">
        <v>1</v>
      </c>
      <c r="P1201" s="0" t="s">
        <v>188</v>
      </c>
      <c r="R1201" s="3"/>
      <c r="S1201" s="2" t="s">
        <v>28</v>
      </c>
    </row>
    <row r="1202" customFormat="false" ht="15" hidden="false" customHeight="false" outlineLevel="0" collapsed="false">
      <c r="A1202" s="0" t="n">
        <v>1201</v>
      </c>
      <c r="D1202" s="0" t="s">
        <v>2768</v>
      </c>
      <c r="E1202" s="0" t="s">
        <v>20</v>
      </c>
      <c r="H1202" s="0" t="s">
        <v>21</v>
      </c>
      <c r="I1202" s="2" t="s">
        <v>22</v>
      </c>
      <c r="J1202" s="2" t="s">
        <v>854</v>
      </c>
      <c r="K1202" s="0" t="s">
        <v>855</v>
      </c>
      <c r="L1202" s="0" t="s">
        <v>25</v>
      </c>
      <c r="M1202" s="0" t="s">
        <v>857</v>
      </c>
      <c r="N1202" s="0" t="s">
        <v>2769</v>
      </c>
      <c r="O1202" s="0" t="n">
        <v>1</v>
      </c>
      <c r="P1202" s="0" t="s">
        <v>43</v>
      </c>
      <c r="R1202" s="3"/>
      <c r="S1202" s="2" t="s">
        <v>28</v>
      </c>
    </row>
    <row r="1203" customFormat="false" ht="15" hidden="false" customHeight="false" outlineLevel="0" collapsed="false">
      <c r="A1203" s="0" t="n">
        <v>1202</v>
      </c>
      <c r="D1203" s="0" t="s">
        <v>2770</v>
      </c>
      <c r="E1203" s="0" t="s">
        <v>20</v>
      </c>
      <c r="H1203" s="0" t="s">
        <v>21</v>
      </c>
      <c r="I1203" s="2" t="s">
        <v>22</v>
      </c>
      <c r="J1203" s="2" t="s">
        <v>854</v>
      </c>
      <c r="K1203" s="0" t="s">
        <v>855</v>
      </c>
      <c r="L1203" s="0" t="s">
        <v>25</v>
      </c>
      <c r="M1203" s="0" t="s">
        <v>857</v>
      </c>
      <c r="N1203" s="0" t="s">
        <v>2771</v>
      </c>
      <c r="O1203" s="0" t="n">
        <v>1</v>
      </c>
      <c r="R1203" s="3"/>
      <c r="S1203" s="2" t="s">
        <v>28</v>
      </c>
    </row>
    <row r="1204" customFormat="false" ht="15" hidden="false" customHeight="false" outlineLevel="0" collapsed="false">
      <c r="A1204" s="0" t="n">
        <v>1203</v>
      </c>
      <c r="D1204" s="0" t="s">
        <v>2772</v>
      </c>
      <c r="E1204" s="0" t="s">
        <v>20</v>
      </c>
      <c r="H1204" s="0" t="s">
        <v>21</v>
      </c>
      <c r="I1204" s="2" t="s">
        <v>22</v>
      </c>
      <c r="J1204" s="2" t="s">
        <v>854</v>
      </c>
      <c r="K1204" s="0" t="s">
        <v>855</v>
      </c>
      <c r="L1204" s="0" t="s">
        <v>2773</v>
      </c>
      <c r="M1204" s="0" t="s">
        <v>857</v>
      </c>
      <c r="N1204" s="0" t="s">
        <v>2774</v>
      </c>
      <c r="O1204" s="0" t="n">
        <v>1</v>
      </c>
      <c r="Q1204" s="0" t="s">
        <v>2775</v>
      </c>
      <c r="R1204" s="3"/>
      <c r="S1204" s="2" t="s">
        <v>2776</v>
      </c>
    </row>
    <row r="1205" customFormat="false" ht="15" hidden="false" customHeight="false" outlineLevel="0" collapsed="false">
      <c r="A1205" s="0" t="n">
        <v>1204</v>
      </c>
      <c r="D1205" s="0" t="s">
        <v>2777</v>
      </c>
      <c r="E1205" s="0" t="s">
        <v>20</v>
      </c>
      <c r="H1205" s="0" t="s">
        <v>21</v>
      </c>
      <c r="I1205" s="2" t="s">
        <v>22</v>
      </c>
      <c r="J1205" s="2" t="s">
        <v>854</v>
      </c>
      <c r="K1205" s="0" t="s">
        <v>855</v>
      </c>
      <c r="L1205" s="0" t="s">
        <v>25</v>
      </c>
      <c r="M1205" s="0" t="s">
        <v>857</v>
      </c>
      <c r="N1205" s="0" t="s">
        <v>2778</v>
      </c>
      <c r="O1205" s="0" t="n">
        <v>1</v>
      </c>
      <c r="R1205" s="3"/>
      <c r="S1205" s="2" t="s">
        <v>28</v>
      </c>
    </row>
    <row r="1206" customFormat="false" ht="15" hidden="false" customHeight="false" outlineLevel="0" collapsed="false">
      <c r="A1206" s="0" t="n">
        <v>1205</v>
      </c>
      <c r="D1206" s="0" t="s">
        <v>2779</v>
      </c>
      <c r="E1206" s="0" t="s">
        <v>268</v>
      </c>
      <c r="H1206" s="0" t="s">
        <v>21</v>
      </c>
      <c r="I1206" s="2" t="s">
        <v>22</v>
      </c>
      <c r="J1206" s="2" t="s">
        <v>854</v>
      </c>
      <c r="K1206" s="0" t="s">
        <v>855</v>
      </c>
      <c r="L1206" s="0" t="s">
        <v>25</v>
      </c>
      <c r="M1206" s="0" t="s">
        <v>857</v>
      </c>
      <c r="N1206" s="0" t="s">
        <v>448</v>
      </c>
      <c r="O1206" s="0" t="n">
        <v>1</v>
      </c>
      <c r="P1206" s="0" t="s">
        <v>268</v>
      </c>
      <c r="R1206" s="3"/>
      <c r="S1206" s="2" t="s">
        <v>28</v>
      </c>
    </row>
    <row r="1207" customFormat="false" ht="15" hidden="false" customHeight="false" outlineLevel="0" collapsed="false">
      <c r="A1207" s="0" t="n">
        <v>1206</v>
      </c>
      <c r="D1207" s="0" t="s">
        <v>2780</v>
      </c>
      <c r="E1207" s="0" t="s">
        <v>20</v>
      </c>
      <c r="H1207" s="0" t="s">
        <v>21</v>
      </c>
      <c r="I1207" s="2" t="s">
        <v>22</v>
      </c>
      <c r="J1207" s="2" t="s">
        <v>854</v>
      </c>
      <c r="K1207" s="0" t="s">
        <v>855</v>
      </c>
      <c r="L1207" s="0" t="s">
        <v>25</v>
      </c>
      <c r="M1207" s="0" t="s">
        <v>857</v>
      </c>
      <c r="N1207" s="0" t="s">
        <v>2781</v>
      </c>
      <c r="O1207" s="0" t="n">
        <v>1</v>
      </c>
      <c r="R1207" s="3"/>
      <c r="S1207" s="2" t="s">
        <v>28</v>
      </c>
    </row>
    <row r="1208" customFormat="false" ht="15" hidden="false" customHeight="false" outlineLevel="0" collapsed="false">
      <c r="A1208" s="0" t="n">
        <v>1207</v>
      </c>
      <c r="D1208" s="0" t="s">
        <v>2782</v>
      </c>
      <c r="E1208" s="0" t="s">
        <v>20</v>
      </c>
      <c r="H1208" s="0" t="s">
        <v>21</v>
      </c>
      <c r="I1208" s="2" t="s">
        <v>22</v>
      </c>
      <c r="J1208" s="2" t="s">
        <v>854</v>
      </c>
      <c r="K1208" s="0" t="s">
        <v>855</v>
      </c>
      <c r="L1208" s="0" t="s">
        <v>25</v>
      </c>
      <c r="M1208" s="0" t="s">
        <v>857</v>
      </c>
      <c r="N1208" s="0" t="s">
        <v>2783</v>
      </c>
      <c r="O1208" s="0" t="n">
        <v>1</v>
      </c>
      <c r="R1208" s="3"/>
      <c r="S1208" s="2" t="s">
        <v>28</v>
      </c>
    </row>
    <row r="1209" customFormat="false" ht="15" hidden="false" customHeight="false" outlineLevel="0" collapsed="false">
      <c r="A1209" s="0" t="n">
        <v>1208</v>
      </c>
      <c r="D1209" s="0" t="s">
        <v>2784</v>
      </c>
      <c r="E1209" s="0" t="s">
        <v>20</v>
      </c>
      <c r="H1209" s="0" t="s">
        <v>21</v>
      </c>
      <c r="I1209" s="2" t="s">
        <v>22</v>
      </c>
      <c r="J1209" s="2" t="s">
        <v>854</v>
      </c>
      <c r="K1209" s="0" t="s">
        <v>855</v>
      </c>
      <c r="L1209" s="0" t="s">
        <v>420</v>
      </c>
      <c r="M1209" s="0" t="s">
        <v>857</v>
      </c>
      <c r="N1209" s="0" t="s">
        <v>2785</v>
      </c>
      <c r="O1209" s="0" t="n">
        <v>1</v>
      </c>
      <c r="P1209" s="0" t="s">
        <v>422</v>
      </c>
      <c r="R1209" s="3"/>
      <c r="S1209" s="2" t="s">
        <v>28</v>
      </c>
    </row>
    <row r="1210" customFormat="false" ht="15" hidden="false" customHeight="false" outlineLevel="0" collapsed="false">
      <c r="A1210" s="0" t="n">
        <v>1209</v>
      </c>
      <c r="D1210" s="0" t="s">
        <v>2786</v>
      </c>
      <c r="E1210" s="0" t="s">
        <v>20</v>
      </c>
      <c r="H1210" s="0" t="s">
        <v>21</v>
      </c>
      <c r="I1210" s="2" t="s">
        <v>22</v>
      </c>
      <c r="J1210" s="2" t="s">
        <v>854</v>
      </c>
      <c r="K1210" s="0" t="s">
        <v>855</v>
      </c>
      <c r="L1210" s="0" t="s">
        <v>25</v>
      </c>
      <c r="M1210" s="0" t="s">
        <v>857</v>
      </c>
      <c r="N1210" s="0" t="s">
        <v>2787</v>
      </c>
      <c r="O1210" s="0" t="n">
        <v>1</v>
      </c>
      <c r="R1210" s="3"/>
      <c r="S1210" s="2" t="s">
        <v>28</v>
      </c>
    </row>
    <row r="1211" customFormat="false" ht="15" hidden="false" customHeight="false" outlineLevel="0" collapsed="false">
      <c r="A1211" s="0" t="n">
        <v>1210</v>
      </c>
      <c r="D1211" s="0" t="s">
        <v>2788</v>
      </c>
      <c r="E1211" s="0" t="s">
        <v>20</v>
      </c>
      <c r="H1211" s="0" t="s">
        <v>21</v>
      </c>
      <c r="I1211" s="2" t="s">
        <v>22</v>
      </c>
      <c r="J1211" s="2" t="s">
        <v>854</v>
      </c>
      <c r="K1211" s="0" t="s">
        <v>855</v>
      </c>
      <c r="L1211" s="0" t="s">
        <v>182</v>
      </c>
      <c r="M1211" s="0" t="s">
        <v>857</v>
      </c>
      <c r="N1211" s="0" t="s">
        <v>2789</v>
      </c>
      <c r="O1211" s="0" t="n">
        <v>1</v>
      </c>
      <c r="P1211" s="0" t="s">
        <v>184</v>
      </c>
      <c r="R1211" s="3"/>
      <c r="S1211" s="2" t="s">
        <v>28</v>
      </c>
    </row>
    <row r="1212" customFormat="false" ht="15" hidden="false" customHeight="false" outlineLevel="0" collapsed="false">
      <c r="A1212" s="0" t="n">
        <v>1211</v>
      </c>
      <c r="D1212" s="0" t="s">
        <v>2790</v>
      </c>
      <c r="E1212" s="0" t="s">
        <v>268</v>
      </c>
      <c r="H1212" s="0" t="s">
        <v>21</v>
      </c>
      <c r="I1212" s="2" t="s">
        <v>22</v>
      </c>
      <c r="J1212" s="2" t="s">
        <v>854</v>
      </c>
      <c r="K1212" s="0" t="s">
        <v>855</v>
      </c>
      <c r="L1212" s="0" t="s">
        <v>25</v>
      </c>
      <c r="M1212" s="0" t="s">
        <v>857</v>
      </c>
      <c r="N1212" s="0" t="s">
        <v>2791</v>
      </c>
      <c r="O1212" s="0" t="n">
        <v>1</v>
      </c>
      <c r="P1212" s="0" t="s">
        <v>268</v>
      </c>
      <c r="R1212" s="3"/>
      <c r="S1212" s="2" t="s">
        <v>28</v>
      </c>
    </row>
    <row r="1213" customFormat="false" ht="15" hidden="false" customHeight="false" outlineLevel="0" collapsed="false">
      <c r="A1213" s="0" t="n">
        <v>1212</v>
      </c>
      <c r="D1213" s="0" t="s">
        <v>2792</v>
      </c>
      <c r="E1213" s="0" t="s">
        <v>20</v>
      </c>
      <c r="H1213" s="0" t="s">
        <v>21</v>
      </c>
      <c r="I1213" s="2" t="s">
        <v>22</v>
      </c>
      <c r="J1213" s="2" t="s">
        <v>854</v>
      </c>
      <c r="K1213" s="0" t="s">
        <v>855</v>
      </c>
      <c r="L1213" s="0" t="s">
        <v>25</v>
      </c>
      <c r="M1213" s="0" t="s">
        <v>857</v>
      </c>
      <c r="N1213" s="0" t="s">
        <v>2793</v>
      </c>
      <c r="O1213" s="0" t="n">
        <v>1</v>
      </c>
      <c r="R1213" s="3"/>
      <c r="S1213" s="2" t="s">
        <v>28</v>
      </c>
    </row>
    <row r="1214" customFormat="false" ht="15" hidden="false" customHeight="false" outlineLevel="0" collapsed="false">
      <c r="A1214" s="0" t="n">
        <v>1213</v>
      </c>
      <c r="D1214" s="0" t="s">
        <v>2794</v>
      </c>
      <c r="E1214" s="0" t="s">
        <v>20</v>
      </c>
      <c r="H1214" s="0" t="s">
        <v>21</v>
      </c>
      <c r="I1214" s="2" t="s">
        <v>22</v>
      </c>
      <c r="J1214" s="2" t="s">
        <v>854</v>
      </c>
      <c r="K1214" s="0" t="s">
        <v>855</v>
      </c>
      <c r="L1214" s="0" t="s">
        <v>25</v>
      </c>
      <c r="M1214" s="0" t="s">
        <v>857</v>
      </c>
      <c r="N1214" s="0" t="s">
        <v>2795</v>
      </c>
      <c r="O1214" s="0" t="n">
        <v>1</v>
      </c>
      <c r="R1214" s="3"/>
      <c r="S1214" s="2" t="s">
        <v>28</v>
      </c>
    </row>
    <row r="1215" customFormat="false" ht="15" hidden="false" customHeight="false" outlineLevel="0" collapsed="false">
      <c r="A1215" s="0" t="n">
        <v>1214</v>
      </c>
      <c r="D1215" s="0" t="s">
        <v>2796</v>
      </c>
      <c r="E1215" s="0" t="s">
        <v>20</v>
      </c>
      <c r="H1215" s="0" t="s">
        <v>21</v>
      </c>
      <c r="I1215" s="2" t="s">
        <v>22</v>
      </c>
      <c r="J1215" s="2" t="s">
        <v>854</v>
      </c>
      <c r="K1215" s="0" t="s">
        <v>855</v>
      </c>
      <c r="L1215" s="0" t="s">
        <v>420</v>
      </c>
      <c r="M1215" s="0" t="s">
        <v>857</v>
      </c>
      <c r="N1215" s="0" t="s">
        <v>2797</v>
      </c>
      <c r="O1215" s="0" t="n">
        <v>1</v>
      </c>
      <c r="P1215" s="0" t="s">
        <v>422</v>
      </c>
      <c r="R1215" s="3"/>
      <c r="S1215" s="2" t="s">
        <v>28</v>
      </c>
    </row>
    <row r="1216" customFormat="false" ht="15" hidden="false" customHeight="false" outlineLevel="0" collapsed="false">
      <c r="A1216" s="0" t="n">
        <v>1215</v>
      </c>
      <c r="D1216" s="0" t="s">
        <v>2798</v>
      </c>
      <c r="E1216" s="0" t="s">
        <v>20</v>
      </c>
      <c r="H1216" s="0" t="s">
        <v>21</v>
      </c>
      <c r="I1216" s="2" t="s">
        <v>22</v>
      </c>
      <c r="J1216" s="2" t="s">
        <v>854</v>
      </c>
      <c r="K1216" s="0" t="s">
        <v>855</v>
      </c>
      <c r="L1216" s="0" t="s">
        <v>25</v>
      </c>
      <c r="M1216" s="0" t="s">
        <v>857</v>
      </c>
      <c r="N1216" s="0" t="s">
        <v>2799</v>
      </c>
      <c r="O1216" s="0" t="n">
        <v>1</v>
      </c>
      <c r="R1216" s="3"/>
      <c r="S1216" s="2" t="s">
        <v>28</v>
      </c>
    </row>
    <row r="1217" customFormat="false" ht="15" hidden="false" customHeight="false" outlineLevel="0" collapsed="false">
      <c r="A1217" s="0" t="n">
        <v>1216</v>
      </c>
      <c r="D1217" s="0" t="s">
        <v>2800</v>
      </c>
      <c r="E1217" s="0" t="s">
        <v>20</v>
      </c>
      <c r="H1217" s="0" t="s">
        <v>21</v>
      </c>
      <c r="I1217" s="2" t="s">
        <v>22</v>
      </c>
      <c r="J1217" s="2" t="s">
        <v>854</v>
      </c>
      <c r="K1217" s="0" t="s">
        <v>855</v>
      </c>
      <c r="L1217" s="0" t="s">
        <v>2801</v>
      </c>
      <c r="M1217" s="0" t="s">
        <v>857</v>
      </c>
      <c r="N1217" s="0" t="s">
        <v>2802</v>
      </c>
      <c r="O1217" s="0" t="n">
        <v>1</v>
      </c>
      <c r="Q1217" s="0" t="s">
        <v>2803</v>
      </c>
      <c r="R1217" s="3"/>
      <c r="S1217" s="2" t="s">
        <v>2804</v>
      </c>
    </row>
    <row r="1218" customFormat="false" ht="15" hidden="false" customHeight="false" outlineLevel="0" collapsed="false">
      <c r="A1218" s="0" t="n">
        <v>1217</v>
      </c>
      <c r="D1218" s="0" t="s">
        <v>2805</v>
      </c>
      <c r="E1218" s="0" t="s">
        <v>1539</v>
      </c>
      <c r="H1218" s="0" t="s">
        <v>21</v>
      </c>
      <c r="I1218" s="2" t="s">
        <v>22</v>
      </c>
      <c r="J1218" s="2" t="s">
        <v>854</v>
      </c>
      <c r="K1218" s="0" t="s">
        <v>855</v>
      </c>
      <c r="L1218" s="0" t="s">
        <v>889</v>
      </c>
      <c r="M1218" s="0" t="s">
        <v>857</v>
      </c>
      <c r="N1218" s="0" t="s">
        <v>2806</v>
      </c>
      <c r="O1218" s="0" t="n">
        <v>1</v>
      </c>
      <c r="R1218" s="3"/>
      <c r="S1218" s="2" t="s">
        <v>28</v>
      </c>
    </row>
    <row r="1219" customFormat="false" ht="15" hidden="false" customHeight="false" outlineLevel="0" collapsed="false">
      <c r="A1219" s="0" t="n">
        <v>1218</v>
      </c>
      <c r="D1219" s="0" t="s">
        <v>2807</v>
      </c>
      <c r="E1219" s="0" t="s">
        <v>410</v>
      </c>
      <c r="H1219" s="0" t="s">
        <v>21</v>
      </c>
      <c r="I1219" s="2" t="s">
        <v>22</v>
      </c>
      <c r="J1219" s="2" t="s">
        <v>854</v>
      </c>
      <c r="K1219" s="0" t="s">
        <v>855</v>
      </c>
      <c r="L1219" s="0" t="s">
        <v>25</v>
      </c>
      <c r="M1219" s="0" t="s">
        <v>857</v>
      </c>
      <c r="N1219" s="0" t="s">
        <v>2808</v>
      </c>
      <c r="O1219" s="0" t="n">
        <v>1</v>
      </c>
      <c r="P1219" s="0" t="s">
        <v>410</v>
      </c>
      <c r="R1219" s="3"/>
      <c r="S1219" s="2" t="s">
        <v>28</v>
      </c>
    </row>
    <row r="1220" customFormat="false" ht="15" hidden="false" customHeight="false" outlineLevel="0" collapsed="false">
      <c r="A1220" s="0" t="n">
        <v>1219</v>
      </c>
      <c r="D1220" s="0" t="s">
        <v>2809</v>
      </c>
      <c r="E1220" s="0" t="s">
        <v>20</v>
      </c>
      <c r="H1220" s="0" t="s">
        <v>21</v>
      </c>
      <c r="I1220" s="2" t="s">
        <v>22</v>
      </c>
      <c r="J1220" s="2" t="s">
        <v>854</v>
      </c>
      <c r="K1220" s="0" t="s">
        <v>855</v>
      </c>
      <c r="L1220" s="0" t="s">
        <v>25</v>
      </c>
      <c r="M1220" s="0" t="s">
        <v>857</v>
      </c>
      <c r="N1220" s="0" t="s">
        <v>2810</v>
      </c>
      <c r="O1220" s="0" t="n">
        <v>1</v>
      </c>
      <c r="R1220" s="3"/>
      <c r="S1220" s="2" t="s">
        <v>28</v>
      </c>
    </row>
    <row r="1221" customFormat="false" ht="15" hidden="false" customHeight="false" outlineLevel="0" collapsed="false">
      <c r="A1221" s="0" t="n">
        <v>1220</v>
      </c>
      <c r="D1221" s="0" t="s">
        <v>2811</v>
      </c>
      <c r="E1221" s="0" t="s">
        <v>888</v>
      </c>
      <c r="H1221" s="0" t="s">
        <v>21</v>
      </c>
      <c r="I1221" s="2" t="s">
        <v>22</v>
      </c>
      <c r="J1221" s="2" t="s">
        <v>854</v>
      </c>
      <c r="K1221" s="0" t="s">
        <v>855</v>
      </c>
      <c r="L1221" s="0" t="s">
        <v>889</v>
      </c>
      <c r="M1221" s="0" t="s">
        <v>857</v>
      </c>
      <c r="N1221" s="0" t="s">
        <v>2812</v>
      </c>
      <c r="O1221" s="0" t="n">
        <v>1</v>
      </c>
      <c r="R1221" s="3"/>
      <c r="S1221" s="2" t="s">
        <v>28</v>
      </c>
    </row>
    <row r="1222" customFormat="false" ht="15" hidden="false" customHeight="false" outlineLevel="0" collapsed="false">
      <c r="A1222" s="0" t="n">
        <v>1221</v>
      </c>
      <c r="D1222" s="0" t="s">
        <v>2813</v>
      </c>
      <c r="E1222" s="0" t="s">
        <v>20</v>
      </c>
      <c r="H1222" s="0" t="s">
        <v>21</v>
      </c>
      <c r="I1222" s="2" t="s">
        <v>22</v>
      </c>
      <c r="J1222" s="2" t="s">
        <v>854</v>
      </c>
      <c r="K1222" s="0" t="s">
        <v>855</v>
      </c>
      <c r="L1222" s="0" t="s">
        <v>25</v>
      </c>
      <c r="M1222" s="0" t="s">
        <v>857</v>
      </c>
      <c r="N1222" s="0" t="s">
        <v>2814</v>
      </c>
      <c r="O1222" s="0" t="n">
        <v>1</v>
      </c>
      <c r="R1222" s="3"/>
      <c r="S1222" s="2" t="s">
        <v>28</v>
      </c>
    </row>
    <row r="1223" customFormat="false" ht="15" hidden="false" customHeight="false" outlineLevel="0" collapsed="false">
      <c r="A1223" s="0" t="n">
        <v>1222</v>
      </c>
      <c r="D1223" s="0" t="s">
        <v>2815</v>
      </c>
      <c r="E1223" s="0" t="s">
        <v>20</v>
      </c>
      <c r="H1223" s="0" t="s">
        <v>21</v>
      </c>
      <c r="I1223" s="2" t="s">
        <v>22</v>
      </c>
      <c r="J1223" s="2" t="s">
        <v>854</v>
      </c>
      <c r="K1223" s="0" t="s">
        <v>855</v>
      </c>
      <c r="L1223" s="0" t="s">
        <v>420</v>
      </c>
      <c r="M1223" s="0" t="s">
        <v>857</v>
      </c>
      <c r="N1223" s="0" t="s">
        <v>2816</v>
      </c>
      <c r="O1223" s="0" t="n">
        <v>1</v>
      </c>
      <c r="P1223" s="0" t="s">
        <v>422</v>
      </c>
      <c r="R1223" s="3"/>
      <c r="S1223" s="2" t="s">
        <v>28</v>
      </c>
    </row>
    <row r="1224" customFormat="false" ht="15" hidden="false" customHeight="false" outlineLevel="0" collapsed="false">
      <c r="A1224" s="0" t="n">
        <v>1223</v>
      </c>
      <c r="D1224" s="0" t="s">
        <v>2817</v>
      </c>
      <c r="E1224" s="0" t="s">
        <v>253</v>
      </c>
      <c r="H1224" s="0" t="s">
        <v>21</v>
      </c>
      <c r="I1224" s="2" t="s">
        <v>22</v>
      </c>
      <c r="J1224" s="2" t="s">
        <v>854</v>
      </c>
      <c r="K1224" s="0" t="s">
        <v>855</v>
      </c>
      <c r="L1224" s="0" t="s">
        <v>25</v>
      </c>
      <c r="M1224" s="0" t="s">
        <v>857</v>
      </c>
      <c r="N1224" s="0" t="s">
        <v>2818</v>
      </c>
      <c r="O1224" s="0" t="n">
        <v>1</v>
      </c>
      <c r="P1224" s="0" t="s">
        <v>253</v>
      </c>
      <c r="R1224" s="3"/>
      <c r="S1224" s="2" t="s">
        <v>28</v>
      </c>
    </row>
    <row r="1225" customFormat="false" ht="15" hidden="false" customHeight="false" outlineLevel="0" collapsed="false">
      <c r="A1225" s="0" t="n">
        <v>1224</v>
      </c>
      <c r="D1225" s="0" t="s">
        <v>2819</v>
      </c>
      <c r="E1225" s="0" t="s">
        <v>68</v>
      </c>
      <c r="H1225" s="0" t="s">
        <v>21</v>
      </c>
      <c r="I1225" s="2" t="s">
        <v>22</v>
      </c>
      <c r="J1225" s="2" t="s">
        <v>854</v>
      </c>
      <c r="K1225" s="0" t="s">
        <v>855</v>
      </c>
      <c r="L1225" s="0" t="s">
        <v>25</v>
      </c>
      <c r="M1225" s="0" t="s">
        <v>857</v>
      </c>
      <c r="N1225" s="0" t="s">
        <v>2820</v>
      </c>
      <c r="O1225" s="0" t="n">
        <v>1</v>
      </c>
      <c r="P1225" s="0" t="s">
        <v>68</v>
      </c>
      <c r="R1225" s="3"/>
      <c r="S1225" s="2" t="s">
        <v>28</v>
      </c>
    </row>
    <row r="1226" customFormat="false" ht="15" hidden="false" customHeight="false" outlineLevel="0" collapsed="false">
      <c r="A1226" s="0" t="n">
        <v>1225</v>
      </c>
      <c r="D1226" s="0" t="s">
        <v>2821</v>
      </c>
      <c r="E1226" s="0" t="s">
        <v>20</v>
      </c>
      <c r="H1226" s="0" t="s">
        <v>21</v>
      </c>
      <c r="I1226" s="2" t="s">
        <v>22</v>
      </c>
      <c r="J1226" s="2" t="s">
        <v>854</v>
      </c>
      <c r="K1226" s="0" t="s">
        <v>855</v>
      </c>
      <c r="L1226" s="0" t="s">
        <v>25</v>
      </c>
      <c r="M1226" s="0" t="s">
        <v>857</v>
      </c>
      <c r="N1226" s="0" t="s">
        <v>2822</v>
      </c>
      <c r="O1226" s="0" t="n">
        <v>1</v>
      </c>
      <c r="R1226" s="3"/>
      <c r="S1226" s="2" t="s">
        <v>28</v>
      </c>
    </row>
    <row r="1227" customFormat="false" ht="15" hidden="false" customHeight="false" outlineLevel="0" collapsed="false">
      <c r="A1227" s="0" t="n">
        <v>1226</v>
      </c>
      <c r="D1227" s="0" t="s">
        <v>2823</v>
      </c>
      <c r="E1227" s="0" t="s">
        <v>287</v>
      </c>
      <c r="H1227" s="0" t="s">
        <v>21</v>
      </c>
      <c r="I1227" s="2" t="s">
        <v>22</v>
      </c>
      <c r="J1227" s="2" t="s">
        <v>854</v>
      </c>
      <c r="K1227" s="0" t="s">
        <v>855</v>
      </c>
      <c r="L1227" s="0" t="s">
        <v>25</v>
      </c>
      <c r="M1227" s="0" t="s">
        <v>857</v>
      </c>
      <c r="N1227" s="0" t="s">
        <v>2824</v>
      </c>
      <c r="O1227" s="0" t="n">
        <v>1</v>
      </c>
      <c r="P1227" s="0" t="s">
        <v>287</v>
      </c>
      <c r="R1227" s="3"/>
      <c r="S1227" s="2" t="s">
        <v>28</v>
      </c>
    </row>
    <row r="1228" customFormat="false" ht="15" hidden="false" customHeight="false" outlineLevel="0" collapsed="false">
      <c r="A1228" s="0" t="n">
        <v>1227</v>
      </c>
      <c r="D1228" s="0" t="s">
        <v>2825</v>
      </c>
      <c r="E1228" s="0" t="s">
        <v>253</v>
      </c>
      <c r="H1228" s="0" t="s">
        <v>21</v>
      </c>
      <c r="I1228" s="2" t="s">
        <v>22</v>
      </c>
      <c r="J1228" s="2" t="s">
        <v>854</v>
      </c>
      <c r="K1228" s="0" t="s">
        <v>855</v>
      </c>
      <c r="L1228" s="0" t="s">
        <v>25</v>
      </c>
      <c r="M1228" s="0" t="s">
        <v>857</v>
      </c>
      <c r="N1228" s="0" t="s">
        <v>2826</v>
      </c>
      <c r="O1228" s="0" t="n">
        <v>1</v>
      </c>
      <c r="P1228" s="0" t="s">
        <v>253</v>
      </c>
      <c r="R1228" s="3"/>
      <c r="S1228" s="2" t="s">
        <v>28</v>
      </c>
    </row>
    <row r="1229" customFormat="false" ht="15" hidden="false" customHeight="false" outlineLevel="0" collapsed="false">
      <c r="A1229" s="0" t="n">
        <v>1228</v>
      </c>
      <c r="D1229" s="0" t="s">
        <v>2827</v>
      </c>
      <c r="E1229" s="0" t="s">
        <v>253</v>
      </c>
      <c r="H1229" s="0" t="s">
        <v>21</v>
      </c>
      <c r="I1229" s="2" t="s">
        <v>22</v>
      </c>
      <c r="J1229" s="2" t="s">
        <v>854</v>
      </c>
      <c r="K1229" s="0" t="s">
        <v>855</v>
      </c>
      <c r="L1229" s="0" t="s">
        <v>25</v>
      </c>
      <c r="M1229" s="0" t="s">
        <v>857</v>
      </c>
      <c r="N1229" s="0" t="s">
        <v>2828</v>
      </c>
      <c r="O1229" s="0" t="n">
        <v>1</v>
      </c>
      <c r="P1229" s="0" t="s">
        <v>253</v>
      </c>
      <c r="R1229" s="3"/>
      <c r="S1229" s="2" t="s">
        <v>28</v>
      </c>
    </row>
    <row r="1230" customFormat="false" ht="15" hidden="false" customHeight="false" outlineLevel="0" collapsed="false">
      <c r="A1230" s="0" t="n">
        <v>1229</v>
      </c>
      <c r="D1230" s="0" t="s">
        <v>2829</v>
      </c>
      <c r="E1230" s="0" t="s">
        <v>253</v>
      </c>
      <c r="H1230" s="0" t="s">
        <v>21</v>
      </c>
      <c r="I1230" s="2" t="s">
        <v>22</v>
      </c>
      <c r="J1230" s="2" t="s">
        <v>854</v>
      </c>
      <c r="K1230" s="0" t="s">
        <v>855</v>
      </c>
      <c r="L1230" s="0" t="s">
        <v>2830</v>
      </c>
      <c r="M1230" s="0" t="s">
        <v>857</v>
      </c>
      <c r="N1230" s="0" t="s">
        <v>2831</v>
      </c>
      <c r="O1230" s="0" t="n">
        <v>1</v>
      </c>
      <c r="P1230" s="0" t="s">
        <v>253</v>
      </c>
      <c r="Q1230" s="0" t="s">
        <v>2832</v>
      </c>
      <c r="R1230" s="3"/>
      <c r="S1230" s="2" t="s">
        <v>2833</v>
      </c>
    </row>
    <row r="1231" customFormat="false" ht="15" hidden="false" customHeight="false" outlineLevel="0" collapsed="false">
      <c r="A1231" s="0" t="n">
        <v>1230</v>
      </c>
      <c r="D1231" s="0" t="s">
        <v>2834</v>
      </c>
      <c r="E1231" s="0" t="s">
        <v>829</v>
      </c>
      <c r="H1231" s="0" t="s">
        <v>21</v>
      </c>
      <c r="I1231" s="2" t="s">
        <v>22</v>
      </c>
      <c r="J1231" s="2" t="s">
        <v>854</v>
      </c>
      <c r="K1231" s="0" t="s">
        <v>855</v>
      </c>
      <c r="L1231" s="0" t="s">
        <v>25</v>
      </c>
      <c r="M1231" s="0" t="s">
        <v>857</v>
      </c>
      <c r="N1231" s="0" t="s">
        <v>2835</v>
      </c>
      <c r="O1231" s="0" t="n">
        <v>1</v>
      </c>
      <c r="P1231" s="0" t="s">
        <v>829</v>
      </c>
      <c r="R1231" s="3"/>
      <c r="S1231" s="2" t="s">
        <v>28</v>
      </c>
    </row>
    <row r="1232" customFormat="false" ht="15" hidden="false" customHeight="false" outlineLevel="0" collapsed="false">
      <c r="A1232" s="0" t="n">
        <v>1231</v>
      </c>
      <c r="D1232" s="0" t="s">
        <v>2836</v>
      </c>
      <c r="E1232" s="0" t="s">
        <v>20</v>
      </c>
      <c r="H1232" s="0" t="s">
        <v>21</v>
      </c>
      <c r="I1232" s="2" t="s">
        <v>22</v>
      </c>
      <c r="J1232" s="2" t="s">
        <v>854</v>
      </c>
      <c r="K1232" s="0" t="s">
        <v>855</v>
      </c>
      <c r="L1232" s="0" t="s">
        <v>25</v>
      </c>
      <c r="M1232" s="0" t="s">
        <v>857</v>
      </c>
      <c r="N1232" s="0" t="s">
        <v>2837</v>
      </c>
      <c r="O1232" s="0" t="n">
        <v>1</v>
      </c>
      <c r="R1232" s="3"/>
      <c r="S1232" s="2" t="s">
        <v>28</v>
      </c>
    </row>
    <row r="1233" customFormat="false" ht="15" hidden="false" customHeight="false" outlineLevel="0" collapsed="false">
      <c r="A1233" s="0" t="n">
        <v>1232</v>
      </c>
      <c r="D1233" s="0" t="s">
        <v>2838</v>
      </c>
      <c r="E1233" s="0" t="s">
        <v>20</v>
      </c>
      <c r="H1233" s="0" t="s">
        <v>21</v>
      </c>
      <c r="I1233" s="2" t="s">
        <v>22</v>
      </c>
      <c r="J1233" s="2" t="s">
        <v>854</v>
      </c>
      <c r="K1233" s="0" t="s">
        <v>855</v>
      </c>
      <c r="L1233" s="0" t="s">
        <v>25</v>
      </c>
      <c r="M1233" s="0" t="s">
        <v>857</v>
      </c>
      <c r="N1233" s="0" t="s">
        <v>2839</v>
      </c>
      <c r="O1233" s="0" t="n">
        <v>1</v>
      </c>
      <c r="R1233" s="3"/>
      <c r="S1233" s="2" t="s">
        <v>28</v>
      </c>
    </row>
    <row r="1234" customFormat="false" ht="15" hidden="false" customHeight="false" outlineLevel="0" collapsed="false">
      <c r="A1234" s="0" t="n">
        <v>1233</v>
      </c>
      <c r="D1234" s="0" t="s">
        <v>2840</v>
      </c>
      <c r="E1234" s="0" t="s">
        <v>20</v>
      </c>
      <c r="H1234" s="0" t="s">
        <v>21</v>
      </c>
      <c r="I1234" s="2" t="s">
        <v>22</v>
      </c>
      <c r="J1234" s="2" t="s">
        <v>854</v>
      </c>
      <c r="K1234" s="0" t="s">
        <v>855</v>
      </c>
      <c r="L1234" s="0" t="s">
        <v>25</v>
      </c>
      <c r="M1234" s="0" t="s">
        <v>857</v>
      </c>
      <c r="N1234" s="0" t="s">
        <v>2841</v>
      </c>
      <c r="O1234" s="0" t="n">
        <v>1</v>
      </c>
      <c r="R1234" s="3"/>
      <c r="S1234" s="2" t="s">
        <v>28</v>
      </c>
    </row>
    <row r="1235" customFormat="false" ht="15" hidden="false" customHeight="false" outlineLevel="0" collapsed="false">
      <c r="A1235" s="0" t="n">
        <v>1234</v>
      </c>
      <c r="D1235" s="0" t="s">
        <v>2842</v>
      </c>
      <c r="E1235" s="0" t="s">
        <v>20</v>
      </c>
      <c r="H1235" s="0" t="s">
        <v>21</v>
      </c>
      <c r="I1235" s="2" t="s">
        <v>22</v>
      </c>
      <c r="J1235" s="2" t="s">
        <v>854</v>
      </c>
      <c r="K1235" s="0" t="s">
        <v>855</v>
      </c>
      <c r="L1235" s="0" t="s">
        <v>25</v>
      </c>
      <c r="M1235" s="0" t="s">
        <v>857</v>
      </c>
      <c r="N1235" s="0" t="s">
        <v>2843</v>
      </c>
      <c r="O1235" s="0" t="n">
        <v>1</v>
      </c>
      <c r="R1235" s="3"/>
      <c r="S1235" s="2" t="s">
        <v>28</v>
      </c>
    </row>
    <row r="1236" customFormat="false" ht="15" hidden="false" customHeight="false" outlineLevel="0" collapsed="false">
      <c r="A1236" s="0" t="n">
        <v>1235</v>
      </c>
      <c r="D1236" s="0" t="s">
        <v>2844</v>
      </c>
      <c r="E1236" s="0" t="s">
        <v>20</v>
      </c>
      <c r="H1236" s="0" t="s">
        <v>21</v>
      </c>
      <c r="I1236" s="2" t="s">
        <v>22</v>
      </c>
      <c r="J1236" s="2" t="s">
        <v>854</v>
      </c>
      <c r="K1236" s="0" t="s">
        <v>855</v>
      </c>
      <c r="L1236" s="0" t="s">
        <v>25</v>
      </c>
      <c r="M1236" s="0" t="s">
        <v>857</v>
      </c>
      <c r="N1236" s="0" t="s">
        <v>2845</v>
      </c>
      <c r="O1236" s="0" t="n">
        <v>1</v>
      </c>
      <c r="R1236" s="3"/>
      <c r="S1236" s="2" t="s">
        <v>28</v>
      </c>
    </row>
    <row r="1237" customFormat="false" ht="15" hidden="false" customHeight="false" outlineLevel="0" collapsed="false">
      <c r="A1237" s="0" t="n">
        <v>1236</v>
      </c>
      <c r="D1237" s="0" t="s">
        <v>2846</v>
      </c>
      <c r="E1237" s="0" t="s">
        <v>20</v>
      </c>
      <c r="H1237" s="0" t="s">
        <v>21</v>
      </c>
      <c r="I1237" s="2" t="s">
        <v>22</v>
      </c>
      <c r="J1237" s="2" t="s">
        <v>854</v>
      </c>
      <c r="K1237" s="0" t="s">
        <v>855</v>
      </c>
      <c r="L1237" s="0" t="s">
        <v>25</v>
      </c>
      <c r="M1237" s="0" t="s">
        <v>857</v>
      </c>
      <c r="N1237" s="0" t="s">
        <v>2847</v>
      </c>
      <c r="O1237" s="0" t="n">
        <v>1</v>
      </c>
      <c r="R1237" s="3"/>
      <c r="S1237" s="2" t="s">
        <v>28</v>
      </c>
    </row>
    <row r="1238" customFormat="false" ht="15" hidden="false" customHeight="false" outlineLevel="0" collapsed="false">
      <c r="A1238" s="0" t="n">
        <v>1237</v>
      </c>
      <c r="D1238" s="0" t="s">
        <v>2848</v>
      </c>
      <c r="E1238" s="0" t="s">
        <v>20</v>
      </c>
      <c r="H1238" s="0" t="s">
        <v>21</v>
      </c>
      <c r="I1238" s="2" t="s">
        <v>22</v>
      </c>
      <c r="J1238" s="2" t="s">
        <v>854</v>
      </c>
      <c r="K1238" s="0" t="s">
        <v>855</v>
      </c>
      <c r="L1238" s="0" t="s">
        <v>25</v>
      </c>
      <c r="M1238" s="0" t="s">
        <v>857</v>
      </c>
      <c r="N1238" s="0" t="s">
        <v>2849</v>
      </c>
      <c r="O1238" s="0" t="n">
        <v>1</v>
      </c>
      <c r="R1238" s="3"/>
      <c r="S1238" s="2" t="s">
        <v>28</v>
      </c>
    </row>
    <row r="1239" customFormat="false" ht="15" hidden="false" customHeight="false" outlineLevel="0" collapsed="false">
      <c r="A1239" s="0" t="n">
        <v>1238</v>
      </c>
      <c r="D1239" s="0" t="s">
        <v>2850</v>
      </c>
      <c r="E1239" s="0" t="s">
        <v>20</v>
      </c>
      <c r="H1239" s="0" t="s">
        <v>21</v>
      </c>
      <c r="I1239" s="2" t="s">
        <v>22</v>
      </c>
      <c r="J1239" s="2" t="s">
        <v>854</v>
      </c>
      <c r="K1239" s="0" t="s">
        <v>855</v>
      </c>
      <c r="L1239" s="0" t="s">
        <v>25</v>
      </c>
      <c r="M1239" s="0" t="s">
        <v>857</v>
      </c>
      <c r="N1239" s="0" t="s">
        <v>2851</v>
      </c>
      <c r="O1239" s="0" t="n">
        <v>1</v>
      </c>
      <c r="R1239" s="3"/>
      <c r="S1239" s="2" t="s">
        <v>28</v>
      </c>
    </row>
    <row r="1240" customFormat="false" ht="15" hidden="false" customHeight="false" outlineLevel="0" collapsed="false">
      <c r="A1240" s="0" t="n">
        <v>1239</v>
      </c>
      <c r="D1240" s="0" t="s">
        <v>2852</v>
      </c>
      <c r="E1240" s="0" t="s">
        <v>20</v>
      </c>
      <c r="H1240" s="0" t="s">
        <v>21</v>
      </c>
      <c r="I1240" s="2" t="s">
        <v>22</v>
      </c>
      <c r="J1240" s="2" t="s">
        <v>854</v>
      </c>
      <c r="K1240" s="0" t="s">
        <v>855</v>
      </c>
      <c r="L1240" s="0" t="s">
        <v>25</v>
      </c>
      <c r="M1240" s="0" t="s">
        <v>857</v>
      </c>
      <c r="N1240" s="0" t="s">
        <v>2853</v>
      </c>
      <c r="O1240" s="0" t="n">
        <v>1</v>
      </c>
      <c r="R1240" s="3"/>
      <c r="S1240" s="2" t="s">
        <v>28</v>
      </c>
    </row>
    <row r="1241" customFormat="false" ht="15" hidden="false" customHeight="false" outlineLevel="0" collapsed="false">
      <c r="A1241" s="0" t="n">
        <v>1240</v>
      </c>
      <c r="D1241" s="0" t="s">
        <v>2854</v>
      </c>
      <c r="E1241" s="0" t="s">
        <v>20</v>
      </c>
      <c r="H1241" s="0" t="s">
        <v>21</v>
      </c>
      <c r="I1241" s="2" t="s">
        <v>22</v>
      </c>
      <c r="J1241" s="2" t="s">
        <v>854</v>
      </c>
      <c r="K1241" s="0" t="s">
        <v>855</v>
      </c>
      <c r="L1241" s="0" t="s">
        <v>25</v>
      </c>
      <c r="M1241" s="0" t="s">
        <v>857</v>
      </c>
      <c r="N1241" s="0" t="s">
        <v>2112</v>
      </c>
      <c r="O1241" s="0" t="n">
        <v>1</v>
      </c>
      <c r="R1241" s="3"/>
      <c r="S1241" s="2" t="s">
        <v>28</v>
      </c>
    </row>
    <row r="1242" customFormat="false" ht="15" hidden="false" customHeight="false" outlineLevel="0" collapsed="false">
      <c r="A1242" s="0" t="n">
        <v>1241</v>
      </c>
      <c r="D1242" s="0" t="s">
        <v>2855</v>
      </c>
      <c r="E1242" s="0" t="s">
        <v>20</v>
      </c>
      <c r="H1242" s="0" t="s">
        <v>21</v>
      </c>
      <c r="I1242" s="2" t="s">
        <v>22</v>
      </c>
      <c r="J1242" s="2" t="s">
        <v>854</v>
      </c>
      <c r="K1242" s="0" t="s">
        <v>855</v>
      </c>
      <c r="L1242" s="0" t="s">
        <v>25</v>
      </c>
      <c r="M1242" s="0" t="s">
        <v>857</v>
      </c>
      <c r="N1242" s="0" t="s">
        <v>2856</v>
      </c>
      <c r="O1242" s="0" t="n">
        <v>1</v>
      </c>
      <c r="R1242" s="3"/>
      <c r="S1242" s="2" t="s">
        <v>28</v>
      </c>
    </row>
    <row r="1243" customFormat="false" ht="15" hidden="false" customHeight="false" outlineLevel="0" collapsed="false">
      <c r="A1243" s="0" t="n">
        <v>1242</v>
      </c>
      <c r="D1243" s="0" t="s">
        <v>2857</v>
      </c>
      <c r="E1243" s="0" t="s">
        <v>20</v>
      </c>
      <c r="H1243" s="0" t="s">
        <v>21</v>
      </c>
      <c r="I1243" s="2" t="s">
        <v>22</v>
      </c>
      <c r="J1243" s="2" t="s">
        <v>854</v>
      </c>
      <c r="K1243" s="0" t="s">
        <v>855</v>
      </c>
      <c r="L1243" s="0" t="s">
        <v>25</v>
      </c>
      <c r="M1243" s="0" t="s">
        <v>857</v>
      </c>
      <c r="N1243" s="0" t="s">
        <v>2858</v>
      </c>
      <c r="O1243" s="0" t="n">
        <v>1</v>
      </c>
      <c r="R1243" s="3"/>
      <c r="S1243" s="2" t="s">
        <v>28</v>
      </c>
    </row>
    <row r="1244" customFormat="false" ht="15" hidden="false" customHeight="false" outlineLevel="0" collapsed="false">
      <c r="A1244" s="0" t="n">
        <v>1243</v>
      </c>
      <c r="D1244" s="0" t="s">
        <v>2859</v>
      </c>
      <c r="E1244" s="0" t="s">
        <v>287</v>
      </c>
      <c r="H1244" s="0" t="s">
        <v>21</v>
      </c>
      <c r="I1244" s="2" t="s">
        <v>22</v>
      </c>
      <c r="J1244" s="2" t="s">
        <v>854</v>
      </c>
      <c r="K1244" s="0" t="s">
        <v>855</v>
      </c>
      <c r="L1244" s="0" t="s">
        <v>25</v>
      </c>
      <c r="M1244" s="0" t="s">
        <v>857</v>
      </c>
      <c r="N1244" s="0" t="s">
        <v>2860</v>
      </c>
      <c r="O1244" s="0" t="n">
        <v>1</v>
      </c>
      <c r="P1244" s="0" t="s">
        <v>287</v>
      </c>
      <c r="R1244" s="3"/>
      <c r="S1244" s="2" t="s">
        <v>28</v>
      </c>
    </row>
    <row r="1245" customFormat="false" ht="15" hidden="false" customHeight="false" outlineLevel="0" collapsed="false">
      <c r="A1245" s="0" t="n">
        <v>1244</v>
      </c>
      <c r="D1245" s="0" t="s">
        <v>2861</v>
      </c>
      <c r="E1245" s="0" t="s">
        <v>20</v>
      </c>
      <c r="H1245" s="0" t="s">
        <v>21</v>
      </c>
      <c r="I1245" s="2" t="s">
        <v>22</v>
      </c>
      <c r="J1245" s="2" t="s">
        <v>854</v>
      </c>
      <c r="K1245" s="0" t="s">
        <v>855</v>
      </c>
      <c r="L1245" s="0" t="s">
        <v>25</v>
      </c>
      <c r="M1245" s="0" t="s">
        <v>857</v>
      </c>
      <c r="N1245" s="0" t="s">
        <v>2862</v>
      </c>
      <c r="O1245" s="0" t="n">
        <v>1</v>
      </c>
      <c r="R1245" s="3"/>
      <c r="S1245" s="2" t="s">
        <v>28</v>
      </c>
    </row>
    <row r="1246" customFormat="false" ht="15" hidden="false" customHeight="false" outlineLevel="0" collapsed="false">
      <c r="A1246" s="0" t="n">
        <v>1245</v>
      </c>
      <c r="D1246" s="0" t="s">
        <v>2863</v>
      </c>
      <c r="E1246" s="0" t="s">
        <v>20</v>
      </c>
      <c r="H1246" s="0" t="s">
        <v>21</v>
      </c>
      <c r="I1246" s="2" t="s">
        <v>22</v>
      </c>
      <c r="J1246" s="2" t="s">
        <v>854</v>
      </c>
      <c r="K1246" s="0" t="s">
        <v>855</v>
      </c>
      <c r="L1246" s="0" t="s">
        <v>420</v>
      </c>
      <c r="M1246" s="0" t="s">
        <v>857</v>
      </c>
      <c r="N1246" s="0" t="s">
        <v>2864</v>
      </c>
      <c r="O1246" s="0" t="n">
        <v>1</v>
      </c>
      <c r="P1246" s="0" t="s">
        <v>422</v>
      </c>
      <c r="R1246" s="3"/>
      <c r="S1246" s="2" t="s">
        <v>28</v>
      </c>
    </row>
    <row r="1247" customFormat="false" ht="15" hidden="false" customHeight="false" outlineLevel="0" collapsed="false">
      <c r="A1247" s="0" t="n">
        <v>1246</v>
      </c>
      <c r="D1247" s="0" t="s">
        <v>2865</v>
      </c>
      <c r="E1247" s="0" t="s">
        <v>20</v>
      </c>
      <c r="H1247" s="0" t="s">
        <v>21</v>
      </c>
      <c r="I1247" s="2" t="s">
        <v>22</v>
      </c>
      <c r="J1247" s="2" t="s">
        <v>854</v>
      </c>
      <c r="K1247" s="0" t="s">
        <v>855</v>
      </c>
      <c r="L1247" s="0" t="s">
        <v>25</v>
      </c>
      <c r="M1247" s="0" t="s">
        <v>857</v>
      </c>
      <c r="N1247" s="0" t="s">
        <v>2866</v>
      </c>
      <c r="O1247" s="0" t="n">
        <v>1</v>
      </c>
      <c r="R1247" s="3"/>
      <c r="S1247" s="2" t="s">
        <v>28</v>
      </c>
    </row>
    <row r="1248" customFormat="false" ht="15" hidden="false" customHeight="false" outlineLevel="0" collapsed="false">
      <c r="A1248" s="0" t="n">
        <v>1247</v>
      </c>
      <c r="D1248" s="0" t="s">
        <v>2867</v>
      </c>
      <c r="E1248" s="0" t="s">
        <v>20</v>
      </c>
      <c r="H1248" s="0" t="s">
        <v>21</v>
      </c>
      <c r="I1248" s="2" t="s">
        <v>22</v>
      </c>
      <c r="J1248" s="2" t="s">
        <v>854</v>
      </c>
      <c r="K1248" s="0" t="s">
        <v>855</v>
      </c>
      <c r="L1248" s="0" t="s">
        <v>420</v>
      </c>
      <c r="M1248" s="0" t="s">
        <v>857</v>
      </c>
      <c r="N1248" s="0" t="s">
        <v>2868</v>
      </c>
      <c r="O1248" s="0" t="n">
        <v>1</v>
      </c>
      <c r="P1248" s="0" t="s">
        <v>422</v>
      </c>
      <c r="R1248" s="3"/>
      <c r="S1248" s="2" t="s">
        <v>28</v>
      </c>
    </row>
    <row r="1249" customFormat="false" ht="15" hidden="false" customHeight="false" outlineLevel="0" collapsed="false">
      <c r="A1249" s="0" t="n">
        <v>1248</v>
      </c>
      <c r="D1249" s="0" t="s">
        <v>2869</v>
      </c>
      <c r="E1249" s="0" t="s">
        <v>20</v>
      </c>
      <c r="H1249" s="0" t="s">
        <v>21</v>
      </c>
      <c r="I1249" s="2" t="s">
        <v>22</v>
      </c>
      <c r="J1249" s="2" t="s">
        <v>854</v>
      </c>
      <c r="K1249" s="0" t="s">
        <v>855</v>
      </c>
      <c r="L1249" s="0" t="s">
        <v>25</v>
      </c>
      <c r="M1249" s="0" t="s">
        <v>857</v>
      </c>
      <c r="N1249" s="0" t="s">
        <v>2870</v>
      </c>
      <c r="O1249" s="0" t="n">
        <v>1</v>
      </c>
      <c r="R1249" s="3"/>
      <c r="S1249" s="2" t="s">
        <v>28</v>
      </c>
    </row>
    <row r="1250" customFormat="false" ht="15" hidden="false" customHeight="false" outlineLevel="0" collapsed="false">
      <c r="A1250" s="0" t="n">
        <v>1249</v>
      </c>
      <c r="D1250" s="0" t="s">
        <v>2871</v>
      </c>
      <c r="E1250" s="0" t="s">
        <v>20</v>
      </c>
      <c r="H1250" s="0" t="s">
        <v>21</v>
      </c>
      <c r="I1250" s="2" t="s">
        <v>22</v>
      </c>
      <c r="J1250" s="2" t="s">
        <v>854</v>
      </c>
      <c r="K1250" s="0" t="s">
        <v>855</v>
      </c>
      <c r="L1250" s="0" t="s">
        <v>25</v>
      </c>
      <c r="M1250" s="0" t="s">
        <v>857</v>
      </c>
      <c r="N1250" s="0" t="s">
        <v>2872</v>
      </c>
      <c r="O1250" s="0" t="n">
        <v>1</v>
      </c>
      <c r="R1250" s="3"/>
      <c r="S1250" s="2" t="s">
        <v>28</v>
      </c>
    </row>
    <row r="1251" customFormat="false" ht="15" hidden="false" customHeight="false" outlineLevel="0" collapsed="false">
      <c r="A1251" s="0" t="n">
        <v>1250</v>
      </c>
      <c r="D1251" s="0" t="s">
        <v>2873</v>
      </c>
      <c r="E1251" s="0" t="s">
        <v>20</v>
      </c>
      <c r="H1251" s="0" t="s">
        <v>21</v>
      </c>
      <c r="I1251" s="2" t="s">
        <v>22</v>
      </c>
      <c r="J1251" s="2" t="s">
        <v>854</v>
      </c>
      <c r="K1251" s="0" t="s">
        <v>855</v>
      </c>
      <c r="L1251" s="0" t="s">
        <v>25</v>
      </c>
      <c r="M1251" s="0" t="s">
        <v>857</v>
      </c>
      <c r="N1251" s="0" t="s">
        <v>2874</v>
      </c>
      <c r="O1251" s="0" t="n">
        <v>1</v>
      </c>
      <c r="R1251" s="3"/>
      <c r="S1251" s="2" t="s">
        <v>28</v>
      </c>
    </row>
    <row r="1252" customFormat="false" ht="15" hidden="false" customHeight="false" outlineLevel="0" collapsed="false">
      <c r="A1252" s="0" t="n">
        <v>1251</v>
      </c>
      <c r="D1252" s="0" t="s">
        <v>2875</v>
      </c>
      <c r="E1252" s="0" t="s">
        <v>287</v>
      </c>
      <c r="H1252" s="0" t="s">
        <v>21</v>
      </c>
      <c r="I1252" s="2" t="s">
        <v>22</v>
      </c>
      <c r="J1252" s="2" t="s">
        <v>854</v>
      </c>
      <c r="K1252" s="0" t="s">
        <v>855</v>
      </c>
      <c r="L1252" s="0" t="s">
        <v>25</v>
      </c>
      <c r="M1252" s="0" t="s">
        <v>857</v>
      </c>
      <c r="N1252" s="0" t="s">
        <v>2876</v>
      </c>
      <c r="O1252" s="0" t="n">
        <v>1</v>
      </c>
      <c r="P1252" s="0" t="s">
        <v>287</v>
      </c>
      <c r="R1252" s="3"/>
      <c r="S1252" s="2" t="s">
        <v>28</v>
      </c>
    </row>
    <row r="1253" customFormat="false" ht="15" hidden="false" customHeight="false" outlineLevel="0" collapsed="false">
      <c r="A1253" s="0" t="n">
        <v>1252</v>
      </c>
      <c r="D1253" s="0" t="s">
        <v>2877</v>
      </c>
      <c r="E1253" s="0" t="s">
        <v>20</v>
      </c>
      <c r="H1253" s="0" t="s">
        <v>21</v>
      </c>
      <c r="I1253" s="2" t="s">
        <v>22</v>
      </c>
      <c r="J1253" s="2" t="s">
        <v>854</v>
      </c>
      <c r="K1253" s="0" t="s">
        <v>855</v>
      </c>
      <c r="L1253" s="0" t="s">
        <v>25</v>
      </c>
      <c r="M1253" s="0" t="s">
        <v>857</v>
      </c>
      <c r="N1253" s="0" t="s">
        <v>2878</v>
      </c>
      <c r="O1253" s="0" t="n">
        <v>1</v>
      </c>
      <c r="R1253" s="3"/>
      <c r="S1253" s="2" t="s">
        <v>28</v>
      </c>
    </row>
    <row r="1254" customFormat="false" ht="15" hidden="false" customHeight="false" outlineLevel="0" collapsed="false">
      <c r="A1254" s="0" t="n">
        <v>1253</v>
      </c>
      <c r="D1254" s="0" t="s">
        <v>2879</v>
      </c>
      <c r="E1254" s="0" t="s">
        <v>20</v>
      </c>
      <c r="H1254" s="0" t="s">
        <v>21</v>
      </c>
      <c r="I1254" s="2" t="s">
        <v>22</v>
      </c>
      <c r="J1254" s="2" t="s">
        <v>854</v>
      </c>
      <c r="K1254" s="0" t="s">
        <v>855</v>
      </c>
      <c r="L1254" s="0" t="s">
        <v>25</v>
      </c>
      <c r="M1254" s="0" t="s">
        <v>857</v>
      </c>
      <c r="N1254" s="0" t="s">
        <v>2880</v>
      </c>
      <c r="O1254" s="0" t="n">
        <v>1</v>
      </c>
      <c r="R1254" s="3"/>
      <c r="S1254" s="2" t="s">
        <v>28</v>
      </c>
    </row>
    <row r="1255" customFormat="false" ht="15" hidden="false" customHeight="false" outlineLevel="0" collapsed="false">
      <c r="A1255" s="0" t="n">
        <v>1254</v>
      </c>
      <c r="D1255" s="0" t="s">
        <v>2881</v>
      </c>
      <c r="E1255" s="0" t="s">
        <v>253</v>
      </c>
      <c r="H1255" s="0" t="s">
        <v>21</v>
      </c>
      <c r="I1255" s="2" t="s">
        <v>22</v>
      </c>
      <c r="J1255" s="2" t="s">
        <v>854</v>
      </c>
      <c r="K1255" s="0" t="s">
        <v>855</v>
      </c>
      <c r="L1255" s="0" t="s">
        <v>25</v>
      </c>
      <c r="M1255" s="0" t="s">
        <v>857</v>
      </c>
      <c r="N1255" s="0" t="s">
        <v>2882</v>
      </c>
      <c r="O1255" s="0" t="n">
        <v>1</v>
      </c>
      <c r="P1255" s="0" t="s">
        <v>253</v>
      </c>
      <c r="R1255" s="3"/>
      <c r="S1255" s="2" t="s">
        <v>28</v>
      </c>
    </row>
    <row r="1256" customFormat="false" ht="15" hidden="false" customHeight="false" outlineLevel="0" collapsed="false">
      <c r="A1256" s="0" t="n">
        <v>1255</v>
      </c>
      <c r="D1256" s="0" t="s">
        <v>2883</v>
      </c>
      <c r="E1256" s="0" t="s">
        <v>20</v>
      </c>
      <c r="H1256" s="0" t="s">
        <v>21</v>
      </c>
      <c r="I1256" s="2" t="s">
        <v>22</v>
      </c>
      <c r="J1256" s="2" t="s">
        <v>854</v>
      </c>
      <c r="K1256" s="0" t="s">
        <v>855</v>
      </c>
      <c r="L1256" s="0" t="s">
        <v>25</v>
      </c>
      <c r="M1256" s="0" t="s">
        <v>857</v>
      </c>
      <c r="N1256" s="0" t="s">
        <v>2884</v>
      </c>
      <c r="O1256" s="0" t="n">
        <v>1</v>
      </c>
      <c r="R1256" s="3"/>
      <c r="S1256" s="2" t="s">
        <v>28</v>
      </c>
    </row>
    <row r="1257" customFormat="false" ht="15" hidden="false" customHeight="false" outlineLevel="0" collapsed="false">
      <c r="A1257" s="0" t="n">
        <v>1256</v>
      </c>
      <c r="D1257" s="0" t="s">
        <v>2885</v>
      </c>
      <c r="E1257" s="0" t="s">
        <v>20</v>
      </c>
      <c r="H1257" s="0" t="s">
        <v>21</v>
      </c>
      <c r="I1257" s="2" t="s">
        <v>22</v>
      </c>
      <c r="J1257" s="2" t="s">
        <v>854</v>
      </c>
      <c r="K1257" s="0" t="s">
        <v>855</v>
      </c>
      <c r="L1257" s="0" t="s">
        <v>25</v>
      </c>
      <c r="M1257" s="0" t="s">
        <v>857</v>
      </c>
      <c r="N1257" s="0" t="s">
        <v>2886</v>
      </c>
      <c r="O1257" s="0" t="n">
        <v>1</v>
      </c>
      <c r="R1257" s="3"/>
      <c r="S1257" s="2" t="s">
        <v>28</v>
      </c>
    </row>
    <row r="1258" customFormat="false" ht="15" hidden="false" customHeight="false" outlineLevel="0" collapsed="false">
      <c r="A1258" s="0" t="n">
        <v>1257</v>
      </c>
      <c r="D1258" s="0" t="s">
        <v>2887</v>
      </c>
      <c r="E1258" s="0" t="s">
        <v>20</v>
      </c>
      <c r="H1258" s="0" t="s">
        <v>21</v>
      </c>
      <c r="I1258" s="2" t="s">
        <v>22</v>
      </c>
      <c r="J1258" s="2" t="s">
        <v>854</v>
      </c>
      <c r="K1258" s="0" t="s">
        <v>855</v>
      </c>
      <c r="L1258" s="0" t="s">
        <v>25</v>
      </c>
      <c r="M1258" s="0" t="s">
        <v>857</v>
      </c>
      <c r="N1258" s="0" t="s">
        <v>2888</v>
      </c>
      <c r="O1258" s="0" t="n">
        <v>1</v>
      </c>
      <c r="R1258" s="3"/>
      <c r="S1258" s="2" t="s">
        <v>28</v>
      </c>
    </row>
    <row r="1259" customFormat="false" ht="15" hidden="false" customHeight="false" outlineLevel="0" collapsed="false">
      <c r="A1259" s="0" t="n">
        <v>1258</v>
      </c>
      <c r="D1259" s="0" t="s">
        <v>2889</v>
      </c>
      <c r="E1259" s="0" t="s">
        <v>20</v>
      </c>
      <c r="H1259" s="0" t="s">
        <v>21</v>
      </c>
      <c r="I1259" s="2" t="s">
        <v>22</v>
      </c>
      <c r="J1259" s="2" t="s">
        <v>854</v>
      </c>
      <c r="K1259" s="0" t="s">
        <v>855</v>
      </c>
      <c r="L1259" s="0" t="s">
        <v>25</v>
      </c>
      <c r="M1259" s="0" t="s">
        <v>857</v>
      </c>
      <c r="N1259" s="0" t="s">
        <v>2890</v>
      </c>
      <c r="O1259" s="0" t="n">
        <v>1</v>
      </c>
      <c r="R1259" s="3"/>
      <c r="S1259" s="2" t="s">
        <v>28</v>
      </c>
    </row>
    <row r="1260" customFormat="false" ht="15" hidden="false" customHeight="false" outlineLevel="0" collapsed="false">
      <c r="A1260" s="0" t="n">
        <v>1259</v>
      </c>
      <c r="D1260" s="0" t="s">
        <v>2891</v>
      </c>
      <c r="E1260" s="0" t="s">
        <v>376</v>
      </c>
      <c r="H1260" s="0" t="s">
        <v>21</v>
      </c>
      <c r="I1260" s="2" t="s">
        <v>22</v>
      </c>
      <c r="J1260" s="2" t="s">
        <v>854</v>
      </c>
      <c r="K1260" s="0" t="s">
        <v>855</v>
      </c>
      <c r="L1260" s="0" t="s">
        <v>25</v>
      </c>
      <c r="M1260" s="0" t="s">
        <v>857</v>
      </c>
      <c r="N1260" s="0" t="s">
        <v>2892</v>
      </c>
      <c r="O1260" s="0" t="n">
        <v>1</v>
      </c>
      <c r="P1260" s="0" t="s">
        <v>376</v>
      </c>
      <c r="R1260" s="3"/>
      <c r="S1260" s="2" t="s">
        <v>28</v>
      </c>
    </row>
    <row r="1261" customFormat="false" ht="15" hidden="false" customHeight="false" outlineLevel="0" collapsed="false">
      <c r="A1261" s="0" t="n">
        <v>1260</v>
      </c>
      <c r="D1261" s="0" t="s">
        <v>2893</v>
      </c>
      <c r="E1261" s="0" t="s">
        <v>20</v>
      </c>
      <c r="F1261" s="0" t="s">
        <v>2894</v>
      </c>
      <c r="H1261" s="0" t="s">
        <v>21</v>
      </c>
      <c r="I1261" s="2" t="s">
        <v>22</v>
      </c>
      <c r="J1261" s="2" t="s">
        <v>854</v>
      </c>
      <c r="K1261" s="0" t="s">
        <v>855</v>
      </c>
      <c r="L1261" s="0" t="s">
        <v>2895</v>
      </c>
      <c r="M1261" s="0" t="s">
        <v>857</v>
      </c>
      <c r="N1261" s="0" t="s">
        <v>2896</v>
      </c>
      <c r="O1261" s="0" t="n">
        <v>1</v>
      </c>
      <c r="Q1261" s="0" t="s">
        <v>2897</v>
      </c>
      <c r="R1261" s="3" t="s">
        <v>2898</v>
      </c>
      <c r="S1261" s="2" t="s">
        <v>2899</v>
      </c>
    </row>
    <row r="1262" customFormat="false" ht="15" hidden="false" customHeight="false" outlineLevel="0" collapsed="false">
      <c r="A1262" s="0" t="n">
        <v>1261</v>
      </c>
      <c r="D1262" s="0" t="s">
        <v>2900</v>
      </c>
      <c r="E1262" s="0" t="s">
        <v>173</v>
      </c>
      <c r="H1262" s="0" t="s">
        <v>21</v>
      </c>
      <c r="I1262" s="2" t="s">
        <v>22</v>
      </c>
      <c r="J1262" s="2" t="s">
        <v>854</v>
      </c>
      <c r="K1262" s="0" t="s">
        <v>855</v>
      </c>
      <c r="L1262" s="0" t="s">
        <v>25</v>
      </c>
      <c r="M1262" s="0" t="s">
        <v>857</v>
      </c>
      <c r="N1262" s="0" t="s">
        <v>2901</v>
      </c>
      <c r="O1262" s="0" t="n">
        <v>1</v>
      </c>
      <c r="P1262" s="0" t="s">
        <v>173</v>
      </c>
      <c r="R1262" s="3"/>
      <c r="S1262" s="2" t="s">
        <v>28</v>
      </c>
    </row>
    <row r="1263" customFormat="false" ht="15" hidden="false" customHeight="false" outlineLevel="0" collapsed="false">
      <c r="A1263" s="0" t="n">
        <v>1262</v>
      </c>
      <c r="D1263" s="0" t="s">
        <v>2902</v>
      </c>
      <c r="E1263" s="0" t="s">
        <v>20</v>
      </c>
      <c r="H1263" s="0" t="s">
        <v>21</v>
      </c>
      <c r="I1263" s="2" t="s">
        <v>22</v>
      </c>
      <c r="J1263" s="2" t="s">
        <v>854</v>
      </c>
      <c r="K1263" s="0" t="s">
        <v>855</v>
      </c>
      <c r="L1263" s="0" t="s">
        <v>25</v>
      </c>
      <c r="M1263" s="0" t="s">
        <v>857</v>
      </c>
      <c r="N1263" s="0" t="s">
        <v>2903</v>
      </c>
      <c r="O1263" s="0" t="n">
        <v>1</v>
      </c>
      <c r="R1263" s="3"/>
      <c r="S1263" s="2" t="s">
        <v>28</v>
      </c>
    </row>
    <row r="1264" customFormat="false" ht="15" hidden="false" customHeight="false" outlineLevel="0" collapsed="false">
      <c r="A1264" s="0" t="n">
        <v>1263</v>
      </c>
      <c r="D1264" s="0" t="s">
        <v>2904</v>
      </c>
      <c r="E1264" s="0" t="s">
        <v>20</v>
      </c>
      <c r="H1264" s="0" t="s">
        <v>21</v>
      </c>
      <c r="I1264" s="2" t="s">
        <v>22</v>
      </c>
      <c r="J1264" s="2" t="s">
        <v>854</v>
      </c>
      <c r="K1264" s="0" t="s">
        <v>855</v>
      </c>
      <c r="L1264" s="0" t="s">
        <v>182</v>
      </c>
      <c r="M1264" s="0" t="s">
        <v>857</v>
      </c>
      <c r="N1264" s="0" t="s">
        <v>2905</v>
      </c>
      <c r="O1264" s="0" t="n">
        <v>1</v>
      </c>
      <c r="P1264" s="0" t="s">
        <v>184</v>
      </c>
      <c r="R1264" s="3"/>
      <c r="S1264" s="2" t="s">
        <v>28</v>
      </c>
    </row>
    <row r="1265" customFormat="false" ht="15" hidden="false" customHeight="false" outlineLevel="0" collapsed="false">
      <c r="A1265" s="0" t="n">
        <v>1264</v>
      </c>
      <c r="D1265" s="0" t="s">
        <v>2906</v>
      </c>
      <c r="E1265" s="0" t="s">
        <v>20</v>
      </c>
      <c r="H1265" s="0" t="s">
        <v>21</v>
      </c>
      <c r="I1265" s="2" t="s">
        <v>22</v>
      </c>
      <c r="J1265" s="2" t="s">
        <v>854</v>
      </c>
      <c r="K1265" s="0" t="s">
        <v>855</v>
      </c>
      <c r="L1265" s="0" t="s">
        <v>25</v>
      </c>
      <c r="M1265" s="0" t="s">
        <v>857</v>
      </c>
      <c r="N1265" s="0" t="s">
        <v>2907</v>
      </c>
      <c r="O1265" s="0" t="n">
        <v>1</v>
      </c>
      <c r="R1265" s="3"/>
      <c r="S1265" s="2" t="s">
        <v>28</v>
      </c>
    </row>
    <row r="1266" customFormat="false" ht="15" hidden="false" customHeight="false" outlineLevel="0" collapsed="false">
      <c r="A1266" s="0" t="n">
        <v>1265</v>
      </c>
      <c r="D1266" s="0" t="s">
        <v>2908</v>
      </c>
      <c r="E1266" s="0" t="s">
        <v>173</v>
      </c>
      <c r="H1266" s="0" t="s">
        <v>21</v>
      </c>
      <c r="I1266" s="2" t="s">
        <v>22</v>
      </c>
      <c r="J1266" s="2" t="s">
        <v>854</v>
      </c>
      <c r="K1266" s="0" t="s">
        <v>855</v>
      </c>
      <c r="L1266" s="0" t="s">
        <v>25</v>
      </c>
      <c r="M1266" s="0" t="s">
        <v>857</v>
      </c>
      <c r="N1266" s="0" t="s">
        <v>2909</v>
      </c>
      <c r="O1266" s="0" t="n">
        <v>1</v>
      </c>
      <c r="P1266" s="0" t="s">
        <v>173</v>
      </c>
      <c r="R1266" s="3"/>
      <c r="S1266" s="2" t="s">
        <v>28</v>
      </c>
    </row>
    <row r="1267" customFormat="false" ht="15" hidden="false" customHeight="false" outlineLevel="0" collapsed="false">
      <c r="A1267" s="0" t="n">
        <v>1266</v>
      </c>
      <c r="D1267" s="0" t="s">
        <v>2910</v>
      </c>
      <c r="E1267" s="0" t="s">
        <v>20</v>
      </c>
      <c r="H1267" s="0" t="s">
        <v>21</v>
      </c>
      <c r="I1267" s="2" t="s">
        <v>22</v>
      </c>
      <c r="J1267" s="2" t="s">
        <v>854</v>
      </c>
      <c r="K1267" s="0" t="s">
        <v>855</v>
      </c>
      <c r="L1267" s="0" t="s">
        <v>25</v>
      </c>
      <c r="M1267" s="0" t="s">
        <v>857</v>
      </c>
      <c r="N1267" s="0" t="s">
        <v>2911</v>
      </c>
      <c r="O1267" s="0" t="n">
        <v>1</v>
      </c>
      <c r="R1267" s="3"/>
      <c r="S1267" s="2" t="s">
        <v>28</v>
      </c>
    </row>
    <row r="1268" customFormat="false" ht="15" hidden="false" customHeight="false" outlineLevel="0" collapsed="false">
      <c r="A1268" s="0" t="n">
        <v>1267</v>
      </c>
      <c r="D1268" s="0" t="s">
        <v>2912</v>
      </c>
      <c r="E1268" s="0" t="s">
        <v>20</v>
      </c>
      <c r="H1268" s="0" t="s">
        <v>21</v>
      </c>
      <c r="I1268" s="2" t="s">
        <v>22</v>
      </c>
      <c r="J1268" s="2" t="s">
        <v>854</v>
      </c>
      <c r="K1268" s="0" t="s">
        <v>855</v>
      </c>
      <c r="L1268" s="0" t="s">
        <v>25</v>
      </c>
      <c r="M1268" s="0" t="s">
        <v>857</v>
      </c>
      <c r="N1268" s="0" t="s">
        <v>2913</v>
      </c>
      <c r="O1268" s="0" t="n">
        <v>1</v>
      </c>
      <c r="R1268" s="3"/>
      <c r="S1268" s="2" t="s">
        <v>28</v>
      </c>
    </row>
    <row r="1269" customFormat="false" ht="15" hidden="false" customHeight="false" outlineLevel="0" collapsed="false">
      <c r="A1269" s="0" t="n">
        <v>1268</v>
      </c>
      <c r="D1269" s="0" t="s">
        <v>2914</v>
      </c>
      <c r="E1269" s="0" t="s">
        <v>20</v>
      </c>
      <c r="H1269" s="0" t="s">
        <v>21</v>
      </c>
      <c r="I1269" s="2" t="s">
        <v>22</v>
      </c>
      <c r="J1269" s="2" t="s">
        <v>854</v>
      </c>
      <c r="K1269" s="0" t="s">
        <v>855</v>
      </c>
      <c r="L1269" s="0" t="s">
        <v>25</v>
      </c>
      <c r="M1269" s="0" t="s">
        <v>857</v>
      </c>
      <c r="N1269" s="0" t="s">
        <v>2915</v>
      </c>
      <c r="O1269" s="0" t="n">
        <v>1</v>
      </c>
      <c r="R1269" s="3"/>
      <c r="S1269" s="2" t="s">
        <v>28</v>
      </c>
    </row>
    <row r="1270" customFormat="false" ht="15" hidden="false" customHeight="false" outlineLevel="0" collapsed="false">
      <c r="A1270" s="0" t="n">
        <v>1269</v>
      </c>
      <c r="D1270" s="0" t="s">
        <v>2916</v>
      </c>
      <c r="E1270" s="0" t="s">
        <v>73</v>
      </c>
      <c r="H1270" s="0" t="s">
        <v>21</v>
      </c>
      <c r="I1270" s="2" t="s">
        <v>22</v>
      </c>
      <c r="J1270" s="2" t="s">
        <v>854</v>
      </c>
      <c r="K1270" s="0" t="s">
        <v>855</v>
      </c>
      <c r="L1270" s="0" t="s">
        <v>25</v>
      </c>
      <c r="M1270" s="0" t="s">
        <v>857</v>
      </c>
      <c r="N1270" s="0" t="s">
        <v>2917</v>
      </c>
      <c r="O1270" s="0" t="n">
        <v>1</v>
      </c>
      <c r="P1270" s="0" t="s">
        <v>73</v>
      </c>
      <c r="R1270" s="3"/>
      <c r="S1270" s="2" t="s">
        <v>28</v>
      </c>
    </row>
    <row r="1271" customFormat="false" ht="15" hidden="false" customHeight="false" outlineLevel="0" collapsed="false">
      <c r="A1271" s="0" t="n">
        <v>1270</v>
      </c>
      <c r="D1271" s="0" t="s">
        <v>2918</v>
      </c>
      <c r="E1271" s="0" t="s">
        <v>2497</v>
      </c>
      <c r="H1271" s="0" t="s">
        <v>21</v>
      </c>
      <c r="I1271" s="2" t="s">
        <v>22</v>
      </c>
      <c r="J1271" s="2" t="s">
        <v>854</v>
      </c>
      <c r="K1271" s="0" t="s">
        <v>855</v>
      </c>
      <c r="L1271" s="0" t="s">
        <v>25</v>
      </c>
      <c r="M1271" s="0" t="s">
        <v>857</v>
      </c>
      <c r="N1271" s="0" t="s">
        <v>2919</v>
      </c>
      <c r="O1271" s="0" t="n">
        <v>1</v>
      </c>
      <c r="P1271" s="0" t="s">
        <v>2497</v>
      </c>
      <c r="R1271" s="3"/>
      <c r="S1271" s="2" t="s">
        <v>28</v>
      </c>
    </row>
    <row r="1272" customFormat="false" ht="15" hidden="false" customHeight="false" outlineLevel="0" collapsed="false">
      <c r="A1272" s="0" t="n">
        <v>1271</v>
      </c>
      <c r="D1272" s="0" t="s">
        <v>2920</v>
      </c>
      <c r="E1272" s="0" t="s">
        <v>20</v>
      </c>
      <c r="H1272" s="0" t="s">
        <v>21</v>
      </c>
      <c r="I1272" s="2" t="s">
        <v>22</v>
      </c>
      <c r="J1272" s="2" t="s">
        <v>854</v>
      </c>
      <c r="K1272" s="0" t="s">
        <v>855</v>
      </c>
      <c r="L1272" s="0" t="s">
        <v>25</v>
      </c>
      <c r="M1272" s="0" t="s">
        <v>857</v>
      </c>
      <c r="N1272" s="0" t="s">
        <v>2921</v>
      </c>
      <c r="O1272" s="0" t="n">
        <v>1</v>
      </c>
      <c r="R1272" s="3"/>
      <c r="S1272" s="2" t="s">
        <v>28</v>
      </c>
    </row>
    <row r="1273" customFormat="false" ht="15" hidden="false" customHeight="false" outlineLevel="0" collapsed="false">
      <c r="A1273" s="0" t="n">
        <v>1272</v>
      </c>
      <c r="D1273" s="0" t="s">
        <v>2922</v>
      </c>
      <c r="E1273" s="0" t="s">
        <v>20</v>
      </c>
      <c r="H1273" s="0" t="s">
        <v>21</v>
      </c>
      <c r="I1273" s="2" t="s">
        <v>22</v>
      </c>
      <c r="J1273" s="2" t="s">
        <v>854</v>
      </c>
      <c r="K1273" s="0" t="s">
        <v>855</v>
      </c>
      <c r="L1273" s="0" t="s">
        <v>25</v>
      </c>
      <c r="M1273" s="0" t="s">
        <v>857</v>
      </c>
      <c r="N1273" s="0" t="s">
        <v>2923</v>
      </c>
      <c r="O1273" s="0" t="n">
        <v>1</v>
      </c>
      <c r="R1273" s="3"/>
      <c r="S1273" s="2" t="s">
        <v>28</v>
      </c>
    </row>
    <row r="1274" customFormat="false" ht="15" hidden="false" customHeight="false" outlineLevel="0" collapsed="false">
      <c r="A1274" s="0" t="n">
        <v>1273</v>
      </c>
      <c r="D1274" s="0" t="s">
        <v>2924</v>
      </c>
      <c r="E1274" s="0" t="s">
        <v>20</v>
      </c>
      <c r="H1274" s="0" t="s">
        <v>21</v>
      </c>
      <c r="I1274" s="2" t="s">
        <v>22</v>
      </c>
      <c r="J1274" s="2" t="s">
        <v>854</v>
      </c>
      <c r="K1274" s="0" t="s">
        <v>855</v>
      </c>
      <c r="L1274" s="0" t="s">
        <v>25</v>
      </c>
      <c r="M1274" s="0" t="s">
        <v>857</v>
      </c>
      <c r="N1274" s="0" t="s">
        <v>2925</v>
      </c>
      <c r="O1274" s="0" t="n">
        <v>1</v>
      </c>
      <c r="R1274" s="3"/>
      <c r="S1274" s="2" t="s">
        <v>28</v>
      </c>
    </row>
    <row r="1275" customFormat="false" ht="15" hidden="false" customHeight="false" outlineLevel="0" collapsed="false">
      <c r="A1275" s="0" t="n">
        <v>1274</v>
      </c>
      <c r="D1275" s="0" t="s">
        <v>2926</v>
      </c>
      <c r="E1275" s="0" t="s">
        <v>268</v>
      </c>
      <c r="H1275" s="0" t="s">
        <v>21</v>
      </c>
      <c r="I1275" s="2" t="s">
        <v>22</v>
      </c>
      <c r="J1275" s="2" t="s">
        <v>854</v>
      </c>
      <c r="K1275" s="0" t="s">
        <v>855</v>
      </c>
      <c r="L1275" s="0" t="s">
        <v>25</v>
      </c>
      <c r="M1275" s="0" t="s">
        <v>857</v>
      </c>
      <c r="N1275" s="0" t="s">
        <v>2927</v>
      </c>
      <c r="O1275" s="0" t="n">
        <v>1</v>
      </c>
      <c r="P1275" s="0" t="s">
        <v>268</v>
      </c>
      <c r="R1275" s="3"/>
      <c r="S1275" s="2" t="s">
        <v>28</v>
      </c>
    </row>
    <row r="1276" customFormat="false" ht="15" hidden="false" customHeight="false" outlineLevel="0" collapsed="false">
      <c r="A1276" s="0" t="n">
        <v>1275</v>
      </c>
      <c r="D1276" s="0" t="s">
        <v>2928</v>
      </c>
      <c r="E1276" s="0" t="s">
        <v>376</v>
      </c>
      <c r="H1276" s="0" t="s">
        <v>21</v>
      </c>
      <c r="I1276" s="2" t="s">
        <v>22</v>
      </c>
      <c r="J1276" s="2" t="s">
        <v>854</v>
      </c>
      <c r="K1276" s="0" t="s">
        <v>855</v>
      </c>
      <c r="L1276" s="0" t="s">
        <v>25</v>
      </c>
      <c r="M1276" s="0" t="s">
        <v>857</v>
      </c>
      <c r="N1276" s="0" t="s">
        <v>2929</v>
      </c>
      <c r="O1276" s="0" t="n">
        <v>1</v>
      </c>
      <c r="P1276" s="0" t="s">
        <v>376</v>
      </c>
      <c r="R1276" s="3"/>
      <c r="S1276" s="2" t="s">
        <v>28</v>
      </c>
    </row>
    <row r="1277" customFormat="false" ht="15" hidden="false" customHeight="false" outlineLevel="0" collapsed="false">
      <c r="A1277" s="0" t="n">
        <v>1276</v>
      </c>
      <c r="D1277" s="0" t="s">
        <v>2930</v>
      </c>
      <c r="E1277" s="0" t="s">
        <v>173</v>
      </c>
      <c r="H1277" s="0" t="s">
        <v>21</v>
      </c>
      <c r="I1277" s="2" t="s">
        <v>22</v>
      </c>
      <c r="J1277" s="2" t="s">
        <v>854</v>
      </c>
      <c r="K1277" s="0" t="s">
        <v>855</v>
      </c>
      <c r="L1277" s="0" t="s">
        <v>25</v>
      </c>
      <c r="M1277" s="0" t="s">
        <v>857</v>
      </c>
      <c r="N1277" s="0" t="s">
        <v>2931</v>
      </c>
      <c r="O1277" s="0" t="n">
        <v>1</v>
      </c>
      <c r="R1277" s="3"/>
      <c r="S1277" s="2" t="s">
        <v>28</v>
      </c>
    </row>
    <row r="1278" customFormat="false" ht="15" hidden="false" customHeight="false" outlineLevel="0" collapsed="false">
      <c r="A1278" s="0" t="n">
        <v>1277</v>
      </c>
      <c r="D1278" s="0" t="s">
        <v>2932</v>
      </c>
      <c r="E1278" s="0" t="s">
        <v>20</v>
      </c>
      <c r="H1278" s="0" t="s">
        <v>21</v>
      </c>
      <c r="I1278" s="2" t="s">
        <v>22</v>
      </c>
      <c r="J1278" s="2" t="s">
        <v>854</v>
      </c>
      <c r="K1278" s="0" t="s">
        <v>855</v>
      </c>
      <c r="L1278" s="0" t="s">
        <v>25</v>
      </c>
      <c r="M1278" s="0" t="s">
        <v>857</v>
      </c>
      <c r="N1278" s="0" t="s">
        <v>2933</v>
      </c>
      <c r="O1278" s="0" t="n">
        <v>1</v>
      </c>
      <c r="R1278" s="3"/>
      <c r="S1278" s="2" t="s">
        <v>28</v>
      </c>
    </row>
    <row r="1279" customFormat="false" ht="15" hidden="false" customHeight="false" outlineLevel="0" collapsed="false">
      <c r="A1279" s="0" t="n">
        <v>1278</v>
      </c>
      <c r="D1279" s="0" t="s">
        <v>2934</v>
      </c>
      <c r="E1279" s="0" t="s">
        <v>68</v>
      </c>
      <c r="H1279" s="0" t="s">
        <v>21</v>
      </c>
      <c r="I1279" s="2" t="s">
        <v>22</v>
      </c>
      <c r="J1279" s="2" t="s">
        <v>854</v>
      </c>
      <c r="K1279" s="0" t="s">
        <v>855</v>
      </c>
      <c r="L1279" s="0" t="s">
        <v>25</v>
      </c>
      <c r="M1279" s="0" t="s">
        <v>857</v>
      </c>
      <c r="N1279" s="0" t="s">
        <v>2935</v>
      </c>
      <c r="O1279" s="0" t="n">
        <v>1</v>
      </c>
      <c r="P1279" s="0" t="s">
        <v>68</v>
      </c>
      <c r="R1279" s="3"/>
      <c r="S1279" s="2" t="s">
        <v>28</v>
      </c>
    </row>
    <row r="1280" customFormat="false" ht="15" hidden="false" customHeight="false" outlineLevel="0" collapsed="false">
      <c r="A1280" s="0" t="n">
        <v>1279</v>
      </c>
      <c r="D1280" s="0" t="s">
        <v>2936</v>
      </c>
      <c r="E1280" s="0" t="s">
        <v>20</v>
      </c>
      <c r="H1280" s="0" t="s">
        <v>21</v>
      </c>
      <c r="I1280" s="2" t="s">
        <v>22</v>
      </c>
      <c r="J1280" s="2" t="s">
        <v>854</v>
      </c>
      <c r="K1280" s="0" t="s">
        <v>855</v>
      </c>
      <c r="L1280" s="0" t="s">
        <v>25</v>
      </c>
      <c r="M1280" s="0" t="s">
        <v>857</v>
      </c>
      <c r="N1280" s="0" t="s">
        <v>2937</v>
      </c>
      <c r="O1280" s="0" t="n">
        <v>1</v>
      </c>
      <c r="R1280" s="3"/>
      <c r="S1280" s="2" t="s">
        <v>28</v>
      </c>
    </row>
    <row r="1281" customFormat="false" ht="15" hidden="false" customHeight="false" outlineLevel="0" collapsed="false">
      <c r="A1281" s="0" t="n">
        <v>1280</v>
      </c>
      <c r="D1281" s="0" t="s">
        <v>2938</v>
      </c>
      <c r="E1281" s="0" t="s">
        <v>20</v>
      </c>
      <c r="H1281" s="0" t="s">
        <v>21</v>
      </c>
      <c r="I1281" s="2" t="s">
        <v>22</v>
      </c>
      <c r="J1281" s="2" t="s">
        <v>854</v>
      </c>
      <c r="K1281" s="0" t="s">
        <v>855</v>
      </c>
      <c r="L1281" s="0" t="s">
        <v>25</v>
      </c>
      <c r="M1281" s="0" t="s">
        <v>857</v>
      </c>
      <c r="N1281" s="0" t="s">
        <v>512</v>
      </c>
      <c r="O1281" s="0" t="n">
        <v>1</v>
      </c>
      <c r="R1281" s="3"/>
      <c r="S1281" s="2" t="s">
        <v>28</v>
      </c>
    </row>
    <row r="1282" customFormat="false" ht="15" hidden="false" customHeight="false" outlineLevel="0" collapsed="false">
      <c r="A1282" s="0" t="n">
        <v>1281</v>
      </c>
      <c r="D1282" s="0" t="s">
        <v>2939</v>
      </c>
      <c r="E1282" s="0" t="s">
        <v>20</v>
      </c>
      <c r="H1282" s="0" t="s">
        <v>21</v>
      </c>
      <c r="I1282" s="2" t="s">
        <v>22</v>
      </c>
      <c r="J1282" s="2" t="s">
        <v>854</v>
      </c>
      <c r="K1282" s="0" t="s">
        <v>855</v>
      </c>
      <c r="L1282" s="0" t="s">
        <v>25</v>
      </c>
      <c r="M1282" s="0" t="s">
        <v>857</v>
      </c>
      <c r="N1282" s="0" t="s">
        <v>2940</v>
      </c>
      <c r="O1282" s="0" t="n">
        <v>1</v>
      </c>
      <c r="P1282" s="0" t="s">
        <v>43</v>
      </c>
      <c r="R1282" s="3"/>
      <c r="S1282" s="2" t="s">
        <v>28</v>
      </c>
    </row>
    <row r="1283" customFormat="false" ht="15" hidden="false" customHeight="false" outlineLevel="0" collapsed="false">
      <c r="A1283" s="0" t="n">
        <v>1282</v>
      </c>
      <c r="D1283" s="0" t="s">
        <v>2941</v>
      </c>
      <c r="E1283" s="0" t="s">
        <v>20</v>
      </c>
      <c r="H1283" s="0" t="s">
        <v>21</v>
      </c>
      <c r="I1283" s="2" t="s">
        <v>22</v>
      </c>
      <c r="J1283" s="2" t="s">
        <v>854</v>
      </c>
      <c r="K1283" s="0" t="s">
        <v>855</v>
      </c>
      <c r="L1283" s="0" t="s">
        <v>25</v>
      </c>
      <c r="M1283" s="0" t="s">
        <v>857</v>
      </c>
      <c r="N1283" s="0" t="s">
        <v>2942</v>
      </c>
      <c r="O1283" s="0" t="n">
        <v>1</v>
      </c>
      <c r="R1283" s="3"/>
      <c r="S1283" s="2" t="s">
        <v>28</v>
      </c>
    </row>
    <row r="1284" customFormat="false" ht="15" hidden="false" customHeight="false" outlineLevel="0" collapsed="false">
      <c r="A1284" s="0" t="n">
        <v>1283</v>
      </c>
      <c r="D1284" s="0" t="s">
        <v>2943</v>
      </c>
      <c r="E1284" s="0" t="s">
        <v>20</v>
      </c>
      <c r="H1284" s="0" t="s">
        <v>21</v>
      </c>
      <c r="I1284" s="2" t="s">
        <v>22</v>
      </c>
      <c r="J1284" s="2" t="s">
        <v>854</v>
      </c>
      <c r="K1284" s="0" t="s">
        <v>855</v>
      </c>
      <c r="L1284" s="0" t="s">
        <v>25</v>
      </c>
      <c r="M1284" s="0" t="s">
        <v>857</v>
      </c>
      <c r="N1284" s="0" t="s">
        <v>2944</v>
      </c>
      <c r="O1284" s="0" t="n">
        <v>1</v>
      </c>
      <c r="R1284" s="3"/>
      <c r="S1284" s="2" t="s">
        <v>28</v>
      </c>
    </row>
    <row r="1285" customFormat="false" ht="15" hidden="false" customHeight="false" outlineLevel="0" collapsed="false">
      <c r="A1285" s="0" t="n">
        <v>1284</v>
      </c>
      <c r="D1285" s="0" t="s">
        <v>2945</v>
      </c>
      <c r="E1285" s="0" t="s">
        <v>387</v>
      </c>
      <c r="H1285" s="0" t="s">
        <v>21</v>
      </c>
      <c r="I1285" s="2" t="s">
        <v>22</v>
      </c>
      <c r="J1285" s="2" t="s">
        <v>854</v>
      </c>
      <c r="K1285" s="0" t="s">
        <v>855</v>
      </c>
      <c r="L1285" s="0" t="s">
        <v>25</v>
      </c>
      <c r="M1285" s="0" t="s">
        <v>857</v>
      </c>
      <c r="N1285" s="0" t="s">
        <v>2946</v>
      </c>
      <c r="O1285" s="0" t="n">
        <v>1</v>
      </c>
      <c r="P1285" s="0" t="s">
        <v>387</v>
      </c>
      <c r="R1285" s="3"/>
      <c r="S1285" s="2" t="s">
        <v>28</v>
      </c>
    </row>
    <row r="1286" customFormat="false" ht="15" hidden="false" customHeight="false" outlineLevel="0" collapsed="false">
      <c r="A1286" s="0" t="n">
        <v>1285</v>
      </c>
      <c r="D1286" s="0" t="s">
        <v>2947</v>
      </c>
      <c r="E1286" s="0" t="s">
        <v>568</v>
      </c>
      <c r="H1286" s="0" t="s">
        <v>21</v>
      </c>
      <c r="I1286" s="2" t="s">
        <v>22</v>
      </c>
      <c r="J1286" s="2" t="s">
        <v>854</v>
      </c>
      <c r="K1286" s="0" t="s">
        <v>855</v>
      </c>
      <c r="L1286" s="0" t="s">
        <v>25</v>
      </c>
      <c r="M1286" s="0" t="s">
        <v>857</v>
      </c>
      <c r="N1286" s="0" t="s">
        <v>2948</v>
      </c>
      <c r="O1286" s="0" t="n">
        <v>1</v>
      </c>
      <c r="P1286" s="0" t="s">
        <v>568</v>
      </c>
      <c r="R1286" s="3"/>
      <c r="S1286" s="2" t="s">
        <v>28</v>
      </c>
    </row>
    <row r="1287" customFormat="false" ht="15" hidden="false" customHeight="false" outlineLevel="0" collapsed="false">
      <c r="A1287" s="0" t="n">
        <v>1286</v>
      </c>
      <c r="D1287" s="0" t="s">
        <v>2949</v>
      </c>
      <c r="E1287" s="0" t="s">
        <v>501</v>
      </c>
      <c r="H1287" s="0" t="s">
        <v>21</v>
      </c>
      <c r="I1287" s="2" t="s">
        <v>22</v>
      </c>
      <c r="J1287" s="2" t="s">
        <v>854</v>
      </c>
      <c r="K1287" s="0" t="s">
        <v>855</v>
      </c>
      <c r="L1287" s="0" t="s">
        <v>25</v>
      </c>
      <c r="M1287" s="0" t="s">
        <v>857</v>
      </c>
      <c r="N1287" s="0" t="s">
        <v>2950</v>
      </c>
      <c r="O1287" s="0" t="n">
        <v>1</v>
      </c>
      <c r="P1287" s="0" t="s">
        <v>501</v>
      </c>
      <c r="R1287" s="3"/>
      <c r="S1287" s="2" t="s">
        <v>28</v>
      </c>
    </row>
    <row r="1288" customFormat="false" ht="15" hidden="false" customHeight="false" outlineLevel="0" collapsed="false">
      <c r="A1288" s="0" t="n">
        <v>1287</v>
      </c>
      <c r="D1288" s="0" t="s">
        <v>2951</v>
      </c>
      <c r="E1288" s="0" t="s">
        <v>577</v>
      </c>
      <c r="H1288" s="0" t="s">
        <v>21</v>
      </c>
      <c r="I1288" s="2" t="s">
        <v>22</v>
      </c>
      <c r="J1288" s="2" t="s">
        <v>854</v>
      </c>
      <c r="K1288" s="0" t="s">
        <v>855</v>
      </c>
      <c r="L1288" s="0" t="s">
        <v>2952</v>
      </c>
      <c r="M1288" s="0" t="s">
        <v>857</v>
      </c>
      <c r="N1288" s="0" t="s">
        <v>2953</v>
      </c>
      <c r="O1288" s="0" t="n">
        <v>1</v>
      </c>
      <c r="P1288" s="0" t="s">
        <v>577</v>
      </c>
      <c r="Q1288" s="0" t="s">
        <v>2954</v>
      </c>
      <c r="R1288" s="3"/>
      <c r="S1288" s="2" t="s">
        <v>2955</v>
      </c>
    </row>
    <row r="1289" customFormat="false" ht="15" hidden="false" customHeight="false" outlineLevel="0" collapsed="false">
      <c r="A1289" s="0" t="n">
        <v>1288</v>
      </c>
      <c r="D1289" s="0" t="s">
        <v>2956</v>
      </c>
      <c r="E1289" s="0" t="s">
        <v>20</v>
      </c>
      <c r="H1289" s="0" t="s">
        <v>21</v>
      </c>
      <c r="I1289" s="2" t="s">
        <v>22</v>
      </c>
      <c r="J1289" s="2" t="s">
        <v>854</v>
      </c>
      <c r="K1289" s="0" t="s">
        <v>855</v>
      </c>
      <c r="L1289" s="0" t="s">
        <v>25</v>
      </c>
      <c r="M1289" s="0" t="s">
        <v>857</v>
      </c>
      <c r="N1289" s="0" t="s">
        <v>2957</v>
      </c>
      <c r="O1289" s="0" t="n">
        <v>1</v>
      </c>
      <c r="R1289" s="3"/>
      <c r="S1289" s="2" t="s">
        <v>28</v>
      </c>
    </row>
    <row r="1290" customFormat="false" ht="15" hidden="false" customHeight="false" outlineLevel="0" collapsed="false">
      <c r="A1290" s="0" t="n">
        <v>1289</v>
      </c>
      <c r="D1290" s="0" t="s">
        <v>2958</v>
      </c>
      <c r="E1290" s="0" t="s">
        <v>501</v>
      </c>
      <c r="H1290" s="0" t="s">
        <v>21</v>
      </c>
      <c r="I1290" s="2" t="s">
        <v>22</v>
      </c>
      <c r="J1290" s="2" t="s">
        <v>854</v>
      </c>
      <c r="K1290" s="0" t="s">
        <v>855</v>
      </c>
      <c r="L1290" s="0" t="s">
        <v>25</v>
      </c>
      <c r="M1290" s="0" t="s">
        <v>857</v>
      </c>
      <c r="N1290" s="0" t="s">
        <v>2959</v>
      </c>
      <c r="O1290" s="0" t="n">
        <v>1</v>
      </c>
      <c r="P1290" s="0" t="s">
        <v>501</v>
      </c>
      <c r="R1290" s="3"/>
      <c r="S1290" s="2" t="s">
        <v>28</v>
      </c>
    </row>
    <row r="1291" customFormat="false" ht="15" hidden="false" customHeight="false" outlineLevel="0" collapsed="false">
      <c r="A1291" s="0" t="n">
        <v>1290</v>
      </c>
      <c r="D1291" s="0" t="s">
        <v>2960</v>
      </c>
      <c r="E1291" s="0" t="s">
        <v>20</v>
      </c>
      <c r="H1291" s="0" t="s">
        <v>21</v>
      </c>
      <c r="I1291" s="2" t="s">
        <v>22</v>
      </c>
      <c r="J1291" s="2" t="s">
        <v>854</v>
      </c>
      <c r="K1291" s="0" t="s">
        <v>855</v>
      </c>
      <c r="L1291" s="0" t="s">
        <v>25</v>
      </c>
      <c r="M1291" s="0" t="s">
        <v>857</v>
      </c>
      <c r="N1291" s="0" t="s">
        <v>2961</v>
      </c>
      <c r="O1291" s="0" t="n">
        <v>1</v>
      </c>
      <c r="R1291" s="3"/>
      <c r="S1291" s="2" t="s">
        <v>28</v>
      </c>
    </row>
    <row r="1292" customFormat="false" ht="15" hidden="false" customHeight="false" outlineLevel="0" collapsed="false">
      <c r="A1292" s="0" t="n">
        <v>1291</v>
      </c>
      <c r="D1292" s="0" t="s">
        <v>2962</v>
      </c>
      <c r="E1292" s="0" t="s">
        <v>268</v>
      </c>
      <c r="H1292" s="0" t="s">
        <v>21</v>
      </c>
      <c r="I1292" s="2" t="s">
        <v>22</v>
      </c>
      <c r="J1292" s="2" t="s">
        <v>854</v>
      </c>
      <c r="K1292" s="0" t="s">
        <v>855</v>
      </c>
      <c r="L1292" s="0" t="s">
        <v>25</v>
      </c>
      <c r="M1292" s="0" t="s">
        <v>857</v>
      </c>
      <c r="N1292" s="0" t="s">
        <v>2963</v>
      </c>
      <c r="O1292" s="0" t="n">
        <v>1</v>
      </c>
      <c r="P1292" s="0" t="s">
        <v>268</v>
      </c>
      <c r="R1292" s="3"/>
      <c r="S1292" s="2" t="s">
        <v>28</v>
      </c>
    </row>
    <row r="1293" customFormat="false" ht="15" hidden="false" customHeight="false" outlineLevel="0" collapsed="false">
      <c r="A1293" s="0" t="n">
        <v>1292</v>
      </c>
      <c r="D1293" s="0" t="s">
        <v>2964</v>
      </c>
      <c r="E1293" s="0" t="s">
        <v>20</v>
      </c>
      <c r="H1293" s="0" t="s">
        <v>21</v>
      </c>
      <c r="I1293" s="2" t="s">
        <v>22</v>
      </c>
      <c r="J1293" s="2" t="s">
        <v>854</v>
      </c>
      <c r="K1293" s="0" t="s">
        <v>855</v>
      </c>
      <c r="L1293" s="0" t="s">
        <v>25</v>
      </c>
      <c r="M1293" s="0" t="s">
        <v>857</v>
      </c>
      <c r="N1293" s="0" t="s">
        <v>2965</v>
      </c>
      <c r="O1293" s="0" t="n">
        <v>1</v>
      </c>
      <c r="R1293" s="3"/>
      <c r="S1293" s="2" t="s">
        <v>28</v>
      </c>
    </row>
    <row r="1294" customFormat="false" ht="15" hidden="false" customHeight="false" outlineLevel="0" collapsed="false">
      <c r="A1294" s="0" t="n">
        <v>1293</v>
      </c>
      <c r="D1294" s="0" t="s">
        <v>2966</v>
      </c>
      <c r="E1294" s="0" t="s">
        <v>20</v>
      </c>
      <c r="H1294" s="0" t="s">
        <v>21</v>
      </c>
      <c r="I1294" s="2" t="s">
        <v>22</v>
      </c>
      <c r="J1294" s="2" t="s">
        <v>854</v>
      </c>
      <c r="K1294" s="0" t="s">
        <v>855</v>
      </c>
      <c r="L1294" s="0" t="s">
        <v>25</v>
      </c>
      <c r="M1294" s="0" t="s">
        <v>857</v>
      </c>
      <c r="N1294" s="0" t="s">
        <v>2967</v>
      </c>
      <c r="O1294" s="0" t="n">
        <v>1</v>
      </c>
      <c r="R1294" s="3"/>
      <c r="S1294" s="2" t="s">
        <v>28</v>
      </c>
    </row>
    <row r="1295" customFormat="false" ht="15" hidden="false" customHeight="false" outlineLevel="0" collapsed="false">
      <c r="A1295" s="0" t="n">
        <v>1294</v>
      </c>
      <c r="D1295" s="0" t="s">
        <v>2968</v>
      </c>
      <c r="E1295" s="0" t="s">
        <v>20</v>
      </c>
      <c r="H1295" s="0" t="s">
        <v>21</v>
      </c>
      <c r="I1295" s="2" t="s">
        <v>22</v>
      </c>
      <c r="J1295" s="2" t="s">
        <v>854</v>
      </c>
      <c r="K1295" s="0" t="s">
        <v>855</v>
      </c>
      <c r="L1295" s="0" t="s">
        <v>25</v>
      </c>
      <c r="M1295" s="0" t="s">
        <v>857</v>
      </c>
      <c r="N1295" s="0" t="s">
        <v>2969</v>
      </c>
      <c r="O1295" s="0" t="n">
        <v>1</v>
      </c>
      <c r="R1295" s="3"/>
      <c r="S1295" s="2" t="s">
        <v>28</v>
      </c>
    </row>
    <row r="1296" customFormat="false" ht="15" hidden="false" customHeight="false" outlineLevel="0" collapsed="false">
      <c r="A1296" s="0" t="n">
        <v>1295</v>
      </c>
      <c r="D1296" s="0" t="s">
        <v>2970</v>
      </c>
      <c r="E1296" s="0" t="s">
        <v>20</v>
      </c>
      <c r="H1296" s="0" t="s">
        <v>21</v>
      </c>
      <c r="I1296" s="2" t="s">
        <v>22</v>
      </c>
      <c r="J1296" s="2" t="s">
        <v>854</v>
      </c>
      <c r="K1296" s="0" t="s">
        <v>855</v>
      </c>
      <c r="L1296" s="0" t="s">
        <v>2971</v>
      </c>
      <c r="M1296" s="0" t="s">
        <v>857</v>
      </c>
      <c r="N1296" s="0" t="s">
        <v>2972</v>
      </c>
      <c r="O1296" s="0" t="n">
        <v>1</v>
      </c>
      <c r="Q1296" s="0" t="s">
        <v>2973</v>
      </c>
      <c r="R1296" s="3"/>
      <c r="S1296" s="2" t="s">
        <v>2974</v>
      </c>
    </row>
    <row r="1297" customFormat="false" ht="15" hidden="false" customHeight="false" outlineLevel="0" collapsed="false">
      <c r="A1297" s="0" t="n">
        <v>1296</v>
      </c>
      <c r="D1297" s="0" t="s">
        <v>2975</v>
      </c>
      <c r="E1297" s="0" t="s">
        <v>20</v>
      </c>
      <c r="H1297" s="0" t="s">
        <v>21</v>
      </c>
      <c r="I1297" s="2" t="s">
        <v>22</v>
      </c>
      <c r="J1297" s="2" t="s">
        <v>854</v>
      </c>
      <c r="K1297" s="0" t="s">
        <v>855</v>
      </c>
      <c r="L1297" s="0" t="s">
        <v>25</v>
      </c>
      <c r="M1297" s="0" t="s">
        <v>857</v>
      </c>
      <c r="N1297" s="0" t="s">
        <v>2976</v>
      </c>
      <c r="O1297" s="0" t="n">
        <v>1</v>
      </c>
      <c r="P1297" s="0" t="s">
        <v>43</v>
      </c>
      <c r="R1297" s="3"/>
      <c r="S1297" s="2" t="s">
        <v>28</v>
      </c>
    </row>
    <row r="1298" customFormat="false" ht="15" hidden="false" customHeight="false" outlineLevel="0" collapsed="false">
      <c r="A1298" s="0" t="n">
        <v>1297</v>
      </c>
      <c r="D1298" s="0" t="s">
        <v>2977</v>
      </c>
      <c r="E1298" s="0" t="s">
        <v>20</v>
      </c>
      <c r="H1298" s="0" t="s">
        <v>21</v>
      </c>
      <c r="I1298" s="2" t="s">
        <v>22</v>
      </c>
      <c r="J1298" s="2" t="s">
        <v>854</v>
      </c>
      <c r="K1298" s="0" t="s">
        <v>855</v>
      </c>
      <c r="L1298" s="0" t="s">
        <v>25</v>
      </c>
      <c r="M1298" s="0" t="s">
        <v>857</v>
      </c>
      <c r="N1298" s="0" t="s">
        <v>2978</v>
      </c>
      <c r="O1298" s="0" t="n">
        <v>1</v>
      </c>
      <c r="R1298" s="3"/>
      <c r="S1298" s="2" t="s">
        <v>28</v>
      </c>
    </row>
    <row r="1299" customFormat="false" ht="15" hidden="false" customHeight="false" outlineLevel="0" collapsed="false">
      <c r="A1299" s="0" t="n">
        <v>1298</v>
      </c>
      <c r="D1299" s="0" t="s">
        <v>2979</v>
      </c>
      <c r="E1299" s="0" t="s">
        <v>20</v>
      </c>
      <c r="H1299" s="0" t="s">
        <v>21</v>
      </c>
      <c r="I1299" s="2" t="s">
        <v>22</v>
      </c>
      <c r="J1299" s="2" t="s">
        <v>854</v>
      </c>
      <c r="K1299" s="0" t="s">
        <v>855</v>
      </c>
      <c r="L1299" s="0" t="s">
        <v>25</v>
      </c>
      <c r="M1299" s="0" t="s">
        <v>857</v>
      </c>
      <c r="N1299" s="0" t="s">
        <v>2980</v>
      </c>
      <c r="O1299" s="0" t="n">
        <v>1</v>
      </c>
      <c r="R1299" s="3"/>
      <c r="S1299" s="2" t="s">
        <v>28</v>
      </c>
    </row>
    <row r="1300" customFormat="false" ht="15" hidden="false" customHeight="false" outlineLevel="0" collapsed="false">
      <c r="A1300" s="0" t="n">
        <v>1299</v>
      </c>
      <c r="D1300" s="0" t="s">
        <v>2981</v>
      </c>
      <c r="E1300" s="0" t="s">
        <v>20</v>
      </c>
      <c r="H1300" s="0" t="s">
        <v>21</v>
      </c>
      <c r="I1300" s="2" t="s">
        <v>22</v>
      </c>
      <c r="J1300" s="2" t="s">
        <v>854</v>
      </c>
      <c r="K1300" s="0" t="s">
        <v>855</v>
      </c>
      <c r="L1300" s="0" t="s">
        <v>25</v>
      </c>
      <c r="M1300" s="0" t="s">
        <v>857</v>
      </c>
      <c r="N1300" s="0" t="s">
        <v>2982</v>
      </c>
      <c r="O1300" s="0" t="n">
        <v>1</v>
      </c>
      <c r="R1300" s="3"/>
      <c r="S1300" s="2" t="s">
        <v>28</v>
      </c>
    </row>
    <row r="1301" customFormat="false" ht="15" hidden="false" customHeight="false" outlineLevel="0" collapsed="false">
      <c r="A1301" s="0" t="n">
        <v>1300</v>
      </c>
      <c r="D1301" s="0" t="s">
        <v>2983</v>
      </c>
      <c r="E1301" s="0" t="s">
        <v>20</v>
      </c>
      <c r="H1301" s="0" t="s">
        <v>21</v>
      </c>
      <c r="I1301" s="2" t="s">
        <v>22</v>
      </c>
      <c r="J1301" s="2" t="s">
        <v>854</v>
      </c>
      <c r="K1301" s="0" t="s">
        <v>855</v>
      </c>
      <c r="L1301" s="0" t="s">
        <v>25</v>
      </c>
      <c r="M1301" s="0" t="s">
        <v>857</v>
      </c>
      <c r="N1301" s="0" t="s">
        <v>2984</v>
      </c>
      <c r="O1301" s="0" t="n">
        <v>1</v>
      </c>
      <c r="R1301" s="3"/>
      <c r="S1301" s="2" t="s">
        <v>28</v>
      </c>
    </row>
    <row r="1302" customFormat="false" ht="15" hidden="false" customHeight="false" outlineLevel="0" collapsed="false">
      <c r="A1302" s="0" t="n">
        <v>1301</v>
      </c>
      <c r="D1302" s="0" t="s">
        <v>2985</v>
      </c>
      <c r="E1302" s="0" t="s">
        <v>287</v>
      </c>
      <c r="H1302" s="0" t="s">
        <v>21</v>
      </c>
      <c r="I1302" s="2" t="s">
        <v>22</v>
      </c>
      <c r="J1302" s="2" t="s">
        <v>854</v>
      </c>
      <c r="K1302" s="0" t="s">
        <v>855</v>
      </c>
      <c r="L1302" s="0" t="s">
        <v>25</v>
      </c>
      <c r="M1302" s="0" t="s">
        <v>857</v>
      </c>
      <c r="N1302" s="0" t="s">
        <v>2986</v>
      </c>
      <c r="O1302" s="0" t="n">
        <v>1</v>
      </c>
      <c r="P1302" s="0" t="s">
        <v>287</v>
      </c>
      <c r="R1302" s="3"/>
      <c r="S1302" s="2" t="s">
        <v>28</v>
      </c>
    </row>
    <row r="1303" customFormat="false" ht="15" hidden="false" customHeight="false" outlineLevel="0" collapsed="false">
      <c r="A1303" s="0" t="n">
        <v>1302</v>
      </c>
      <c r="D1303" s="0" t="s">
        <v>2987</v>
      </c>
      <c r="E1303" s="0" t="s">
        <v>20</v>
      </c>
      <c r="H1303" s="0" t="s">
        <v>21</v>
      </c>
      <c r="I1303" s="2" t="s">
        <v>22</v>
      </c>
      <c r="J1303" s="2" t="s">
        <v>854</v>
      </c>
      <c r="K1303" s="0" t="s">
        <v>855</v>
      </c>
      <c r="L1303" s="0" t="s">
        <v>25</v>
      </c>
      <c r="M1303" s="0" t="s">
        <v>857</v>
      </c>
      <c r="N1303" s="0" t="s">
        <v>2988</v>
      </c>
      <c r="O1303" s="0" t="n">
        <v>1</v>
      </c>
      <c r="R1303" s="3"/>
      <c r="S1303" s="2" t="s">
        <v>28</v>
      </c>
    </row>
    <row r="1304" customFormat="false" ht="15" hidden="false" customHeight="false" outlineLevel="0" collapsed="false">
      <c r="A1304" s="0" t="n">
        <v>1303</v>
      </c>
      <c r="D1304" s="0" t="s">
        <v>2989</v>
      </c>
      <c r="E1304" s="0" t="s">
        <v>20</v>
      </c>
      <c r="H1304" s="0" t="s">
        <v>21</v>
      </c>
      <c r="I1304" s="2" t="s">
        <v>22</v>
      </c>
      <c r="J1304" s="2" t="s">
        <v>854</v>
      </c>
      <c r="K1304" s="0" t="s">
        <v>855</v>
      </c>
      <c r="L1304" s="0" t="s">
        <v>25</v>
      </c>
      <c r="M1304" s="0" t="s">
        <v>857</v>
      </c>
      <c r="N1304" s="0" t="s">
        <v>2990</v>
      </c>
      <c r="O1304" s="0" t="n">
        <v>1</v>
      </c>
      <c r="R1304" s="3"/>
      <c r="S1304" s="2" t="s">
        <v>28</v>
      </c>
    </row>
    <row r="1305" customFormat="false" ht="15" hidden="false" customHeight="false" outlineLevel="0" collapsed="false">
      <c r="A1305" s="0" t="n">
        <v>1304</v>
      </c>
      <c r="D1305" s="0" t="s">
        <v>2991</v>
      </c>
      <c r="E1305" s="0" t="s">
        <v>20</v>
      </c>
      <c r="H1305" s="0" t="s">
        <v>21</v>
      </c>
      <c r="I1305" s="2" t="s">
        <v>22</v>
      </c>
      <c r="J1305" s="2" t="s">
        <v>854</v>
      </c>
      <c r="K1305" s="0" t="s">
        <v>855</v>
      </c>
      <c r="L1305" s="0" t="s">
        <v>25</v>
      </c>
      <c r="M1305" s="0" t="s">
        <v>857</v>
      </c>
      <c r="N1305" s="0" t="s">
        <v>396</v>
      </c>
      <c r="O1305" s="0" t="n">
        <v>1</v>
      </c>
      <c r="R1305" s="3"/>
      <c r="S1305" s="2" t="s">
        <v>28</v>
      </c>
    </row>
    <row r="1306" customFormat="false" ht="15" hidden="false" customHeight="false" outlineLevel="0" collapsed="false">
      <c r="A1306" s="0" t="n">
        <v>1305</v>
      </c>
      <c r="D1306" s="0" t="s">
        <v>2992</v>
      </c>
      <c r="E1306" s="0" t="s">
        <v>287</v>
      </c>
      <c r="H1306" s="0" t="s">
        <v>21</v>
      </c>
      <c r="I1306" s="2" t="s">
        <v>22</v>
      </c>
      <c r="J1306" s="2" t="s">
        <v>854</v>
      </c>
      <c r="K1306" s="0" t="s">
        <v>855</v>
      </c>
      <c r="L1306" s="0" t="s">
        <v>25</v>
      </c>
      <c r="M1306" s="0" t="s">
        <v>857</v>
      </c>
      <c r="N1306" s="0" t="s">
        <v>2993</v>
      </c>
      <c r="O1306" s="0" t="n">
        <v>1</v>
      </c>
      <c r="P1306" s="0" t="s">
        <v>287</v>
      </c>
      <c r="R1306" s="3"/>
      <c r="S1306" s="2" t="s">
        <v>28</v>
      </c>
    </row>
    <row r="1307" customFormat="false" ht="15" hidden="false" customHeight="false" outlineLevel="0" collapsed="false">
      <c r="A1307" s="0" t="n">
        <v>1306</v>
      </c>
      <c r="D1307" s="0" t="s">
        <v>2994</v>
      </c>
      <c r="E1307" s="0" t="s">
        <v>20</v>
      </c>
      <c r="H1307" s="0" t="s">
        <v>21</v>
      </c>
      <c r="I1307" s="2" t="s">
        <v>22</v>
      </c>
      <c r="J1307" s="2" t="s">
        <v>854</v>
      </c>
      <c r="K1307" s="0" t="s">
        <v>855</v>
      </c>
      <c r="L1307" s="0" t="s">
        <v>420</v>
      </c>
      <c r="M1307" s="0" t="s">
        <v>857</v>
      </c>
      <c r="N1307" s="0" t="s">
        <v>2995</v>
      </c>
      <c r="O1307" s="0" t="n">
        <v>1</v>
      </c>
      <c r="P1307" s="0" t="s">
        <v>422</v>
      </c>
      <c r="R1307" s="3"/>
      <c r="S1307" s="2" t="s">
        <v>28</v>
      </c>
    </row>
    <row r="1308" customFormat="false" ht="15" hidden="false" customHeight="false" outlineLevel="0" collapsed="false">
      <c r="A1308" s="0" t="n">
        <v>1307</v>
      </c>
      <c r="D1308" s="0" t="s">
        <v>2996</v>
      </c>
      <c r="E1308" s="0" t="s">
        <v>268</v>
      </c>
      <c r="H1308" s="0" t="s">
        <v>21</v>
      </c>
      <c r="I1308" s="2" t="s">
        <v>22</v>
      </c>
      <c r="J1308" s="2" t="s">
        <v>854</v>
      </c>
      <c r="K1308" s="0" t="s">
        <v>855</v>
      </c>
      <c r="L1308" s="0" t="s">
        <v>25</v>
      </c>
      <c r="M1308" s="0" t="s">
        <v>857</v>
      </c>
      <c r="N1308" s="0" t="s">
        <v>2997</v>
      </c>
      <c r="O1308" s="0" t="n">
        <v>1</v>
      </c>
      <c r="P1308" s="0" t="s">
        <v>268</v>
      </c>
      <c r="R1308" s="3"/>
      <c r="S1308" s="2" t="s">
        <v>28</v>
      </c>
    </row>
    <row r="1309" customFormat="false" ht="15" hidden="false" customHeight="false" outlineLevel="0" collapsed="false">
      <c r="A1309" s="0" t="n">
        <v>1308</v>
      </c>
      <c r="D1309" s="0" t="s">
        <v>2998</v>
      </c>
      <c r="E1309" s="0" t="s">
        <v>20</v>
      </c>
      <c r="H1309" s="0" t="s">
        <v>21</v>
      </c>
      <c r="I1309" s="2" t="s">
        <v>22</v>
      </c>
      <c r="J1309" s="2" t="s">
        <v>854</v>
      </c>
      <c r="K1309" s="0" t="s">
        <v>855</v>
      </c>
      <c r="L1309" s="0" t="s">
        <v>420</v>
      </c>
      <c r="M1309" s="0" t="s">
        <v>857</v>
      </c>
      <c r="N1309" s="0" t="s">
        <v>2999</v>
      </c>
      <c r="O1309" s="0" t="n">
        <v>1</v>
      </c>
      <c r="P1309" s="0" t="s">
        <v>422</v>
      </c>
      <c r="R1309" s="3"/>
      <c r="S1309" s="2" t="s">
        <v>28</v>
      </c>
    </row>
    <row r="1310" customFormat="false" ht="15" hidden="false" customHeight="false" outlineLevel="0" collapsed="false">
      <c r="A1310" s="0" t="n">
        <v>1309</v>
      </c>
      <c r="D1310" s="0" t="s">
        <v>3000</v>
      </c>
      <c r="E1310" s="0" t="s">
        <v>20</v>
      </c>
      <c r="H1310" s="0" t="s">
        <v>21</v>
      </c>
      <c r="I1310" s="2" t="s">
        <v>22</v>
      </c>
      <c r="J1310" s="2" t="s">
        <v>854</v>
      </c>
      <c r="K1310" s="0" t="s">
        <v>855</v>
      </c>
      <c r="L1310" s="0" t="s">
        <v>25</v>
      </c>
      <c r="M1310" s="0" t="s">
        <v>857</v>
      </c>
      <c r="N1310" s="0" t="s">
        <v>3001</v>
      </c>
      <c r="O1310" s="0" t="n">
        <v>1</v>
      </c>
      <c r="R1310" s="3"/>
      <c r="S1310" s="2" t="s">
        <v>28</v>
      </c>
    </row>
    <row r="1311" customFormat="false" ht="15" hidden="false" customHeight="false" outlineLevel="0" collapsed="false">
      <c r="A1311" s="0" t="n">
        <v>1310</v>
      </c>
      <c r="D1311" s="0" t="s">
        <v>3002</v>
      </c>
      <c r="E1311" s="0" t="s">
        <v>20</v>
      </c>
      <c r="H1311" s="0" t="s">
        <v>21</v>
      </c>
      <c r="I1311" s="2" t="s">
        <v>22</v>
      </c>
      <c r="J1311" s="2" t="s">
        <v>854</v>
      </c>
      <c r="K1311" s="0" t="s">
        <v>855</v>
      </c>
      <c r="L1311" s="0" t="s">
        <v>25</v>
      </c>
      <c r="M1311" s="0" t="s">
        <v>857</v>
      </c>
      <c r="N1311" s="0" t="s">
        <v>3003</v>
      </c>
      <c r="O1311" s="0" t="n">
        <v>1</v>
      </c>
      <c r="R1311" s="3"/>
      <c r="S1311" s="2" t="s">
        <v>28</v>
      </c>
    </row>
    <row r="1312" customFormat="false" ht="15" hidden="false" customHeight="false" outlineLevel="0" collapsed="false">
      <c r="A1312" s="0" t="n">
        <v>1311</v>
      </c>
      <c r="D1312" s="0" t="s">
        <v>3004</v>
      </c>
      <c r="E1312" s="0" t="s">
        <v>20</v>
      </c>
      <c r="H1312" s="0" t="s">
        <v>21</v>
      </c>
      <c r="I1312" s="2" t="s">
        <v>22</v>
      </c>
      <c r="J1312" s="2" t="s">
        <v>854</v>
      </c>
      <c r="K1312" s="0" t="s">
        <v>855</v>
      </c>
      <c r="L1312" s="0" t="s">
        <v>25</v>
      </c>
      <c r="M1312" s="0" t="s">
        <v>857</v>
      </c>
      <c r="N1312" s="0" t="s">
        <v>3005</v>
      </c>
      <c r="O1312" s="0" t="n">
        <v>1</v>
      </c>
      <c r="R1312" s="3"/>
      <c r="S1312" s="2" t="s">
        <v>28</v>
      </c>
    </row>
    <row r="1313" customFormat="false" ht="15" hidden="false" customHeight="false" outlineLevel="0" collapsed="false">
      <c r="A1313" s="0" t="n">
        <v>1312</v>
      </c>
      <c r="D1313" s="0" t="s">
        <v>3006</v>
      </c>
      <c r="E1313" s="0" t="s">
        <v>20</v>
      </c>
      <c r="H1313" s="0" t="s">
        <v>21</v>
      </c>
      <c r="I1313" s="2" t="s">
        <v>22</v>
      </c>
      <c r="J1313" s="2" t="s">
        <v>854</v>
      </c>
      <c r="K1313" s="0" t="s">
        <v>855</v>
      </c>
      <c r="L1313" s="0" t="s">
        <v>25</v>
      </c>
      <c r="M1313" s="0" t="s">
        <v>857</v>
      </c>
      <c r="N1313" s="0" t="s">
        <v>3007</v>
      </c>
      <c r="O1313" s="0" t="n">
        <v>1</v>
      </c>
      <c r="R1313" s="3"/>
      <c r="S1313" s="2" t="s">
        <v>28</v>
      </c>
    </row>
    <row r="1314" customFormat="false" ht="15" hidden="false" customHeight="false" outlineLevel="0" collapsed="false">
      <c r="A1314" s="0" t="n">
        <v>1313</v>
      </c>
      <c r="D1314" s="0" t="s">
        <v>3008</v>
      </c>
      <c r="E1314" s="0" t="s">
        <v>210</v>
      </c>
      <c r="H1314" s="0" t="s">
        <v>21</v>
      </c>
      <c r="I1314" s="2" t="s">
        <v>22</v>
      </c>
      <c r="J1314" s="2" t="s">
        <v>854</v>
      </c>
      <c r="K1314" s="0" t="s">
        <v>855</v>
      </c>
      <c r="L1314" s="0" t="s">
        <v>25</v>
      </c>
      <c r="M1314" s="0" t="s">
        <v>857</v>
      </c>
      <c r="N1314" s="0" t="s">
        <v>3009</v>
      </c>
      <c r="O1314" s="0" t="n">
        <v>1</v>
      </c>
      <c r="P1314" s="0" t="s">
        <v>210</v>
      </c>
      <c r="R1314" s="3"/>
      <c r="S1314" s="2" t="s">
        <v>28</v>
      </c>
    </row>
    <row r="1315" customFormat="false" ht="15" hidden="false" customHeight="false" outlineLevel="0" collapsed="false">
      <c r="A1315" s="0" t="n">
        <v>1314</v>
      </c>
      <c r="D1315" s="0" t="s">
        <v>3010</v>
      </c>
      <c r="E1315" s="0" t="s">
        <v>20</v>
      </c>
      <c r="H1315" s="0" t="s">
        <v>21</v>
      </c>
      <c r="I1315" s="2" t="s">
        <v>22</v>
      </c>
      <c r="J1315" s="2" t="s">
        <v>854</v>
      </c>
      <c r="K1315" s="0" t="s">
        <v>855</v>
      </c>
      <c r="L1315" s="0" t="s">
        <v>25</v>
      </c>
      <c r="M1315" s="0" t="s">
        <v>857</v>
      </c>
      <c r="N1315" s="0" t="s">
        <v>3011</v>
      </c>
      <c r="O1315" s="0" t="n">
        <v>1</v>
      </c>
      <c r="R1315" s="3"/>
      <c r="S1315" s="2" t="s">
        <v>28</v>
      </c>
    </row>
    <row r="1316" customFormat="false" ht="15" hidden="false" customHeight="false" outlineLevel="0" collapsed="false">
      <c r="A1316" s="0" t="n">
        <v>1315</v>
      </c>
      <c r="D1316" s="0" t="s">
        <v>3012</v>
      </c>
      <c r="E1316" s="0" t="s">
        <v>568</v>
      </c>
      <c r="H1316" s="0" t="s">
        <v>21</v>
      </c>
      <c r="I1316" s="2" t="s">
        <v>22</v>
      </c>
      <c r="J1316" s="2" t="s">
        <v>854</v>
      </c>
      <c r="K1316" s="0" t="s">
        <v>855</v>
      </c>
      <c r="L1316" s="0" t="s">
        <v>25</v>
      </c>
      <c r="M1316" s="0" t="s">
        <v>857</v>
      </c>
      <c r="N1316" s="0" t="s">
        <v>3013</v>
      </c>
      <c r="O1316" s="0" t="n">
        <v>1</v>
      </c>
      <c r="P1316" s="0" t="s">
        <v>568</v>
      </c>
      <c r="R1316" s="3"/>
      <c r="S1316" s="2" t="s">
        <v>28</v>
      </c>
    </row>
    <row r="1317" customFormat="false" ht="15" hidden="false" customHeight="false" outlineLevel="0" collapsed="false">
      <c r="A1317" s="0" t="n">
        <v>1316</v>
      </c>
      <c r="D1317" s="0" t="s">
        <v>3014</v>
      </c>
      <c r="E1317" s="0" t="s">
        <v>173</v>
      </c>
      <c r="H1317" s="0" t="s">
        <v>21</v>
      </c>
      <c r="I1317" s="2" t="s">
        <v>22</v>
      </c>
      <c r="J1317" s="2" t="s">
        <v>854</v>
      </c>
      <c r="K1317" s="0" t="s">
        <v>855</v>
      </c>
      <c r="L1317" s="0" t="s">
        <v>25</v>
      </c>
      <c r="M1317" s="0" t="s">
        <v>857</v>
      </c>
      <c r="N1317" s="0" t="s">
        <v>3015</v>
      </c>
      <c r="O1317" s="0" t="n">
        <v>1</v>
      </c>
      <c r="P1317" s="0" t="s">
        <v>173</v>
      </c>
      <c r="R1317" s="3"/>
      <c r="S1317" s="2" t="s">
        <v>28</v>
      </c>
    </row>
    <row r="1318" customFormat="false" ht="15" hidden="false" customHeight="false" outlineLevel="0" collapsed="false">
      <c r="A1318" s="0" t="n">
        <v>1317</v>
      </c>
      <c r="D1318" s="0" t="s">
        <v>3016</v>
      </c>
      <c r="E1318" s="0" t="s">
        <v>253</v>
      </c>
      <c r="H1318" s="0" t="s">
        <v>21</v>
      </c>
      <c r="I1318" s="2" t="s">
        <v>22</v>
      </c>
      <c r="J1318" s="2" t="s">
        <v>854</v>
      </c>
      <c r="K1318" s="0" t="s">
        <v>855</v>
      </c>
      <c r="L1318" s="0" t="s">
        <v>25</v>
      </c>
      <c r="M1318" s="0" t="s">
        <v>857</v>
      </c>
      <c r="N1318" s="0" t="s">
        <v>3017</v>
      </c>
      <c r="O1318" s="0" t="n">
        <v>1</v>
      </c>
      <c r="P1318" s="0" t="s">
        <v>253</v>
      </c>
      <c r="R1318" s="3"/>
      <c r="S1318" s="2" t="s">
        <v>28</v>
      </c>
    </row>
    <row r="1319" customFormat="false" ht="15" hidden="false" customHeight="false" outlineLevel="0" collapsed="false">
      <c r="A1319" s="0" t="n">
        <v>1318</v>
      </c>
      <c r="D1319" s="0" t="s">
        <v>3018</v>
      </c>
      <c r="E1319" s="0" t="s">
        <v>253</v>
      </c>
      <c r="H1319" s="0" t="s">
        <v>21</v>
      </c>
      <c r="I1319" s="2" t="s">
        <v>22</v>
      </c>
      <c r="J1319" s="2" t="s">
        <v>854</v>
      </c>
      <c r="K1319" s="0" t="s">
        <v>855</v>
      </c>
      <c r="L1319" s="0" t="s">
        <v>25</v>
      </c>
      <c r="M1319" s="0" t="s">
        <v>857</v>
      </c>
      <c r="N1319" s="0" t="s">
        <v>3019</v>
      </c>
      <c r="O1319" s="0" t="n">
        <v>1</v>
      </c>
      <c r="P1319" s="0" t="s">
        <v>253</v>
      </c>
      <c r="R1319" s="3"/>
      <c r="S1319" s="2" t="s">
        <v>28</v>
      </c>
    </row>
    <row r="1320" customFormat="false" ht="15" hidden="false" customHeight="false" outlineLevel="0" collapsed="false">
      <c r="A1320" s="0" t="n">
        <v>1319</v>
      </c>
      <c r="D1320" s="0" t="s">
        <v>3020</v>
      </c>
      <c r="E1320" s="0" t="s">
        <v>268</v>
      </c>
      <c r="H1320" s="0" t="s">
        <v>21</v>
      </c>
      <c r="I1320" s="2" t="s">
        <v>22</v>
      </c>
      <c r="J1320" s="2" t="s">
        <v>854</v>
      </c>
      <c r="K1320" s="0" t="s">
        <v>855</v>
      </c>
      <c r="L1320" s="0" t="s">
        <v>25</v>
      </c>
      <c r="M1320" s="0" t="s">
        <v>857</v>
      </c>
      <c r="N1320" s="0" t="s">
        <v>3021</v>
      </c>
      <c r="O1320" s="0" t="n">
        <v>1</v>
      </c>
      <c r="P1320" s="0" t="s">
        <v>268</v>
      </c>
      <c r="R1320" s="3"/>
      <c r="S1320" s="2" t="s">
        <v>28</v>
      </c>
    </row>
    <row r="1321" customFormat="false" ht="15" hidden="false" customHeight="false" outlineLevel="0" collapsed="false">
      <c r="A1321" s="0" t="n">
        <v>1320</v>
      </c>
      <c r="D1321" s="0" t="s">
        <v>3022</v>
      </c>
      <c r="E1321" s="0" t="s">
        <v>20</v>
      </c>
      <c r="H1321" s="0" t="s">
        <v>21</v>
      </c>
      <c r="I1321" s="2" t="s">
        <v>22</v>
      </c>
      <c r="J1321" s="2" t="s">
        <v>854</v>
      </c>
      <c r="K1321" s="0" t="s">
        <v>855</v>
      </c>
      <c r="L1321" s="0" t="s">
        <v>25</v>
      </c>
      <c r="M1321" s="0" t="s">
        <v>857</v>
      </c>
      <c r="N1321" s="0" t="s">
        <v>3023</v>
      </c>
      <c r="O1321" s="0" t="n">
        <v>1</v>
      </c>
      <c r="R1321" s="3"/>
      <c r="S1321" s="2" t="s">
        <v>28</v>
      </c>
    </row>
    <row r="1322" customFormat="false" ht="15" hidden="false" customHeight="false" outlineLevel="0" collapsed="false">
      <c r="A1322" s="0" t="n">
        <v>1321</v>
      </c>
      <c r="D1322" s="0" t="s">
        <v>3024</v>
      </c>
      <c r="E1322" s="0" t="s">
        <v>287</v>
      </c>
      <c r="H1322" s="0" t="s">
        <v>21</v>
      </c>
      <c r="I1322" s="2" t="s">
        <v>22</v>
      </c>
      <c r="J1322" s="2" t="s">
        <v>854</v>
      </c>
      <c r="K1322" s="0" t="s">
        <v>855</v>
      </c>
      <c r="L1322" s="0" t="s">
        <v>25</v>
      </c>
      <c r="M1322" s="0" t="s">
        <v>857</v>
      </c>
      <c r="N1322" s="0" t="s">
        <v>3025</v>
      </c>
      <c r="O1322" s="0" t="n">
        <v>1</v>
      </c>
      <c r="P1322" s="0" t="s">
        <v>287</v>
      </c>
      <c r="R1322" s="3"/>
      <c r="S1322" s="2" t="s">
        <v>28</v>
      </c>
    </row>
    <row r="1323" customFormat="false" ht="15" hidden="false" customHeight="false" outlineLevel="0" collapsed="false">
      <c r="A1323" s="0" t="n">
        <v>1322</v>
      </c>
      <c r="D1323" s="0" t="s">
        <v>3026</v>
      </c>
      <c r="E1323" s="0" t="s">
        <v>253</v>
      </c>
      <c r="H1323" s="0" t="s">
        <v>21</v>
      </c>
      <c r="I1323" s="2" t="s">
        <v>22</v>
      </c>
      <c r="J1323" s="2" t="s">
        <v>854</v>
      </c>
      <c r="K1323" s="0" t="s">
        <v>855</v>
      </c>
      <c r="L1323" s="0" t="s">
        <v>25</v>
      </c>
      <c r="M1323" s="0" t="s">
        <v>857</v>
      </c>
      <c r="N1323" s="0" t="s">
        <v>3027</v>
      </c>
      <c r="O1323" s="0" t="n">
        <v>1</v>
      </c>
      <c r="P1323" s="0" t="s">
        <v>253</v>
      </c>
      <c r="R1323" s="3"/>
      <c r="S1323" s="2" t="s">
        <v>28</v>
      </c>
    </row>
    <row r="1324" customFormat="false" ht="15" hidden="false" customHeight="false" outlineLevel="0" collapsed="false">
      <c r="A1324" s="0" t="n">
        <v>1323</v>
      </c>
      <c r="D1324" s="0" t="s">
        <v>3028</v>
      </c>
      <c r="E1324" s="0" t="s">
        <v>376</v>
      </c>
      <c r="H1324" s="0" t="s">
        <v>21</v>
      </c>
      <c r="I1324" s="2" t="s">
        <v>22</v>
      </c>
      <c r="J1324" s="2" t="s">
        <v>854</v>
      </c>
      <c r="K1324" s="0" t="s">
        <v>855</v>
      </c>
      <c r="L1324" s="0" t="s">
        <v>25</v>
      </c>
      <c r="M1324" s="0" t="s">
        <v>857</v>
      </c>
      <c r="N1324" s="0" t="s">
        <v>3029</v>
      </c>
      <c r="O1324" s="0" t="n">
        <v>1</v>
      </c>
      <c r="P1324" s="0" t="s">
        <v>376</v>
      </c>
      <c r="R1324" s="3"/>
      <c r="S1324" s="2" t="s">
        <v>28</v>
      </c>
    </row>
    <row r="1325" customFormat="false" ht="15" hidden="false" customHeight="false" outlineLevel="0" collapsed="false">
      <c r="A1325" s="0" t="n">
        <v>1324</v>
      </c>
      <c r="D1325" s="0" t="s">
        <v>3030</v>
      </c>
      <c r="E1325" s="0" t="s">
        <v>268</v>
      </c>
      <c r="H1325" s="0" t="s">
        <v>21</v>
      </c>
      <c r="I1325" s="2" t="s">
        <v>22</v>
      </c>
      <c r="J1325" s="2" t="s">
        <v>854</v>
      </c>
      <c r="K1325" s="0" t="s">
        <v>855</v>
      </c>
      <c r="L1325" s="0" t="s">
        <v>25</v>
      </c>
      <c r="M1325" s="0" t="s">
        <v>857</v>
      </c>
      <c r="N1325" s="0" t="s">
        <v>3031</v>
      </c>
      <c r="O1325" s="0" t="n">
        <v>1</v>
      </c>
      <c r="P1325" s="0" t="s">
        <v>268</v>
      </c>
      <c r="R1325" s="3"/>
      <c r="S1325" s="2" t="s">
        <v>28</v>
      </c>
    </row>
    <row r="1326" customFormat="false" ht="15" hidden="false" customHeight="false" outlineLevel="0" collapsed="false">
      <c r="A1326" s="0" t="n">
        <v>1325</v>
      </c>
      <c r="D1326" s="0" t="s">
        <v>3032</v>
      </c>
      <c r="E1326" s="0" t="s">
        <v>20</v>
      </c>
      <c r="H1326" s="0" t="s">
        <v>21</v>
      </c>
      <c r="I1326" s="2" t="s">
        <v>22</v>
      </c>
      <c r="J1326" s="2" t="s">
        <v>854</v>
      </c>
      <c r="K1326" s="0" t="s">
        <v>855</v>
      </c>
      <c r="L1326" s="0" t="s">
        <v>25</v>
      </c>
      <c r="M1326" s="0" t="s">
        <v>857</v>
      </c>
      <c r="N1326" s="0" t="s">
        <v>3033</v>
      </c>
      <c r="O1326" s="0" t="n">
        <v>1</v>
      </c>
      <c r="R1326" s="3"/>
      <c r="S1326" s="2" t="s">
        <v>28</v>
      </c>
    </row>
    <row r="1327" customFormat="false" ht="15" hidden="false" customHeight="false" outlineLevel="0" collapsed="false">
      <c r="A1327" s="0" t="n">
        <v>1326</v>
      </c>
      <c r="D1327" s="0" t="s">
        <v>3034</v>
      </c>
      <c r="E1327" s="0" t="s">
        <v>173</v>
      </c>
      <c r="H1327" s="0" t="s">
        <v>21</v>
      </c>
      <c r="I1327" s="2" t="s">
        <v>22</v>
      </c>
      <c r="J1327" s="2" t="s">
        <v>854</v>
      </c>
      <c r="K1327" s="0" t="s">
        <v>855</v>
      </c>
      <c r="L1327" s="0" t="s">
        <v>25</v>
      </c>
      <c r="M1327" s="0" t="s">
        <v>857</v>
      </c>
      <c r="N1327" s="0" t="s">
        <v>3035</v>
      </c>
      <c r="O1327" s="0" t="n">
        <v>1</v>
      </c>
      <c r="P1327" s="0" t="s">
        <v>173</v>
      </c>
      <c r="R1327" s="3"/>
      <c r="S1327" s="2" t="s">
        <v>28</v>
      </c>
    </row>
    <row r="1328" customFormat="false" ht="15" hidden="false" customHeight="false" outlineLevel="0" collapsed="false">
      <c r="A1328" s="0" t="n">
        <v>1327</v>
      </c>
      <c r="D1328" s="0" t="s">
        <v>3036</v>
      </c>
      <c r="E1328" s="0" t="s">
        <v>173</v>
      </c>
      <c r="H1328" s="0" t="s">
        <v>21</v>
      </c>
      <c r="I1328" s="2" t="s">
        <v>22</v>
      </c>
      <c r="J1328" s="2" t="s">
        <v>854</v>
      </c>
      <c r="K1328" s="0" t="s">
        <v>855</v>
      </c>
      <c r="L1328" s="0" t="s">
        <v>25</v>
      </c>
      <c r="M1328" s="0" t="s">
        <v>857</v>
      </c>
      <c r="N1328" s="0" t="s">
        <v>3037</v>
      </c>
      <c r="O1328" s="0" t="n">
        <v>1</v>
      </c>
      <c r="P1328" s="0" t="s">
        <v>173</v>
      </c>
      <c r="R1328" s="3"/>
      <c r="S1328" s="2" t="s">
        <v>28</v>
      </c>
    </row>
    <row r="1329" customFormat="false" ht="15" hidden="false" customHeight="false" outlineLevel="0" collapsed="false">
      <c r="A1329" s="0" t="n">
        <v>1328</v>
      </c>
      <c r="D1329" s="0" t="s">
        <v>3038</v>
      </c>
      <c r="E1329" s="0" t="s">
        <v>173</v>
      </c>
      <c r="H1329" s="0" t="s">
        <v>21</v>
      </c>
      <c r="I1329" s="2" t="s">
        <v>22</v>
      </c>
      <c r="J1329" s="2" t="s">
        <v>854</v>
      </c>
      <c r="K1329" s="0" t="s">
        <v>855</v>
      </c>
      <c r="L1329" s="0" t="s">
        <v>25</v>
      </c>
      <c r="M1329" s="0" t="s">
        <v>857</v>
      </c>
      <c r="N1329" s="0" t="s">
        <v>3039</v>
      </c>
      <c r="O1329" s="0" t="n">
        <v>1</v>
      </c>
      <c r="P1329" s="0" t="s">
        <v>173</v>
      </c>
      <c r="R1329" s="3"/>
      <c r="S1329" s="2" t="s">
        <v>28</v>
      </c>
    </row>
    <row r="1330" customFormat="false" ht="15" hidden="false" customHeight="false" outlineLevel="0" collapsed="false">
      <c r="A1330" s="0" t="n">
        <v>1329</v>
      </c>
      <c r="D1330" s="0" t="s">
        <v>3040</v>
      </c>
      <c r="E1330" s="0" t="s">
        <v>20</v>
      </c>
      <c r="H1330" s="0" t="s">
        <v>21</v>
      </c>
      <c r="I1330" s="2" t="s">
        <v>22</v>
      </c>
      <c r="J1330" s="2" t="s">
        <v>854</v>
      </c>
      <c r="K1330" s="0" t="s">
        <v>855</v>
      </c>
      <c r="L1330" s="0" t="s">
        <v>25</v>
      </c>
      <c r="M1330" s="0" t="s">
        <v>857</v>
      </c>
      <c r="N1330" s="0" t="s">
        <v>3041</v>
      </c>
      <c r="O1330" s="0" t="n">
        <v>1</v>
      </c>
      <c r="R1330" s="3"/>
      <c r="S1330" s="2" t="s">
        <v>28</v>
      </c>
    </row>
    <row r="1331" customFormat="false" ht="15" hidden="false" customHeight="false" outlineLevel="0" collapsed="false">
      <c r="A1331" s="0" t="n">
        <v>1330</v>
      </c>
      <c r="D1331" s="0" t="s">
        <v>3042</v>
      </c>
      <c r="E1331" s="0" t="s">
        <v>20</v>
      </c>
      <c r="H1331" s="0" t="s">
        <v>21</v>
      </c>
      <c r="I1331" s="2" t="s">
        <v>22</v>
      </c>
      <c r="J1331" s="2" t="s">
        <v>854</v>
      </c>
      <c r="K1331" s="0" t="s">
        <v>855</v>
      </c>
      <c r="L1331" s="0" t="s">
        <v>25</v>
      </c>
      <c r="M1331" s="0" t="s">
        <v>857</v>
      </c>
      <c r="N1331" s="0" t="s">
        <v>3043</v>
      </c>
      <c r="O1331" s="0" t="n">
        <v>1</v>
      </c>
      <c r="R1331" s="3"/>
      <c r="S1331" s="2" t="s">
        <v>28</v>
      </c>
    </row>
    <row r="1332" customFormat="false" ht="15" hidden="false" customHeight="false" outlineLevel="0" collapsed="false">
      <c r="A1332" s="0" t="n">
        <v>1331</v>
      </c>
      <c r="D1332" s="0" t="s">
        <v>3044</v>
      </c>
      <c r="E1332" s="0" t="s">
        <v>20</v>
      </c>
      <c r="H1332" s="0" t="s">
        <v>21</v>
      </c>
      <c r="I1332" s="2" t="s">
        <v>22</v>
      </c>
      <c r="J1332" s="2" t="s">
        <v>854</v>
      </c>
      <c r="K1332" s="0" t="s">
        <v>855</v>
      </c>
      <c r="L1332" s="0" t="s">
        <v>25</v>
      </c>
      <c r="M1332" s="0" t="s">
        <v>857</v>
      </c>
      <c r="N1332" s="0" t="s">
        <v>3045</v>
      </c>
      <c r="O1332" s="0" t="n">
        <v>1</v>
      </c>
      <c r="R1332" s="3"/>
      <c r="S1332" s="2" t="s">
        <v>28</v>
      </c>
    </row>
    <row r="1333" customFormat="false" ht="15" hidden="false" customHeight="false" outlineLevel="0" collapsed="false">
      <c r="A1333" s="0" t="n">
        <v>1332</v>
      </c>
      <c r="D1333" s="0" t="s">
        <v>3046</v>
      </c>
      <c r="E1333" s="0" t="s">
        <v>20</v>
      </c>
      <c r="H1333" s="0" t="s">
        <v>21</v>
      </c>
      <c r="I1333" s="2" t="s">
        <v>22</v>
      </c>
      <c r="J1333" s="2" t="s">
        <v>854</v>
      </c>
      <c r="K1333" s="0" t="s">
        <v>855</v>
      </c>
      <c r="L1333" s="0" t="s">
        <v>25</v>
      </c>
      <c r="M1333" s="0" t="s">
        <v>857</v>
      </c>
      <c r="N1333" s="0" t="s">
        <v>3047</v>
      </c>
      <c r="O1333" s="0" t="n">
        <v>1</v>
      </c>
      <c r="R1333" s="3"/>
      <c r="S1333" s="2" t="s">
        <v>28</v>
      </c>
    </row>
    <row r="1334" customFormat="false" ht="15" hidden="false" customHeight="false" outlineLevel="0" collapsed="false">
      <c r="A1334" s="0" t="n">
        <v>1333</v>
      </c>
      <c r="D1334" s="0" t="s">
        <v>3048</v>
      </c>
      <c r="E1334" s="0" t="s">
        <v>20</v>
      </c>
      <c r="H1334" s="0" t="s">
        <v>21</v>
      </c>
      <c r="I1334" s="2" t="s">
        <v>22</v>
      </c>
      <c r="J1334" s="2" t="s">
        <v>854</v>
      </c>
      <c r="K1334" s="0" t="s">
        <v>855</v>
      </c>
      <c r="L1334" s="0" t="s">
        <v>25</v>
      </c>
      <c r="M1334" s="0" t="s">
        <v>857</v>
      </c>
      <c r="N1334" s="0" t="s">
        <v>3049</v>
      </c>
      <c r="O1334" s="0" t="n">
        <v>1</v>
      </c>
      <c r="R1334" s="3"/>
      <c r="S1334" s="2" t="s">
        <v>28</v>
      </c>
    </row>
    <row r="1335" customFormat="false" ht="15" hidden="false" customHeight="false" outlineLevel="0" collapsed="false">
      <c r="A1335" s="0" t="n">
        <v>1334</v>
      </c>
      <c r="D1335" s="0" t="s">
        <v>3050</v>
      </c>
      <c r="E1335" s="0" t="s">
        <v>20</v>
      </c>
      <c r="H1335" s="0" t="s">
        <v>21</v>
      </c>
      <c r="I1335" s="2" t="s">
        <v>22</v>
      </c>
      <c r="J1335" s="2" t="s">
        <v>854</v>
      </c>
      <c r="K1335" s="0" t="s">
        <v>855</v>
      </c>
      <c r="L1335" s="0" t="s">
        <v>25</v>
      </c>
      <c r="M1335" s="0" t="s">
        <v>857</v>
      </c>
      <c r="N1335" s="0" t="s">
        <v>3051</v>
      </c>
      <c r="O1335" s="0" t="n">
        <v>1</v>
      </c>
      <c r="R1335" s="3"/>
      <c r="S1335" s="2" t="s">
        <v>28</v>
      </c>
    </row>
    <row r="1336" customFormat="false" ht="15" hidden="false" customHeight="false" outlineLevel="0" collapsed="false">
      <c r="A1336" s="0" t="n">
        <v>1335</v>
      </c>
      <c r="D1336" s="0" t="s">
        <v>3052</v>
      </c>
      <c r="E1336" s="0" t="s">
        <v>173</v>
      </c>
      <c r="H1336" s="0" t="s">
        <v>21</v>
      </c>
      <c r="I1336" s="2" t="s">
        <v>22</v>
      </c>
      <c r="J1336" s="2" t="s">
        <v>854</v>
      </c>
      <c r="K1336" s="0" t="s">
        <v>855</v>
      </c>
      <c r="L1336" s="0" t="s">
        <v>25</v>
      </c>
      <c r="M1336" s="0" t="s">
        <v>857</v>
      </c>
      <c r="N1336" s="0" t="s">
        <v>3053</v>
      </c>
      <c r="O1336" s="0" t="n">
        <v>1</v>
      </c>
      <c r="P1336" s="0" t="s">
        <v>173</v>
      </c>
      <c r="R1336" s="3"/>
      <c r="S1336" s="2" t="s">
        <v>28</v>
      </c>
    </row>
    <row r="1337" customFormat="false" ht="15" hidden="false" customHeight="false" outlineLevel="0" collapsed="false">
      <c r="A1337" s="0" t="n">
        <v>1336</v>
      </c>
      <c r="D1337" s="0" t="s">
        <v>3054</v>
      </c>
      <c r="E1337" s="0" t="s">
        <v>253</v>
      </c>
      <c r="H1337" s="0" t="s">
        <v>21</v>
      </c>
      <c r="I1337" s="2" t="s">
        <v>22</v>
      </c>
      <c r="J1337" s="2" t="s">
        <v>854</v>
      </c>
      <c r="K1337" s="0" t="s">
        <v>855</v>
      </c>
      <c r="L1337" s="0" t="s">
        <v>25</v>
      </c>
      <c r="M1337" s="0" t="s">
        <v>857</v>
      </c>
      <c r="N1337" s="0" t="s">
        <v>3055</v>
      </c>
      <c r="O1337" s="0" t="n">
        <v>1</v>
      </c>
      <c r="P1337" s="0" t="s">
        <v>253</v>
      </c>
      <c r="R1337" s="3"/>
      <c r="S1337" s="2" t="s">
        <v>28</v>
      </c>
    </row>
    <row r="1338" customFormat="false" ht="15" hidden="false" customHeight="false" outlineLevel="0" collapsed="false">
      <c r="A1338" s="0" t="n">
        <v>1337</v>
      </c>
      <c r="D1338" s="0" t="s">
        <v>3056</v>
      </c>
      <c r="E1338" s="0" t="s">
        <v>253</v>
      </c>
      <c r="H1338" s="0" t="s">
        <v>21</v>
      </c>
      <c r="I1338" s="2" t="s">
        <v>22</v>
      </c>
      <c r="J1338" s="2" t="s">
        <v>854</v>
      </c>
      <c r="K1338" s="0" t="s">
        <v>855</v>
      </c>
      <c r="L1338" s="0" t="s">
        <v>25</v>
      </c>
      <c r="M1338" s="0" t="s">
        <v>857</v>
      </c>
      <c r="N1338" s="0" t="s">
        <v>3057</v>
      </c>
      <c r="O1338" s="0" t="n">
        <v>1</v>
      </c>
      <c r="P1338" s="0" t="s">
        <v>253</v>
      </c>
      <c r="R1338" s="3"/>
      <c r="S1338" s="2" t="s">
        <v>28</v>
      </c>
    </row>
    <row r="1339" customFormat="false" ht="15" hidden="false" customHeight="false" outlineLevel="0" collapsed="false">
      <c r="A1339" s="0" t="n">
        <v>1338</v>
      </c>
      <c r="D1339" s="0" t="s">
        <v>3058</v>
      </c>
      <c r="E1339" s="0" t="s">
        <v>20</v>
      </c>
      <c r="H1339" s="0" t="s">
        <v>21</v>
      </c>
      <c r="I1339" s="2" t="s">
        <v>22</v>
      </c>
      <c r="J1339" s="2" t="s">
        <v>854</v>
      </c>
      <c r="K1339" s="0" t="s">
        <v>855</v>
      </c>
      <c r="L1339" s="0" t="s">
        <v>25</v>
      </c>
      <c r="M1339" s="0" t="s">
        <v>857</v>
      </c>
      <c r="N1339" s="0" t="s">
        <v>3059</v>
      </c>
      <c r="O1339" s="0" t="n">
        <v>1</v>
      </c>
      <c r="R1339" s="3"/>
      <c r="S1339" s="2" t="s">
        <v>28</v>
      </c>
    </row>
    <row r="1340" customFormat="false" ht="15" hidden="false" customHeight="false" outlineLevel="0" collapsed="false">
      <c r="A1340" s="0" t="n">
        <v>1339</v>
      </c>
      <c r="D1340" s="0" t="s">
        <v>3060</v>
      </c>
      <c r="E1340" s="0" t="s">
        <v>20</v>
      </c>
      <c r="H1340" s="0" t="s">
        <v>21</v>
      </c>
      <c r="I1340" s="2" t="s">
        <v>22</v>
      </c>
      <c r="J1340" s="2" t="s">
        <v>854</v>
      </c>
      <c r="K1340" s="0" t="s">
        <v>855</v>
      </c>
      <c r="L1340" s="0" t="s">
        <v>25</v>
      </c>
      <c r="M1340" s="0" t="s">
        <v>857</v>
      </c>
      <c r="N1340" s="0" t="s">
        <v>3061</v>
      </c>
      <c r="O1340" s="0" t="n">
        <v>1</v>
      </c>
      <c r="P1340" s="0" t="s">
        <v>43</v>
      </c>
      <c r="R1340" s="3"/>
      <c r="S1340" s="2" t="s">
        <v>28</v>
      </c>
    </row>
    <row r="1341" customFormat="false" ht="15" hidden="false" customHeight="false" outlineLevel="0" collapsed="false">
      <c r="A1341" s="0" t="n">
        <v>1340</v>
      </c>
      <c r="D1341" s="0" t="s">
        <v>3062</v>
      </c>
      <c r="E1341" s="0" t="s">
        <v>253</v>
      </c>
      <c r="H1341" s="0" t="s">
        <v>21</v>
      </c>
      <c r="I1341" s="2" t="s">
        <v>22</v>
      </c>
      <c r="J1341" s="2" t="s">
        <v>854</v>
      </c>
      <c r="K1341" s="0" t="s">
        <v>855</v>
      </c>
      <c r="L1341" s="0" t="s">
        <v>3063</v>
      </c>
      <c r="M1341" s="0" t="s">
        <v>857</v>
      </c>
      <c r="N1341" s="0" t="s">
        <v>3064</v>
      </c>
      <c r="O1341" s="0" t="n">
        <v>1</v>
      </c>
      <c r="P1341" s="0" t="s">
        <v>253</v>
      </c>
      <c r="Q1341" s="0" t="s">
        <v>3065</v>
      </c>
      <c r="R1341" s="3"/>
      <c r="S1341" s="2" t="s">
        <v>3066</v>
      </c>
    </row>
    <row r="1342" customFormat="false" ht="15" hidden="false" customHeight="false" outlineLevel="0" collapsed="false">
      <c r="A1342" s="0" t="n">
        <v>1341</v>
      </c>
      <c r="D1342" s="0" t="s">
        <v>3067</v>
      </c>
      <c r="E1342" s="0" t="s">
        <v>20</v>
      </c>
      <c r="H1342" s="0" t="s">
        <v>21</v>
      </c>
      <c r="I1342" s="2" t="s">
        <v>22</v>
      </c>
      <c r="J1342" s="2" t="s">
        <v>854</v>
      </c>
      <c r="K1342" s="0" t="s">
        <v>855</v>
      </c>
      <c r="L1342" s="0" t="s">
        <v>3068</v>
      </c>
      <c r="M1342" s="0" t="s">
        <v>857</v>
      </c>
      <c r="N1342" s="0" t="s">
        <v>3069</v>
      </c>
      <c r="O1342" s="0" t="n">
        <v>1</v>
      </c>
      <c r="Q1342" s="0" t="s">
        <v>3070</v>
      </c>
      <c r="R1342" s="3"/>
      <c r="S1342" s="2" t="s">
        <v>3071</v>
      </c>
    </row>
    <row r="1343" customFormat="false" ht="15" hidden="false" customHeight="false" outlineLevel="0" collapsed="false">
      <c r="A1343" s="0" t="n">
        <v>1342</v>
      </c>
      <c r="D1343" s="0" t="s">
        <v>3072</v>
      </c>
      <c r="E1343" s="0" t="s">
        <v>253</v>
      </c>
      <c r="H1343" s="0" t="s">
        <v>21</v>
      </c>
      <c r="I1343" s="2" t="s">
        <v>22</v>
      </c>
      <c r="J1343" s="2" t="s">
        <v>854</v>
      </c>
      <c r="K1343" s="0" t="s">
        <v>855</v>
      </c>
      <c r="L1343" s="0" t="s">
        <v>25</v>
      </c>
      <c r="M1343" s="0" t="s">
        <v>857</v>
      </c>
      <c r="N1343" s="0" t="s">
        <v>3073</v>
      </c>
      <c r="O1343" s="0" t="n">
        <v>1</v>
      </c>
      <c r="P1343" s="0" t="s">
        <v>253</v>
      </c>
      <c r="R1343" s="3"/>
      <c r="S1343" s="2" t="s">
        <v>28</v>
      </c>
    </row>
    <row r="1344" customFormat="false" ht="15" hidden="false" customHeight="false" outlineLevel="0" collapsed="false">
      <c r="A1344" s="0" t="n">
        <v>1343</v>
      </c>
      <c r="D1344" s="0" t="s">
        <v>3074</v>
      </c>
      <c r="E1344" s="0" t="s">
        <v>253</v>
      </c>
      <c r="H1344" s="0" t="s">
        <v>21</v>
      </c>
      <c r="I1344" s="2" t="s">
        <v>22</v>
      </c>
      <c r="J1344" s="2" t="s">
        <v>854</v>
      </c>
      <c r="K1344" s="0" t="s">
        <v>855</v>
      </c>
      <c r="L1344" s="0" t="s">
        <v>25</v>
      </c>
      <c r="M1344" s="0" t="s">
        <v>857</v>
      </c>
      <c r="N1344" s="0" t="s">
        <v>3075</v>
      </c>
      <c r="O1344" s="0" t="n">
        <v>1</v>
      </c>
      <c r="P1344" s="0" t="s">
        <v>253</v>
      </c>
      <c r="R1344" s="3"/>
      <c r="S1344" s="2" t="s">
        <v>28</v>
      </c>
    </row>
    <row r="1345" customFormat="false" ht="15" hidden="false" customHeight="false" outlineLevel="0" collapsed="false">
      <c r="A1345" s="0" t="n">
        <v>1344</v>
      </c>
      <c r="D1345" s="0" t="s">
        <v>3076</v>
      </c>
      <c r="E1345" s="0" t="s">
        <v>253</v>
      </c>
      <c r="H1345" s="0" t="s">
        <v>21</v>
      </c>
      <c r="I1345" s="2" t="s">
        <v>22</v>
      </c>
      <c r="J1345" s="2" t="s">
        <v>854</v>
      </c>
      <c r="K1345" s="0" t="s">
        <v>855</v>
      </c>
      <c r="L1345" s="0" t="s">
        <v>3077</v>
      </c>
      <c r="M1345" s="0" t="s">
        <v>857</v>
      </c>
      <c r="N1345" s="0" t="s">
        <v>3078</v>
      </c>
      <c r="O1345" s="0" t="n">
        <v>1</v>
      </c>
      <c r="P1345" s="0" t="s">
        <v>253</v>
      </c>
      <c r="Q1345" s="0" t="s">
        <v>3079</v>
      </c>
      <c r="R1345" s="3"/>
      <c r="S1345" s="2" t="s">
        <v>3080</v>
      </c>
    </row>
    <row r="1346" customFormat="false" ht="15" hidden="false" customHeight="false" outlineLevel="0" collapsed="false">
      <c r="A1346" s="0" t="n">
        <v>1345</v>
      </c>
      <c r="D1346" s="0" t="s">
        <v>3081</v>
      </c>
      <c r="E1346" s="0" t="s">
        <v>253</v>
      </c>
      <c r="H1346" s="0" t="s">
        <v>21</v>
      </c>
      <c r="I1346" s="2" t="s">
        <v>22</v>
      </c>
      <c r="J1346" s="2" t="s">
        <v>854</v>
      </c>
      <c r="K1346" s="0" t="s">
        <v>855</v>
      </c>
      <c r="L1346" s="0" t="s">
        <v>3082</v>
      </c>
      <c r="M1346" s="0" t="s">
        <v>857</v>
      </c>
      <c r="N1346" s="0" t="s">
        <v>3083</v>
      </c>
      <c r="O1346" s="0" t="n">
        <v>1</v>
      </c>
      <c r="P1346" s="0" t="s">
        <v>253</v>
      </c>
      <c r="Q1346" s="0" t="s">
        <v>3084</v>
      </c>
      <c r="R1346" s="3"/>
      <c r="S1346" s="2" t="s">
        <v>3085</v>
      </c>
    </row>
    <row r="1347" customFormat="false" ht="15" hidden="false" customHeight="false" outlineLevel="0" collapsed="false">
      <c r="A1347" s="0" t="n">
        <v>1346</v>
      </c>
      <c r="D1347" s="0" t="s">
        <v>3086</v>
      </c>
      <c r="E1347" s="0" t="s">
        <v>253</v>
      </c>
      <c r="H1347" s="0" t="s">
        <v>21</v>
      </c>
      <c r="I1347" s="2" t="s">
        <v>22</v>
      </c>
      <c r="J1347" s="2" t="s">
        <v>854</v>
      </c>
      <c r="K1347" s="0" t="s">
        <v>855</v>
      </c>
      <c r="L1347" s="0" t="s">
        <v>25</v>
      </c>
      <c r="M1347" s="0" t="s">
        <v>857</v>
      </c>
      <c r="N1347" s="0" t="s">
        <v>3087</v>
      </c>
      <c r="O1347" s="0" t="n">
        <v>1</v>
      </c>
      <c r="P1347" s="0" t="s">
        <v>253</v>
      </c>
      <c r="R1347" s="3"/>
      <c r="S1347" s="2" t="s">
        <v>28</v>
      </c>
    </row>
    <row r="1348" customFormat="false" ht="15" hidden="false" customHeight="false" outlineLevel="0" collapsed="false">
      <c r="A1348" s="0" t="n">
        <v>1347</v>
      </c>
      <c r="D1348" s="0" t="s">
        <v>3088</v>
      </c>
      <c r="E1348" s="0" t="s">
        <v>1539</v>
      </c>
      <c r="H1348" s="0" t="s">
        <v>21</v>
      </c>
      <c r="I1348" s="2" t="s">
        <v>22</v>
      </c>
      <c r="J1348" s="2" t="s">
        <v>854</v>
      </c>
      <c r="K1348" s="0" t="s">
        <v>855</v>
      </c>
      <c r="L1348" s="0" t="s">
        <v>3089</v>
      </c>
      <c r="M1348" s="0" t="s">
        <v>857</v>
      </c>
      <c r="N1348" s="0" t="s">
        <v>3090</v>
      </c>
      <c r="O1348" s="0" t="n">
        <v>1</v>
      </c>
      <c r="Q1348" s="0" t="s">
        <v>3091</v>
      </c>
      <c r="R1348" s="3"/>
      <c r="S1348" s="2" t="s">
        <v>3092</v>
      </c>
    </row>
    <row r="1349" customFormat="false" ht="15" hidden="false" customHeight="false" outlineLevel="0" collapsed="false">
      <c r="A1349" s="0" t="n">
        <v>1348</v>
      </c>
      <c r="D1349" s="0" t="s">
        <v>3093</v>
      </c>
      <c r="E1349" s="0" t="s">
        <v>20</v>
      </c>
      <c r="H1349" s="0" t="s">
        <v>21</v>
      </c>
      <c r="I1349" s="2" t="s">
        <v>22</v>
      </c>
      <c r="J1349" s="2" t="s">
        <v>854</v>
      </c>
      <c r="K1349" s="0" t="s">
        <v>855</v>
      </c>
      <c r="L1349" s="0" t="s">
        <v>25</v>
      </c>
      <c r="M1349" s="0" t="s">
        <v>857</v>
      </c>
      <c r="N1349" s="0" t="s">
        <v>3094</v>
      </c>
      <c r="O1349" s="0" t="n">
        <v>1</v>
      </c>
      <c r="R1349" s="3"/>
      <c r="S1349" s="2" t="s">
        <v>28</v>
      </c>
    </row>
    <row r="1350" customFormat="false" ht="15" hidden="false" customHeight="false" outlineLevel="0" collapsed="false">
      <c r="A1350" s="0" t="n">
        <v>1349</v>
      </c>
      <c r="D1350" s="0" t="s">
        <v>3095</v>
      </c>
      <c r="E1350" s="0" t="s">
        <v>20</v>
      </c>
      <c r="H1350" s="0" t="s">
        <v>21</v>
      </c>
      <c r="I1350" s="2" t="s">
        <v>22</v>
      </c>
      <c r="J1350" s="2" t="s">
        <v>854</v>
      </c>
      <c r="K1350" s="0" t="s">
        <v>855</v>
      </c>
      <c r="L1350" s="0" t="s">
        <v>25</v>
      </c>
      <c r="M1350" s="0" t="s">
        <v>857</v>
      </c>
      <c r="N1350" s="0" t="s">
        <v>3096</v>
      </c>
      <c r="O1350" s="0" t="n">
        <v>1</v>
      </c>
      <c r="R1350" s="3"/>
      <c r="S1350" s="2" t="s">
        <v>28</v>
      </c>
    </row>
    <row r="1351" customFormat="false" ht="15" hidden="false" customHeight="false" outlineLevel="0" collapsed="false">
      <c r="A1351" s="0" t="n">
        <v>1350</v>
      </c>
      <c r="D1351" s="0" t="s">
        <v>3097</v>
      </c>
      <c r="E1351" s="0" t="s">
        <v>253</v>
      </c>
      <c r="H1351" s="0" t="s">
        <v>21</v>
      </c>
      <c r="I1351" s="2" t="s">
        <v>22</v>
      </c>
      <c r="J1351" s="2" t="s">
        <v>854</v>
      </c>
      <c r="K1351" s="0" t="s">
        <v>855</v>
      </c>
      <c r="L1351" s="0" t="s">
        <v>25</v>
      </c>
      <c r="M1351" s="0" t="s">
        <v>857</v>
      </c>
      <c r="N1351" s="0" t="s">
        <v>3098</v>
      </c>
      <c r="O1351" s="0" t="n">
        <v>1</v>
      </c>
      <c r="P1351" s="0" t="s">
        <v>253</v>
      </c>
      <c r="R1351" s="3"/>
      <c r="S1351" s="2" t="s">
        <v>28</v>
      </c>
    </row>
    <row r="1352" customFormat="false" ht="15" hidden="false" customHeight="false" outlineLevel="0" collapsed="false">
      <c r="A1352" s="0" t="n">
        <v>1351</v>
      </c>
      <c r="D1352" s="0" t="s">
        <v>3099</v>
      </c>
      <c r="E1352" s="0" t="s">
        <v>73</v>
      </c>
      <c r="H1352" s="0" t="s">
        <v>21</v>
      </c>
      <c r="I1352" s="2" t="s">
        <v>22</v>
      </c>
      <c r="J1352" s="2" t="s">
        <v>854</v>
      </c>
      <c r="K1352" s="0" t="s">
        <v>855</v>
      </c>
      <c r="L1352" s="0" t="s">
        <v>3100</v>
      </c>
      <c r="M1352" s="0" t="s">
        <v>857</v>
      </c>
      <c r="N1352" s="0" t="s">
        <v>3101</v>
      </c>
      <c r="O1352" s="0" t="n">
        <v>1</v>
      </c>
      <c r="P1352" s="0" t="s">
        <v>73</v>
      </c>
      <c r="Q1352" s="0" t="s">
        <v>3102</v>
      </c>
      <c r="R1352" s="3"/>
      <c r="S1352" s="2" t="s">
        <v>3103</v>
      </c>
    </row>
    <row r="1353" customFormat="false" ht="15" hidden="false" customHeight="false" outlineLevel="0" collapsed="false">
      <c r="A1353" s="0" t="n">
        <v>1352</v>
      </c>
      <c r="D1353" s="0" t="s">
        <v>3104</v>
      </c>
      <c r="E1353" s="0" t="s">
        <v>20</v>
      </c>
      <c r="H1353" s="0" t="s">
        <v>21</v>
      </c>
      <c r="I1353" s="2" t="s">
        <v>22</v>
      </c>
      <c r="J1353" s="2" t="s">
        <v>854</v>
      </c>
      <c r="K1353" s="0" t="s">
        <v>855</v>
      </c>
      <c r="L1353" s="0" t="s">
        <v>25</v>
      </c>
      <c r="M1353" s="0" t="s">
        <v>857</v>
      </c>
      <c r="N1353" s="0" t="s">
        <v>3105</v>
      </c>
      <c r="O1353" s="0" t="n">
        <v>1</v>
      </c>
      <c r="R1353" s="3"/>
      <c r="S1353" s="2" t="s">
        <v>28</v>
      </c>
    </row>
    <row r="1354" customFormat="false" ht="15" hidden="false" customHeight="false" outlineLevel="0" collapsed="false">
      <c r="A1354" s="0" t="n">
        <v>1353</v>
      </c>
      <c r="D1354" s="0" t="s">
        <v>3106</v>
      </c>
      <c r="E1354" s="0" t="s">
        <v>20</v>
      </c>
      <c r="H1354" s="0" t="s">
        <v>21</v>
      </c>
      <c r="I1354" s="2" t="s">
        <v>22</v>
      </c>
      <c r="J1354" s="2" t="s">
        <v>854</v>
      </c>
      <c r="K1354" s="0" t="s">
        <v>855</v>
      </c>
      <c r="L1354" s="0" t="s">
        <v>25</v>
      </c>
      <c r="M1354" s="0" t="s">
        <v>857</v>
      </c>
      <c r="N1354" s="0" t="s">
        <v>3107</v>
      </c>
      <c r="O1354" s="0" t="n">
        <v>1</v>
      </c>
      <c r="R1354" s="3"/>
      <c r="S1354" s="2" t="s">
        <v>28</v>
      </c>
    </row>
    <row r="1355" customFormat="false" ht="15" hidden="false" customHeight="false" outlineLevel="0" collapsed="false">
      <c r="A1355" s="0" t="n">
        <v>1354</v>
      </c>
      <c r="D1355" s="0" t="s">
        <v>3108</v>
      </c>
      <c r="E1355" s="0" t="s">
        <v>20</v>
      </c>
      <c r="H1355" s="0" t="s">
        <v>21</v>
      </c>
      <c r="I1355" s="2" t="s">
        <v>22</v>
      </c>
      <c r="J1355" s="2" t="s">
        <v>854</v>
      </c>
      <c r="K1355" s="0" t="s">
        <v>855</v>
      </c>
      <c r="L1355" s="0" t="s">
        <v>3109</v>
      </c>
      <c r="M1355" s="0" t="s">
        <v>857</v>
      </c>
      <c r="N1355" s="0" t="s">
        <v>3110</v>
      </c>
      <c r="O1355" s="0" t="n">
        <v>1</v>
      </c>
      <c r="Q1355" s="0" t="s">
        <v>3111</v>
      </c>
      <c r="R1355" s="3"/>
      <c r="S1355" s="2" t="s">
        <v>3112</v>
      </c>
    </row>
    <row r="1356" customFormat="false" ht="15" hidden="false" customHeight="false" outlineLevel="0" collapsed="false">
      <c r="A1356" s="0" t="n">
        <v>1355</v>
      </c>
      <c r="D1356" s="0" t="s">
        <v>3113</v>
      </c>
      <c r="E1356" s="0" t="s">
        <v>210</v>
      </c>
      <c r="H1356" s="0" t="s">
        <v>21</v>
      </c>
      <c r="I1356" s="2" t="s">
        <v>22</v>
      </c>
      <c r="J1356" s="2" t="s">
        <v>854</v>
      </c>
      <c r="K1356" s="0" t="s">
        <v>855</v>
      </c>
      <c r="L1356" s="0" t="s">
        <v>3114</v>
      </c>
      <c r="M1356" s="0" t="s">
        <v>857</v>
      </c>
      <c r="N1356" s="0" t="s">
        <v>3115</v>
      </c>
      <c r="O1356" s="0" t="n">
        <v>1</v>
      </c>
      <c r="P1356" s="0" t="s">
        <v>210</v>
      </c>
      <c r="Q1356" s="0" t="s">
        <v>3116</v>
      </c>
      <c r="R1356" s="3"/>
      <c r="S1356" s="2" t="s">
        <v>3117</v>
      </c>
    </row>
    <row r="1357" customFormat="false" ht="15" hidden="false" customHeight="false" outlineLevel="0" collapsed="false">
      <c r="A1357" s="0" t="n">
        <v>1356</v>
      </c>
      <c r="D1357" s="0" t="s">
        <v>3118</v>
      </c>
      <c r="E1357" s="0" t="s">
        <v>20</v>
      </c>
      <c r="H1357" s="0" t="s">
        <v>21</v>
      </c>
      <c r="I1357" s="2" t="s">
        <v>22</v>
      </c>
      <c r="J1357" s="2" t="s">
        <v>854</v>
      </c>
      <c r="K1357" s="0" t="s">
        <v>855</v>
      </c>
      <c r="L1357" s="0" t="s">
        <v>420</v>
      </c>
      <c r="M1357" s="0" t="s">
        <v>857</v>
      </c>
      <c r="N1357" s="0" t="s">
        <v>3119</v>
      </c>
      <c r="O1357" s="0" t="n">
        <v>1</v>
      </c>
      <c r="P1357" s="0" t="s">
        <v>422</v>
      </c>
      <c r="R1357" s="3"/>
      <c r="S1357" s="2" t="s">
        <v>28</v>
      </c>
    </row>
    <row r="1358" customFormat="false" ht="15" hidden="false" customHeight="false" outlineLevel="0" collapsed="false">
      <c r="A1358" s="0" t="n">
        <v>1357</v>
      </c>
      <c r="D1358" s="0" t="s">
        <v>3120</v>
      </c>
      <c r="E1358" s="0" t="s">
        <v>20</v>
      </c>
      <c r="H1358" s="0" t="s">
        <v>21</v>
      </c>
      <c r="I1358" s="2" t="s">
        <v>22</v>
      </c>
      <c r="J1358" s="2" t="s">
        <v>854</v>
      </c>
      <c r="K1358" s="0" t="s">
        <v>855</v>
      </c>
      <c r="L1358" s="0" t="s">
        <v>25</v>
      </c>
      <c r="M1358" s="0" t="s">
        <v>857</v>
      </c>
      <c r="N1358" s="0" t="s">
        <v>3121</v>
      </c>
      <c r="O1358" s="0" t="n">
        <v>1</v>
      </c>
      <c r="R1358" s="3"/>
      <c r="S1358" s="2" t="s">
        <v>28</v>
      </c>
    </row>
    <row r="1359" customFormat="false" ht="15" hidden="false" customHeight="false" outlineLevel="0" collapsed="false">
      <c r="A1359" s="0" t="n">
        <v>1358</v>
      </c>
      <c r="D1359" s="0" t="s">
        <v>3122</v>
      </c>
      <c r="E1359" s="0" t="s">
        <v>20</v>
      </c>
      <c r="H1359" s="0" t="s">
        <v>21</v>
      </c>
      <c r="I1359" s="2" t="s">
        <v>22</v>
      </c>
      <c r="J1359" s="2" t="s">
        <v>854</v>
      </c>
      <c r="K1359" s="0" t="s">
        <v>855</v>
      </c>
      <c r="L1359" s="0" t="s">
        <v>25</v>
      </c>
      <c r="M1359" s="0" t="s">
        <v>857</v>
      </c>
      <c r="N1359" s="0" t="s">
        <v>3123</v>
      </c>
      <c r="O1359" s="0" t="n">
        <v>1</v>
      </c>
      <c r="R1359" s="3"/>
      <c r="S1359" s="2" t="s">
        <v>28</v>
      </c>
    </row>
    <row r="1360" customFormat="false" ht="15" hidden="false" customHeight="false" outlineLevel="0" collapsed="false">
      <c r="A1360" s="0" t="n">
        <v>1359</v>
      </c>
      <c r="D1360" s="0" t="s">
        <v>3124</v>
      </c>
      <c r="E1360" s="0" t="s">
        <v>253</v>
      </c>
      <c r="H1360" s="0" t="s">
        <v>21</v>
      </c>
      <c r="I1360" s="2" t="s">
        <v>22</v>
      </c>
      <c r="J1360" s="2" t="s">
        <v>854</v>
      </c>
      <c r="K1360" s="0" t="s">
        <v>855</v>
      </c>
      <c r="L1360" s="0" t="s">
        <v>3125</v>
      </c>
      <c r="M1360" s="0" t="s">
        <v>857</v>
      </c>
      <c r="N1360" s="0" t="s">
        <v>3126</v>
      </c>
      <c r="O1360" s="0" t="n">
        <v>1</v>
      </c>
      <c r="P1360" s="0" t="s">
        <v>253</v>
      </c>
      <c r="Q1360" s="0" t="s">
        <v>3127</v>
      </c>
      <c r="R1360" s="3"/>
      <c r="S1360" s="2" t="s">
        <v>3128</v>
      </c>
    </row>
    <row r="1361" customFormat="false" ht="15" hidden="false" customHeight="false" outlineLevel="0" collapsed="false">
      <c r="A1361" s="0" t="n">
        <v>1360</v>
      </c>
      <c r="D1361" s="0" t="s">
        <v>3129</v>
      </c>
      <c r="E1361" s="0" t="s">
        <v>253</v>
      </c>
      <c r="H1361" s="0" t="s">
        <v>21</v>
      </c>
      <c r="I1361" s="2" t="s">
        <v>22</v>
      </c>
      <c r="J1361" s="2" t="s">
        <v>854</v>
      </c>
      <c r="K1361" s="0" t="s">
        <v>855</v>
      </c>
      <c r="L1361" s="0" t="s">
        <v>25</v>
      </c>
      <c r="M1361" s="0" t="s">
        <v>857</v>
      </c>
      <c r="N1361" s="0" t="s">
        <v>3130</v>
      </c>
      <c r="O1361" s="0" t="n">
        <v>1</v>
      </c>
      <c r="P1361" s="0" t="s">
        <v>253</v>
      </c>
      <c r="R1361" s="3"/>
      <c r="S1361" s="2" t="s">
        <v>28</v>
      </c>
    </row>
    <row r="1362" customFormat="false" ht="15" hidden="false" customHeight="false" outlineLevel="0" collapsed="false">
      <c r="A1362" s="0" t="n">
        <v>1361</v>
      </c>
      <c r="D1362" s="0" t="s">
        <v>3131</v>
      </c>
      <c r="E1362" s="0" t="s">
        <v>253</v>
      </c>
      <c r="H1362" s="0" t="s">
        <v>21</v>
      </c>
      <c r="I1362" s="2" t="s">
        <v>22</v>
      </c>
      <c r="J1362" s="2" t="s">
        <v>854</v>
      </c>
      <c r="K1362" s="0" t="s">
        <v>855</v>
      </c>
      <c r="L1362" s="0" t="s">
        <v>25</v>
      </c>
      <c r="M1362" s="0" t="s">
        <v>857</v>
      </c>
      <c r="N1362" s="0" t="s">
        <v>3132</v>
      </c>
      <c r="O1362" s="0" t="n">
        <v>1</v>
      </c>
      <c r="P1362" s="0" t="s">
        <v>253</v>
      </c>
      <c r="R1362" s="3"/>
      <c r="S1362" s="2" t="s">
        <v>28</v>
      </c>
    </row>
    <row r="1363" customFormat="false" ht="15" hidden="false" customHeight="false" outlineLevel="0" collapsed="false">
      <c r="A1363" s="0" t="n">
        <v>1362</v>
      </c>
      <c r="D1363" s="0" t="s">
        <v>3133</v>
      </c>
      <c r="E1363" s="0" t="s">
        <v>253</v>
      </c>
      <c r="H1363" s="0" t="s">
        <v>21</v>
      </c>
      <c r="I1363" s="2" t="s">
        <v>22</v>
      </c>
      <c r="J1363" s="2" t="s">
        <v>854</v>
      </c>
      <c r="K1363" s="0" t="s">
        <v>855</v>
      </c>
      <c r="L1363" s="0" t="s">
        <v>3134</v>
      </c>
      <c r="M1363" s="0" t="s">
        <v>857</v>
      </c>
      <c r="N1363" s="0" t="s">
        <v>3135</v>
      </c>
      <c r="O1363" s="0" t="n">
        <v>1</v>
      </c>
      <c r="P1363" s="0" t="s">
        <v>253</v>
      </c>
      <c r="Q1363" s="0" t="s">
        <v>3136</v>
      </c>
      <c r="R1363" s="3"/>
      <c r="S1363" s="2" t="s">
        <v>3137</v>
      </c>
    </row>
    <row r="1364" customFormat="false" ht="15" hidden="false" customHeight="false" outlineLevel="0" collapsed="false">
      <c r="A1364" s="0" t="n">
        <v>1363</v>
      </c>
      <c r="D1364" s="0" t="s">
        <v>3138</v>
      </c>
      <c r="E1364" s="0" t="s">
        <v>253</v>
      </c>
      <c r="H1364" s="0" t="s">
        <v>21</v>
      </c>
      <c r="I1364" s="2" t="s">
        <v>22</v>
      </c>
      <c r="J1364" s="2" t="s">
        <v>854</v>
      </c>
      <c r="K1364" s="0" t="s">
        <v>855</v>
      </c>
      <c r="L1364" s="0" t="s">
        <v>25</v>
      </c>
      <c r="M1364" s="0" t="s">
        <v>857</v>
      </c>
      <c r="N1364" s="0" t="s">
        <v>3139</v>
      </c>
      <c r="O1364" s="0" t="n">
        <v>1</v>
      </c>
      <c r="P1364" s="0" t="s">
        <v>253</v>
      </c>
      <c r="R1364" s="3"/>
      <c r="S1364" s="2" t="s">
        <v>28</v>
      </c>
    </row>
    <row r="1365" customFormat="false" ht="15" hidden="false" customHeight="false" outlineLevel="0" collapsed="false">
      <c r="A1365" s="0" t="n">
        <v>1364</v>
      </c>
      <c r="D1365" s="0" t="s">
        <v>3140</v>
      </c>
      <c r="E1365" s="0" t="s">
        <v>253</v>
      </c>
      <c r="H1365" s="0" t="s">
        <v>21</v>
      </c>
      <c r="I1365" s="2" t="s">
        <v>22</v>
      </c>
      <c r="J1365" s="2" t="s">
        <v>854</v>
      </c>
      <c r="K1365" s="0" t="s">
        <v>855</v>
      </c>
      <c r="L1365" s="0" t="s">
        <v>25</v>
      </c>
      <c r="M1365" s="0" t="s">
        <v>857</v>
      </c>
      <c r="N1365" s="0" t="s">
        <v>3141</v>
      </c>
      <c r="O1365" s="0" t="n">
        <v>1</v>
      </c>
      <c r="P1365" s="0" t="s">
        <v>253</v>
      </c>
      <c r="R1365" s="3"/>
      <c r="S1365" s="2" t="s">
        <v>28</v>
      </c>
    </row>
    <row r="1366" customFormat="false" ht="15" hidden="false" customHeight="false" outlineLevel="0" collapsed="false">
      <c r="A1366" s="0" t="n">
        <v>1365</v>
      </c>
      <c r="D1366" s="0" t="s">
        <v>3142</v>
      </c>
      <c r="E1366" s="0" t="s">
        <v>253</v>
      </c>
      <c r="H1366" s="0" t="s">
        <v>21</v>
      </c>
      <c r="I1366" s="2" t="s">
        <v>22</v>
      </c>
      <c r="J1366" s="2" t="s">
        <v>854</v>
      </c>
      <c r="K1366" s="0" t="s">
        <v>855</v>
      </c>
      <c r="L1366" s="0" t="s">
        <v>25</v>
      </c>
      <c r="M1366" s="0" t="s">
        <v>857</v>
      </c>
      <c r="N1366" s="0" t="s">
        <v>3143</v>
      </c>
      <c r="O1366" s="0" t="n">
        <v>1</v>
      </c>
      <c r="P1366" s="0" t="s">
        <v>253</v>
      </c>
      <c r="R1366" s="3"/>
      <c r="S1366" s="2" t="s">
        <v>28</v>
      </c>
    </row>
    <row r="1367" customFormat="false" ht="15" hidden="false" customHeight="false" outlineLevel="0" collapsed="false">
      <c r="A1367" s="0" t="n">
        <v>1366</v>
      </c>
      <c r="D1367" s="0" t="s">
        <v>3144</v>
      </c>
      <c r="E1367" s="0" t="s">
        <v>253</v>
      </c>
      <c r="H1367" s="0" t="s">
        <v>21</v>
      </c>
      <c r="I1367" s="2" t="s">
        <v>22</v>
      </c>
      <c r="J1367" s="2" t="s">
        <v>854</v>
      </c>
      <c r="K1367" s="0" t="s">
        <v>855</v>
      </c>
      <c r="L1367" s="0" t="s">
        <v>3145</v>
      </c>
      <c r="M1367" s="0" t="s">
        <v>857</v>
      </c>
      <c r="N1367" s="0" t="s">
        <v>3146</v>
      </c>
      <c r="O1367" s="0" t="n">
        <v>1</v>
      </c>
      <c r="P1367" s="0" t="s">
        <v>253</v>
      </c>
      <c r="Q1367" s="0" t="s">
        <v>3147</v>
      </c>
      <c r="R1367" s="3"/>
      <c r="S1367" s="2" t="s">
        <v>3148</v>
      </c>
    </row>
    <row r="1368" customFormat="false" ht="15" hidden="false" customHeight="false" outlineLevel="0" collapsed="false">
      <c r="A1368" s="0" t="n">
        <v>1367</v>
      </c>
      <c r="D1368" s="0" t="s">
        <v>3149</v>
      </c>
      <c r="E1368" s="0" t="s">
        <v>253</v>
      </c>
      <c r="H1368" s="0" t="s">
        <v>21</v>
      </c>
      <c r="I1368" s="2" t="s">
        <v>22</v>
      </c>
      <c r="J1368" s="2" t="s">
        <v>854</v>
      </c>
      <c r="K1368" s="0" t="s">
        <v>855</v>
      </c>
      <c r="L1368" s="0" t="s">
        <v>3150</v>
      </c>
      <c r="M1368" s="0" t="s">
        <v>857</v>
      </c>
      <c r="N1368" s="0" t="s">
        <v>3151</v>
      </c>
      <c r="O1368" s="0" t="n">
        <v>1</v>
      </c>
      <c r="Q1368" s="0" t="s">
        <v>3152</v>
      </c>
      <c r="R1368" s="3"/>
      <c r="S1368" s="2" t="s">
        <v>3153</v>
      </c>
    </row>
    <row r="1369" customFormat="false" ht="15" hidden="false" customHeight="false" outlineLevel="0" collapsed="false">
      <c r="A1369" s="0" t="n">
        <v>1368</v>
      </c>
      <c r="D1369" s="0" t="s">
        <v>3154</v>
      </c>
      <c r="E1369" s="0" t="s">
        <v>253</v>
      </c>
      <c r="H1369" s="0" t="s">
        <v>21</v>
      </c>
      <c r="I1369" s="2" t="s">
        <v>22</v>
      </c>
      <c r="J1369" s="2" t="s">
        <v>854</v>
      </c>
      <c r="K1369" s="0" t="s">
        <v>855</v>
      </c>
      <c r="L1369" s="0" t="s">
        <v>25</v>
      </c>
      <c r="M1369" s="0" t="s">
        <v>857</v>
      </c>
      <c r="N1369" s="0" t="s">
        <v>3155</v>
      </c>
      <c r="O1369" s="0" t="n">
        <v>1</v>
      </c>
      <c r="P1369" s="0" t="s">
        <v>253</v>
      </c>
      <c r="R1369" s="3"/>
      <c r="S1369" s="2" t="s">
        <v>28</v>
      </c>
    </row>
    <row r="1370" customFormat="false" ht="15" hidden="false" customHeight="false" outlineLevel="0" collapsed="false">
      <c r="A1370" s="0" t="n">
        <v>1369</v>
      </c>
      <c r="D1370" s="0" t="s">
        <v>3156</v>
      </c>
      <c r="E1370" s="0" t="s">
        <v>253</v>
      </c>
      <c r="H1370" s="0" t="s">
        <v>21</v>
      </c>
      <c r="I1370" s="2" t="s">
        <v>22</v>
      </c>
      <c r="J1370" s="2" t="s">
        <v>854</v>
      </c>
      <c r="K1370" s="0" t="s">
        <v>855</v>
      </c>
      <c r="L1370" s="0" t="s">
        <v>25</v>
      </c>
      <c r="M1370" s="0" t="s">
        <v>857</v>
      </c>
      <c r="N1370" s="0" t="s">
        <v>3157</v>
      </c>
      <c r="O1370" s="0" t="n">
        <v>1</v>
      </c>
      <c r="P1370" s="0" t="s">
        <v>253</v>
      </c>
      <c r="R1370" s="3"/>
      <c r="S1370" s="2" t="s">
        <v>28</v>
      </c>
    </row>
    <row r="1371" customFormat="false" ht="15" hidden="false" customHeight="false" outlineLevel="0" collapsed="false">
      <c r="A1371" s="0" t="n">
        <v>1370</v>
      </c>
      <c r="D1371" s="0" t="s">
        <v>3158</v>
      </c>
      <c r="E1371" s="0" t="s">
        <v>253</v>
      </c>
      <c r="H1371" s="0" t="s">
        <v>21</v>
      </c>
      <c r="I1371" s="2" t="s">
        <v>22</v>
      </c>
      <c r="J1371" s="2" t="s">
        <v>854</v>
      </c>
      <c r="K1371" s="0" t="s">
        <v>855</v>
      </c>
      <c r="L1371" s="0" t="s">
        <v>25</v>
      </c>
      <c r="M1371" s="0" t="s">
        <v>857</v>
      </c>
      <c r="N1371" s="0" t="s">
        <v>3159</v>
      </c>
      <c r="O1371" s="0" t="n">
        <v>1</v>
      </c>
      <c r="P1371" s="0" t="s">
        <v>253</v>
      </c>
      <c r="R1371" s="3"/>
      <c r="S1371" s="2" t="s">
        <v>28</v>
      </c>
    </row>
    <row r="1372" customFormat="false" ht="15" hidden="false" customHeight="false" outlineLevel="0" collapsed="false">
      <c r="A1372" s="0" t="n">
        <v>1371</v>
      </c>
      <c r="D1372" s="0" t="s">
        <v>3160</v>
      </c>
      <c r="E1372" s="0" t="s">
        <v>253</v>
      </c>
      <c r="H1372" s="0" t="s">
        <v>21</v>
      </c>
      <c r="I1372" s="2" t="s">
        <v>22</v>
      </c>
      <c r="J1372" s="2" t="s">
        <v>854</v>
      </c>
      <c r="K1372" s="0" t="s">
        <v>855</v>
      </c>
      <c r="L1372" s="0" t="s">
        <v>25</v>
      </c>
      <c r="M1372" s="0" t="s">
        <v>857</v>
      </c>
      <c r="N1372" s="0" t="s">
        <v>3161</v>
      </c>
      <c r="O1372" s="0" t="n">
        <v>1</v>
      </c>
      <c r="P1372" s="0" t="s">
        <v>253</v>
      </c>
      <c r="R1372" s="3"/>
      <c r="S1372" s="2" t="s">
        <v>28</v>
      </c>
    </row>
    <row r="1373" customFormat="false" ht="15" hidden="false" customHeight="false" outlineLevel="0" collapsed="false">
      <c r="A1373" s="0" t="n">
        <v>1372</v>
      </c>
      <c r="D1373" s="0" t="s">
        <v>3162</v>
      </c>
      <c r="E1373" s="0" t="s">
        <v>253</v>
      </c>
      <c r="H1373" s="0" t="s">
        <v>21</v>
      </c>
      <c r="I1373" s="2" t="s">
        <v>22</v>
      </c>
      <c r="J1373" s="2" t="s">
        <v>854</v>
      </c>
      <c r="K1373" s="0" t="s">
        <v>855</v>
      </c>
      <c r="L1373" s="0" t="s">
        <v>25</v>
      </c>
      <c r="M1373" s="0" t="s">
        <v>857</v>
      </c>
      <c r="N1373" s="0" t="s">
        <v>3163</v>
      </c>
      <c r="O1373" s="0" t="n">
        <v>1</v>
      </c>
      <c r="P1373" s="0" t="s">
        <v>253</v>
      </c>
      <c r="R1373" s="3"/>
      <c r="S1373" s="2" t="s">
        <v>28</v>
      </c>
    </row>
    <row r="1374" customFormat="false" ht="15" hidden="false" customHeight="false" outlineLevel="0" collapsed="false">
      <c r="A1374" s="0" t="n">
        <v>1373</v>
      </c>
      <c r="D1374" s="0" t="s">
        <v>3164</v>
      </c>
      <c r="E1374" s="0" t="s">
        <v>253</v>
      </c>
      <c r="H1374" s="0" t="s">
        <v>21</v>
      </c>
      <c r="I1374" s="2" t="s">
        <v>22</v>
      </c>
      <c r="J1374" s="2" t="s">
        <v>854</v>
      </c>
      <c r="K1374" s="0" t="s">
        <v>855</v>
      </c>
      <c r="L1374" s="0" t="s">
        <v>25</v>
      </c>
      <c r="M1374" s="0" t="s">
        <v>857</v>
      </c>
      <c r="N1374" s="0" t="s">
        <v>3165</v>
      </c>
      <c r="O1374" s="0" t="n">
        <v>1</v>
      </c>
      <c r="P1374" s="0" t="s">
        <v>253</v>
      </c>
      <c r="R1374" s="3"/>
      <c r="S1374" s="2" t="s">
        <v>28</v>
      </c>
    </row>
    <row r="1375" customFormat="false" ht="15" hidden="false" customHeight="false" outlineLevel="0" collapsed="false">
      <c r="A1375" s="0" t="n">
        <v>1374</v>
      </c>
      <c r="D1375" s="0" t="s">
        <v>3166</v>
      </c>
      <c r="E1375" s="0" t="s">
        <v>253</v>
      </c>
      <c r="H1375" s="0" t="s">
        <v>21</v>
      </c>
      <c r="I1375" s="2" t="s">
        <v>22</v>
      </c>
      <c r="J1375" s="2" t="s">
        <v>854</v>
      </c>
      <c r="K1375" s="0" t="s">
        <v>855</v>
      </c>
      <c r="L1375" s="0" t="s">
        <v>25</v>
      </c>
      <c r="M1375" s="0" t="s">
        <v>857</v>
      </c>
      <c r="N1375" s="0" t="s">
        <v>3167</v>
      </c>
      <c r="O1375" s="0" t="n">
        <v>1</v>
      </c>
      <c r="P1375" s="0" t="s">
        <v>253</v>
      </c>
      <c r="R1375" s="3"/>
      <c r="S1375" s="2" t="s">
        <v>28</v>
      </c>
    </row>
    <row r="1376" customFormat="false" ht="15" hidden="false" customHeight="false" outlineLevel="0" collapsed="false">
      <c r="A1376" s="0" t="n">
        <v>1375</v>
      </c>
      <c r="D1376" s="0" t="s">
        <v>3168</v>
      </c>
      <c r="E1376" s="0" t="s">
        <v>287</v>
      </c>
      <c r="H1376" s="0" t="s">
        <v>21</v>
      </c>
      <c r="I1376" s="2" t="s">
        <v>22</v>
      </c>
      <c r="J1376" s="2" t="s">
        <v>854</v>
      </c>
      <c r="K1376" s="0" t="s">
        <v>855</v>
      </c>
      <c r="L1376" s="0" t="s">
        <v>25</v>
      </c>
      <c r="M1376" s="0" t="s">
        <v>857</v>
      </c>
      <c r="N1376" s="0" t="s">
        <v>3169</v>
      </c>
      <c r="O1376" s="0" t="n">
        <v>1</v>
      </c>
      <c r="P1376" s="0" t="s">
        <v>287</v>
      </c>
      <c r="R1376" s="3"/>
      <c r="S1376" s="2" t="s">
        <v>28</v>
      </c>
    </row>
    <row r="1377" customFormat="false" ht="15" hidden="false" customHeight="false" outlineLevel="0" collapsed="false">
      <c r="I1377" s="2"/>
      <c r="J1377" s="2"/>
    </row>
    <row r="1378" customFormat="false" ht="15" hidden="false" customHeight="false" outlineLevel="0" collapsed="false">
      <c r="I1378" s="2"/>
      <c r="J1378" s="2"/>
    </row>
    <row r="1379" customFormat="false" ht="15" hidden="false" customHeight="false" outlineLevel="0" collapsed="false">
      <c r="I1379" s="2"/>
      <c r="J1379" s="2"/>
    </row>
    <row r="1380" customFormat="false" ht="15" hidden="false" customHeight="false" outlineLevel="0" collapsed="false">
      <c r="I1380" s="2"/>
      <c r="J1380" s="2"/>
    </row>
    <row r="1381" customFormat="false" ht="15" hidden="false" customHeight="false" outlineLevel="0" collapsed="false">
      <c r="I1381" s="2"/>
      <c r="J1381" s="2"/>
    </row>
    <row r="1382" customFormat="false" ht="15" hidden="false" customHeight="false" outlineLevel="0" collapsed="false">
      <c r="I1382" s="2"/>
      <c r="J1382" s="2"/>
    </row>
    <row r="1383" customFormat="false" ht="15" hidden="false" customHeight="false" outlineLevel="0" collapsed="false">
      <c r="I1383" s="2"/>
      <c r="J1383" s="2"/>
    </row>
    <row r="1384" customFormat="false" ht="15" hidden="false" customHeight="false" outlineLevel="0" collapsed="false">
      <c r="I1384" s="2"/>
      <c r="J1384" s="2"/>
    </row>
    <row r="1385" customFormat="false" ht="15" hidden="false" customHeight="false" outlineLevel="0" collapsed="false">
      <c r="I1385" s="2"/>
      <c r="J1385" s="2"/>
    </row>
    <row r="1386" customFormat="false" ht="15" hidden="false" customHeight="false" outlineLevel="0" collapsed="false">
      <c r="I1386" s="2"/>
      <c r="J1386" s="2"/>
    </row>
    <row r="1387" customFormat="false" ht="15" hidden="false" customHeight="false" outlineLevel="0" collapsed="false">
      <c r="I1387" s="2"/>
      <c r="J1387" s="2"/>
    </row>
    <row r="1388" customFormat="false" ht="15" hidden="false" customHeight="false" outlineLevel="0" collapsed="false">
      <c r="I1388" s="2"/>
      <c r="J1388" s="2"/>
    </row>
    <row r="1389" customFormat="false" ht="15" hidden="false" customHeight="false" outlineLevel="0" collapsed="false">
      <c r="I1389" s="2"/>
      <c r="J1389" s="2"/>
    </row>
    <row r="1390" customFormat="false" ht="15" hidden="false" customHeight="false" outlineLevel="0" collapsed="false">
      <c r="I1390" s="2"/>
      <c r="J1390" s="2"/>
    </row>
    <row r="1391" customFormat="false" ht="15" hidden="false" customHeight="false" outlineLevel="0" collapsed="false">
      <c r="I1391" s="2"/>
      <c r="J1391" s="2"/>
    </row>
    <row r="1392" customFormat="false" ht="15" hidden="false" customHeight="false" outlineLevel="0" collapsed="false">
      <c r="I1392" s="2"/>
      <c r="J1392" s="2"/>
    </row>
    <row r="1393" customFormat="false" ht="15" hidden="false" customHeight="false" outlineLevel="0" collapsed="false">
      <c r="I1393" s="2"/>
      <c r="J1393" s="2"/>
    </row>
    <row r="1394" customFormat="false" ht="15" hidden="false" customHeight="false" outlineLevel="0" collapsed="false">
      <c r="I1394" s="2"/>
      <c r="J1394" s="2"/>
    </row>
    <row r="1395" customFormat="false" ht="15" hidden="false" customHeight="false" outlineLevel="0" collapsed="false">
      <c r="I1395" s="2"/>
      <c r="J1395" s="2"/>
    </row>
    <row r="1396" customFormat="false" ht="15" hidden="false" customHeight="false" outlineLevel="0" collapsed="false">
      <c r="I1396" s="2"/>
      <c r="J1396" s="2"/>
    </row>
    <row r="1397" customFormat="false" ht="15" hidden="false" customHeight="false" outlineLevel="0" collapsed="false">
      <c r="I1397" s="2"/>
      <c r="J1397" s="2"/>
    </row>
    <row r="1398" customFormat="false" ht="15" hidden="false" customHeight="false" outlineLevel="0" collapsed="false">
      <c r="I1398" s="2"/>
      <c r="J1398" s="2"/>
    </row>
    <row r="1399" customFormat="false" ht="15" hidden="false" customHeight="false" outlineLevel="0" collapsed="false">
      <c r="I1399" s="2"/>
      <c r="J1399" s="2"/>
    </row>
    <row r="1400" customFormat="false" ht="15" hidden="false" customHeight="false" outlineLevel="0" collapsed="false">
      <c r="I1400" s="2"/>
      <c r="J1400" s="2"/>
    </row>
    <row r="1401" customFormat="false" ht="15" hidden="false" customHeight="false" outlineLevel="0" collapsed="false">
      <c r="I1401" s="2"/>
      <c r="J1401" s="2"/>
    </row>
    <row r="1402" customFormat="false" ht="15" hidden="false" customHeight="false" outlineLevel="0" collapsed="false">
      <c r="I1402" s="2"/>
      <c r="J1402" s="2"/>
    </row>
    <row r="1403" customFormat="false" ht="15" hidden="false" customHeight="false" outlineLevel="0" collapsed="false">
      <c r="I1403" s="2"/>
      <c r="J1403" s="2"/>
    </row>
    <row r="1404" customFormat="false" ht="15" hidden="false" customHeight="false" outlineLevel="0" collapsed="false">
      <c r="I1404" s="2"/>
      <c r="J1404" s="2"/>
    </row>
    <row r="1405" customFormat="false" ht="15" hidden="false" customHeight="false" outlineLevel="0" collapsed="false">
      <c r="I1405" s="2"/>
      <c r="J1405" s="2"/>
    </row>
    <row r="1406" customFormat="false" ht="15" hidden="false" customHeight="false" outlineLevel="0" collapsed="false">
      <c r="I1406" s="2"/>
      <c r="J1406" s="2"/>
    </row>
    <row r="1407" customFormat="false" ht="15" hidden="false" customHeight="false" outlineLevel="0" collapsed="false">
      <c r="I1407" s="2"/>
      <c r="J1407" s="2"/>
    </row>
    <row r="1408" customFormat="false" ht="15" hidden="false" customHeight="false" outlineLevel="0" collapsed="false">
      <c r="I1408" s="2"/>
      <c r="J1408" s="2"/>
    </row>
    <row r="1409" customFormat="false" ht="15" hidden="false" customHeight="false" outlineLevel="0" collapsed="false">
      <c r="I1409" s="2"/>
      <c r="J1409" s="2"/>
    </row>
    <row r="1410" customFormat="false" ht="15" hidden="false" customHeight="false" outlineLevel="0" collapsed="false">
      <c r="I1410" s="2"/>
      <c r="J1410" s="2"/>
    </row>
    <row r="1411" customFormat="false" ht="15" hidden="false" customHeight="false" outlineLevel="0" collapsed="false">
      <c r="I1411" s="2"/>
      <c r="J1411" s="2"/>
    </row>
    <row r="1412" customFormat="false" ht="15" hidden="false" customHeight="false" outlineLevel="0" collapsed="false">
      <c r="I1412" s="2"/>
      <c r="J1412" s="2"/>
    </row>
    <row r="1413" customFormat="false" ht="15" hidden="false" customHeight="false" outlineLevel="0" collapsed="false">
      <c r="I1413" s="2"/>
      <c r="J1413" s="2"/>
    </row>
    <row r="1414" customFormat="false" ht="15" hidden="false" customHeight="false" outlineLevel="0" collapsed="false">
      <c r="I1414" s="2"/>
      <c r="J1414" s="2"/>
    </row>
    <row r="1415" customFormat="false" ht="15" hidden="false" customHeight="false" outlineLevel="0" collapsed="false">
      <c r="I1415" s="2"/>
      <c r="J1415" s="2"/>
    </row>
    <row r="1416" customFormat="false" ht="15" hidden="false" customHeight="false" outlineLevel="0" collapsed="false">
      <c r="I1416" s="2"/>
      <c r="J1416" s="2"/>
    </row>
    <row r="1417" customFormat="false" ht="15" hidden="false" customHeight="false" outlineLevel="0" collapsed="false">
      <c r="I1417" s="2"/>
      <c r="J1417" s="2"/>
    </row>
    <row r="1418" customFormat="false" ht="15" hidden="false" customHeight="false" outlineLevel="0" collapsed="false">
      <c r="I1418" s="2"/>
      <c r="J1418" s="2"/>
    </row>
    <row r="1419" customFormat="false" ht="15" hidden="false" customHeight="false" outlineLevel="0" collapsed="false">
      <c r="I1419" s="2"/>
      <c r="J1419" s="2"/>
    </row>
    <row r="1420" customFormat="false" ht="15" hidden="false" customHeight="false" outlineLevel="0" collapsed="false">
      <c r="I1420" s="2"/>
      <c r="J1420" s="2"/>
    </row>
    <row r="1421" customFormat="false" ht="15" hidden="false" customHeight="false" outlineLevel="0" collapsed="false">
      <c r="I1421" s="2"/>
      <c r="J1421" s="2"/>
    </row>
    <row r="1422" customFormat="false" ht="15" hidden="false" customHeight="false" outlineLevel="0" collapsed="false">
      <c r="I1422" s="2"/>
      <c r="J1422" s="2"/>
    </row>
    <row r="1423" customFormat="false" ht="15" hidden="false" customHeight="false" outlineLevel="0" collapsed="false">
      <c r="I1423" s="2"/>
      <c r="J1423" s="2"/>
    </row>
    <row r="1424" customFormat="false" ht="15" hidden="false" customHeight="false" outlineLevel="0" collapsed="false">
      <c r="I1424" s="2"/>
      <c r="J1424" s="2"/>
    </row>
    <row r="1425" customFormat="false" ht="15" hidden="false" customHeight="false" outlineLevel="0" collapsed="false">
      <c r="I1425" s="2"/>
      <c r="J1425" s="2"/>
    </row>
    <row r="1426" customFormat="false" ht="15" hidden="false" customHeight="false" outlineLevel="0" collapsed="false">
      <c r="I1426" s="2"/>
      <c r="J1426" s="2"/>
    </row>
    <row r="1427" customFormat="false" ht="15" hidden="false" customHeight="false" outlineLevel="0" collapsed="false">
      <c r="I1427" s="2"/>
      <c r="J1427" s="2"/>
    </row>
    <row r="1428" customFormat="false" ht="15" hidden="false" customHeight="false" outlineLevel="0" collapsed="false">
      <c r="I1428" s="2"/>
      <c r="J1428" s="2"/>
    </row>
    <row r="1429" customFormat="false" ht="15" hidden="false" customHeight="false" outlineLevel="0" collapsed="false">
      <c r="I1429" s="2"/>
      <c r="J1429" s="2"/>
    </row>
    <row r="1430" customFormat="false" ht="15" hidden="false" customHeight="false" outlineLevel="0" collapsed="false">
      <c r="I1430" s="2"/>
      <c r="J1430" s="2"/>
    </row>
    <row r="1431" customFormat="false" ht="15" hidden="false" customHeight="false" outlineLevel="0" collapsed="false">
      <c r="I1431" s="2"/>
      <c r="J1431" s="2"/>
    </row>
    <row r="1432" customFormat="false" ht="15" hidden="false" customHeight="false" outlineLevel="0" collapsed="false">
      <c r="I1432" s="2"/>
      <c r="J1432" s="2"/>
    </row>
    <row r="1433" customFormat="false" ht="15" hidden="false" customHeight="false" outlineLevel="0" collapsed="false">
      <c r="I1433" s="2"/>
      <c r="J1433" s="2"/>
    </row>
    <row r="1434" customFormat="false" ht="15" hidden="false" customHeight="false" outlineLevel="0" collapsed="false">
      <c r="I1434" s="2"/>
      <c r="J1434" s="2"/>
    </row>
    <row r="1435" customFormat="false" ht="15" hidden="false" customHeight="false" outlineLevel="0" collapsed="false">
      <c r="I1435" s="2"/>
      <c r="J1435" s="2"/>
    </row>
    <row r="1436" customFormat="false" ht="15" hidden="false" customHeight="false" outlineLevel="0" collapsed="false">
      <c r="I1436" s="2"/>
      <c r="J1436" s="2"/>
    </row>
    <row r="1437" customFormat="false" ht="15" hidden="false" customHeight="false" outlineLevel="0" collapsed="false">
      <c r="I1437" s="2"/>
      <c r="J1437" s="2"/>
    </row>
    <row r="1438" customFormat="false" ht="15" hidden="false" customHeight="false" outlineLevel="0" collapsed="false">
      <c r="I1438" s="2"/>
      <c r="J1438" s="2"/>
    </row>
    <row r="1439" customFormat="false" ht="15" hidden="false" customHeight="false" outlineLevel="0" collapsed="false">
      <c r="I1439" s="2"/>
      <c r="J1439" s="2"/>
    </row>
    <row r="1440" customFormat="false" ht="15" hidden="false" customHeight="false" outlineLevel="0" collapsed="false">
      <c r="I1440" s="2"/>
      <c r="J1440" s="2"/>
    </row>
    <row r="1441" customFormat="false" ht="15" hidden="false" customHeight="false" outlineLevel="0" collapsed="false">
      <c r="I1441" s="2"/>
      <c r="J1441" s="2"/>
    </row>
    <row r="1442" customFormat="false" ht="15" hidden="false" customHeight="false" outlineLevel="0" collapsed="false">
      <c r="I1442" s="2"/>
      <c r="J1442" s="2"/>
    </row>
    <row r="1443" customFormat="false" ht="15" hidden="false" customHeight="false" outlineLevel="0" collapsed="false">
      <c r="I1443" s="2"/>
      <c r="J1443" s="2"/>
    </row>
    <row r="1444" customFormat="false" ht="15" hidden="false" customHeight="false" outlineLevel="0" collapsed="false">
      <c r="I1444" s="2"/>
      <c r="J1444" s="2"/>
    </row>
    <row r="1445" customFormat="false" ht="15" hidden="false" customHeight="false" outlineLevel="0" collapsed="false">
      <c r="I1445" s="2"/>
      <c r="J1445" s="2"/>
    </row>
    <row r="1446" customFormat="false" ht="15" hidden="false" customHeight="false" outlineLevel="0" collapsed="false">
      <c r="I1446" s="2"/>
      <c r="J1446" s="2"/>
    </row>
    <row r="1447" customFormat="false" ht="15" hidden="false" customHeight="false" outlineLevel="0" collapsed="false">
      <c r="I1447" s="2"/>
      <c r="J1447" s="2"/>
    </row>
    <row r="1448" customFormat="false" ht="15" hidden="false" customHeight="false" outlineLevel="0" collapsed="false">
      <c r="I1448" s="2"/>
      <c r="J1448" s="2"/>
    </row>
    <row r="1449" customFormat="false" ht="15" hidden="false" customHeight="false" outlineLevel="0" collapsed="false">
      <c r="I1449" s="2"/>
      <c r="J1449" s="2"/>
    </row>
    <row r="1450" customFormat="false" ht="15" hidden="false" customHeight="false" outlineLevel="0" collapsed="false">
      <c r="I1450" s="2"/>
      <c r="J1450" s="2"/>
    </row>
    <row r="1451" customFormat="false" ht="15" hidden="false" customHeight="false" outlineLevel="0" collapsed="false">
      <c r="I1451" s="2"/>
      <c r="J1451" s="2"/>
    </row>
    <row r="1452" customFormat="false" ht="15" hidden="false" customHeight="false" outlineLevel="0" collapsed="false">
      <c r="I1452" s="2"/>
      <c r="J1452" s="2"/>
    </row>
    <row r="1453" customFormat="false" ht="15" hidden="false" customHeight="false" outlineLevel="0" collapsed="false">
      <c r="I1453" s="2"/>
      <c r="J1453" s="2"/>
    </row>
    <row r="1454" customFormat="false" ht="15" hidden="false" customHeight="false" outlineLevel="0" collapsed="false">
      <c r="I1454" s="2"/>
      <c r="J1454" s="2"/>
    </row>
    <row r="1455" customFormat="false" ht="15" hidden="false" customHeight="false" outlineLevel="0" collapsed="false">
      <c r="I1455" s="2"/>
      <c r="J1455" s="2"/>
    </row>
    <row r="1456" customFormat="false" ht="15" hidden="false" customHeight="false" outlineLevel="0" collapsed="false">
      <c r="I1456" s="2"/>
      <c r="J1456" s="2"/>
    </row>
    <row r="1457" customFormat="false" ht="15" hidden="false" customHeight="false" outlineLevel="0" collapsed="false">
      <c r="I1457" s="2"/>
      <c r="J1457" s="2"/>
    </row>
    <row r="1458" customFormat="false" ht="15" hidden="false" customHeight="false" outlineLevel="0" collapsed="false">
      <c r="I1458" s="2"/>
      <c r="J1458" s="2"/>
    </row>
    <row r="1459" customFormat="false" ht="15" hidden="false" customHeight="false" outlineLevel="0" collapsed="false">
      <c r="I1459" s="2"/>
      <c r="J1459" s="2"/>
    </row>
    <row r="1460" customFormat="false" ht="15" hidden="false" customHeight="false" outlineLevel="0" collapsed="false">
      <c r="I1460" s="2"/>
      <c r="J1460" s="2"/>
    </row>
    <row r="1461" customFormat="false" ht="15" hidden="false" customHeight="false" outlineLevel="0" collapsed="false">
      <c r="I1461" s="2"/>
      <c r="J1461" s="2"/>
    </row>
    <row r="1462" customFormat="false" ht="15" hidden="false" customHeight="false" outlineLevel="0" collapsed="false">
      <c r="I1462" s="2"/>
      <c r="J1462" s="2"/>
    </row>
    <row r="1463" customFormat="false" ht="15" hidden="false" customHeight="false" outlineLevel="0" collapsed="false">
      <c r="I1463" s="2"/>
      <c r="J1463" s="2"/>
    </row>
    <row r="1464" customFormat="false" ht="15" hidden="false" customHeight="false" outlineLevel="0" collapsed="false">
      <c r="I1464" s="2"/>
      <c r="J1464" s="2"/>
    </row>
    <row r="1465" customFormat="false" ht="15" hidden="false" customHeight="false" outlineLevel="0" collapsed="false">
      <c r="I1465" s="2"/>
      <c r="J1465" s="2"/>
    </row>
    <row r="1466" customFormat="false" ht="15" hidden="false" customHeight="false" outlineLevel="0" collapsed="false">
      <c r="I1466" s="2"/>
      <c r="J1466" s="2"/>
    </row>
    <row r="1467" customFormat="false" ht="15" hidden="false" customHeight="false" outlineLevel="0" collapsed="false">
      <c r="I1467" s="2"/>
      <c r="J1467" s="2"/>
    </row>
    <row r="1468" customFormat="false" ht="15" hidden="false" customHeight="false" outlineLevel="0" collapsed="false">
      <c r="I1468" s="2"/>
      <c r="J1468" s="2"/>
    </row>
    <row r="1469" customFormat="false" ht="15" hidden="false" customHeight="false" outlineLevel="0" collapsed="false">
      <c r="I1469" s="2"/>
      <c r="J1469" s="2"/>
    </row>
    <row r="1470" customFormat="false" ht="15" hidden="false" customHeight="false" outlineLevel="0" collapsed="false">
      <c r="I1470" s="2"/>
      <c r="J1470" s="2"/>
    </row>
    <row r="1471" customFormat="false" ht="15" hidden="false" customHeight="false" outlineLevel="0" collapsed="false">
      <c r="I1471" s="2"/>
      <c r="J1471" s="2"/>
    </row>
    <row r="1472" customFormat="false" ht="15" hidden="false" customHeight="false" outlineLevel="0" collapsed="false">
      <c r="I1472" s="2"/>
      <c r="J1472" s="2"/>
    </row>
    <row r="1473" customFormat="false" ht="15" hidden="false" customHeight="false" outlineLevel="0" collapsed="false">
      <c r="I1473" s="2"/>
      <c r="J1473" s="2"/>
    </row>
    <row r="1474" customFormat="false" ht="15" hidden="false" customHeight="false" outlineLevel="0" collapsed="false">
      <c r="I1474" s="2"/>
      <c r="J1474" s="2"/>
    </row>
    <row r="1475" customFormat="false" ht="15" hidden="false" customHeight="false" outlineLevel="0" collapsed="false">
      <c r="I1475" s="2"/>
      <c r="J1475" s="2"/>
    </row>
    <row r="1476" customFormat="false" ht="15" hidden="false" customHeight="false" outlineLevel="0" collapsed="false">
      <c r="I1476" s="2"/>
      <c r="J1476" s="2"/>
    </row>
    <row r="1477" customFormat="false" ht="15" hidden="false" customHeight="false" outlineLevel="0" collapsed="false">
      <c r="I1477" s="2"/>
      <c r="J1477" s="2"/>
    </row>
    <row r="1478" customFormat="false" ht="15" hidden="false" customHeight="false" outlineLevel="0" collapsed="false">
      <c r="I1478" s="2"/>
      <c r="J1478" s="2"/>
    </row>
    <row r="1479" customFormat="false" ht="15" hidden="false" customHeight="false" outlineLevel="0" collapsed="false">
      <c r="I1479" s="2"/>
      <c r="J1479" s="2"/>
    </row>
    <row r="1480" customFormat="false" ht="15" hidden="false" customHeight="false" outlineLevel="0" collapsed="false">
      <c r="I1480" s="2"/>
      <c r="J1480" s="2"/>
    </row>
    <row r="1481" customFormat="false" ht="15" hidden="false" customHeight="false" outlineLevel="0" collapsed="false">
      <c r="I1481" s="2"/>
      <c r="J1481" s="2"/>
    </row>
    <row r="1482" customFormat="false" ht="15" hidden="false" customHeight="false" outlineLevel="0" collapsed="false">
      <c r="I1482" s="2"/>
      <c r="J1482" s="2"/>
    </row>
    <row r="1483" customFormat="false" ht="15" hidden="false" customHeight="false" outlineLevel="0" collapsed="false">
      <c r="I1483" s="2"/>
      <c r="J1483" s="2"/>
    </row>
    <row r="1484" customFormat="false" ht="15" hidden="false" customHeight="false" outlineLevel="0" collapsed="false">
      <c r="I1484" s="2"/>
      <c r="J1484" s="2"/>
    </row>
    <row r="1485" customFormat="false" ht="15" hidden="false" customHeight="false" outlineLevel="0" collapsed="false">
      <c r="I1485" s="2"/>
      <c r="J1485" s="2"/>
    </row>
    <row r="1486" customFormat="false" ht="15" hidden="false" customHeight="false" outlineLevel="0" collapsed="false">
      <c r="I1486" s="2"/>
      <c r="J1486" s="2"/>
    </row>
    <row r="1487" customFormat="false" ht="15" hidden="false" customHeight="false" outlineLevel="0" collapsed="false">
      <c r="I1487" s="2"/>
      <c r="J1487" s="2"/>
    </row>
    <row r="1488" customFormat="false" ht="15" hidden="false" customHeight="false" outlineLevel="0" collapsed="false">
      <c r="I1488" s="2"/>
      <c r="J1488" s="2"/>
    </row>
    <row r="1489" customFormat="false" ht="15" hidden="false" customHeight="false" outlineLevel="0" collapsed="false">
      <c r="I1489" s="2"/>
      <c r="J1489" s="2"/>
    </row>
    <row r="1490" customFormat="false" ht="15" hidden="false" customHeight="false" outlineLevel="0" collapsed="false">
      <c r="I1490" s="2"/>
      <c r="J1490" s="2"/>
    </row>
    <row r="1491" customFormat="false" ht="15" hidden="false" customHeight="false" outlineLevel="0" collapsed="false">
      <c r="I1491" s="2"/>
      <c r="J1491" s="2"/>
    </row>
    <row r="1492" customFormat="false" ht="15" hidden="false" customHeight="false" outlineLevel="0" collapsed="false">
      <c r="I1492" s="2"/>
      <c r="J1492" s="2"/>
    </row>
    <row r="1493" customFormat="false" ht="15" hidden="false" customHeight="false" outlineLevel="0" collapsed="false">
      <c r="I1493" s="2"/>
      <c r="J1493" s="2"/>
    </row>
    <row r="1494" customFormat="false" ht="15" hidden="false" customHeight="false" outlineLevel="0" collapsed="false">
      <c r="I1494" s="2"/>
      <c r="J1494" s="2"/>
    </row>
    <row r="1495" customFormat="false" ht="15" hidden="false" customHeight="false" outlineLevel="0" collapsed="false">
      <c r="I1495" s="2"/>
      <c r="J1495" s="2"/>
    </row>
    <row r="1496" customFormat="false" ht="15" hidden="false" customHeight="false" outlineLevel="0" collapsed="false">
      <c r="I1496" s="2"/>
      <c r="J1496" s="2"/>
    </row>
    <row r="1497" customFormat="false" ht="15" hidden="false" customHeight="false" outlineLevel="0" collapsed="false">
      <c r="I1497" s="2"/>
      <c r="J1497" s="2"/>
    </row>
    <row r="1498" customFormat="false" ht="15" hidden="false" customHeight="false" outlineLevel="0" collapsed="false">
      <c r="I1498" s="2"/>
      <c r="J1498" s="2"/>
    </row>
    <row r="1499" customFormat="false" ht="15" hidden="false" customHeight="false" outlineLevel="0" collapsed="false">
      <c r="I1499" s="2"/>
      <c r="J1499" s="2"/>
    </row>
    <row r="1500" customFormat="false" ht="15" hidden="false" customHeight="false" outlineLevel="0" collapsed="false">
      <c r="I1500" s="2"/>
      <c r="J1500" s="2"/>
    </row>
    <row r="1501" customFormat="false" ht="15" hidden="false" customHeight="false" outlineLevel="0" collapsed="false">
      <c r="I1501" s="2"/>
      <c r="J1501" s="2"/>
    </row>
    <row r="1502" customFormat="false" ht="15" hidden="false" customHeight="false" outlineLevel="0" collapsed="false">
      <c r="I1502" s="2"/>
      <c r="J1502" s="2"/>
    </row>
    <row r="1503" customFormat="false" ht="15" hidden="false" customHeight="false" outlineLevel="0" collapsed="false">
      <c r="I1503" s="2"/>
      <c r="J1503" s="2"/>
    </row>
    <row r="1504" customFormat="false" ht="15" hidden="false" customHeight="false" outlineLevel="0" collapsed="false">
      <c r="I1504" s="2"/>
      <c r="J1504" s="2"/>
    </row>
    <row r="1505" customFormat="false" ht="15" hidden="false" customHeight="false" outlineLevel="0" collapsed="false">
      <c r="I1505" s="2"/>
      <c r="J1505" s="2"/>
    </row>
    <row r="1506" customFormat="false" ht="15" hidden="false" customHeight="false" outlineLevel="0" collapsed="false">
      <c r="I1506" s="2"/>
      <c r="J1506" s="2"/>
    </row>
    <row r="1507" customFormat="false" ht="15" hidden="false" customHeight="false" outlineLevel="0" collapsed="false">
      <c r="I1507" s="2"/>
      <c r="J1507" s="2"/>
    </row>
    <row r="1508" customFormat="false" ht="15" hidden="false" customHeight="false" outlineLevel="0" collapsed="false">
      <c r="I1508" s="2"/>
      <c r="J1508" s="2"/>
    </row>
    <row r="1509" customFormat="false" ht="15" hidden="false" customHeight="false" outlineLevel="0" collapsed="false">
      <c r="I1509" s="2"/>
      <c r="J1509" s="2"/>
    </row>
    <row r="1510" customFormat="false" ht="15" hidden="false" customHeight="false" outlineLevel="0" collapsed="false">
      <c r="I1510" s="2"/>
      <c r="J1510" s="2"/>
    </row>
    <row r="1511" customFormat="false" ht="15" hidden="false" customHeight="false" outlineLevel="0" collapsed="false">
      <c r="I1511" s="2"/>
      <c r="J1511" s="2"/>
    </row>
    <row r="1512" customFormat="false" ht="15" hidden="false" customHeight="false" outlineLevel="0" collapsed="false">
      <c r="I1512" s="2"/>
      <c r="J1512" s="2"/>
    </row>
    <row r="1513" customFormat="false" ht="15" hidden="false" customHeight="false" outlineLevel="0" collapsed="false">
      <c r="I1513" s="2"/>
      <c r="J1513" s="2"/>
    </row>
    <row r="1514" customFormat="false" ht="15" hidden="false" customHeight="false" outlineLevel="0" collapsed="false">
      <c r="I1514" s="2"/>
      <c r="J1514" s="2"/>
    </row>
    <row r="1515" customFormat="false" ht="15" hidden="false" customHeight="false" outlineLevel="0" collapsed="false">
      <c r="I1515" s="2"/>
      <c r="J1515" s="2"/>
    </row>
    <row r="1516" customFormat="false" ht="15" hidden="false" customHeight="false" outlineLevel="0" collapsed="false">
      <c r="I1516" s="2"/>
      <c r="J1516" s="2"/>
    </row>
    <row r="1517" customFormat="false" ht="15" hidden="false" customHeight="false" outlineLevel="0" collapsed="false">
      <c r="I1517" s="2"/>
      <c r="J1517" s="2"/>
    </row>
    <row r="1518" customFormat="false" ht="15" hidden="false" customHeight="false" outlineLevel="0" collapsed="false">
      <c r="I1518" s="2"/>
      <c r="J1518" s="2"/>
    </row>
    <row r="1519" customFormat="false" ht="15" hidden="false" customHeight="false" outlineLevel="0" collapsed="false">
      <c r="I1519" s="2"/>
      <c r="J1519" s="2"/>
    </row>
    <row r="1520" customFormat="false" ht="15" hidden="false" customHeight="false" outlineLevel="0" collapsed="false">
      <c r="I1520" s="2"/>
      <c r="J1520" s="2"/>
    </row>
    <row r="1521" customFormat="false" ht="15" hidden="false" customHeight="false" outlineLevel="0" collapsed="false">
      <c r="I1521" s="2"/>
      <c r="J1521" s="2"/>
    </row>
    <row r="1522" customFormat="false" ht="15" hidden="false" customHeight="false" outlineLevel="0" collapsed="false">
      <c r="I1522" s="2"/>
      <c r="J1522" s="2"/>
    </row>
    <row r="1523" customFormat="false" ht="15" hidden="false" customHeight="false" outlineLevel="0" collapsed="false">
      <c r="I1523" s="2"/>
      <c r="J1523" s="2"/>
    </row>
    <row r="1524" customFormat="false" ht="15" hidden="false" customHeight="false" outlineLevel="0" collapsed="false">
      <c r="I1524" s="2"/>
      <c r="J1524" s="2"/>
    </row>
    <row r="1525" customFormat="false" ht="15" hidden="false" customHeight="false" outlineLevel="0" collapsed="false">
      <c r="I1525" s="2"/>
      <c r="J1525" s="2"/>
    </row>
    <row r="1526" customFormat="false" ht="15" hidden="false" customHeight="false" outlineLevel="0" collapsed="false">
      <c r="I1526" s="2"/>
      <c r="J1526" s="2"/>
    </row>
    <row r="1527" customFormat="false" ht="15" hidden="false" customHeight="false" outlineLevel="0" collapsed="false">
      <c r="I1527" s="2"/>
      <c r="J1527" s="2"/>
    </row>
    <row r="1528" customFormat="false" ht="15" hidden="false" customHeight="false" outlineLevel="0" collapsed="false">
      <c r="I1528" s="2"/>
      <c r="J1528" s="2"/>
    </row>
    <row r="1529" customFormat="false" ht="15" hidden="false" customHeight="false" outlineLevel="0" collapsed="false">
      <c r="I1529" s="2"/>
      <c r="J1529" s="2"/>
    </row>
    <row r="1530" customFormat="false" ht="15" hidden="false" customHeight="false" outlineLevel="0" collapsed="false">
      <c r="I1530" s="2"/>
      <c r="J1530" s="2"/>
    </row>
    <row r="1531" customFormat="false" ht="15" hidden="false" customHeight="false" outlineLevel="0" collapsed="false">
      <c r="I1531" s="2"/>
      <c r="J1531" s="2"/>
    </row>
    <row r="1532" customFormat="false" ht="15" hidden="false" customHeight="false" outlineLevel="0" collapsed="false">
      <c r="I1532" s="2"/>
      <c r="J1532" s="2"/>
    </row>
    <row r="1533" customFormat="false" ht="15" hidden="false" customHeight="false" outlineLevel="0" collapsed="false">
      <c r="I1533" s="2"/>
      <c r="J1533" s="2"/>
    </row>
    <row r="1534" customFormat="false" ht="15" hidden="false" customHeight="false" outlineLevel="0" collapsed="false">
      <c r="I1534" s="2"/>
      <c r="J1534" s="2"/>
    </row>
    <row r="1535" customFormat="false" ht="15" hidden="false" customHeight="false" outlineLevel="0" collapsed="false">
      <c r="I1535" s="2"/>
      <c r="J1535" s="2"/>
    </row>
    <row r="1536" customFormat="false" ht="15" hidden="false" customHeight="false" outlineLevel="0" collapsed="false">
      <c r="I1536" s="2"/>
      <c r="J1536" s="2"/>
    </row>
    <row r="1537" customFormat="false" ht="15" hidden="false" customHeight="false" outlineLevel="0" collapsed="false">
      <c r="I1537" s="2"/>
      <c r="J1537" s="2"/>
    </row>
    <row r="1538" customFormat="false" ht="15" hidden="false" customHeight="false" outlineLevel="0" collapsed="false">
      <c r="I1538" s="2"/>
      <c r="J1538" s="2"/>
    </row>
    <row r="1539" customFormat="false" ht="15" hidden="false" customHeight="false" outlineLevel="0" collapsed="false">
      <c r="I1539" s="2"/>
      <c r="J1539" s="2"/>
    </row>
    <row r="1540" customFormat="false" ht="15" hidden="false" customHeight="false" outlineLevel="0" collapsed="false">
      <c r="I1540" s="2"/>
      <c r="J1540" s="2"/>
    </row>
    <row r="1541" customFormat="false" ht="15" hidden="false" customHeight="false" outlineLevel="0" collapsed="false">
      <c r="I1541" s="2"/>
      <c r="J1541" s="2"/>
    </row>
    <row r="1542" customFormat="false" ht="15" hidden="false" customHeight="false" outlineLevel="0" collapsed="false">
      <c r="I1542" s="2"/>
      <c r="J1542" s="2"/>
    </row>
    <row r="1543" customFormat="false" ht="15" hidden="false" customHeight="false" outlineLevel="0" collapsed="false">
      <c r="I1543" s="2"/>
      <c r="J1543" s="2"/>
    </row>
    <row r="1544" customFormat="false" ht="15" hidden="false" customHeight="false" outlineLevel="0" collapsed="false">
      <c r="I1544" s="2"/>
      <c r="J1544" s="2"/>
    </row>
    <row r="1545" customFormat="false" ht="15" hidden="false" customHeight="false" outlineLevel="0" collapsed="false">
      <c r="I1545" s="2"/>
      <c r="J1545" s="2"/>
    </row>
    <row r="1546" customFormat="false" ht="15" hidden="false" customHeight="false" outlineLevel="0" collapsed="false">
      <c r="I1546" s="2"/>
      <c r="J1546" s="2"/>
    </row>
    <row r="1547" customFormat="false" ht="15" hidden="false" customHeight="false" outlineLevel="0" collapsed="false">
      <c r="I1547" s="2"/>
      <c r="J1547" s="2"/>
    </row>
    <row r="1548" customFormat="false" ht="15" hidden="false" customHeight="false" outlineLevel="0" collapsed="false">
      <c r="I1548" s="2"/>
      <c r="J1548" s="2"/>
    </row>
    <row r="1549" customFormat="false" ht="15" hidden="false" customHeight="false" outlineLevel="0" collapsed="false">
      <c r="I1549" s="2"/>
      <c r="J1549" s="2"/>
    </row>
    <row r="1550" customFormat="false" ht="15" hidden="false" customHeight="false" outlineLevel="0" collapsed="false">
      <c r="I1550" s="2"/>
      <c r="J1550" s="2"/>
    </row>
    <row r="1551" customFormat="false" ht="15" hidden="false" customHeight="false" outlineLevel="0" collapsed="false">
      <c r="I1551" s="2"/>
      <c r="J1551" s="2"/>
    </row>
    <row r="1552" customFormat="false" ht="15" hidden="false" customHeight="false" outlineLevel="0" collapsed="false">
      <c r="I1552" s="2"/>
      <c r="J1552" s="2"/>
    </row>
    <row r="1553" customFormat="false" ht="15" hidden="false" customHeight="false" outlineLevel="0" collapsed="false">
      <c r="I1553" s="2"/>
      <c r="J1553" s="2"/>
    </row>
    <row r="1554" customFormat="false" ht="15" hidden="false" customHeight="false" outlineLevel="0" collapsed="false">
      <c r="I1554" s="2"/>
      <c r="J1554" s="2"/>
    </row>
    <row r="1555" customFormat="false" ht="15" hidden="false" customHeight="false" outlineLevel="0" collapsed="false">
      <c r="I1555" s="2"/>
      <c r="J1555" s="2"/>
    </row>
    <row r="1556" customFormat="false" ht="15" hidden="false" customHeight="false" outlineLevel="0" collapsed="false">
      <c r="I1556" s="2"/>
      <c r="J1556" s="2"/>
    </row>
    <row r="1557" customFormat="false" ht="15" hidden="false" customHeight="false" outlineLevel="0" collapsed="false">
      <c r="I1557" s="2"/>
      <c r="J1557" s="2"/>
    </row>
    <row r="1558" customFormat="false" ht="15" hidden="false" customHeight="false" outlineLevel="0" collapsed="false">
      <c r="I1558" s="2"/>
      <c r="J1558" s="2"/>
    </row>
    <row r="1559" customFormat="false" ht="15" hidden="false" customHeight="false" outlineLevel="0" collapsed="false">
      <c r="I1559" s="2"/>
      <c r="J1559" s="2"/>
    </row>
    <row r="1560" customFormat="false" ht="15" hidden="false" customHeight="false" outlineLevel="0" collapsed="false">
      <c r="I1560" s="2"/>
      <c r="J1560" s="2"/>
    </row>
    <row r="1561" customFormat="false" ht="15" hidden="false" customHeight="false" outlineLevel="0" collapsed="false">
      <c r="I1561" s="2"/>
      <c r="J1561" s="2"/>
    </row>
    <row r="1562" customFormat="false" ht="15" hidden="false" customHeight="false" outlineLevel="0" collapsed="false">
      <c r="I1562" s="2"/>
      <c r="J1562" s="2"/>
    </row>
    <row r="1563" customFormat="false" ht="15" hidden="false" customHeight="false" outlineLevel="0" collapsed="false">
      <c r="I1563" s="2"/>
      <c r="J1563" s="2"/>
    </row>
    <row r="1564" customFormat="false" ht="15" hidden="false" customHeight="false" outlineLevel="0" collapsed="false">
      <c r="I1564" s="2"/>
      <c r="J1564" s="2"/>
    </row>
    <row r="1565" customFormat="false" ht="15" hidden="false" customHeight="false" outlineLevel="0" collapsed="false">
      <c r="I1565" s="2"/>
      <c r="J1565" s="2"/>
    </row>
    <row r="1566" customFormat="false" ht="15" hidden="false" customHeight="false" outlineLevel="0" collapsed="false">
      <c r="I1566" s="2"/>
      <c r="J1566" s="2"/>
    </row>
    <row r="1567" customFormat="false" ht="15" hidden="false" customHeight="false" outlineLevel="0" collapsed="false">
      <c r="I1567" s="2"/>
      <c r="J1567" s="2"/>
    </row>
    <row r="1568" customFormat="false" ht="15" hidden="false" customHeight="false" outlineLevel="0" collapsed="false">
      <c r="I1568" s="2"/>
      <c r="J1568" s="2"/>
    </row>
    <row r="1569" customFormat="false" ht="15" hidden="false" customHeight="false" outlineLevel="0" collapsed="false">
      <c r="I1569" s="2"/>
      <c r="J1569" s="2"/>
    </row>
    <row r="1570" customFormat="false" ht="15" hidden="false" customHeight="false" outlineLevel="0" collapsed="false">
      <c r="I1570" s="2"/>
      <c r="J1570" s="2"/>
    </row>
    <row r="1571" customFormat="false" ht="15" hidden="false" customHeight="false" outlineLevel="0" collapsed="false">
      <c r="I1571" s="2"/>
      <c r="J1571" s="2"/>
    </row>
    <row r="1572" customFormat="false" ht="15" hidden="false" customHeight="false" outlineLevel="0" collapsed="false">
      <c r="I1572" s="2"/>
      <c r="J1572" s="2"/>
    </row>
    <row r="1573" customFormat="false" ht="15" hidden="false" customHeight="false" outlineLevel="0" collapsed="false">
      <c r="I1573" s="2"/>
      <c r="J1573" s="2"/>
    </row>
    <row r="1574" customFormat="false" ht="15" hidden="false" customHeight="false" outlineLevel="0" collapsed="false">
      <c r="I1574" s="2"/>
      <c r="J1574" s="2"/>
    </row>
    <row r="1575" customFormat="false" ht="15" hidden="false" customHeight="false" outlineLevel="0" collapsed="false">
      <c r="I1575" s="2"/>
      <c r="J1575" s="2"/>
    </row>
    <row r="1576" customFormat="false" ht="15" hidden="false" customHeight="false" outlineLevel="0" collapsed="false">
      <c r="I1576" s="2"/>
      <c r="J1576" s="2"/>
    </row>
    <row r="1577" customFormat="false" ht="15" hidden="false" customHeight="false" outlineLevel="0" collapsed="false">
      <c r="I1577" s="2"/>
      <c r="J1577" s="2"/>
    </row>
    <row r="1578" customFormat="false" ht="15" hidden="false" customHeight="false" outlineLevel="0" collapsed="false">
      <c r="I1578" s="2"/>
      <c r="J1578" s="2"/>
    </row>
    <row r="1579" customFormat="false" ht="15" hidden="false" customHeight="false" outlineLevel="0" collapsed="false">
      <c r="I1579" s="2"/>
      <c r="J1579" s="2"/>
    </row>
    <row r="1580" customFormat="false" ht="15" hidden="false" customHeight="false" outlineLevel="0" collapsed="false">
      <c r="I1580" s="2"/>
      <c r="J1580" s="2"/>
    </row>
    <row r="1581" customFormat="false" ht="15" hidden="false" customHeight="false" outlineLevel="0" collapsed="false">
      <c r="I1581" s="2"/>
      <c r="J1581" s="2"/>
    </row>
    <row r="1582" customFormat="false" ht="15" hidden="false" customHeight="false" outlineLevel="0" collapsed="false">
      <c r="I1582" s="2"/>
      <c r="J1582" s="2"/>
    </row>
    <row r="1583" customFormat="false" ht="15" hidden="false" customHeight="false" outlineLevel="0" collapsed="false">
      <c r="I1583" s="2"/>
      <c r="J1583" s="2"/>
    </row>
    <row r="1584" customFormat="false" ht="15" hidden="false" customHeight="false" outlineLevel="0" collapsed="false">
      <c r="I1584" s="2"/>
      <c r="J1584" s="2"/>
    </row>
    <row r="1585" customFormat="false" ht="15" hidden="false" customHeight="false" outlineLevel="0" collapsed="false">
      <c r="I1585" s="2"/>
      <c r="J1585" s="2"/>
    </row>
    <row r="1586" customFormat="false" ht="15" hidden="false" customHeight="false" outlineLevel="0" collapsed="false">
      <c r="I1586" s="2"/>
      <c r="J1586" s="2"/>
    </row>
    <row r="1587" customFormat="false" ht="15" hidden="false" customHeight="false" outlineLevel="0" collapsed="false">
      <c r="I1587" s="2"/>
      <c r="J1587" s="2"/>
    </row>
    <row r="1588" customFormat="false" ht="15" hidden="false" customHeight="false" outlineLevel="0" collapsed="false">
      <c r="I1588" s="2"/>
      <c r="J1588" s="2"/>
    </row>
    <row r="1589" customFormat="false" ht="15" hidden="false" customHeight="false" outlineLevel="0" collapsed="false">
      <c r="I1589" s="2"/>
      <c r="J1589" s="2"/>
    </row>
    <row r="1590" customFormat="false" ht="15" hidden="false" customHeight="false" outlineLevel="0" collapsed="false">
      <c r="I1590" s="2"/>
      <c r="J1590" s="2"/>
    </row>
    <row r="1591" customFormat="false" ht="15" hidden="false" customHeight="false" outlineLevel="0" collapsed="false">
      <c r="I1591" s="2"/>
      <c r="J1591" s="2"/>
    </row>
    <row r="1592" customFormat="false" ht="15" hidden="false" customHeight="false" outlineLevel="0" collapsed="false">
      <c r="I1592" s="2"/>
      <c r="J1592" s="2"/>
    </row>
    <row r="1593" customFormat="false" ht="15" hidden="false" customHeight="false" outlineLevel="0" collapsed="false">
      <c r="I1593" s="2"/>
      <c r="J1593" s="2"/>
    </row>
    <row r="1594" customFormat="false" ht="15" hidden="false" customHeight="false" outlineLevel="0" collapsed="false">
      <c r="I1594" s="2"/>
      <c r="J1594" s="2"/>
    </row>
    <row r="1595" customFormat="false" ht="15" hidden="false" customHeight="false" outlineLevel="0" collapsed="false">
      <c r="I1595" s="2"/>
      <c r="J1595" s="2"/>
    </row>
    <row r="1596" customFormat="false" ht="15" hidden="false" customHeight="false" outlineLevel="0" collapsed="false">
      <c r="I1596" s="2"/>
      <c r="J1596" s="2"/>
    </row>
    <row r="1597" customFormat="false" ht="15" hidden="false" customHeight="false" outlineLevel="0" collapsed="false">
      <c r="I1597" s="2"/>
      <c r="J1597" s="2"/>
    </row>
    <row r="1598" customFormat="false" ht="15" hidden="false" customHeight="false" outlineLevel="0" collapsed="false">
      <c r="I1598" s="2"/>
      <c r="J1598" s="2"/>
    </row>
    <row r="1599" customFormat="false" ht="15" hidden="false" customHeight="false" outlineLevel="0" collapsed="false">
      <c r="I1599" s="2"/>
      <c r="J1599" s="2"/>
    </row>
    <row r="1600" customFormat="false" ht="15" hidden="false" customHeight="false" outlineLevel="0" collapsed="false">
      <c r="I1600" s="2"/>
      <c r="J1600" s="2"/>
    </row>
    <row r="1601" customFormat="false" ht="15" hidden="false" customHeight="false" outlineLevel="0" collapsed="false">
      <c r="I1601" s="2"/>
      <c r="J1601" s="2"/>
    </row>
    <row r="1602" customFormat="false" ht="15" hidden="false" customHeight="false" outlineLevel="0" collapsed="false">
      <c r="I1602" s="2"/>
      <c r="J1602" s="2"/>
    </row>
    <row r="1603" customFormat="false" ht="15" hidden="false" customHeight="false" outlineLevel="0" collapsed="false">
      <c r="I1603" s="2"/>
      <c r="J1603" s="2"/>
    </row>
    <row r="1604" customFormat="false" ht="15" hidden="false" customHeight="false" outlineLevel="0" collapsed="false">
      <c r="I1604" s="2"/>
      <c r="J1604" s="2"/>
    </row>
    <row r="1605" customFormat="false" ht="15" hidden="false" customHeight="false" outlineLevel="0" collapsed="false">
      <c r="I1605" s="2"/>
      <c r="J1605" s="2"/>
    </row>
    <row r="1606" customFormat="false" ht="15" hidden="false" customHeight="false" outlineLevel="0" collapsed="false">
      <c r="I1606" s="2"/>
      <c r="J1606" s="2"/>
    </row>
    <row r="1607" customFormat="false" ht="15" hidden="false" customHeight="false" outlineLevel="0" collapsed="false">
      <c r="I1607" s="2"/>
      <c r="J1607" s="2"/>
    </row>
    <row r="1608" customFormat="false" ht="15" hidden="false" customHeight="false" outlineLevel="0" collapsed="false">
      <c r="I1608" s="2"/>
      <c r="J1608" s="2"/>
    </row>
    <row r="1609" customFormat="false" ht="15" hidden="false" customHeight="false" outlineLevel="0" collapsed="false">
      <c r="I1609" s="2"/>
      <c r="J1609" s="2"/>
    </row>
    <row r="1610" customFormat="false" ht="15" hidden="false" customHeight="false" outlineLevel="0" collapsed="false">
      <c r="I1610" s="2"/>
      <c r="J1610" s="2"/>
    </row>
    <row r="1611" customFormat="false" ht="15" hidden="false" customHeight="false" outlineLevel="0" collapsed="false">
      <c r="I1611" s="2"/>
      <c r="J1611" s="2"/>
    </row>
    <row r="1612" customFormat="false" ht="15" hidden="false" customHeight="false" outlineLevel="0" collapsed="false">
      <c r="I1612" s="2"/>
      <c r="J1612" s="2"/>
    </row>
    <row r="1613" customFormat="false" ht="15" hidden="false" customHeight="false" outlineLevel="0" collapsed="false">
      <c r="I1613" s="2"/>
      <c r="J1613" s="2"/>
    </row>
    <row r="1614" customFormat="false" ht="15" hidden="false" customHeight="false" outlineLevel="0" collapsed="false">
      <c r="I1614" s="2"/>
      <c r="J1614" s="2"/>
    </row>
    <row r="1615" customFormat="false" ht="15" hidden="false" customHeight="false" outlineLevel="0" collapsed="false">
      <c r="I1615" s="2"/>
      <c r="J1615" s="2"/>
    </row>
    <row r="1616" customFormat="false" ht="15" hidden="false" customHeight="false" outlineLevel="0" collapsed="false">
      <c r="I1616" s="2"/>
      <c r="J1616" s="2"/>
    </row>
    <row r="1617" customFormat="false" ht="15" hidden="false" customHeight="false" outlineLevel="0" collapsed="false">
      <c r="I1617" s="2"/>
      <c r="J1617" s="2"/>
    </row>
    <row r="1618" customFormat="false" ht="15" hidden="false" customHeight="false" outlineLevel="0" collapsed="false">
      <c r="I1618" s="2"/>
      <c r="J1618" s="2"/>
    </row>
    <row r="1619" customFormat="false" ht="15" hidden="false" customHeight="false" outlineLevel="0" collapsed="false">
      <c r="I1619" s="2"/>
      <c r="J1619" s="2"/>
    </row>
    <row r="1620" customFormat="false" ht="15" hidden="false" customHeight="false" outlineLevel="0" collapsed="false">
      <c r="I1620" s="2"/>
      <c r="J1620" s="2"/>
    </row>
    <row r="1621" customFormat="false" ht="15" hidden="false" customHeight="false" outlineLevel="0" collapsed="false">
      <c r="I1621" s="2"/>
      <c r="J1621" s="2"/>
    </row>
    <row r="1622" customFormat="false" ht="15" hidden="false" customHeight="false" outlineLevel="0" collapsed="false">
      <c r="I1622" s="2"/>
      <c r="J1622" s="2"/>
    </row>
    <row r="1623" customFormat="false" ht="15" hidden="false" customHeight="false" outlineLevel="0" collapsed="false">
      <c r="I1623" s="2"/>
      <c r="J1623" s="2"/>
    </row>
    <row r="1624" customFormat="false" ht="15" hidden="false" customHeight="false" outlineLevel="0" collapsed="false">
      <c r="I1624" s="2"/>
      <c r="J1624" s="2"/>
    </row>
    <row r="1625" customFormat="false" ht="15" hidden="false" customHeight="false" outlineLevel="0" collapsed="false">
      <c r="I1625" s="2"/>
      <c r="J1625" s="2"/>
    </row>
    <row r="1626" customFormat="false" ht="15" hidden="false" customHeight="false" outlineLevel="0" collapsed="false">
      <c r="I1626" s="2"/>
      <c r="J1626" s="2"/>
    </row>
    <row r="1627" customFormat="false" ht="15" hidden="false" customHeight="false" outlineLevel="0" collapsed="false">
      <c r="I1627" s="2"/>
      <c r="J1627" s="2"/>
    </row>
    <row r="1628" customFormat="false" ht="15" hidden="false" customHeight="false" outlineLevel="0" collapsed="false">
      <c r="I1628" s="2"/>
      <c r="J1628" s="2"/>
    </row>
    <row r="1629" customFormat="false" ht="15" hidden="false" customHeight="false" outlineLevel="0" collapsed="false">
      <c r="I1629" s="2"/>
      <c r="J1629" s="2"/>
    </row>
    <row r="1630" customFormat="false" ht="15" hidden="false" customHeight="false" outlineLevel="0" collapsed="false">
      <c r="I1630" s="2"/>
      <c r="J1630" s="2"/>
    </row>
    <row r="1631" customFormat="false" ht="15" hidden="false" customHeight="false" outlineLevel="0" collapsed="false">
      <c r="I1631" s="2"/>
      <c r="J1631" s="2"/>
    </row>
    <row r="1632" customFormat="false" ht="15" hidden="false" customHeight="false" outlineLevel="0" collapsed="false">
      <c r="I1632" s="2"/>
      <c r="J1632" s="2"/>
    </row>
    <row r="1633" customFormat="false" ht="15" hidden="false" customHeight="false" outlineLevel="0" collapsed="false">
      <c r="I1633" s="2"/>
      <c r="J1633" s="2"/>
    </row>
    <row r="1634" customFormat="false" ht="15" hidden="false" customHeight="false" outlineLevel="0" collapsed="false">
      <c r="I1634" s="2"/>
      <c r="J1634" s="2"/>
    </row>
    <row r="1635" customFormat="false" ht="15" hidden="false" customHeight="false" outlineLevel="0" collapsed="false">
      <c r="I1635" s="2"/>
      <c r="J1635" s="2"/>
    </row>
    <row r="1636" customFormat="false" ht="15" hidden="false" customHeight="false" outlineLevel="0" collapsed="false">
      <c r="I1636" s="2"/>
      <c r="J1636" s="2"/>
    </row>
    <row r="1637" customFormat="false" ht="15" hidden="false" customHeight="false" outlineLevel="0" collapsed="false">
      <c r="I1637" s="2"/>
      <c r="J1637" s="2"/>
    </row>
    <row r="1638" customFormat="false" ht="15" hidden="false" customHeight="false" outlineLevel="0" collapsed="false">
      <c r="I1638" s="2"/>
      <c r="J1638" s="2"/>
    </row>
    <row r="1639" customFormat="false" ht="15" hidden="false" customHeight="false" outlineLevel="0" collapsed="false">
      <c r="I1639" s="2"/>
      <c r="J1639" s="2"/>
    </row>
    <row r="1640" customFormat="false" ht="15" hidden="false" customHeight="false" outlineLevel="0" collapsed="false">
      <c r="I1640" s="2"/>
      <c r="J1640" s="2"/>
    </row>
    <row r="1641" customFormat="false" ht="15" hidden="false" customHeight="false" outlineLevel="0" collapsed="false">
      <c r="I1641" s="2"/>
      <c r="J1641" s="2"/>
    </row>
    <row r="1642" customFormat="false" ht="15" hidden="false" customHeight="false" outlineLevel="0" collapsed="false">
      <c r="I1642" s="2"/>
      <c r="J1642" s="2"/>
    </row>
    <row r="1643" customFormat="false" ht="15" hidden="false" customHeight="false" outlineLevel="0" collapsed="false">
      <c r="I1643" s="2"/>
      <c r="J1643" s="2"/>
    </row>
    <row r="1644" customFormat="false" ht="15" hidden="false" customHeight="false" outlineLevel="0" collapsed="false">
      <c r="I1644" s="2"/>
      <c r="J1644" s="2"/>
    </row>
    <row r="1645" customFormat="false" ht="15" hidden="false" customHeight="false" outlineLevel="0" collapsed="false">
      <c r="I1645" s="2"/>
      <c r="J1645" s="2"/>
    </row>
    <row r="1646" customFormat="false" ht="15" hidden="false" customHeight="false" outlineLevel="0" collapsed="false">
      <c r="I1646" s="2"/>
      <c r="J1646" s="2"/>
    </row>
    <row r="1647" customFormat="false" ht="15" hidden="false" customHeight="false" outlineLevel="0" collapsed="false">
      <c r="I1647" s="2"/>
      <c r="J1647" s="2"/>
    </row>
    <row r="1648" customFormat="false" ht="15" hidden="false" customHeight="false" outlineLevel="0" collapsed="false">
      <c r="I1648" s="2"/>
      <c r="J1648" s="2"/>
    </row>
    <row r="1649" customFormat="false" ht="15" hidden="false" customHeight="false" outlineLevel="0" collapsed="false">
      <c r="I1649" s="2"/>
      <c r="J1649" s="2"/>
    </row>
    <row r="1650" customFormat="false" ht="15" hidden="false" customHeight="false" outlineLevel="0" collapsed="false">
      <c r="I1650" s="2"/>
      <c r="J1650" s="2"/>
    </row>
    <row r="1651" customFormat="false" ht="15" hidden="false" customHeight="false" outlineLevel="0" collapsed="false">
      <c r="I1651" s="2"/>
      <c r="J1651" s="2"/>
    </row>
    <row r="1652" customFormat="false" ht="15" hidden="false" customHeight="false" outlineLevel="0" collapsed="false">
      <c r="I1652" s="2"/>
      <c r="J1652" s="2"/>
    </row>
    <row r="1653" customFormat="false" ht="15" hidden="false" customHeight="false" outlineLevel="0" collapsed="false">
      <c r="I1653" s="2"/>
      <c r="J1653" s="2"/>
    </row>
    <row r="1654" customFormat="false" ht="15" hidden="false" customHeight="false" outlineLevel="0" collapsed="false">
      <c r="I1654" s="2"/>
      <c r="J1654" s="2"/>
    </row>
    <row r="1655" customFormat="false" ht="15" hidden="false" customHeight="false" outlineLevel="0" collapsed="false">
      <c r="I1655" s="2"/>
      <c r="J1655" s="2"/>
    </row>
    <row r="1656" customFormat="false" ht="15" hidden="false" customHeight="false" outlineLevel="0" collapsed="false">
      <c r="I1656" s="2"/>
      <c r="J1656" s="2"/>
    </row>
    <row r="1657" customFormat="false" ht="15" hidden="false" customHeight="false" outlineLevel="0" collapsed="false">
      <c r="I1657" s="2"/>
      <c r="J1657" s="2"/>
    </row>
    <row r="1658" customFormat="false" ht="15" hidden="false" customHeight="false" outlineLevel="0" collapsed="false">
      <c r="I1658" s="2"/>
      <c r="J1658" s="2"/>
    </row>
    <row r="1659" customFormat="false" ht="15" hidden="false" customHeight="false" outlineLevel="0" collapsed="false">
      <c r="I1659" s="2"/>
      <c r="J1659" s="2"/>
    </row>
    <row r="1660" customFormat="false" ht="15" hidden="false" customHeight="false" outlineLevel="0" collapsed="false">
      <c r="I1660" s="2"/>
      <c r="J1660" s="2"/>
    </row>
    <row r="1661" customFormat="false" ht="15" hidden="false" customHeight="false" outlineLevel="0" collapsed="false">
      <c r="I1661" s="2"/>
      <c r="J1661" s="2"/>
    </row>
    <row r="1662" customFormat="false" ht="15" hidden="false" customHeight="false" outlineLevel="0" collapsed="false">
      <c r="I1662" s="2"/>
      <c r="J1662" s="2"/>
    </row>
    <row r="1663" customFormat="false" ht="15" hidden="false" customHeight="false" outlineLevel="0" collapsed="false">
      <c r="I1663" s="2"/>
      <c r="J1663" s="2"/>
    </row>
    <row r="1664" customFormat="false" ht="15" hidden="false" customHeight="false" outlineLevel="0" collapsed="false">
      <c r="I1664" s="2"/>
      <c r="J1664" s="2"/>
    </row>
    <row r="1665" customFormat="false" ht="15" hidden="false" customHeight="false" outlineLevel="0" collapsed="false">
      <c r="I1665" s="2"/>
      <c r="J1665" s="2"/>
    </row>
    <row r="1666" customFormat="false" ht="15" hidden="false" customHeight="false" outlineLevel="0" collapsed="false">
      <c r="I1666" s="2"/>
      <c r="J1666" s="2"/>
    </row>
    <row r="1667" customFormat="false" ht="15" hidden="false" customHeight="false" outlineLevel="0" collapsed="false">
      <c r="I1667" s="2"/>
      <c r="J1667" s="2"/>
    </row>
    <row r="1668" customFormat="false" ht="15" hidden="false" customHeight="false" outlineLevel="0" collapsed="false">
      <c r="I1668" s="2"/>
      <c r="J1668" s="2"/>
    </row>
    <row r="1669" customFormat="false" ht="15" hidden="false" customHeight="false" outlineLevel="0" collapsed="false">
      <c r="I1669" s="2"/>
      <c r="J1669" s="2"/>
    </row>
    <row r="1670" customFormat="false" ht="15" hidden="false" customHeight="false" outlineLevel="0" collapsed="false">
      <c r="I1670" s="2"/>
      <c r="J1670" s="2"/>
    </row>
    <row r="1671" customFormat="false" ht="15" hidden="false" customHeight="false" outlineLevel="0" collapsed="false">
      <c r="I1671" s="2"/>
      <c r="J1671" s="2"/>
    </row>
    <row r="1672" customFormat="false" ht="15" hidden="false" customHeight="false" outlineLevel="0" collapsed="false">
      <c r="I1672" s="2"/>
      <c r="J1672" s="2"/>
    </row>
    <row r="1673" customFormat="false" ht="15" hidden="false" customHeight="false" outlineLevel="0" collapsed="false">
      <c r="I1673" s="2"/>
      <c r="J1673" s="2"/>
    </row>
    <row r="1674" customFormat="false" ht="15" hidden="false" customHeight="false" outlineLevel="0" collapsed="false">
      <c r="I1674" s="2"/>
      <c r="J1674" s="2"/>
    </row>
    <row r="1675" customFormat="false" ht="15" hidden="false" customHeight="false" outlineLevel="0" collapsed="false">
      <c r="I1675" s="2"/>
      <c r="J1675" s="2"/>
    </row>
    <row r="1676" customFormat="false" ht="15" hidden="false" customHeight="false" outlineLevel="0" collapsed="false">
      <c r="I1676" s="2"/>
      <c r="J1676" s="2"/>
    </row>
    <row r="1677" customFormat="false" ht="15" hidden="false" customHeight="false" outlineLevel="0" collapsed="false">
      <c r="I1677" s="2"/>
      <c r="J1677" s="2"/>
    </row>
    <row r="1678" customFormat="false" ht="15" hidden="false" customHeight="false" outlineLevel="0" collapsed="false">
      <c r="I1678" s="2"/>
      <c r="J1678" s="2"/>
    </row>
    <row r="1679" customFormat="false" ht="15" hidden="false" customHeight="false" outlineLevel="0" collapsed="false">
      <c r="I1679" s="2"/>
      <c r="J1679" s="2"/>
    </row>
    <row r="1680" customFormat="false" ht="15" hidden="false" customHeight="false" outlineLevel="0" collapsed="false">
      <c r="I1680" s="2"/>
      <c r="J1680" s="2"/>
    </row>
    <row r="1681" customFormat="false" ht="15" hidden="false" customHeight="false" outlineLevel="0" collapsed="false">
      <c r="I1681" s="2"/>
      <c r="J1681" s="2"/>
    </row>
    <row r="1682" customFormat="false" ht="15" hidden="false" customHeight="false" outlineLevel="0" collapsed="false">
      <c r="I1682" s="2"/>
      <c r="J1682" s="2"/>
    </row>
    <row r="1683" customFormat="false" ht="15" hidden="false" customHeight="false" outlineLevel="0" collapsed="false">
      <c r="I1683" s="2"/>
      <c r="J1683" s="2"/>
    </row>
    <row r="1684" customFormat="false" ht="15" hidden="false" customHeight="false" outlineLevel="0" collapsed="false">
      <c r="I1684" s="2"/>
      <c r="J1684" s="2"/>
    </row>
    <row r="1685" customFormat="false" ht="15" hidden="false" customHeight="false" outlineLevel="0" collapsed="false">
      <c r="I1685" s="2"/>
      <c r="J1685" s="2"/>
    </row>
    <row r="1686" customFormat="false" ht="15" hidden="false" customHeight="false" outlineLevel="0" collapsed="false">
      <c r="I1686" s="2"/>
      <c r="J1686" s="2"/>
    </row>
    <row r="1687" customFormat="false" ht="15" hidden="false" customHeight="false" outlineLevel="0" collapsed="false">
      <c r="I1687" s="2"/>
      <c r="J1687" s="2"/>
    </row>
    <row r="1688" customFormat="false" ht="15" hidden="false" customHeight="false" outlineLevel="0" collapsed="false">
      <c r="I1688" s="2"/>
      <c r="J1688" s="2"/>
    </row>
    <row r="1689" customFormat="false" ht="15" hidden="false" customHeight="false" outlineLevel="0" collapsed="false">
      <c r="I1689" s="2"/>
      <c r="J1689" s="2"/>
    </row>
    <row r="1690" customFormat="false" ht="15" hidden="false" customHeight="false" outlineLevel="0" collapsed="false">
      <c r="I1690" s="2"/>
      <c r="J1690" s="2"/>
    </row>
    <row r="1691" customFormat="false" ht="15" hidden="false" customHeight="false" outlineLevel="0" collapsed="false">
      <c r="I1691" s="2"/>
      <c r="J1691" s="2"/>
    </row>
    <row r="1692" customFormat="false" ht="15" hidden="false" customHeight="false" outlineLevel="0" collapsed="false">
      <c r="I1692" s="2"/>
      <c r="J1692" s="2"/>
    </row>
    <row r="1693" customFormat="false" ht="15" hidden="false" customHeight="false" outlineLevel="0" collapsed="false">
      <c r="I1693" s="2"/>
      <c r="J1693" s="2"/>
    </row>
    <row r="1694" customFormat="false" ht="15" hidden="false" customHeight="false" outlineLevel="0" collapsed="false">
      <c r="I1694" s="2"/>
      <c r="J1694" s="2"/>
    </row>
    <row r="1695" customFormat="false" ht="15" hidden="false" customHeight="false" outlineLevel="0" collapsed="false">
      <c r="I1695" s="2"/>
      <c r="J1695" s="2"/>
    </row>
    <row r="1696" customFormat="false" ht="15" hidden="false" customHeight="false" outlineLevel="0" collapsed="false">
      <c r="I1696" s="2"/>
      <c r="J1696" s="2"/>
    </row>
    <row r="1697" customFormat="false" ht="15" hidden="false" customHeight="false" outlineLevel="0" collapsed="false">
      <c r="I1697" s="2"/>
      <c r="J1697" s="2"/>
    </row>
    <row r="1698" customFormat="false" ht="15" hidden="false" customHeight="false" outlineLevel="0" collapsed="false">
      <c r="I1698" s="2"/>
      <c r="J1698" s="2"/>
    </row>
    <row r="1699" customFormat="false" ht="15" hidden="false" customHeight="false" outlineLevel="0" collapsed="false">
      <c r="I1699" s="2"/>
      <c r="J1699" s="2"/>
    </row>
    <row r="1700" customFormat="false" ht="15" hidden="false" customHeight="false" outlineLevel="0" collapsed="false">
      <c r="I1700" s="2"/>
      <c r="J1700" s="2"/>
    </row>
    <row r="1701" customFormat="false" ht="15" hidden="false" customHeight="false" outlineLevel="0" collapsed="false">
      <c r="I1701" s="2"/>
      <c r="J1701" s="2"/>
    </row>
    <row r="1702" customFormat="false" ht="15" hidden="false" customHeight="false" outlineLevel="0" collapsed="false">
      <c r="I1702" s="2"/>
      <c r="J1702" s="2"/>
    </row>
    <row r="1703" customFormat="false" ht="15" hidden="false" customHeight="false" outlineLevel="0" collapsed="false">
      <c r="I1703" s="2"/>
      <c r="J1703" s="2"/>
    </row>
    <row r="1704" customFormat="false" ht="15" hidden="false" customHeight="false" outlineLevel="0" collapsed="false">
      <c r="I1704" s="2"/>
      <c r="J1704" s="2"/>
    </row>
    <row r="1705" customFormat="false" ht="15" hidden="false" customHeight="false" outlineLevel="0" collapsed="false">
      <c r="I1705" s="2"/>
      <c r="J1705" s="2"/>
    </row>
    <row r="1706" customFormat="false" ht="15" hidden="false" customHeight="false" outlineLevel="0" collapsed="false">
      <c r="I1706" s="2"/>
      <c r="J1706" s="2"/>
    </row>
    <row r="1707" customFormat="false" ht="15" hidden="false" customHeight="false" outlineLevel="0" collapsed="false">
      <c r="I1707" s="2"/>
      <c r="J1707" s="2"/>
    </row>
    <row r="1708" customFormat="false" ht="15" hidden="false" customHeight="false" outlineLevel="0" collapsed="false">
      <c r="I1708" s="2"/>
      <c r="J1708" s="2"/>
    </row>
    <row r="1709" customFormat="false" ht="15" hidden="false" customHeight="false" outlineLevel="0" collapsed="false">
      <c r="I1709" s="2"/>
      <c r="J1709" s="2"/>
    </row>
    <row r="1710" customFormat="false" ht="15" hidden="false" customHeight="false" outlineLevel="0" collapsed="false">
      <c r="I1710" s="2"/>
      <c r="J1710" s="2"/>
    </row>
    <row r="1711" customFormat="false" ht="15" hidden="false" customHeight="false" outlineLevel="0" collapsed="false">
      <c r="I1711" s="2"/>
      <c r="J1711" s="2"/>
    </row>
    <row r="1712" customFormat="false" ht="15" hidden="false" customHeight="false" outlineLevel="0" collapsed="false">
      <c r="I1712" s="2"/>
      <c r="J1712" s="2"/>
    </row>
    <row r="1713" customFormat="false" ht="15" hidden="false" customHeight="false" outlineLevel="0" collapsed="false">
      <c r="I1713" s="2"/>
      <c r="J1713" s="2"/>
    </row>
    <row r="1714" customFormat="false" ht="15" hidden="false" customHeight="false" outlineLevel="0" collapsed="false">
      <c r="I1714" s="2"/>
      <c r="J1714" s="2"/>
    </row>
    <row r="1715" customFormat="false" ht="15" hidden="false" customHeight="false" outlineLevel="0" collapsed="false">
      <c r="I1715" s="2"/>
      <c r="J1715" s="2"/>
    </row>
    <row r="1716" customFormat="false" ht="15" hidden="false" customHeight="false" outlineLevel="0" collapsed="false">
      <c r="I1716" s="2"/>
      <c r="J1716" s="2"/>
    </row>
    <row r="1717" customFormat="false" ht="15" hidden="false" customHeight="false" outlineLevel="0" collapsed="false">
      <c r="I1717" s="2"/>
      <c r="J1717" s="2"/>
    </row>
    <row r="1718" customFormat="false" ht="15" hidden="false" customHeight="false" outlineLevel="0" collapsed="false">
      <c r="I1718" s="2"/>
      <c r="J1718" s="2"/>
    </row>
    <row r="1719" customFormat="false" ht="15" hidden="false" customHeight="false" outlineLevel="0" collapsed="false">
      <c r="I1719" s="2"/>
      <c r="J1719" s="2"/>
    </row>
    <row r="1720" customFormat="false" ht="15" hidden="false" customHeight="false" outlineLevel="0" collapsed="false">
      <c r="I1720" s="2"/>
      <c r="J1720" s="2"/>
    </row>
    <row r="1721" customFormat="false" ht="15" hidden="false" customHeight="false" outlineLevel="0" collapsed="false">
      <c r="I1721" s="2"/>
      <c r="J1721" s="2"/>
    </row>
    <row r="1722" customFormat="false" ht="15" hidden="false" customHeight="false" outlineLevel="0" collapsed="false">
      <c r="I1722" s="2"/>
      <c r="J1722" s="2"/>
    </row>
    <row r="1723" customFormat="false" ht="15" hidden="false" customHeight="false" outlineLevel="0" collapsed="false">
      <c r="I1723" s="2"/>
      <c r="J1723" s="2"/>
    </row>
    <row r="1724" customFormat="false" ht="15" hidden="false" customHeight="false" outlineLevel="0" collapsed="false">
      <c r="I1724" s="2"/>
      <c r="J1724" s="2"/>
    </row>
    <row r="1725" customFormat="false" ht="15" hidden="false" customHeight="false" outlineLevel="0" collapsed="false">
      <c r="I1725" s="2"/>
      <c r="J1725" s="2"/>
    </row>
    <row r="1726" customFormat="false" ht="15" hidden="false" customHeight="false" outlineLevel="0" collapsed="false">
      <c r="I1726" s="2"/>
      <c r="J1726" s="2"/>
    </row>
    <row r="1727" customFormat="false" ht="15" hidden="false" customHeight="false" outlineLevel="0" collapsed="false">
      <c r="I1727" s="2"/>
      <c r="J1727" s="2"/>
    </row>
    <row r="1728" customFormat="false" ht="15" hidden="false" customHeight="false" outlineLevel="0" collapsed="false">
      <c r="I1728" s="2"/>
      <c r="J1728" s="2"/>
    </row>
    <row r="1729" customFormat="false" ht="15" hidden="false" customHeight="false" outlineLevel="0" collapsed="false">
      <c r="I1729" s="2"/>
      <c r="J1729" s="2"/>
    </row>
    <row r="1730" customFormat="false" ht="15" hidden="false" customHeight="false" outlineLevel="0" collapsed="false">
      <c r="I1730" s="2"/>
      <c r="J1730" s="2"/>
    </row>
    <row r="1731" customFormat="false" ht="15" hidden="false" customHeight="false" outlineLevel="0" collapsed="false">
      <c r="I1731" s="2"/>
      <c r="J1731" s="2"/>
    </row>
    <row r="1732" customFormat="false" ht="15" hidden="false" customHeight="false" outlineLevel="0" collapsed="false">
      <c r="I1732" s="2"/>
      <c r="J1732" s="2"/>
    </row>
    <row r="1733" customFormat="false" ht="15" hidden="false" customHeight="false" outlineLevel="0" collapsed="false">
      <c r="I1733" s="2"/>
      <c r="J1733" s="2"/>
    </row>
    <row r="1734" customFormat="false" ht="15" hidden="false" customHeight="false" outlineLevel="0" collapsed="false">
      <c r="I1734" s="2"/>
      <c r="J1734" s="2"/>
    </row>
    <row r="1735" customFormat="false" ht="15" hidden="false" customHeight="false" outlineLevel="0" collapsed="false">
      <c r="I1735" s="2"/>
      <c r="J1735" s="2"/>
    </row>
    <row r="1736" customFormat="false" ht="15" hidden="false" customHeight="false" outlineLevel="0" collapsed="false">
      <c r="I1736" s="2"/>
      <c r="J1736" s="2"/>
    </row>
    <row r="1737" customFormat="false" ht="15" hidden="false" customHeight="false" outlineLevel="0" collapsed="false">
      <c r="I1737" s="2"/>
      <c r="J1737" s="2"/>
    </row>
    <row r="1738" customFormat="false" ht="15" hidden="false" customHeight="false" outlineLevel="0" collapsed="false">
      <c r="I1738" s="2"/>
      <c r="J1738" s="2"/>
    </row>
    <row r="1739" customFormat="false" ht="15" hidden="false" customHeight="false" outlineLevel="0" collapsed="false">
      <c r="I1739" s="2"/>
      <c r="J1739" s="2"/>
    </row>
    <row r="1740" customFormat="false" ht="15" hidden="false" customHeight="false" outlineLevel="0" collapsed="false">
      <c r="I1740" s="2"/>
      <c r="J1740" s="2"/>
    </row>
    <row r="1741" customFormat="false" ht="15" hidden="false" customHeight="false" outlineLevel="0" collapsed="false">
      <c r="I1741" s="2"/>
      <c r="J1741" s="2"/>
    </row>
    <row r="1742" customFormat="false" ht="15" hidden="false" customHeight="false" outlineLevel="0" collapsed="false">
      <c r="I1742" s="2"/>
      <c r="J1742" s="2"/>
    </row>
    <row r="1743" customFormat="false" ht="15" hidden="false" customHeight="false" outlineLevel="0" collapsed="false">
      <c r="I1743" s="2"/>
      <c r="J1743" s="2"/>
    </row>
    <row r="1744" customFormat="false" ht="15" hidden="false" customHeight="false" outlineLevel="0" collapsed="false">
      <c r="I1744" s="2"/>
      <c r="J1744" s="2"/>
    </row>
    <row r="1745" customFormat="false" ht="15" hidden="false" customHeight="false" outlineLevel="0" collapsed="false">
      <c r="I1745" s="2"/>
      <c r="J1745" s="2"/>
    </row>
    <row r="1746" customFormat="false" ht="15" hidden="false" customHeight="false" outlineLevel="0" collapsed="false">
      <c r="I1746" s="2"/>
      <c r="J1746" s="2"/>
    </row>
    <row r="1747" customFormat="false" ht="15" hidden="false" customHeight="false" outlineLevel="0" collapsed="false">
      <c r="I1747" s="2"/>
      <c r="J1747" s="2"/>
    </row>
    <row r="1748" customFormat="false" ht="15" hidden="false" customHeight="false" outlineLevel="0" collapsed="false">
      <c r="I1748" s="2"/>
      <c r="J1748" s="2"/>
    </row>
    <row r="1749" customFormat="false" ht="15" hidden="false" customHeight="false" outlineLevel="0" collapsed="false">
      <c r="I1749" s="2"/>
      <c r="J1749" s="2"/>
    </row>
    <row r="1750" customFormat="false" ht="15" hidden="false" customHeight="false" outlineLevel="0" collapsed="false">
      <c r="I1750" s="2"/>
      <c r="J1750" s="2"/>
    </row>
    <row r="1751" customFormat="false" ht="15" hidden="false" customHeight="false" outlineLevel="0" collapsed="false">
      <c r="I1751" s="2"/>
      <c r="J1751" s="2"/>
    </row>
    <row r="1752" customFormat="false" ht="15" hidden="false" customHeight="false" outlineLevel="0" collapsed="false">
      <c r="I1752" s="2"/>
      <c r="J1752" s="2"/>
    </row>
    <row r="1753" customFormat="false" ht="15" hidden="false" customHeight="false" outlineLevel="0" collapsed="false">
      <c r="I1753" s="2"/>
      <c r="J1753" s="2"/>
    </row>
    <row r="1754" customFormat="false" ht="15" hidden="false" customHeight="false" outlineLevel="0" collapsed="false">
      <c r="I1754" s="2"/>
      <c r="J1754" s="2"/>
    </row>
    <row r="1755" customFormat="false" ht="15" hidden="false" customHeight="false" outlineLevel="0" collapsed="false">
      <c r="I1755" s="2"/>
      <c r="J1755" s="2"/>
    </row>
    <row r="1756" customFormat="false" ht="15" hidden="false" customHeight="false" outlineLevel="0" collapsed="false">
      <c r="I1756" s="2"/>
      <c r="J1756" s="2"/>
    </row>
    <row r="1757" customFormat="false" ht="15" hidden="false" customHeight="false" outlineLevel="0" collapsed="false">
      <c r="I1757" s="2"/>
      <c r="J1757" s="2"/>
    </row>
    <row r="1758" customFormat="false" ht="15" hidden="false" customHeight="false" outlineLevel="0" collapsed="false">
      <c r="I1758" s="2"/>
      <c r="J1758" s="2"/>
    </row>
    <row r="1759" customFormat="false" ht="15" hidden="false" customHeight="false" outlineLevel="0" collapsed="false">
      <c r="I1759" s="2"/>
      <c r="J1759" s="2"/>
    </row>
    <row r="1760" customFormat="false" ht="15" hidden="false" customHeight="false" outlineLevel="0" collapsed="false">
      <c r="I1760" s="2"/>
      <c r="J1760" s="2"/>
    </row>
    <row r="1761" customFormat="false" ht="15" hidden="false" customHeight="false" outlineLevel="0" collapsed="false">
      <c r="I1761" s="2"/>
      <c r="J1761" s="2"/>
    </row>
    <row r="1762" customFormat="false" ht="15" hidden="false" customHeight="false" outlineLevel="0" collapsed="false">
      <c r="I1762" s="2"/>
      <c r="J1762" s="2"/>
    </row>
    <row r="1763" customFormat="false" ht="15" hidden="false" customHeight="false" outlineLevel="0" collapsed="false">
      <c r="I1763" s="2"/>
      <c r="J1763" s="2"/>
    </row>
    <row r="1764" customFormat="false" ht="15" hidden="false" customHeight="false" outlineLevel="0" collapsed="false">
      <c r="I1764" s="2"/>
      <c r="J1764" s="2"/>
    </row>
    <row r="1765" customFormat="false" ht="15" hidden="false" customHeight="false" outlineLevel="0" collapsed="false">
      <c r="I1765" s="2"/>
      <c r="J1765" s="2"/>
    </row>
    <row r="1766" customFormat="false" ht="15" hidden="false" customHeight="false" outlineLevel="0" collapsed="false">
      <c r="I1766" s="2"/>
      <c r="J1766" s="2"/>
    </row>
    <row r="1767" customFormat="false" ht="15" hidden="false" customHeight="false" outlineLevel="0" collapsed="false">
      <c r="I1767" s="2"/>
      <c r="J1767" s="2"/>
    </row>
    <row r="1768" customFormat="false" ht="15" hidden="false" customHeight="false" outlineLevel="0" collapsed="false">
      <c r="I1768" s="2"/>
      <c r="J1768" s="2"/>
    </row>
    <row r="1769" customFormat="false" ht="15" hidden="false" customHeight="false" outlineLevel="0" collapsed="false">
      <c r="I1769" s="2"/>
      <c r="J1769" s="2"/>
    </row>
    <row r="1770" customFormat="false" ht="15" hidden="false" customHeight="false" outlineLevel="0" collapsed="false">
      <c r="I1770" s="2"/>
      <c r="J1770" s="2"/>
    </row>
    <row r="1771" customFormat="false" ht="15" hidden="false" customHeight="false" outlineLevel="0" collapsed="false">
      <c r="I1771" s="2"/>
      <c r="J1771" s="2"/>
    </row>
    <row r="1772" customFormat="false" ht="15" hidden="false" customHeight="false" outlineLevel="0" collapsed="false">
      <c r="I1772" s="2"/>
      <c r="J1772" s="2"/>
    </row>
    <row r="1773" customFormat="false" ht="15" hidden="false" customHeight="false" outlineLevel="0" collapsed="false">
      <c r="I1773" s="2"/>
      <c r="J1773" s="2"/>
    </row>
    <row r="1774" customFormat="false" ht="15" hidden="false" customHeight="false" outlineLevel="0" collapsed="false">
      <c r="I1774" s="2"/>
      <c r="J1774" s="2"/>
    </row>
    <row r="1775" customFormat="false" ht="15" hidden="false" customHeight="false" outlineLevel="0" collapsed="false">
      <c r="I1775" s="2"/>
      <c r="J1775" s="2"/>
    </row>
    <row r="1776" customFormat="false" ht="15" hidden="false" customHeight="false" outlineLevel="0" collapsed="false">
      <c r="I1776" s="2"/>
      <c r="J1776" s="2"/>
    </row>
    <row r="1777" customFormat="false" ht="15" hidden="false" customHeight="false" outlineLevel="0" collapsed="false">
      <c r="I1777" s="2"/>
      <c r="J1777" s="2"/>
    </row>
    <row r="1778" customFormat="false" ht="15" hidden="false" customHeight="false" outlineLevel="0" collapsed="false">
      <c r="I1778" s="2"/>
      <c r="J1778" s="2"/>
    </row>
    <row r="1779" customFormat="false" ht="15" hidden="false" customHeight="false" outlineLevel="0" collapsed="false">
      <c r="I1779" s="2"/>
      <c r="J1779" s="2"/>
    </row>
    <row r="1780" customFormat="false" ht="15" hidden="false" customHeight="false" outlineLevel="0" collapsed="false">
      <c r="I1780" s="2"/>
      <c r="J1780" s="2"/>
    </row>
    <row r="1781" customFormat="false" ht="15" hidden="false" customHeight="false" outlineLevel="0" collapsed="false">
      <c r="I1781" s="2"/>
      <c r="J1781" s="2"/>
    </row>
    <row r="1782" customFormat="false" ht="15" hidden="false" customHeight="false" outlineLevel="0" collapsed="false">
      <c r="I1782" s="2"/>
      <c r="J1782" s="2"/>
    </row>
    <row r="1783" customFormat="false" ht="15" hidden="false" customHeight="false" outlineLevel="0" collapsed="false">
      <c r="I1783" s="2"/>
      <c r="J1783" s="2"/>
    </row>
    <row r="1784" customFormat="false" ht="15" hidden="false" customHeight="false" outlineLevel="0" collapsed="false">
      <c r="I1784" s="2"/>
      <c r="J1784" s="2"/>
    </row>
    <row r="1785" customFormat="false" ht="15" hidden="false" customHeight="false" outlineLevel="0" collapsed="false">
      <c r="I1785" s="2"/>
      <c r="J1785" s="2"/>
    </row>
    <row r="1786" customFormat="false" ht="15" hidden="false" customHeight="false" outlineLevel="0" collapsed="false">
      <c r="I1786" s="2"/>
      <c r="J1786" s="2"/>
    </row>
    <row r="1787" customFormat="false" ht="15" hidden="false" customHeight="false" outlineLevel="0" collapsed="false">
      <c r="I1787" s="2"/>
      <c r="J1787" s="2"/>
    </row>
    <row r="1788" customFormat="false" ht="15" hidden="false" customHeight="false" outlineLevel="0" collapsed="false">
      <c r="I1788" s="2"/>
      <c r="J1788" s="2"/>
    </row>
    <row r="1789" customFormat="false" ht="15" hidden="false" customHeight="false" outlineLevel="0" collapsed="false">
      <c r="I1789" s="2"/>
      <c r="J1789" s="2"/>
    </row>
    <row r="1790" customFormat="false" ht="15" hidden="false" customHeight="false" outlineLevel="0" collapsed="false">
      <c r="I1790" s="2"/>
      <c r="J1790" s="2"/>
    </row>
    <row r="1791" customFormat="false" ht="15" hidden="false" customHeight="false" outlineLevel="0" collapsed="false">
      <c r="I1791" s="2"/>
      <c r="J1791" s="2"/>
    </row>
    <row r="1792" customFormat="false" ht="15" hidden="false" customHeight="false" outlineLevel="0" collapsed="false">
      <c r="I1792" s="2"/>
      <c r="J1792" s="2"/>
    </row>
    <row r="1793" customFormat="false" ht="15" hidden="false" customHeight="false" outlineLevel="0" collapsed="false">
      <c r="I1793" s="2"/>
      <c r="J1793" s="2"/>
    </row>
    <row r="1794" customFormat="false" ht="15" hidden="false" customHeight="false" outlineLevel="0" collapsed="false">
      <c r="I1794" s="2"/>
      <c r="J1794" s="2"/>
    </row>
    <row r="1795" customFormat="false" ht="15" hidden="false" customHeight="false" outlineLevel="0" collapsed="false">
      <c r="I1795" s="2"/>
      <c r="J1795" s="2"/>
    </row>
    <row r="1796" customFormat="false" ht="15" hidden="false" customHeight="false" outlineLevel="0" collapsed="false">
      <c r="I1796" s="2"/>
      <c r="J1796" s="2"/>
    </row>
    <row r="1797" customFormat="false" ht="15" hidden="false" customHeight="false" outlineLevel="0" collapsed="false">
      <c r="I1797" s="2"/>
      <c r="J1797" s="2"/>
    </row>
    <row r="1798" customFormat="false" ht="15" hidden="false" customHeight="false" outlineLevel="0" collapsed="false">
      <c r="I1798" s="2"/>
      <c r="J1798" s="2"/>
    </row>
    <row r="1799" customFormat="false" ht="15" hidden="false" customHeight="false" outlineLevel="0" collapsed="false">
      <c r="I1799" s="2"/>
      <c r="J1799" s="2"/>
    </row>
    <row r="1800" customFormat="false" ht="15" hidden="false" customHeight="false" outlineLevel="0" collapsed="false">
      <c r="I1800" s="2"/>
      <c r="J1800" s="2"/>
    </row>
    <row r="1801" customFormat="false" ht="15" hidden="false" customHeight="false" outlineLevel="0" collapsed="false">
      <c r="I1801" s="2"/>
      <c r="J1801" s="2"/>
    </row>
    <row r="1802" customFormat="false" ht="15" hidden="false" customHeight="false" outlineLevel="0" collapsed="false">
      <c r="I1802" s="2"/>
      <c r="J1802" s="2"/>
    </row>
    <row r="1803" customFormat="false" ht="15" hidden="false" customHeight="false" outlineLevel="0" collapsed="false">
      <c r="I1803" s="2"/>
      <c r="J1803" s="2"/>
    </row>
    <row r="1804" customFormat="false" ht="15" hidden="false" customHeight="false" outlineLevel="0" collapsed="false">
      <c r="I1804" s="2"/>
      <c r="J1804" s="2"/>
    </row>
    <row r="1805" customFormat="false" ht="15" hidden="false" customHeight="false" outlineLevel="0" collapsed="false">
      <c r="I1805" s="2"/>
      <c r="J1805" s="2"/>
    </row>
    <row r="1806" customFormat="false" ht="15" hidden="false" customHeight="false" outlineLevel="0" collapsed="false">
      <c r="I1806" s="2"/>
      <c r="J1806" s="2"/>
    </row>
    <row r="1807" customFormat="false" ht="15" hidden="false" customHeight="false" outlineLevel="0" collapsed="false">
      <c r="I1807" s="2"/>
      <c r="J1807" s="2"/>
    </row>
    <row r="1808" customFormat="false" ht="15" hidden="false" customHeight="false" outlineLevel="0" collapsed="false">
      <c r="I1808" s="2"/>
      <c r="J1808" s="2"/>
    </row>
    <row r="1809" customFormat="false" ht="15" hidden="false" customHeight="false" outlineLevel="0" collapsed="false">
      <c r="I1809" s="2"/>
      <c r="J1809" s="2"/>
    </row>
    <row r="1810" customFormat="false" ht="15" hidden="false" customHeight="false" outlineLevel="0" collapsed="false">
      <c r="I1810" s="2"/>
      <c r="J1810" s="2"/>
    </row>
    <row r="1811" customFormat="false" ht="15" hidden="false" customHeight="false" outlineLevel="0" collapsed="false">
      <c r="I1811" s="2"/>
      <c r="J1811" s="2"/>
    </row>
    <row r="1812" customFormat="false" ht="15" hidden="false" customHeight="false" outlineLevel="0" collapsed="false">
      <c r="I1812" s="2"/>
      <c r="J1812" s="2"/>
    </row>
    <row r="1813" customFormat="false" ht="15" hidden="false" customHeight="false" outlineLevel="0" collapsed="false">
      <c r="I1813" s="2"/>
      <c r="J1813" s="2"/>
    </row>
    <row r="1814" customFormat="false" ht="15" hidden="false" customHeight="false" outlineLevel="0" collapsed="false">
      <c r="I1814" s="2"/>
      <c r="J1814" s="2"/>
    </row>
    <row r="1815" customFormat="false" ht="15" hidden="false" customHeight="false" outlineLevel="0" collapsed="false">
      <c r="I1815" s="2"/>
      <c r="J1815" s="2"/>
    </row>
    <row r="1816" customFormat="false" ht="15" hidden="false" customHeight="false" outlineLevel="0" collapsed="false">
      <c r="I1816" s="2"/>
      <c r="J1816" s="2"/>
    </row>
    <row r="1817" customFormat="false" ht="15" hidden="false" customHeight="false" outlineLevel="0" collapsed="false">
      <c r="I1817" s="2"/>
      <c r="J1817" s="2"/>
    </row>
    <row r="1818" customFormat="false" ht="15" hidden="false" customHeight="false" outlineLevel="0" collapsed="false">
      <c r="I1818" s="2"/>
      <c r="J1818" s="2"/>
    </row>
    <row r="1819" customFormat="false" ht="15" hidden="false" customHeight="false" outlineLevel="0" collapsed="false">
      <c r="I1819" s="2"/>
      <c r="J1819" s="2"/>
    </row>
    <row r="1820" customFormat="false" ht="15" hidden="false" customHeight="false" outlineLevel="0" collapsed="false">
      <c r="I1820" s="2"/>
      <c r="J1820" s="2"/>
    </row>
    <row r="1821" customFormat="false" ht="15" hidden="false" customHeight="false" outlineLevel="0" collapsed="false">
      <c r="I1821" s="2"/>
      <c r="J1821" s="2"/>
    </row>
    <row r="1822" customFormat="false" ht="15" hidden="false" customHeight="false" outlineLevel="0" collapsed="false">
      <c r="I1822" s="2"/>
      <c r="J1822" s="2"/>
    </row>
    <row r="1823" customFormat="false" ht="15" hidden="false" customHeight="false" outlineLevel="0" collapsed="false">
      <c r="I1823" s="2"/>
      <c r="J1823" s="2"/>
    </row>
    <row r="1824" customFormat="false" ht="15" hidden="false" customHeight="false" outlineLevel="0" collapsed="false">
      <c r="I1824" s="2"/>
      <c r="J1824" s="2"/>
    </row>
    <row r="1825" customFormat="false" ht="15" hidden="false" customHeight="false" outlineLevel="0" collapsed="false">
      <c r="I1825" s="2"/>
      <c r="J1825" s="2"/>
    </row>
    <row r="1826" customFormat="false" ht="15" hidden="false" customHeight="false" outlineLevel="0" collapsed="false">
      <c r="I1826" s="2"/>
      <c r="J1826" s="2"/>
    </row>
    <row r="1827" customFormat="false" ht="15" hidden="false" customHeight="false" outlineLevel="0" collapsed="false">
      <c r="I1827" s="2"/>
      <c r="J1827" s="2"/>
    </row>
    <row r="1828" customFormat="false" ht="15" hidden="false" customHeight="false" outlineLevel="0" collapsed="false">
      <c r="I1828" s="2"/>
      <c r="J1828" s="2"/>
    </row>
    <row r="1829" customFormat="false" ht="15" hidden="false" customHeight="false" outlineLevel="0" collapsed="false">
      <c r="I1829" s="2"/>
      <c r="J1829" s="2"/>
    </row>
    <row r="1830" customFormat="false" ht="15" hidden="false" customHeight="false" outlineLevel="0" collapsed="false">
      <c r="I1830" s="2"/>
      <c r="J1830" s="2"/>
    </row>
    <row r="1831" customFormat="false" ht="15" hidden="false" customHeight="false" outlineLevel="0" collapsed="false">
      <c r="I1831" s="2"/>
      <c r="J1831" s="2"/>
    </row>
    <row r="1832" customFormat="false" ht="15" hidden="false" customHeight="false" outlineLevel="0" collapsed="false">
      <c r="I1832" s="2"/>
      <c r="J1832" s="2"/>
    </row>
    <row r="1833" customFormat="false" ht="15" hidden="false" customHeight="false" outlineLevel="0" collapsed="false">
      <c r="I1833" s="2"/>
      <c r="J1833" s="2"/>
    </row>
    <row r="1834" customFormat="false" ht="15" hidden="false" customHeight="false" outlineLevel="0" collapsed="false">
      <c r="I1834" s="2"/>
      <c r="J1834" s="2"/>
    </row>
    <row r="1835" customFormat="false" ht="15" hidden="false" customHeight="false" outlineLevel="0" collapsed="false">
      <c r="I1835" s="2"/>
      <c r="J1835" s="2"/>
    </row>
    <row r="1836" customFormat="false" ht="15" hidden="false" customHeight="false" outlineLevel="0" collapsed="false">
      <c r="I1836" s="2"/>
      <c r="J1836" s="2"/>
    </row>
    <row r="1837" customFormat="false" ht="15" hidden="false" customHeight="false" outlineLevel="0" collapsed="false">
      <c r="I1837" s="2"/>
      <c r="J1837" s="2"/>
    </row>
    <row r="1838" customFormat="false" ht="15" hidden="false" customHeight="false" outlineLevel="0" collapsed="false">
      <c r="I1838" s="2"/>
      <c r="J1838" s="2"/>
    </row>
    <row r="1839" customFormat="false" ht="15" hidden="false" customHeight="false" outlineLevel="0" collapsed="false">
      <c r="I1839" s="2"/>
      <c r="J1839" s="2"/>
    </row>
    <row r="1840" customFormat="false" ht="15" hidden="false" customHeight="false" outlineLevel="0" collapsed="false">
      <c r="I1840" s="2"/>
      <c r="J1840" s="2"/>
    </row>
    <row r="1841" customFormat="false" ht="15" hidden="false" customHeight="false" outlineLevel="0" collapsed="false">
      <c r="I1841" s="2"/>
      <c r="J1841" s="2"/>
    </row>
    <row r="1842" customFormat="false" ht="15" hidden="false" customHeight="false" outlineLevel="0" collapsed="false">
      <c r="I1842" s="2"/>
      <c r="J1842" s="2"/>
    </row>
    <row r="1843" customFormat="false" ht="15" hidden="false" customHeight="false" outlineLevel="0" collapsed="false">
      <c r="I1843" s="2"/>
      <c r="J1843" s="2"/>
    </row>
    <row r="1844" customFormat="false" ht="15" hidden="false" customHeight="false" outlineLevel="0" collapsed="false">
      <c r="I1844" s="2"/>
      <c r="J1844" s="2"/>
    </row>
    <row r="1845" customFormat="false" ht="15" hidden="false" customHeight="false" outlineLevel="0" collapsed="false">
      <c r="I1845" s="2"/>
      <c r="J1845" s="2"/>
    </row>
    <row r="1846" customFormat="false" ht="15" hidden="false" customHeight="false" outlineLevel="0" collapsed="false">
      <c r="I1846" s="2"/>
      <c r="J1846" s="2"/>
    </row>
    <row r="1847" customFormat="false" ht="15" hidden="false" customHeight="false" outlineLevel="0" collapsed="false">
      <c r="I1847" s="2"/>
      <c r="J1847" s="2"/>
    </row>
    <row r="1848" customFormat="false" ht="15" hidden="false" customHeight="false" outlineLevel="0" collapsed="false">
      <c r="I1848" s="2"/>
      <c r="J1848" s="2"/>
    </row>
    <row r="1849" customFormat="false" ht="15" hidden="false" customHeight="false" outlineLevel="0" collapsed="false">
      <c r="I1849" s="2"/>
      <c r="J1849" s="2"/>
    </row>
    <row r="1850" customFormat="false" ht="15" hidden="false" customHeight="false" outlineLevel="0" collapsed="false">
      <c r="I1850" s="2"/>
      <c r="J1850" s="2"/>
    </row>
    <row r="1851" customFormat="false" ht="15" hidden="false" customHeight="false" outlineLevel="0" collapsed="false">
      <c r="I1851" s="2"/>
      <c r="J1851" s="2"/>
    </row>
    <row r="1852" customFormat="false" ht="15" hidden="false" customHeight="false" outlineLevel="0" collapsed="false">
      <c r="I1852" s="2"/>
      <c r="J1852" s="2"/>
    </row>
    <row r="1853" customFormat="false" ht="15" hidden="false" customHeight="false" outlineLevel="0" collapsed="false">
      <c r="I1853" s="2"/>
      <c r="J1853" s="2"/>
    </row>
    <row r="1854" customFormat="false" ht="15" hidden="false" customHeight="false" outlineLevel="0" collapsed="false">
      <c r="I1854" s="2"/>
      <c r="J1854" s="2"/>
    </row>
    <row r="1855" customFormat="false" ht="15" hidden="false" customHeight="false" outlineLevel="0" collapsed="false">
      <c r="I1855" s="2"/>
      <c r="J1855" s="2"/>
    </row>
    <row r="1856" customFormat="false" ht="15" hidden="false" customHeight="false" outlineLevel="0" collapsed="false">
      <c r="I1856" s="2"/>
      <c r="J1856" s="2"/>
    </row>
    <row r="1857" customFormat="false" ht="15" hidden="false" customHeight="false" outlineLevel="0" collapsed="false">
      <c r="I1857" s="2"/>
      <c r="J1857" s="2"/>
    </row>
    <row r="1858" customFormat="false" ht="15" hidden="false" customHeight="false" outlineLevel="0" collapsed="false">
      <c r="I1858" s="2"/>
      <c r="J1858" s="2"/>
    </row>
    <row r="1859" customFormat="false" ht="15" hidden="false" customHeight="false" outlineLevel="0" collapsed="false">
      <c r="I1859" s="2"/>
      <c r="J1859" s="2"/>
    </row>
    <row r="1860" customFormat="false" ht="15" hidden="false" customHeight="false" outlineLevel="0" collapsed="false">
      <c r="I1860" s="2"/>
      <c r="J1860" s="2"/>
    </row>
    <row r="1861" customFormat="false" ht="15" hidden="false" customHeight="false" outlineLevel="0" collapsed="false">
      <c r="I1861" s="2"/>
      <c r="J1861" s="2"/>
    </row>
    <row r="1862" customFormat="false" ht="15" hidden="false" customHeight="false" outlineLevel="0" collapsed="false">
      <c r="I1862" s="2"/>
      <c r="J1862" s="2"/>
    </row>
    <row r="1863" customFormat="false" ht="15" hidden="false" customHeight="false" outlineLevel="0" collapsed="false">
      <c r="I1863" s="2"/>
      <c r="J1863" s="2"/>
    </row>
    <row r="1864" customFormat="false" ht="15" hidden="false" customHeight="false" outlineLevel="0" collapsed="false">
      <c r="I1864" s="2"/>
      <c r="J1864" s="2"/>
    </row>
    <row r="1865" customFormat="false" ht="15" hidden="false" customHeight="false" outlineLevel="0" collapsed="false">
      <c r="I1865" s="2"/>
      <c r="J1865" s="2"/>
    </row>
    <row r="1866" customFormat="false" ht="15" hidden="false" customHeight="false" outlineLevel="0" collapsed="false">
      <c r="I1866" s="2"/>
      <c r="J1866" s="2"/>
    </row>
    <row r="1867" customFormat="false" ht="15" hidden="false" customHeight="false" outlineLevel="0" collapsed="false">
      <c r="I1867" s="2"/>
      <c r="J1867" s="2"/>
    </row>
    <row r="1868" customFormat="false" ht="15" hidden="false" customHeight="false" outlineLevel="0" collapsed="false">
      <c r="I1868" s="2"/>
      <c r="J1868" s="2"/>
    </row>
    <row r="1869" customFormat="false" ht="15" hidden="false" customHeight="false" outlineLevel="0" collapsed="false">
      <c r="I1869" s="2"/>
      <c r="J1869" s="2"/>
    </row>
    <row r="1870" customFormat="false" ht="15" hidden="false" customHeight="false" outlineLevel="0" collapsed="false">
      <c r="I1870" s="2"/>
      <c r="J1870" s="2"/>
    </row>
    <row r="1871" customFormat="false" ht="15" hidden="false" customHeight="false" outlineLevel="0" collapsed="false">
      <c r="I1871" s="2"/>
      <c r="J1871" s="2"/>
    </row>
    <row r="1872" customFormat="false" ht="15" hidden="false" customHeight="false" outlineLevel="0" collapsed="false">
      <c r="I1872" s="2"/>
      <c r="J1872" s="2"/>
    </row>
    <row r="1873" customFormat="false" ht="15" hidden="false" customHeight="false" outlineLevel="0" collapsed="false">
      <c r="I1873" s="2"/>
      <c r="J1873" s="2"/>
    </row>
    <row r="1874" customFormat="false" ht="15" hidden="false" customHeight="false" outlineLevel="0" collapsed="false">
      <c r="I1874" s="2"/>
      <c r="J1874" s="2"/>
    </row>
    <row r="1875" customFormat="false" ht="15" hidden="false" customHeight="false" outlineLevel="0" collapsed="false">
      <c r="I1875" s="2"/>
      <c r="J1875" s="2"/>
    </row>
    <row r="1876" customFormat="false" ht="15" hidden="false" customHeight="false" outlineLevel="0" collapsed="false">
      <c r="I1876" s="2"/>
      <c r="J1876" s="2"/>
    </row>
  </sheetData>
  <dataValidations count="2">
    <dataValidation allowBlank="true" errorStyle="stop" operator="between" showDropDown="false" showErrorMessage="false" showInputMessage="false" sqref="I2:I1876" type="list">
      <formula1>"Prospecto,Contactado,Reunión,Propuesta,Cliente,No interesado"</formula1>
      <formula2>0</formula2>
    </dataValidation>
    <dataValidation allowBlank="true" errorStyle="stop" operator="between" showDropDown="false" showErrorMessage="false" showInputMessage="false" sqref="J2:J1876" type="list">
      <formula1>"Alta,Media,Baja,Por calificar"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4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1" t="s">
        <v>3170</v>
      </c>
      <c r="B1" s="1" t="s">
        <v>3171</v>
      </c>
      <c r="C1" s="1" t="s">
        <v>3</v>
      </c>
      <c r="D1" s="1" t="s">
        <v>3172</v>
      </c>
      <c r="E1" s="1" t="s">
        <v>3173</v>
      </c>
      <c r="F1" s="1" t="s">
        <v>3174</v>
      </c>
      <c r="G1" s="1" t="s">
        <v>3175</v>
      </c>
      <c r="H1" s="1" t="s">
        <v>3176</v>
      </c>
      <c r="I1" s="1" t="s">
        <v>10</v>
      </c>
      <c r="J1" s="1" t="s">
        <v>3177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1" t="s">
        <v>3178</v>
      </c>
      <c r="B1" s="1" t="s">
        <v>4</v>
      </c>
      <c r="C1" s="1" t="s">
        <v>3179</v>
      </c>
      <c r="D1" s="1"/>
      <c r="E1" s="1"/>
    </row>
    <row r="2" customFormat="false" ht="15" hidden="false" customHeight="false" outlineLevel="0" collapsed="false">
      <c r="A2" s="0" t="s">
        <v>21</v>
      </c>
      <c r="B2" s="0" t="s">
        <v>20</v>
      </c>
      <c r="C2" s="0" t="n">
        <f aca="false">COUNTIFS(Contactos!$H:$H,$A2,Contactos!$E:$E,$B2)</f>
        <v>850</v>
      </c>
    </row>
    <row r="3" customFormat="false" ht="15" hidden="false" customHeight="false" outlineLevel="0" collapsed="false">
      <c r="A3" s="0" t="s">
        <v>21</v>
      </c>
      <c r="B3" s="0" t="s">
        <v>253</v>
      </c>
      <c r="C3" s="0" t="n">
        <f aca="false">COUNTIFS(Contactos!$H:$H,$A3,Contactos!$E:$E,$B3)</f>
        <v>180</v>
      </c>
    </row>
    <row r="4" customFormat="false" ht="15" hidden="false" customHeight="false" outlineLevel="0" collapsed="false">
      <c r="A4" s="0" t="s">
        <v>21</v>
      </c>
      <c r="B4" s="0" t="s">
        <v>173</v>
      </c>
      <c r="C4" s="0" t="n">
        <f aca="false">COUNTIFS(Contactos!$H:$H,$A4,Contactos!$E:$E,$B4)</f>
        <v>66</v>
      </c>
    </row>
    <row r="5" customFormat="false" ht="15" hidden="false" customHeight="false" outlineLevel="0" collapsed="false">
      <c r="A5" s="0" t="s">
        <v>21</v>
      </c>
      <c r="B5" s="0" t="s">
        <v>287</v>
      </c>
      <c r="C5" s="0" t="n">
        <f aca="false">COUNTIFS(Contactos!$H:$H,$A5,Contactos!$E:$E,$B5)</f>
        <v>50</v>
      </c>
    </row>
    <row r="6" customFormat="false" ht="15" hidden="false" customHeight="false" outlineLevel="0" collapsed="false">
      <c r="A6" s="0" t="s">
        <v>21</v>
      </c>
      <c r="B6" s="0" t="s">
        <v>268</v>
      </c>
      <c r="C6" s="0" t="n">
        <f aca="false">COUNTIFS(Contactos!$H:$H,$A6,Contactos!$E:$E,$B6)</f>
        <v>38</v>
      </c>
    </row>
    <row r="7" customFormat="false" ht="15" hidden="false" customHeight="false" outlineLevel="0" collapsed="false">
      <c r="A7" s="0" t="s">
        <v>21</v>
      </c>
      <c r="B7" s="0" t="s">
        <v>73</v>
      </c>
      <c r="C7" s="0" t="n">
        <f aca="false">COUNTIFS(Contactos!$H:$H,$A7,Contactos!$E:$E,$B7)</f>
        <v>29</v>
      </c>
    </row>
    <row r="8" customFormat="false" ht="15" hidden="false" customHeight="false" outlineLevel="0" collapsed="false">
      <c r="A8" s="0" t="s">
        <v>21</v>
      </c>
      <c r="B8" s="0" t="s">
        <v>210</v>
      </c>
      <c r="C8" s="0" t="n">
        <f aca="false">COUNTIFS(Contactos!$H:$H,$A8,Contactos!$E:$E,$B8)</f>
        <v>20</v>
      </c>
    </row>
    <row r="9" customFormat="false" ht="15" hidden="false" customHeight="false" outlineLevel="0" collapsed="false">
      <c r="A9" s="0" t="s">
        <v>21</v>
      </c>
      <c r="B9" s="0" t="s">
        <v>68</v>
      </c>
      <c r="C9" s="0" t="n">
        <f aca="false">COUNTIFS(Contactos!$H:$H,$A9,Contactos!$E:$E,$B9)</f>
        <v>18</v>
      </c>
    </row>
    <row r="10" customFormat="false" ht="15" hidden="false" customHeight="false" outlineLevel="0" collapsed="false">
      <c r="A10" s="0" t="s">
        <v>21</v>
      </c>
      <c r="B10" s="0" t="s">
        <v>188</v>
      </c>
      <c r="C10" s="0" t="n">
        <f aca="false">COUNTIFS(Contactos!$H:$H,$A10,Contactos!$E:$E,$B10)</f>
        <v>17</v>
      </c>
    </row>
    <row r="11" customFormat="false" ht="15" hidden="false" customHeight="false" outlineLevel="0" collapsed="false">
      <c r="A11" s="0" t="s">
        <v>21</v>
      </c>
      <c r="B11" s="0" t="s">
        <v>501</v>
      </c>
      <c r="C11" s="0" t="n">
        <f aca="false">COUNTIFS(Contactos!$H:$H,$A11,Contactos!$E:$E,$B11)</f>
        <v>17</v>
      </c>
    </row>
    <row r="12" customFormat="false" ht="15" hidden="false" customHeight="false" outlineLevel="0" collapsed="false">
      <c r="A12" s="0" t="s">
        <v>21</v>
      </c>
      <c r="B12" s="0" t="s">
        <v>387</v>
      </c>
      <c r="C12" s="0" t="n">
        <f aca="false">COUNTIFS(Contactos!$H:$H,$A12,Contactos!$E:$E,$B12)</f>
        <v>13</v>
      </c>
    </row>
    <row r="13" customFormat="false" ht="15" hidden="false" customHeight="false" outlineLevel="0" collapsed="false">
      <c r="A13" s="0" t="s">
        <v>21</v>
      </c>
      <c r="B13" s="0" t="s">
        <v>301</v>
      </c>
      <c r="C13" s="0" t="n">
        <f aca="false">COUNTIFS(Contactos!$H:$H,$A13,Contactos!$E:$E,$B13)</f>
        <v>12</v>
      </c>
    </row>
    <row r="14" customFormat="false" ht="15" hidden="false" customHeight="false" outlineLevel="0" collapsed="false">
      <c r="A14" s="0" t="s">
        <v>21</v>
      </c>
      <c r="B14" s="0" t="s">
        <v>410</v>
      </c>
      <c r="C14" s="0" t="n">
        <f aca="false">COUNTIFS(Contactos!$H:$H,$A14,Contactos!$E:$E,$B14)</f>
        <v>12</v>
      </c>
    </row>
    <row r="15" customFormat="false" ht="15" hidden="false" customHeight="false" outlineLevel="0" collapsed="false">
      <c r="A15" s="0" t="s">
        <v>21</v>
      </c>
      <c r="B15" s="0" t="s">
        <v>376</v>
      </c>
      <c r="C15" s="0" t="n">
        <f aca="false">COUNTIFS(Contactos!$H:$H,$A15,Contactos!$E:$E,$B15)</f>
        <v>10</v>
      </c>
    </row>
    <row r="16" customFormat="false" ht="15" hidden="false" customHeight="false" outlineLevel="0" collapsed="false">
      <c r="A16" s="0" t="s">
        <v>21</v>
      </c>
      <c r="B16" s="0" t="s">
        <v>577</v>
      </c>
      <c r="C16" s="0" t="n">
        <f aca="false">COUNTIFS(Contactos!$H:$H,$A16,Contactos!$E:$E,$B16)</f>
        <v>8</v>
      </c>
    </row>
    <row r="17" customFormat="false" ht="15" hidden="false" customHeight="false" outlineLevel="0" collapsed="false">
      <c r="A17" s="0" t="s">
        <v>21</v>
      </c>
      <c r="B17" s="0" t="s">
        <v>829</v>
      </c>
      <c r="C17" s="0" t="n">
        <f aca="false">COUNTIFS(Contactos!$H:$H,$A17,Contactos!$E:$E,$B17)</f>
        <v>7</v>
      </c>
    </row>
    <row r="18" customFormat="false" ht="15" hidden="false" customHeight="false" outlineLevel="0" collapsed="false">
      <c r="A18" s="0" t="s">
        <v>21</v>
      </c>
      <c r="B18" s="0" t="s">
        <v>568</v>
      </c>
      <c r="C18" s="0" t="n">
        <f aca="false">COUNTIFS(Contactos!$H:$H,$A18,Contactos!$E:$E,$B18)</f>
        <v>6</v>
      </c>
    </row>
    <row r="19" customFormat="false" ht="15" hidden="false" customHeight="false" outlineLevel="0" collapsed="false">
      <c r="A19" s="0" t="s">
        <v>21</v>
      </c>
      <c r="B19" s="0" t="s">
        <v>555</v>
      </c>
      <c r="C19" s="0" t="n">
        <f aca="false">COUNTIFS(Contactos!$H:$H,$A19,Contactos!$E:$E,$B19)</f>
        <v>5</v>
      </c>
    </row>
    <row r="20" customFormat="false" ht="15" hidden="false" customHeight="false" outlineLevel="0" collapsed="false">
      <c r="A20" s="0" t="s">
        <v>21</v>
      </c>
      <c r="B20" s="0" t="s">
        <v>1539</v>
      </c>
      <c r="C20" s="0" t="n">
        <f aca="false">COUNTIFS(Contactos!$H:$H,$A20,Contactos!$E:$E,$B20)</f>
        <v>5</v>
      </c>
    </row>
    <row r="21" customFormat="false" ht="15" hidden="false" customHeight="false" outlineLevel="0" collapsed="false">
      <c r="A21" s="0" t="s">
        <v>21</v>
      </c>
      <c r="B21" s="0" t="s">
        <v>522</v>
      </c>
      <c r="C21" s="0" t="n">
        <f aca="false">COUNTIFS(Contactos!$H:$H,$A21,Contactos!$E:$E,$B21)</f>
        <v>4</v>
      </c>
    </row>
    <row r="22" customFormat="false" ht="15" hidden="false" customHeight="false" outlineLevel="0" collapsed="false">
      <c r="A22" s="0" t="s">
        <v>21</v>
      </c>
      <c r="B22" s="0" t="s">
        <v>888</v>
      </c>
      <c r="C22" s="0" t="n">
        <f aca="false">COUNTIFS(Contactos!$H:$H,$A22,Contactos!$E:$E,$B22)</f>
        <v>3</v>
      </c>
    </row>
    <row r="23" customFormat="false" ht="15" hidden="false" customHeight="false" outlineLevel="0" collapsed="false">
      <c r="A23" s="0" t="s">
        <v>21</v>
      </c>
      <c r="B23" s="0" t="s">
        <v>1970</v>
      </c>
      <c r="C23" s="0" t="n">
        <f aca="false">COUNTIFS(Contactos!$H:$H,$A23,Contactos!$E:$E,$B23)</f>
        <v>2</v>
      </c>
    </row>
    <row r="24" customFormat="false" ht="15" hidden="false" customHeight="false" outlineLevel="0" collapsed="false">
      <c r="A24" s="0" t="s">
        <v>21</v>
      </c>
      <c r="B24" s="0" t="s">
        <v>2497</v>
      </c>
      <c r="C24" s="0" t="n">
        <f aca="false">COUNTIFS(Contactos!$H:$H,$A24,Contactos!$E:$E,$B24)</f>
        <v>2</v>
      </c>
    </row>
    <row r="25" customFormat="false" ht="15" hidden="false" customHeight="false" outlineLevel="0" collapsed="false">
      <c r="A25" s="0" t="s">
        <v>21</v>
      </c>
      <c r="B25" s="0" t="s">
        <v>2613</v>
      </c>
      <c r="C25" s="0" t="n">
        <f aca="false">COUNTIFS(Contactos!$H:$H,$A25,Contactos!$E:$E,$B25)</f>
        <v>1</v>
      </c>
    </row>
    <row r="26" customFormat="false" ht="15" hidden="false" customHeight="false" outlineLevel="0" collapsed="false">
      <c r="A26" s="0" t="s">
        <v>3180</v>
      </c>
      <c r="C26" s="0" t="n">
        <f aca="false">SUM(C2:C25)</f>
        <v>1375</v>
      </c>
    </row>
    <row r="28" customFormat="false" ht="15" hidden="false" customHeight="false" outlineLevel="0" collapsed="false">
      <c r="A28" s="4" t="s">
        <v>12</v>
      </c>
      <c r="B28" s="4" t="s">
        <v>23</v>
      </c>
      <c r="C28" s="4" t="s">
        <v>524</v>
      </c>
      <c r="D28" s="4" t="s">
        <v>854</v>
      </c>
      <c r="E28" s="4" t="s">
        <v>3180</v>
      </c>
    </row>
    <row r="29" customFormat="false" ht="15" hidden="false" customHeight="false" outlineLevel="0" collapsed="false">
      <c r="A29" s="0" t="s">
        <v>26</v>
      </c>
      <c r="B29" s="0" t="n">
        <f aca="false">COUNTIFS(Contactos!$M:$M,$A29,Contactos!$J:$J,B$28)</f>
        <v>14</v>
      </c>
      <c r="C29" s="0" t="n">
        <f aca="false">COUNTIFS(Contactos!$M:$M,$A29,Contactos!$J:$J,C$28)</f>
        <v>0</v>
      </c>
      <c r="D29" s="0" t="n">
        <f aca="false">COUNTIFS(Contactos!$M:$M,$A29,Contactos!$J:$J,D$28)</f>
        <v>0</v>
      </c>
      <c r="E29" s="0" t="n">
        <f aca="false">SUM(B29:D29)</f>
        <v>14</v>
      </c>
    </row>
    <row r="30" customFormat="false" ht="15" hidden="false" customHeight="false" outlineLevel="0" collapsed="false">
      <c r="A30" s="0" t="s">
        <v>57</v>
      </c>
      <c r="B30" s="0" t="n">
        <f aca="false">COUNTIFS(Contactos!$M:$M,$A30,Contactos!$J:$J,B$28)</f>
        <v>72</v>
      </c>
      <c r="C30" s="0" t="n">
        <f aca="false">COUNTIFS(Contactos!$M:$M,$A30,Contactos!$J:$J,C$28)</f>
        <v>0</v>
      </c>
      <c r="D30" s="0" t="n">
        <f aca="false">COUNTIFS(Contactos!$M:$M,$A30,Contactos!$J:$J,D$28)</f>
        <v>0</v>
      </c>
      <c r="E30" s="0" t="n">
        <f aca="false">SUM(B30:D30)</f>
        <v>72</v>
      </c>
    </row>
    <row r="31" customFormat="false" ht="15" hidden="false" customHeight="false" outlineLevel="0" collapsed="false">
      <c r="A31" s="0" t="s">
        <v>233</v>
      </c>
      <c r="B31" s="0" t="n">
        <f aca="false">COUNTIFS(Contactos!$M:$M,$A31,Contactos!$J:$J,B$28)</f>
        <v>90</v>
      </c>
      <c r="C31" s="0" t="n">
        <f aca="false">COUNTIFS(Contactos!$M:$M,$A31,Contactos!$J:$J,C$28)</f>
        <v>0</v>
      </c>
      <c r="D31" s="0" t="n">
        <f aca="false">COUNTIFS(Contactos!$M:$M,$A31,Contactos!$J:$J,D$28)</f>
        <v>0</v>
      </c>
      <c r="E31" s="0" t="n">
        <f aca="false">SUM(B31:D31)</f>
        <v>90</v>
      </c>
    </row>
    <row r="32" customFormat="false" ht="15" hidden="false" customHeight="false" outlineLevel="0" collapsed="false">
      <c r="A32" s="0" t="s">
        <v>435</v>
      </c>
      <c r="B32" s="0" t="n">
        <f aca="false">COUNTIFS(Contactos!$M:$M,$A32,Contactos!$J:$J,B$28)</f>
        <v>38</v>
      </c>
      <c r="C32" s="0" t="n">
        <f aca="false">COUNTIFS(Contactos!$M:$M,$A32,Contactos!$J:$J,C$28)</f>
        <v>0</v>
      </c>
      <c r="D32" s="0" t="n">
        <f aca="false">COUNTIFS(Contactos!$M:$M,$A32,Contactos!$J:$J,D$28)</f>
        <v>0</v>
      </c>
      <c r="E32" s="0" t="n">
        <f aca="false">SUM(B32:D32)</f>
        <v>38</v>
      </c>
    </row>
    <row r="33" customFormat="false" ht="15" hidden="false" customHeight="false" outlineLevel="0" collapsed="false">
      <c r="A33" s="0" t="s">
        <v>527</v>
      </c>
      <c r="B33" s="0" t="n">
        <f aca="false">COUNTIFS(Contactos!$M:$M,$A33,Contactos!$J:$J,B$28)</f>
        <v>0</v>
      </c>
      <c r="C33" s="0" t="n">
        <f aca="false">COUNTIFS(Contactos!$M:$M,$A33,Contactos!$J:$J,C$28)</f>
        <v>30</v>
      </c>
      <c r="D33" s="0" t="n">
        <f aca="false">COUNTIFS(Contactos!$M:$M,$A33,Contactos!$J:$J,D$28)</f>
        <v>0</v>
      </c>
      <c r="E33" s="0" t="n">
        <f aca="false">SUM(B33:D33)</f>
        <v>30</v>
      </c>
    </row>
    <row r="34" customFormat="false" ht="15" hidden="false" customHeight="false" outlineLevel="0" collapsed="false">
      <c r="A34" s="0" t="s">
        <v>616</v>
      </c>
      <c r="B34" s="0" t="n">
        <f aca="false">COUNTIFS(Contactos!$M:$M,$A34,Contactos!$J:$J,B$28)</f>
        <v>0</v>
      </c>
      <c r="C34" s="0" t="n">
        <f aca="false">COUNTIFS(Contactos!$M:$M,$A34,Contactos!$J:$J,C$28)</f>
        <v>17</v>
      </c>
      <c r="D34" s="0" t="n">
        <f aca="false">COUNTIFS(Contactos!$M:$M,$A34,Contactos!$J:$J,D$28)</f>
        <v>0</v>
      </c>
      <c r="E34" s="0" t="n">
        <f aca="false">SUM(B34:D34)</f>
        <v>17</v>
      </c>
    </row>
    <row r="35" customFormat="false" ht="15" hidden="false" customHeight="false" outlineLevel="0" collapsed="false">
      <c r="A35" s="0" t="s">
        <v>662</v>
      </c>
      <c r="B35" s="0" t="n">
        <f aca="false">COUNTIFS(Contactos!$M:$M,$A35,Contactos!$J:$J,B$28)</f>
        <v>0</v>
      </c>
      <c r="C35" s="0" t="n">
        <f aca="false">COUNTIFS(Contactos!$M:$M,$A35,Contactos!$J:$J,C$28)</f>
        <v>21</v>
      </c>
      <c r="D35" s="0" t="n">
        <f aca="false">COUNTIFS(Contactos!$M:$M,$A35,Contactos!$J:$J,D$28)</f>
        <v>0</v>
      </c>
      <c r="E35" s="0" t="n">
        <f aca="false">SUM(B35:D35)</f>
        <v>21</v>
      </c>
    </row>
    <row r="36" customFormat="false" ht="15" hidden="false" customHeight="false" outlineLevel="0" collapsed="false">
      <c r="A36" s="0" t="s">
        <v>722</v>
      </c>
      <c r="B36" s="0" t="n">
        <f aca="false">COUNTIFS(Contactos!$M:$M,$A36,Contactos!$J:$J,B$28)</f>
        <v>0</v>
      </c>
      <c r="C36" s="0" t="n">
        <f aca="false">COUNTIFS(Contactos!$M:$M,$A36,Contactos!$J:$J,C$28)</f>
        <v>7</v>
      </c>
      <c r="D36" s="0" t="n">
        <f aca="false">COUNTIFS(Contactos!$M:$M,$A36,Contactos!$J:$J,D$28)</f>
        <v>0</v>
      </c>
      <c r="E36" s="0" t="n">
        <f aca="false">SUM(B36:D36)</f>
        <v>7</v>
      </c>
    </row>
    <row r="37" customFormat="false" ht="15" hidden="false" customHeight="false" outlineLevel="0" collapsed="false">
      <c r="A37" s="0" t="s">
        <v>737</v>
      </c>
      <c r="B37" s="0" t="n">
        <f aca="false">COUNTIFS(Contactos!$M:$M,$A37,Contactos!$J:$J,B$28)</f>
        <v>0</v>
      </c>
      <c r="C37" s="0" t="n">
        <f aca="false">COUNTIFS(Contactos!$M:$M,$A37,Contactos!$J:$J,C$28)</f>
        <v>59</v>
      </c>
      <c r="D37" s="0" t="n">
        <f aca="false">COUNTIFS(Contactos!$M:$M,$A37,Contactos!$J:$J,D$28)</f>
        <v>0</v>
      </c>
      <c r="E37" s="0" t="n">
        <f aca="false">SUM(B37:D37)</f>
        <v>59</v>
      </c>
    </row>
    <row r="38" customFormat="false" ht="15" hidden="false" customHeight="false" outlineLevel="0" collapsed="false">
      <c r="A38" s="0" t="s">
        <v>857</v>
      </c>
      <c r="B38" s="0" t="n">
        <f aca="false">COUNTIFS(Contactos!$M:$M,$A38,Contactos!$J:$J,B$28)</f>
        <v>0</v>
      </c>
      <c r="C38" s="0" t="n">
        <f aca="false">COUNTIFS(Contactos!$M:$M,$A38,Contactos!$J:$J,C$28)</f>
        <v>0</v>
      </c>
      <c r="D38" s="0" t="n">
        <f aca="false">COUNTIFS(Contactos!$M:$M,$A38,Contactos!$J:$J,D$28)</f>
        <v>1027</v>
      </c>
      <c r="E38" s="0" t="n">
        <f aca="false">SUM(B38:D38)</f>
        <v>1027</v>
      </c>
    </row>
    <row r="39" customFormat="false" ht="15" hidden="false" customHeight="false" outlineLevel="0" collapsed="false">
      <c r="A39" s="0" t="s">
        <v>3180</v>
      </c>
      <c r="B39" s="0" t="n">
        <f aca="false">SUM(B29:B38)</f>
        <v>214</v>
      </c>
      <c r="C39" s="0" t="n">
        <f aca="false">SUM(C29:C38)</f>
        <v>134</v>
      </c>
      <c r="D39" s="0" t="n">
        <f aca="false">SUM(D29:D38)</f>
        <v>1027</v>
      </c>
      <c r="E39" s="0" t="n">
        <f aca="false">SUM(E29:E38)</f>
        <v>1375</v>
      </c>
    </row>
    <row r="41" customFormat="false" ht="15" hidden="false" customHeight="false" outlineLevel="0" collapsed="false">
      <c r="A41" s="4" t="s">
        <v>3181</v>
      </c>
      <c r="B41" s="4" t="s">
        <v>3179</v>
      </c>
    </row>
    <row r="42" customFormat="false" ht="15" hidden="false" customHeight="false" outlineLevel="0" collapsed="false">
      <c r="A42" s="0" t="s">
        <v>22</v>
      </c>
      <c r="B42" s="0" t="n">
        <f aca="false">COUNTIF(Contactos!$I:$I,A42)</f>
        <v>1375</v>
      </c>
    </row>
    <row r="43" customFormat="false" ht="15" hidden="false" customHeight="false" outlineLevel="0" collapsed="false">
      <c r="A43" s="0" t="s">
        <v>3182</v>
      </c>
      <c r="B43" s="0" t="n">
        <f aca="false">COUNTIF(Contactos!$I:$I,A43)</f>
        <v>0</v>
      </c>
    </row>
    <row r="44" customFormat="false" ht="15" hidden="false" customHeight="false" outlineLevel="0" collapsed="false">
      <c r="A44" s="0" t="s">
        <v>3183</v>
      </c>
      <c r="B44" s="0" t="n">
        <f aca="false">COUNTIF(Contactos!$I:$I,A44)</f>
        <v>0</v>
      </c>
    </row>
    <row r="45" customFormat="false" ht="15" hidden="false" customHeight="false" outlineLevel="0" collapsed="false">
      <c r="A45" s="0" t="s">
        <v>3184</v>
      </c>
      <c r="B45" s="0" t="n">
        <f aca="false">COUNTIF(Contactos!$I:$I,A45)</f>
        <v>0</v>
      </c>
    </row>
    <row r="46" customFormat="false" ht="15" hidden="false" customHeight="false" outlineLevel="0" collapsed="false">
      <c r="A46" s="0" t="s">
        <v>3185</v>
      </c>
      <c r="B46" s="0" t="n">
        <f aca="false">COUNTIF(Contactos!$I:$I,A46)</f>
        <v>0</v>
      </c>
    </row>
    <row r="47" customFormat="false" ht="15" hidden="false" customHeight="false" outlineLevel="0" collapsed="false">
      <c r="A47" s="0" t="s">
        <v>3186</v>
      </c>
      <c r="B47" s="0" t="n">
        <f aca="false">COUNTIF(Contactos!$I:$I,A47)</f>
        <v>0</v>
      </c>
    </row>
    <row r="49" customFormat="false" ht="15" hidden="false" customHeight="false" outlineLevel="0" collapsed="false">
      <c r="A49" s="4" t="s">
        <v>3187</v>
      </c>
      <c r="B49" s="4" t="s">
        <v>3179</v>
      </c>
    </row>
    <row r="50" customFormat="false" ht="15" hidden="false" customHeight="false" outlineLevel="0" collapsed="false">
      <c r="A50" s="0" t="s">
        <v>3188</v>
      </c>
      <c r="B50" s="0" t="n">
        <v>1382</v>
      </c>
    </row>
    <row r="51" customFormat="false" ht="15" hidden="false" customHeight="false" outlineLevel="0" collapsed="false">
      <c r="A51" s="0" t="s">
        <v>3189</v>
      </c>
      <c r="B51" s="0" t="n">
        <f aca="false">COUNTA(Contactos!$D$2:$D$3000)</f>
        <v>1375</v>
      </c>
    </row>
    <row r="52" customFormat="false" ht="15" hidden="false" customHeight="false" outlineLevel="0" collapsed="false">
      <c r="A52" s="0" t="s">
        <v>3190</v>
      </c>
      <c r="B52" s="0" t="n">
        <f aca="false">COUNTIF(Contactos!$S$2:$S$3000,"*ExpoMina*")</f>
        <v>96</v>
      </c>
    </row>
    <row r="53" customFormat="false" ht="15" hidden="false" customHeight="false" outlineLevel="0" collapsed="false">
      <c r="A53" s="0" t="s">
        <v>3191</v>
      </c>
      <c r="B53" s="0" t="n">
        <f aca="false">COUNTIF(Contactos!$S$2:$S$3000,"*Directorio*")</f>
        <v>21</v>
      </c>
    </row>
    <row r="54" customFormat="false" ht="15" hidden="false" customHeight="false" outlineLevel="0" collapsed="false">
      <c r="A54" s="0" t="s">
        <v>3192</v>
      </c>
      <c r="B54" s="0" t="n">
        <f aca="false">COUNTIF(Contactos!$P$2:$P$3000,"*Lanza tu Innovación*")</f>
        <v>32</v>
      </c>
    </row>
    <row r="55" customFormat="false" ht="15" hidden="false" customHeight="false" outlineLevel="0" collapsed="false">
      <c r="A55" s="0" t="s">
        <v>3193</v>
      </c>
      <c r="B55" s="0" t="n">
        <f aca="false">COUNTIF(Contactos!$O$2:$O$3000,"&gt;1")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3194</v>
      </c>
      <c r="B1" s="1" t="s">
        <v>4</v>
      </c>
      <c r="C1" s="1" t="s">
        <v>3195</v>
      </c>
    </row>
    <row r="2" customFormat="false" ht="15" hidden="false" customHeight="false" outlineLevel="0" collapsed="false">
      <c r="A2" s="0" t="s">
        <v>3196</v>
      </c>
      <c r="B2" s="0" t="s">
        <v>73</v>
      </c>
      <c r="C2" s="0" t="s">
        <v>3197</v>
      </c>
    </row>
    <row r="3" customFormat="false" ht="15" hidden="false" customHeight="false" outlineLevel="0" collapsed="false">
      <c r="A3" s="0" t="s">
        <v>3198</v>
      </c>
      <c r="B3" s="0" t="s">
        <v>73</v>
      </c>
      <c r="C3" s="0" t="s">
        <v>3199</v>
      </c>
    </row>
    <row r="4" customFormat="false" ht="15" hidden="false" customHeight="false" outlineLevel="0" collapsed="false">
      <c r="A4" s="0" t="s">
        <v>3200</v>
      </c>
      <c r="B4" s="0" t="s">
        <v>20</v>
      </c>
      <c r="C4" s="0" t="s">
        <v>3201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2026-10-07T03:20:28Z</dcterms:created>
  <dc:creator>openpyxl</dc:creator>
  <dc:description/>
  <dc:language>en-US</dc:language>
  <cp:lastModifiedBy/>
  <dcterms:modified xsi:type="dcterms:W3CDTF">2026-10-07T03:20:29Z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