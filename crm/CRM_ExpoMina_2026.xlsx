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os" sheetId="1" state="visible" r:id="rId3"/>
    <sheet name="Oportunidades" sheetId="2" state="visible" r:id="rId4"/>
    <sheet name="Resumen" sheetId="3" state="visible" r:id="rId5"/>
    <sheet name="Ev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<sst xmlns="http://schemas.openxmlformats.org/spreadsheetml/2006/main" count="11070" uniqueCount="3299">
  <si>
    <t xml:space="preserve">ID</t>
  </si>
  <si>
    <t xml:space="preserve">Nombre</t>
  </si>
  <si>
    <t xml:space="preserve">Cargo</t>
  </si>
  <si>
    <t xml:space="preserve">Empresa</t>
  </si>
  <si>
    <t xml:space="preserve">País</t>
  </si>
  <si>
    <t xml:space="preserve">Email</t>
  </si>
  <si>
    <t xml:space="preserve">LinkedIn</t>
  </si>
  <si>
    <t xml:space="preserve">Origen</t>
  </si>
  <si>
    <t xml:space="preserve">Estado</t>
  </si>
  <si>
    <t xml:space="preserve">Prioridad</t>
  </si>
  <si>
    <t xml:space="preserve">Próxima acción</t>
  </si>
  <si>
    <t xml:space="preserve">Notas</t>
  </si>
  <si>
    <t xml:space="preserve">Segmento SafetyMind</t>
  </si>
  <si>
    <t xml:space="preserve">Stand(s)</t>
  </si>
  <si>
    <t xml:space="preserve">N° stands</t>
  </si>
  <si>
    <t xml:space="preserve">Web</t>
  </si>
  <si>
    <t xml:space="preserve">Teléfono(s)</t>
  </si>
  <si>
    <t xml:space="preserve">Dirección</t>
  </si>
  <si>
    <t xml:space="preserve">En Directorio SSO</t>
  </si>
  <si>
    <t xml:space="preserve">ACTIVOS MINEROS S.A.C.</t>
  </si>
  <si>
    <t xml:space="preserve">Perú</t>
  </si>
  <si>
    <t xml:space="preserve">ExpoMina 2026</t>
  </si>
  <si>
    <t xml:space="preserve">Prospecto</t>
  </si>
  <si>
    <t xml:space="preserve">Alta</t>
  </si>
  <si>
    <t xml:space="preserve">Mapear Gerente SSOMA/HSE y unidades mineras; proponer piloto</t>
  </si>
  <si>
    <t xml:space="preserve">ExpoMina 2026. Varios stands (mayor inversión). Sin contacto publicado.</t>
  </si>
  <si>
    <t xml:space="preserve">Minera (cliente final)</t>
  </si>
  <si>
    <t xml:space="preserve">E-285, E-287</t>
  </si>
  <si>
    <t xml:space="preserve">amsac.pe</t>
  </si>
  <si>
    <t xml:space="preserve">No</t>
  </si>
  <si>
    <t xml:space="preserve">ANGLO AMERICAN QUELLAVECO S.A.</t>
  </si>
  <si>
    <t xml:space="preserve">ExpoMina 2026. Sin contacto publicado.</t>
  </si>
  <si>
    <t xml:space="preserve">A-078</t>
  </si>
  <si>
    <t xml:space="preserve">https://peru.angloamerican.com/</t>
  </si>
  <si>
    <t xml:space="preserve">SOCIEDAD MINERA CERRO VERDE S.A.A.</t>
  </si>
  <si>
    <t xml:space="preserve">A-175</t>
  </si>
  <si>
    <t xml:space="preserve">www.cerroverde.pe</t>
  </si>
  <si>
    <t xml:space="preserve">EQUANS SERVICES PERÚ S.A.</t>
  </si>
  <si>
    <t xml:space="preserve">contacto.espe@equans.com</t>
  </si>
  <si>
    <t xml:space="preserve">Identificar Gerente SSOMA/HSE en LinkedIn y proponer demo</t>
  </si>
  <si>
    <t xml:space="preserve">ExpoMina 2026. Varios stands (mayor inversión). También en CRM Directorio SSO 2026 (ID 52).</t>
  </si>
  <si>
    <t xml:space="preserve">Cliente potencial – contratista / operación de alto riesgo</t>
  </si>
  <si>
    <t xml:space="preserve">A-297, A-298, A-301, A-302</t>
  </si>
  <si>
    <t xml:space="preserve">www.equans.pe</t>
  </si>
  <si>
    <t xml:space="preserve">Av. Paseo de la República 3617 San Isidro - Lima</t>
  </si>
  <si>
    <t xml:space="preserve">Sí</t>
  </si>
  <si>
    <t xml:space="preserve">NEUMA PERÚ CONTRATISTAS GENERALES S.A.C.</t>
  </si>
  <si>
    <t xml:space="preserve">ventas@neumaperu.com.pe</t>
  </si>
  <si>
    <t xml:space="preserve">ExpoMina 2026. Varios stands (mayor inversión). También en CRM Directorio SSO 2026 (ID 105).</t>
  </si>
  <si>
    <t xml:space="preserve">F-084, F-085, F-086</t>
  </si>
  <si>
    <t xml:space="preserve">www.neumaperu.com.pe</t>
  </si>
  <si>
    <t xml:space="preserve">6180300 / 971523609</t>
  </si>
  <si>
    <t xml:space="preserve">Av. Nicolás Ayllón 2142 - Ate Vitarte Lima</t>
  </si>
  <si>
    <t xml:space="preserve">AOM SUMINISTROS INDUSTRIALES S.A.C</t>
  </si>
  <si>
    <t xml:space="preserve">info@aom.pe</t>
  </si>
  <si>
    <t xml:space="preserve">ExpoMina 2026. Varios stands (mayor inversión). También en CRM Directorio SSO 2026 (ID 10).</t>
  </si>
  <si>
    <t xml:space="preserve">A-161, A-410</t>
  </si>
  <si>
    <t xml:space="preserve">www.aom.com.pe</t>
  </si>
  <si>
    <t xml:space="preserve">Jr. Cruz del Sur 140 Of.1503, Santiago de Surco - Lima</t>
  </si>
  <si>
    <t xml:space="preserve">CONSORCIO MINERIA SUBTERRANEA S.A.C. COMISUB S.A.C.</t>
  </si>
  <si>
    <t xml:space="preserve">A-075, A-076</t>
  </si>
  <si>
    <t xml:space="preserve">https://comisub.com/</t>
  </si>
  <si>
    <t xml:space="preserve">MAQUINAS Y MONTAJES S.A</t>
  </si>
  <si>
    <t xml:space="preserve">Perú (por validar)</t>
  </si>
  <si>
    <t xml:space="preserve">ExpoMina 2026. Varios stands (mayor inversión). País inferido; validar. Sin contacto publicado.</t>
  </si>
  <si>
    <t xml:space="preserve">A-079, A-080</t>
  </si>
  <si>
    <t xml:space="preserve">www.maquinasymontajes.com</t>
  </si>
  <si>
    <t xml:space="preserve">TUMI CONTRATISTAS MINEROS S.A.C</t>
  </si>
  <si>
    <t xml:space="preserve">sales.ventas@tumirb.com</t>
  </si>
  <si>
    <t xml:space="preserve">ExpoMina 2026. Varios stands (mayor inversión). También en CRM Directorio SSO 2026 (ID 163).</t>
  </si>
  <si>
    <t xml:space="preserve">E-205A, E-205B</t>
  </si>
  <si>
    <t xml:space="preserve">https://tumirb.com</t>
  </si>
  <si>
    <t xml:space="preserve">982483947</t>
  </si>
  <si>
    <t xml:space="preserve">Unidad Inmobiliaria Nº1 con frente Av. Paul Poblet s/n, Lurín - Lima</t>
  </si>
  <si>
    <t xml:space="preserve">AHORRO DE ENERGÍA Y MANTENIMIENTO INDUSTRIAL</t>
  </si>
  <si>
    <t xml:space="preserve">ademinsa@ademinsa.com</t>
  </si>
  <si>
    <t xml:space="preserve">ExpoMina 2026. También en CRM Directorio SSO 2026 (ID 2).</t>
  </si>
  <si>
    <t xml:space="preserve">E-359</t>
  </si>
  <si>
    <t xml:space="preserve">https://ademinsa.com/</t>
  </si>
  <si>
    <t xml:space="preserve">2750082</t>
  </si>
  <si>
    <t xml:space="preserve">Cl. Cerro Azul 479 Of. 101A Urb. San Ignacio de Loyola Santiago de Surco - Lima</t>
  </si>
  <si>
    <t xml:space="preserve">ARMOTEC CONTRATISTAS GENERALES S.A.C. - ARMOTEC S.A.C.</t>
  </si>
  <si>
    <t xml:space="preserve">B-211</t>
  </si>
  <si>
    <t xml:space="preserve">http://armotec.pe</t>
  </si>
  <si>
    <t xml:space="preserve">COMERCIAL DRILLING SERVICES S.A.C.- CODRISE S.A.C.</t>
  </si>
  <si>
    <t xml:space="preserve">B-094</t>
  </si>
  <si>
    <t xml:space="preserve">https://codrise.com/</t>
  </si>
  <si>
    <t xml:space="preserve">CONSORCIO MINING CONSTRUCCION &amp; SOLUTION S.A.C. - CONSORCIO MICONSOL S.A.C.</t>
  </si>
  <si>
    <t xml:space="preserve">E-001</t>
  </si>
  <si>
    <t xml:space="preserve">https://essotech.pe/</t>
  </si>
  <si>
    <t xml:space="preserve">CONSTRUCCIONES ELECTROMECANICAS DELCROSA S.A. O DELCROSA S.A.</t>
  </si>
  <si>
    <t xml:space="preserve">E-173</t>
  </si>
  <si>
    <t xml:space="preserve">https://www.delcrosa.com.pe/es</t>
  </si>
  <si>
    <t xml:space="preserve">CONSTRUCTORA GALAXIA S.A.C.</t>
  </si>
  <si>
    <t xml:space="preserve">A-390</t>
  </si>
  <si>
    <t xml:space="preserve">CONSULTORES EN INGENIERIA GEOTECNICA ESTRUCTURAL Y CONSTRUCCION S.A.C. - COINGEC S.A.C.</t>
  </si>
  <si>
    <t xml:space="preserve">A-199</t>
  </si>
  <si>
    <t xml:space="preserve">https://coingec.com/</t>
  </si>
  <si>
    <t xml:space="preserve">EMPRESA DE SERVICIOS CONSTRUCCION CONSULTORIA</t>
  </si>
  <si>
    <t xml:space="preserve">Por validar</t>
  </si>
  <si>
    <t xml:space="preserve">ExpoMina 2026. País inferido; validar. Sin contacto publicado.</t>
  </si>
  <si>
    <t xml:space="preserve">E-334</t>
  </si>
  <si>
    <t xml:space="preserve">FABRICACIONES ANDINAS S.A.C.</t>
  </si>
  <si>
    <t xml:space="preserve">A-261</t>
  </si>
  <si>
    <t xml:space="preserve">en construccion</t>
  </si>
  <si>
    <t xml:space="preserve">FAMESA EXPLOSIVOS S.A.C.</t>
  </si>
  <si>
    <t xml:space="preserve">ventas@famesa.com.pe</t>
  </si>
  <si>
    <t xml:space="preserve">ExpoMina 2026. También en CRM Directorio SSO 2026 (ID 60).</t>
  </si>
  <si>
    <t xml:space="preserve">E-016</t>
  </si>
  <si>
    <t xml:space="preserve">www.famesaexplosivos.com</t>
  </si>
  <si>
    <t xml:space="preserve">6139800</t>
  </si>
  <si>
    <t xml:space="preserve">Panamericana Norte km 28 Puente Piedra - Lima</t>
  </si>
  <si>
    <t xml:space="preserve">GINSUMIL CORPORATION S.A.C.</t>
  </si>
  <si>
    <t xml:space="preserve">ventas@ginsumilcorp.com</t>
  </si>
  <si>
    <t xml:space="preserve">ExpoMina 2026. También en CRM Directorio SSO 2026 (ID 70).</t>
  </si>
  <si>
    <t xml:space="preserve">B-263</t>
  </si>
  <si>
    <t xml:space="preserve">https://ginsumilcorp.com/</t>
  </si>
  <si>
    <t xml:space="preserve">993022915</t>
  </si>
  <si>
    <t xml:space="preserve">Av. Mariano Pastor Sevilla Mz.D Lt.40 Sector 5 San Juan de Miraflores - Lima</t>
  </si>
  <si>
    <t xml:space="preserve">GS METAL DRILLING S.A.C.</t>
  </si>
  <si>
    <t xml:space="preserve">B-091</t>
  </si>
  <si>
    <t xml:space="preserve">www.gsdrilling.pe</t>
  </si>
  <si>
    <t xml:space="preserve">INGENIERÍA Y CONSTRUCCIÓN SIGDO KOPPERS EQUIPOS Y SERVICIOS S.A.C. - ICSK EQUIPOS Y SERVICIOS S.A.C.</t>
  </si>
  <si>
    <t xml:space="preserve">B-267</t>
  </si>
  <si>
    <t xml:space="preserve">www.skdeysu.com</t>
  </si>
  <si>
    <t xml:space="preserve">JMF INGENIERIA &amp; CONSTRUCCION SAC</t>
  </si>
  <si>
    <t xml:space="preserve">E-275</t>
  </si>
  <si>
    <t xml:space="preserve">https://www.jmf.com.pe/</t>
  </si>
  <si>
    <t xml:space="preserve">MINERA DRILLING S.R.L.</t>
  </si>
  <si>
    <t xml:space="preserve">A-192</t>
  </si>
  <si>
    <t xml:space="preserve">www.mineradrilling.com</t>
  </si>
  <si>
    <t xml:space="preserve">MINTECH MINING TECHNOLOGY E.I.R.L.</t>
  </si>
  <si>
    <t xml:space="preserve">info@mintech.com.pe</t>
  </si>
  <si>
    <t xml:space="preserve">ExpoMina 2026. También en CRM Directorio SSO 2026 (ID 99).</t>
  </si>
  <si>
    <t xml:space="preserve">E-226</t>
  </si>
  <si>
    <t xml:space="preserve">www.mintech.com.pe</t>
  </si>
  <si>
    <t xml:space="preserve">2766979 / 6228124</t>
  </si>
  <si>
    <t xml:space="preserve">Av. Los Pinos Mz.W Lt.2 Asociación Chillón Puente Piedra - Lima</t>
  </si>
  <si>
    <t xml:space="preserve">NEXTECH CONSTRUCCION MODULAR S.A.C.</t>
  </si>
  <si>
    <t xml:space="preserve">E-183</t>
  </si>
  <si>
    <t xml:space="preserve">https://nextechmodular.com/</t>
  </si>
  <si>
    <t xml:space="preserve">OVERPRIME MANUFACTURING S.A.C.</t>
  </si>
  <si>
    <t xml:space="preserve">ExpoMina 2026. También en CRM Directorio SSO 2026 (ID 111).</t>
  </si>
  <si>
    <t xml:space="preserve">E-013</t>
  </si>
  <si>
    <t xml:space="preserve">https://overprimegroup.com/</t>
  </si>
  <si>
    <t xml:space="preserve">5187100 / 994660177</t>
  </si>
  <si>
    <t xml:space="preserve">Av. Alameda Sur 216 Urb. Villa Marina Chorrillos - Lima</t>
  </si>
  <si>
    <t xml:space="preserve">PENTATECH CONSTRUCCION S.A.C.</t>
  </si>
  <si>
    <t xml:space="preserve">B-242A</t>
  </si>
  <si>
    <t xml:space="preserve">www.pentatechsac.com</t>
  </si>
  <si>
    <t xml:space="preserve">PEVOEX CONTRATISTAS S.A.C.</t>
  </si>
  <si>
    <t xml:space="preserve">presupuestos@pevoex.com.pe</t>
  </si>
  <si>
    <t xml:space="preserve">ExpoMina 2026. También en CRM Directorio SSO 2026 (ID 113).</t>
  </si>
  <si>
    <t xml:space="preserve">B-023</t>
  </si>
  <si>
    <t xml:space="preserve">pevoex.com</t>
  </si>
  <si>
    <t xml:space="preserve">6832277 / 989262241</t>
  </si>
  <si>
    <t xml:space="preserve">Av. Circunvalación del Club Golf Los Incas 154 Of. 404 Santiago de Surco - Lima</t>
  </si>
  <si>
    <t xml:space="preserve">PROYECTOS EJECUCION Y MONTAJES INDST.SA</t>
  </si>
  <si>
    <t xml:space="preserve">E-368</t>
  </si>
  <si>
    <t xml:space="preserve">www.proemisa.pe</t>
  </si>
  <si>
    <t xml:space="preserve">RCP INGENIEROS CONSULTORES Y CONTRATISTAS DE SERVICIOS ESPECIALIZADOS E.I.R.L.</t>
  </si>
  <si>
    <t xml:space="preserve">E-148D</t>
  </si>
  <si>
    <t xml:space="preserve">www.geodrone.com.pe</t>
  </si>
  <si>
    <t xml:space="preserve">REPRESENTACIONES PERUVIAN TRADING S.A.</t>
  </si>
  <si>
    <t xml:space="preserve">ventas@rptsa.com.pe</t>
  </si>
  <si>
    <t xml:space="preserve">ExpoMina 2026. También en CRM Directorio SSO 2026 (ID 123).</t>
  </si>
  <si>
    <t xml:space="preserve">A-350</t>
  </si>
  <si>
    <t xml:space="preserve">https://rptsa.com.pe/</t>
  </si>
  <si>
    <t xml:space="preserve">4428559</t>
  </si>
  <si>
    <t xml:space="preserve">Pje. Los Jilgueros 108 Urb. Limatambo Surquillo - Lima</t>
  </si>
  <si>
    <t xml:space="preserve">ROBOCON SERVICIOS S.A.C.</t>
  </si>
  <si>
    <t xml:space="preserve">A-010</t>
  </si>
  <si>
    <t xml:space="preserve">https://robocon.pe/</t>
  </si>
  <si>
    <t xml:space="preserve">ROEDA S.A</t>
  </si>
  <si>
    <t xml:space="preserve">roeda@roeda.com.pe</t>
  </si>
  <si>
    <t xml:space="preserve">ExpoMina 2026. También en CRM Directorio SSO 2026 (ID 127).</t>
  </si>
  <si>
    <t xml:space="preserve">A-259</t>
  </si>
  <si>
    <t xml:space="preserve">www.roeda.com.pe</t>
  </si>
  <si>
    <t xml:space="preserve">3151400 / 997567133</t>
  </si>
  <si>
    <t xml:space="preserve">Jr. Tarma 272- Cercado de Lima - Lima</t>
  </si>
  <si>
    <t xml:space="preserve">RYDER DRILLING TOOLS S.A.C.- RYDER DRILLING TOOLS S.A.C.</t>
  </si>
  <si>
    <t xml:space="preserve">A-402</t>
  </si>
  <si>
    <t xml:space="preserve">https://ryderdrilling.com/</t>
  </si>
  <si>
    <t xml:space="preserve">SAFE &amp; CARE S.A.C.</t>
  </si>
  <si>
    <t xml:space="preserve">ventas@safeycare.com</t>
  </si>
  <si>
    <t xml:space="preserve">ExpoMina 2026. También en CRM Directorio SSO 2026 (ID 130).</t>
  </si>
  <si>
    <t xml:space="preserve">A-107</t>
  </si>
  <si>
    <t xml:space="preserve">https://safeycare.com/</t>
  </si>
  <si>
    <t xml:space="preserve">(+51) 959267990 / (+51) 989147895</t>
  </si>
  <si>
    <t xml:space="preserve">Cl. Los Talladores 275 - Ate - Lima</t>
  </si>
  <si>
    <t xml:space="preserve">SISTEMAS DE PERFORACION Y GEOTECNIA S.A.C</t>
  </si>
  <si>
    <t xml:space="preserve">B-169</t>
  </si>
  <si>
    <t xml:space="preserve">https://incotep.com/</t>
  </si>
  <si>
    <t xml:space="preserve">SOLUCIONES QUIMICAS PARA LA MINERIA Y LA CONSTRUCCION S.A.C.- SOQUIMIC S.A.C.</t>
  </si>
  <si>
    <t xml:space="preserve">E-002</t>
  </si>
  <si>
    <t xml:space="preserve">www.chryso.com</t>
  </si>
  <si>
    <t xml:space="preserve">TRANSPORTES LINEA S.A.</t>
  </si>
  <si>
    <t xml:space="preserve">E-291</t>
  </si>
  <si>
    <t xml:space="preserve">www.linea.pe</t>
  </si>
  <si>
    <t xml:space="preserve">ULMA ENCOFRADOS PERÚ S.A.</t>
  </si>
  <si>
    <t xml:space="preserve">ventas@ulmaconstruction.com.pe</t>
  </si>
  <si>
    <t xml:space="preserve">ExpoMina 2026. También en CRM Directorio SSO 2026 (ID 164).</t>
  </si>
  <si>
    <t xml:space="preserve">E-322A</t>
  </si>
  <si>
    <t xml:space="preserve">https://www.ulmaconstruction.com.pe/es-pe</t>
  </si>
  <si>
    <t xml:space="preserve">6136700</t>
  </si>
  <si>
    <t xml:space="preserve">Av. Argentina 2882 - Cercado de Lima Lima</t>
  </si>
  <si>
    <t xml:space="preserve">CAD SOLUTIONS SA</t>
  </si>
  <si>
    <t xml:space="preserve">Mapear oferta: evaluar integración o competencia</t>
  </si>
  <si>
    <t xml:space="preserve">Partner tecnológico / competidor</t>
  </si>
  <si>
    <t xml:space="preserve">B-155A, B-155B</t>
  </si>
  <si>
    <t xml:space="preserve">www.cadsolutions.pe</t>
  </si>
  <si>
    <t xml:space="preserve">ENTEL PERÚ S.A.</t>
  </si>
  <si>
    <t xml:space="preserve">A-262, A-263</t>
  </si>
  <si>
    <t xml:space="preserve">MAPTEK COMPUTACION CHILE LIMITADA SUCURSAL PERU</t>
  </si>
  <si>
    <t xml:space="preserve">A-096, A-100</t>
  </si>
  <si>
    <t xml:space="preserve">https://www.maptek.com/cl/</t>
  </si>
  <si>
    <t xml:space="preserve">SOUTHERN TECHNOLOGY GROUP PERÚ S.A.C. - STG PERÚ S.A.C.</t>
  </si>
  <si>
    <t xml:space="preserve">E-390, E-391</t>
  </si>
  <si>
    <t xml:space="preserve">https://www.stglatam.com/</t>
  </si>
  <si>
    <t xml:space="preserve">YOKOGAWA AMERICA DO SUL LTDA SUCURSAL PERU</t>
  </si>
  <si>
    <t xml:space="preserve">A-196, A-197</t>
  </si>
  <si>
    <t xml:space="preserve">https://www.yokogawa.com/sa-es/</t>
  </si>
  <si>
    <t xml:space="preserve">AGIA TECHNOLOGY S.A.C.</t>
  </si>
  <si>
    <t xml:space="preserve">A-286A</t>
  </si>
  <si>
    <t xml:space="preserve">atsecurity.ai</t>
  </si>
  <si>
    <t xml:space="preserve">FLO-2D SOFTWARE, INC.</t>
  </si>
  <si>
    <t xml:space="preserve">Estados Unidos (por validar)</t>
  </si>
  <si>
    <t xml:space="preserve">A-366</t>
  </si>
  <si>
    <t xml:space="preserve">www.flo-2d.com</t>
  </si>
  <si>
    <t xml:space="preserve">GC. TELECOM S.A.C.</t>
  </si>
  <si>
    <t xml:space="preserve">E-010</t>
  </si>
  <si>
    <t xml:space="preserve">https://telecomstore.pe</t>
  </si>
  <si>
    <t xml:space="preserve">GEO SYSTEMS S.A.C.</t>
  </si>
  <si>
    <t xml:space="preserve">A-092</t>
  </si>
  <si>
    <t xml:space="preserve">www.geosystemsperu.com</t>
  </si>
  <si>
    <t xml:space="preserve">HANWHA VISION MEXICO</t>
  </si>
  <si>
    <t xml:space="preserve">México</t>
  </si>
  <si>
    <t xml:space="preserve">A-401</t>
  </si>
  <si>
    <t xml:space="preserve">www.hanwhavision.com</t>
  </si>
  <si>
    <t xml:space="preserve">HEXAGON MINING PERÚ S.A.C.</t>
  </si>
  <si>
    <t xml:space="preserve">jorge.loayza@hexagon.com</t>
  </si>
  <si>
    <t xml:space="preserve">ExpoMina 2026. También en CRM Directorio SSO 2026 (ID 334).</t>
  </si>
  <si>
    <t xml:space="preserve">B-241</t>
  </si>
  <si>
    <t xml:space="preserve">https://hexagon.com/company/divisions/mining</t>
  </si>
  <si>
    <t xml:space="preserve">6264422</t>
  </si>
  <si>
    <t xml:space="preserve">Av. La Encalada 1388 Piso 5 Of. 501 Santiago de Surco - Lima</t>
  </si>
  <si>
    <t xml:space="preserve">HIALEAH RADIO S.A.C.</t>
  </si>
  <si>
    <t xml:space="preserve">E-329A</t>
  </si>
  <si>
    <t xml:space="preserve">www.hialeahsac.com</t>
  </si>
  <si>
    <t xml:space="preserve">ID AUTOMATION S.A.C.</t>
  </si>
  <si>
    <t xml:space="preserve">E-348B</t>
  </si>
  <si>
    <t xml:space="preserve">www.idautomat.com</t>
  </si>
  <si>
    <t xml:space="preserve">INGENIERIA DE CYCLONES, BOMBAS Y AUTOMATIZACION SAC - ICBA INGENIERIA DE CYCLONES SAC</t>
  </si>
  <si>
    <t xml:space="preserve">A-315</t>
  </si>
  <si>
    <t xml:space="preserve">https://icba.com.pe/</t>
  </si>
  <si>
    <t xml:space="preserve">INTEGRATEL PERÚ S.A.A</t>
  </si>
  <si>
    <t xml:space="preserve">A-171</t>
  </si>
  <si>
    <t xml:space="preserve">MATYC AUTOMATION S.A.C.</t>
  </si>
  <si>
    <t xml:space="preserve">A-306</t>
  </si>
  <si>
    <t xml:space="preserve">www.matycperu.com</t>
  </si>
  <si>
    <t xml:space="preserve">PALACIOS AUTOMATIC S.A.C.</t>
  </si>
  <si>
    <t xml:space="preserve">A-108</t>
  </si>
  <si>
    <t xml:space="preserve">https://palaciosautomatic.com/</t>
  </si>
  <si>
    <t xml:space="preserve">PROCESS AUTOMATION S.A.C.</t>
  </si>
  <si>
    <t xml:space="preserve">A-090</t>
  </si>
  <si>
    <t xml:space="preserve">www.pasac.pe</t>
  </si>
  <si>
    <t xml:space="preserve">ROBOTIA SPA</t>
  </si>
  <si>
    <t xml:space="preserve">Chile</t>
  </si>
  <si>
    <t xml:space="preserve">A-337</t>
  </si>
  <si>
    <t xml:space="preserve">www.robotia.cl</t>
  </si>
  <si>
    <t xml:space="preserve">RTS AUTOMATION S.A.C.</t>
  </si>
  <si>
    <t xml:space="preserve">B-177</t>
  </si>
  <si>
    <t xml:space="preserve">rts-auto.com</t>
  </si>
  <si>
    <t xml:space="preserve">TE.SA.M. PERÚ S.A.</t>
  </si>
  <si>
    <t xml:space="preserve">acliente@tesam.com</t>
  </si>
  <si>
    <t xml:space="preserve">ExpoMina 2026. También en CRM Directorio SSO 2026 (ID 178).</t>
  </si>
  <si>
    <t xml:space="preserve">E-278A</t>
  </si>
  <si>
    <t xml:space="preserve">www.tesam.com</t>
  </si>
  <si>
    <t xml:space="preserve">7054100 / 981230093</t>
  </si>
  <si>
    <t xml:space="preserve">Av. Circunvalación del Club Golf Los Incas 134 Torre 1 of. 302B Santiago de Surco - Lima</t>
  </si>
  <si>
    <t xml:space="preserve">TRANSWORLD POWER AND TELECOM S.A.C.- TRANSWORLD POWER AND TELECOM S.A.C.</t>
  </si>
  <si>
    <t xml:space="preserve">B-110</t>
  </si>
  <si>
    <t xml:space="preserve">transworld.pe</t>
  </si>
  <si>
    <t xml:space="preserve">Jhon Santillán</t>
  </si>
  <si>
    <t xml:space="preserve">VISION ONE INTERNATIONAL S.R.L.</t>
  </si>
  <si>
    <t xml:space="preserve">ventas@visionone.pe</t>
  </si>
  <si>
    <t xml:space="preserve">ExpoMina 2026. También en CRM Directorio SSO 2026 (ID 273).</t>
  </si>
  <si>
    <t xml:space="preserve">B-221</t>
  </si>
  <si>
    <t xml:space="preserve">www.visionone.pe</t>
  </si>
  <si>
    <t xml:space="preserve">(01) 7509910 / (+51) 954305931 / (+51) 991266014</t>
  </si>
  <si>
    <t xml:space="preserve">Cl. Monte Grande 188 - Santiago de Surco - Lima</t>
  </si>
  <si>
    <t xml:space="preserve">WISETRACK PERÚ SAC</t>
  </si>
  <si>
    <t xml:space="preserve">info.peru@wisetrackcorp.com</t>
  </si>
  <si>
    <t xml:space="preserve">ExpoMina 2026. También en CRM Directorio SSO 2026 (ID 183).</t>
  </si>
  <si>
    <t xml:space="preserve">A-003</t>
  </si>
  <si>
    <t xml:space="preserve">https://wisetrackcorp.com/</t>
  </si>
  <si>
    <t xml:space="preserve">(01) 6282611</t>
  </si>
  <si>
    <t xml:space="preserve">Cl. El Boulevard 180 Of. 603 Urb. Hogares de Monterrico Chico Santiago de Surco - Lima</t>
  </si>
  <si>
    <t xml:space="preserve">ZOLUXIONES IT SERVICES S.A.C.</t>
  </si>
  <si>
    <t xml:space="preserve">A-060</t>
  </si>
  <si>
    <t xml:space="preserve">zoxrobotics.com</t>
  </si>
  <si>
    <t xml:space="preserve">GEOINGENIEROS CONSULTORES S.A.C.</t>
  </si>
  <si>
    <t xml:space="preserve">Explorar alianza comercial / reventa a sus clientes</t>
  </si>
  <si>
    <t xml:space="preserve">Canal / aliado – consultoría SST</t>
  </si>
  <si>
    <t xml:space="preserve">A-028, A-373</t>
  </si>
  <si>
    <t xml:space="preserve">www.geoingenieros.com.pe</t>
  </si>
  <si>
    <t xml:space="preserve">LOGISTICA ASESORES CONSULTORES S.A.C.</t>
  </si>
  <si>
    <t xml:space="preserve">B-035, B-036</t>
  </si>
  <si>
    <t xml:space="preserve">https://lacsac.pe/</t>
  </si>
  <si>
    <t xml:space="preserve">CASTEM (CAPACITACION Y SERVICIO TECNICO MINERO) E.I.R.L.</t>
  </si>
  <si>
    <t xml:space="preserve">B-061A</t>
  </si>
  <si>
    <t xml:space="preserve">https://castem.com.pe/</t>
  </si>
  <si>
    <t xml:space="preserve">CENTRO TECNOLOGICO MINERO</t>
  </si>
  <si>
    <t xml:space="preserve">informes@cetemin.edu.pe</t>
  </si>
  <si>
    <t xml:space="preserve">ExpoMina 2026. También en CRM Directorio SSO 2026 (ID 192).</t>
  </si>
  <si>
    <t xml:space="preserve">A-363</t>
  </si>
  <si>
    <t xml:space="preserve">https://www.cetemin.edu.pe/</t>
  </si>
  <si>
    <t xml:space="preserve">7026055</t>
  </si>
  <si>
    <t xml:space="preserve">Cl. Camino Real s/n km 29 Carretera Central, Lt.E4 Sección San José Chosica - Lima</t>
  </si>
  <si>
    <t xml:space="preserve">ENGINEERING SERVICES &amp; CONSULTING S.A.C.</t>
  </si>
  <si>
    <t xml:space="preserve">A-025</t>
  </si>
  <si>
    <t xml:space="preserve">https://sincro.pe/</t>
  </si>
  <si>
    <t xml:space="preserve">FAROS ASESORES LIMITADA</t>
  </si>
  <si>
    <t xml:space="preserve">B-272F</t>
  </si>
  <si>
    <t xml:space="preserve">https://faros.cl/</t>
  </si>
  <si>
    <t xml:space="preserve">GRUPO ALFA CONSULTORES S.A.C</t>
  </si>
  <si>
    <t xml:space="preserve">E-367</t>
  </si>
  <si>
    <t xml:space="preserve">https://grupo-alfa.pe/</t>
  </si>
  <si>
    <t xml:space="preserve">IDOM CONSULTING, ENGINEERING, ARCHITECTURE, S.A.</t>
  </si>
  <si>
    <t xml:space="preserve">A-258</t>
  </si>
  <si>
    <t xml:space="preserve">https://www.idom.com/</t>
  </si>
  <si>
    <t xml:space="preserve">INERCO CONSULTORIA PERÚ S.A.C.</t>
  </si>
  <si>
    <t xml:space="preserve">infoperu@inerco.com</t>
  </si>
  <si>
    <t xml:space="preserve">ExpoMina 2026. También en CRM Directorio SSO 2026 (ID 220).</t>
  </si>
  <si>
    <t xml:space="preserve">A-045</t>
  </si>
  <si>
    <t xml:space="preserve">https://peru.inerco.com</t>
  </si>
  <si>
    <t xml:space="preserve">4801354</t>
  </si>
  <si>
    <t xml:space="preserve">Cl. Las Orquídeas 585 Piso 13 San Isidro - Lima</t>
  </si>
  <si>
    <t xml:space="preserve">INSTITUTO DE INGENIEROS DE MINAS DEL PERU</t>
  </si>
  <si>
    <t xml:space="preserve">A-293</t>
  </si>
  <si>
    <t xml:space="preserve">https://iimp.org.pe/</t>
  </si>
  <si>
    <t xml:space="preserve">MEGA SOLUCIONES S.A.C.</t>
  </si>
  <si>
    <t xml:space="preserve">ventas@megasolucionessac.com</t>
  </si>
  <si>
    <t xml:space="preserve">ExpoMina 2026. También en CRM Directorio SSO 2026 (ID 235).</t>
  </si>
  <si>
    <t xml:space="preserve">A-037</t>
  </si>
  <si>
    <t xml:space="preserve">www.megasolucionessac.com</t>
  </si>
  <si>
    <t xml:space="preserve">7199174 / 941467946</t>
  </si>
  <si>
    <t xml:space="preserve">Cl. 6 Mz.I Lt.9B Urb. Las Praderas Lurín - Lima</t>
  </si>
  <si>
    <t xml:space="preserve">MV TELEMEDICINA Y CONSULTORIA MEDICA E.I.R.L.</t>
  </si>
  <si>
    <t xml:space="preserve">B-280</t>
  </si>
  <si>
    <t xml:space="preserve">www.medvidasalud.com</t>
  </si>
  <si>
    <t xml:space="preserve">TAYM INVERSIONES &amp; ASESORIA INTEGRAL S.A.C.</t>
  </si>
  <si>
    <t xml:space="preserve">E-384</t>
  </si>
  <si>
    <t xml:space="preserve">https://www.mercadolibre.com.pe/tienda/milwaukee</t>
  </si>
  <si>
    <t xml:space="preserve">UNIVERSIDAD CONTINENTAL S.A.C.</t>
  </si>
  <si>
    <t xml:space="preserve">A-165</t>
  </si>
  <si>
    <t xml:space="preserve">https://posgrado.ucontinental.edu.pe/</t>
  </si>
  <si>
    <t xml:space="preserve">UNIVERSIDAD NACIONAL DE INGENIERIA UNI</t>
  </si>
  <si>
    <t xml:space="preserve">E-348E</t>
  </si>
  <si>
    <t xml:space="preserve">https://hub.uni.edu.pe/</t>
  </si>
  <si>
    <t xml:space="preserve">Armando Amaro</t>
  </si>
  <si>
    <t xml:space="preserve">Jefe de Ventas</t>
  </si>
  <si>
    <t xml:space="preserve">ANDES SEGURIDAD S.A.C.</t>
  </si>
  <si>
    <t xml:space="preserve">ventas@andesseguridad.com</t>
  </si>
  <si>
    <t xml:space="preserve">Evaluar como canal de distribución hacia minería/industria</t>
  </si>
  <si>
    <t xml:space="preserve">ExpoMina 2026. Varios stands (mayor inversión). También en CRM Directorio SSO 2026 (ID 275).</t>
  </si>
  <si>
    <t xml:space="preserve">Canal / distribuidor EPP</t>
  </si>
  <si>
    <t xml:space="preserve">A-030, A-031, A-177, A-177A</t>
  </si>
  <si>
    <t xml:space="preserve">www.andes-safety.com</t>
  </si>
  <si>
    <t xml:space="preserve">(01) 7152525 / (+51) 987581941 / (+51) 948501615 / (+054) 283327 / (+51) 947254611</t>
  </si>
  <si>
    <t xml:space="preserve">Cl. Dean Saavedra 170 Urb. Maranga, San Miguel - Lima | Arequipa: Mz.B Lt.12 Urb. Puerta Verde, José Luis Bustamante y Rivero</t>
  </si>
  <si>
    <t xml:space="preserve">Alan Núñez</t>
  </si>
  <si>
    <t xml:space="preserve">Gerente comercial</t>
  </si>
  <si>
    <t xml:space="preserve">SEGURINDUSTRIA SA</t>
  </si>
  <si>
    <t xml:space="preserve">contacto@segusa.com.pe</t>
  </si>
  <si>
    <t xml:space="preserve">ExpoMina 2026. También en CRM Directorio SSO 2026 (ID 272).</t>
  </si>
  <si>
    <t xml:space="preserve">A-179A</t>
  </si>
  <si>
    <t xml:space="preserve">https://segurindustria.pe/</t>
  </si>
  <si>
    <t xml:space="preserve">4500778 / 958690332 / (+51) 995668230 / (+044) 230362 / (+044) 207500 / (+51) 973848449</t>
  </si>
  <si>
    <t xml:space="preserve">Jr. Paita 191 Urb. Parque Industrial - San Juan de Miraflores - Lima | Trujillo: Av. Nicolás de Piérola 980 Urb. Primavera</t>
  </si>
  <si>
    <t xml:space="preserve">Rocío Paredes Guillén</t>
  </si>
  <si>
    <t xml:space="preserve">CENERIS E.I.R.L.</t>
  </si>
  <si>
    <t xml:space="preserve">info@ceneris.com</t>
  </si>
  <si>
    <t xml:space="preserve">Evaluar co-venta o integración de soluciones</t>
  </si>
  <si>
    <t xml:space="preserve">ExpoMina 2026. También en CRM Directorio SSO 2026 (ID 268).</t>
  </si>
  <si>
    <t xml:space="preserve">Aliado complementario – seguridad</t>
  </si>
  <si>
    <t xml:space="preserve">A-382</t>
  </si>
  <si>
    <t xml:space="preserve">https://ceneris.com/</t>
  </si>
  <si>
    <t xml:space="preserve">(01) 4800065 / (+51) 995716810 / (+51) 992098057</t>
  </si>
  <si>
    <t xml:space="preserve">Lima: Av. Tomás Marsano 1368 Urb. La Aurora, Miraflores | Arequipa: Av. Lima 147 Urb. Vallecito - Cercado</t>
  </si>
  <si>
    <t xml:space="preserve">FERREYROS SOCIEDAD ANÓNIMA</t>
  </si>
  <si>
    <t xml:space="preserve">Media</t>
  </si>
  <si>
    <t xml:space="preserve">Explorar integración con flota/equipos (visión + telemetría)</t>
  </si>
  <si>
    <t xml:space="preserve">Partner OEM – equipos mineros</t>
  </si>
  <si>
    <t xml:space="preserve">E-348G, E-348H, B-243</t>
  </si>
  <si>
    <t xml:space="preserve">www.ferreyros.com.pe</t>
  </si>
  <si>
    <t xml:space="preserve">VOLVO PERÚ S A</t>
  </si>
  <si>
    <t xml:space="preserve">alovolvo@volvo.com</t>
  </si>
  <si>
    <t xml:space="preserve">ExpoMina 2026. Varios stands (mayor inversión). También en CRM Directorio SSO 2026 (ID 674).</t>
  </si>
  <si>
    <t xml:space="preserve">PASADIZO, C-016, C-017</t>
  </si>
  <si>
    <t xml:space="preserve">volvogroupperu.pe</t>
  </si>
  <si>
    <t xml:space="preserve">3171100 / 918911611</t>
  </si>
  <si>
    <t xml:space="preserve">Carretera Panamericana Sur km 23.88 Lurín - Lima</t>
  </si>
  <si>
    <t xml:space="preserve">BOART LONGYEAR SAC</t>
  </si>
  <si>
    <t xml:space="preserve">info@boartlongyear.com</t>
  </si>
  <si>
    <t xml:space="preserve">ExpoMina 2026. Varios stands (mayor inversión). También en CRM Directorio SSO 2026 (ID 16).</t>
  </si>
  <si>
    <t xml:space="preserve">A-022, A-024</t>
  </si>
  <si>
    <t xml:space="preserve">www.boartlongyear.com</t>
  </si>
  <si>
    <t xml:space="preserve">2034200</t>
  </si>
  <si>
    <t xml:space="preserve">Av. El Derby 055 Torre 1 Of. 601 Centro de Negocios Cronos - Santiago de Surco Lima</t>
  </si>
  <si>
    <t xml:space="preserve">BRIDGESTONE MINING SOLUTIONS PERÚ S.A.C.</t>
  </si>
  <si>
    <t xml:space="preserve">E-306, E-307</t>
  </si>
  <si>
    <t xml:space="preserve">https://www.otr.bridgestone.com.pe/</t>
  </si>
  <si>
    <t xml:space="preserve">DSI UNDERGROUND PERÚ S.A.C</t>
  </si>
  <si>
    <t xml:space="preserve">E-110, E-115</t>
  </si>
  <si>
    <t xml:space="preserve">rocktechnology.sandvik/groundsupport</t>
  </si>
  <si>
    <t xml:space="preserve">XCMG PERÚ S.A.C.</t>
  </si>
  <si>
    <t xml:space="preserve">A-408, A-409</t>
  </si>
  <si>
    <t xml:space="preserve">www.xcmg.pe</t>
  </si>
  <si>
    <t xml:space="preserve">ZOOMLION HEAVY INDUSTRY PERÚ S.A.C.</t>
  </si>
  <si>
    <t xml:space="preserve">D-001, D-002</t>
  </si>
  <si>
    <t xml:space="preserve">KOMATSU-MITSUI MAQUINARIAS PERÚ S.A.</t>
  </si>
  <si>
    <t xml:space="preserve">contacto.komatsu@kmmp.com.pe</t>
  </si>
  <si>
    <t xml:space="preserve">ExpoMina 2026. También en CRM Directorio SSO 2026 (ID 612).</t>
  </si>
  <si>
    <t xml:space="preserve">D-003</t>
  </si>
  <si>
    <t xml:space="preserve">https://kmmp.com.pe/</t>
  </si>
  <si>
    <t xml:space="preserve">6158400 / 982504661</t>
  </si>
  <si>
    <t xml:space="preserve">Av. Argentina 4453 - Callao</t>
  </si>
  <si>
    <t xml:space="preserve">MARCO PERUANA S A</t>
  </si>
  <si>
    <t xml:space="preserve">C-004</t>
  </si>
  <si>
    <t xml:space="preserve">METSO PERÚ S.A.</t>
  </si>
  <si>
    <t xml:space="preserve">A-124</t>
  </si>
  <si>
    <t xml:space="preserve">https://www.metso.com/pe/</t>
  </si>
  <si>
    <t xml:space="preserve">NORMET PERÚ S.R.L.</t>
  </si>
  <si>
    <t xml:space="preserve">B-054</t>
  </si>
  <si>
    <t xml:space="preserve">www.normet.com</t>
  </si>
  <si>
    <t xml:space="preserve">SIEMAG TECBERG GMBH</t>
  </si>
  <si>
    <t xml:space="preserve">Alemania</t>
  </si>
  <si>
    <t xml:space="preserve">E-110A</t>
  </si>
  <si>
    <t xml:space="preserve">www.siemag-tecberg.com</t>
  </si>
  <si>
    <t xml:space="preserve">TRECK SEGURIDAD INDUSTRIAL S.A.C.</t>
  </si>
  <si>
    <t xml:space="preserve">ventas@treck.pe</t>
  </si>
  <si>
    <t xml:space="preserve">ExpoMina 2026. Varios stands (mayor inversión). También en CRM Directorio SSO 2026 (ID 670).</t>
  </si>
  <si>
    <t xml:space="preserve">E-268B, E-268C, E-268D, E-268G, E-268H, E-268I</t>
  </si>
  <si>
    <t xml:space="preserve">https://trecksafety.com/</t>
  </si>
  <si>
    <t xml:space="preserve">980920323</t>
  </si>
  <si>
    <t xml:space="preserve">Av. Manuel Olguín 211 Int. 903 Santiago de Surco - Lima</t>
  </si>
  <si>
    <t xml:space="preserve">EMPRESA METAL MECANICA S A EMEMSA</t>
  </si>
  <si>
    <t xml:space="preserve">A-144, A-145</t>
  </si>
  <si>
    <t xml:space="preserve">https://ememsa.com/</t>
  </si>
  <si>
    <t xml:space="preserve">EXIGE INDUSTRIAL S.A.C.</t>
  </si>
  <si>
    <t xml:space="preserve">ventas@exigeindustrial.com</t>
  </si>
  <si>
    <t xml:space="preserve">ExpoMina 2026. Varios stands (mayor inversión). También en CRM Directorio SSO 2026 (ID 410).</t>
  </si>
  <si>
    <t xml:space="preserve">A-126, A-127</t>
  </si>
  <si>
    <t xml:space="preserve">https://exigeindustrial.com/</t>
  </si>
  <si>
    <t xml:space="preserve">993766468</t>
  </si>
  <si>
    <t xml:space="preserve">Cl. Los Talladores 275 Urb. Los Artesanos Ate - Lima</t>
  </si>
  <si>
    <t xml:space="preserve">INDUSTRIAS MANRIQUE S.A.C.</t>
  </si>
  <si>
    <t xml:space="preserve">ventas@grupomanrique.com</t>
  </si>
  <si>
    <t xml:space="preserve">ExpoMina 2026. Varios stands (mayor inversión). También en CRM Directorio SSO 2026 (ID 421).</t>
  </si>
  <si>
    <t xml:space="preserve">B-244, B-245</t>
  </si>
  <si>
    <t xml:space="preserve">im.com.pe</t>
  </si>
  <si>
    <t xml:space="preserve">6344747 / 982052829</t>
  </si>
  <si>
    <t xml:space="preserve">Cl. Los Tornos 259 Urb. El Naranjal San Martín de Porres - Lima</t>
  </si>
  <si>
    <t xml:space="preserve">SITHEMSA DEL PERÚ S.A.C.</t>
  </si>
  <si>
    <t xml:space="preserve">A-008, A-009</t>
  </si>
  <si>
    <t xml:space="preserve">www.sithemsa.com</t>
  </si>
  <si>
    <t xml:space="preserve">SOLTRAK S.A.</t>
  </si>
  <si>
    <t xml:space="preserve">ventas@soltrak.com.pe</t>
  </si>
  <si>
    <t xml:space="preserve">ExpoMina 2026. Varios stands (mayor inversión). También en CRM Directorio SSO 2026 (ID 455).</t>
  </si>
  <si>
    <t xml:space="preserve">E-353, E-358</t>
  </si>
  <si>
    <t xml:space="preserve">https://www.soltrak.com.pe/</t>
  </si>
  <si>
    <t xml:space="preserve">(01) 6301700 / (+51) 942839776</t>
  </si>
  <si>
    <t xml:space="preserve">Av. Argentina 5799, Carmen de la Legua - Callao</t>
  </si>
  <si>
    <t xml:space="preserve">TOPOEQUIPOS T&amp;T S.R.L.</t>
  </si>
  <si>
    <t xml:space="preserve">comercial@topoequiposperu.com</t>
  </si>
  <si>
    <t xml:space="preserve">ExpoMina 2026. Varios stands (mayor inversión). También en CRM Directorio SSO 2026 (ID 459).</t>
  </si>
  <si>
    <t xml:space="preserve">A-033, A-034</t>
  </si>
  <si>
    <t xml:space="preserve">https://www.topoequiposperu.com/</t>
  </si>
  <si>
    <t xml:space="preserve">6067942</t>
  </si>
  <si>
    <t xml:space="preserve">Av. Manuel Olguín 501 Dpto. 904 Santiago de Surco - Lima</t>
  </si>
  <si>
    <t xml:space="preserve">VICSA SAFETY PERÚ S.A.C.</t>
  </si>
  <si>
    <t xml:space="preserve">ventas@vicsasafety.com.pe</t>
  </si>
  <si>
    <t xml:space="preserve">ExpoMina 2026. Varios stands (mayor inversión). También en CRM Directorio SSO 2026 (ID 463).</t>
  </si>
  <si>
    <t xml:space="preserve">A-093, A-094</t>
  </si>
  <si>
    <t xml:space="preserve">www.vicsasafety.com.pe</t>
  </si>
  <si>
    <t xml:space="preserve">7157200 / 960840890</t>
  </si>
  <si>
    <t xml:space="preserve">Av. Santa Rosa 350 Zona Industrial Ate - Lima</t>
  </si>
  <si>
    <t xml:space="preserve">ALLSAFE SAFETY S.A.C.</t>
  </si>
  <si>
    <t xml:space="preserve">A-180</t>
  </si>
  <si>
    <t xml:space="preserve">www.allsafeperu.com</t>
  </si>
  <si>
    <t xml:space="preserve">CATHAY SAFETY TECHNOLOGY CO.,LTD.</t>
  </si>
  <si>
    <t xml:space="preserve">China</t>
  </si>
  <si>
    <t xml:space="preserve">A-331</t>
  </si>
  <si>
    <t xml:space="preserve">https://www.s-sar.com/</t>
  </si>
  <si>
    <t xml:space="preserve">DELTA PLUS PERÚ S.A.C.</t>
  </si>
  <si>
    <t xml:space="preserve">deltaplusperu@deltaplus.eu</t>
  </si>
  <si>
    <t xml:space="preserve">ExpoMina 2026. También en CRM Directorio SSO 2026 (ID 404).</t>
  </si>
  <si>
    <t xml:space="preserve">A-418</t>
  </si>
  <si>
    <t xml:space="preserve">www.deltaplus.eu</t>
  </si>
  <si>
    <t xml:space="preserve">2083380</t>
  </si>
  <si>
    <t xml:space="preserve">Av. Los Eucaliptos 371 Urb. Santa Genoveva, Lurín - Lima</t>
  </si>
  <si>
    <t xml:space="preserve">EMPRESAS COMERCIALES S.A.</t>
  </si>
  <si>
    <t xml:space="preserve">ventasindustrials.peru@bata.com</t>
  </si>
  <si>
    <t xml:space="preserve">ExpoMina 2026. También en CRM Directorio SSO 2026 (ID 407).</t>
  </si>
  <si>
    <t xml:space="preserve">A-333</t>
  </si>
  <si>
    <t xml:space="preserve">https://www.bataindustrials.pe/</t>
  </si>
  <si>
    <t xml:space="preserve">4888300</t>
  </si>
  <si>
    <t xml:space="preserve">Av. Ricardo Palma 341 - Miraflores Lima Anx.606</t>
  </si>
  <si>
    <t xml:space="preserve">FIEMSA SAC</t>
  </si>
  <si>
    <t xml:space="preserve">B-242</t>
  </si>
  <si>
    <t xml:space="preserve">www.fiemsa.com</t>
  </si>
  <si>
    <t xml:space="preserve">GUILLERMO ROMERO S.A.C.</t>
  </si>
  <si>
    <t xml:space="preserve">ventas@grupoagra.com</t>
  </si>
  <si>
    <t xml:space="preserve">ExpoMina 2026. También en CRM Directorio SSO 2026 (ID 415).</t>
  </si>
  <si>
    <t xml:space="preserve">A-098</t>
  </si>
  <si>
    <t xml:space="preserve">www.grupoagra.com</t>
  </si>
  <si>
    <t xml:space="preserve">943862542</t>
  </si>
  <si>
    <t xml:space="preserve">Av. Horacio Urteaga 1156 Of. 201 Jesús María - Lima</t>
  </si>
  <si>
    <t xml:space="preserve">PERU FORUS S.A.</t>
  </si>
  <si>
    <t xml:space="preserve">info@forusperu.com</t>
  </si>
  <si>
    <t xml:space="preserve">ExpoMina 2026. También en CRM Directorio SSO 2026 (ID 436).</t>
  </si>
  <si>
    <t xml:space="preserve">B-116</t>
  </si>
  <si>
    <t xml:space="preserve">www.norseg.pe</t>
  </si>
  <si>
    <t xml:space="preserve">6480000</t>
  </si>
  <si>
    <t xml:space="preserve">Cl. Amador Merino Reyna 267 Of. 1101 Edf. Parque Plaza - San Isidro - Lima</t>
  </si>
  <si>
    <t xml:space="preserve">QUALITY &amp; SAFETY ENGINEERING S.A.C.- Q &amp; S ENGINEERING S.A.C.</t>
  </si>
  <si>
    <t xml:space="preserve">A-154</t>
  </si>
  <si>
    <t xml:space="preserve">www.qsesac.com</t>
  </si>
  <si>
    <t xml:space="preserve">SHELBY GROUP INTERNATIONAL INC (D.B.A. MCR SAFETY)</t>
  </si>
  <si>
    <t xml:space="preserve">A-431</t>
  </si>
  <si>
    <t xml:space="preserve">https://www.mcrsafety.com/</t>
  </si>
  <si>
    <t xml:space="preserve">TRADE SANDDER GROUP S.A.C.</t>
  </si>
  <si>
    <t xml:space="preserve">ventasindustrial4@tradesandder.com</t>
  </si>
  <si>
    <t xml:space="preserve">ExpoMina 2026. También en CRM Directorio SSO 2026 (ID 461).</t>
  </si>
  <si>
    <t xml:space="preserve">A-190</t>
  </si>
  <si>
    <t xml:space="preserve">https://sanddertnt.com/</t>
  </si>
  <si>
    <t xml:space="preserve">987097155</t>
  </si>
  <si>
    <t xml:space="preserve">Parque Industrial Río Seco Mz. B Lt. 4 Cerro Colorado - Arequipa</t>
  </si>
  <si>
    <t xml:space="preserve">WENZHOU BOSHI SAFETY PRODUCTS CO.,LTD</t>
  </si>
  <si>
    <t xml:space="preserve">A-046</t>
  </si>
  <si>
    <t xml:space="preserve">www.oshalock.com</t>
  </si>
  <si>
    <t xml:space="preserve">ZAIWOR S.A.C.</t>
  </si>
  <si>
    <t xml:space="preserve">B-051</t>
  </si>
  <si>
    <t xml:space="preserve">https://ecoimsa.com/</t>
  </si>
  <si>
    <t xml:space="preserve">CENTEX INSTRUMENTACION Y EQUIPOS S.A.C.</t>
  </si>
  <si>
    <t xml:space="preserve">consultas@centex.com.pe</t>
  </si>
  <si>
    <t xml:space="preserve">ExpoMina 2026. También en CRM Directorio SSO 2026 (ID 297).</t>
  </si>
  <si>
    <t xml:space="preserve">B-027</t>
  </si>
  <si>
    <t xml:space="preserve">www.centex.pe</t>
  </si>
  <si>
    <t xml:space="preserve">2711703</t>
  </si>
  <si>
    <t xml:space="preserve">Jr. Ciudad Real 290 Urb. Residencial Higuereta, Santiago de Surco - Lima</t>
  </si>
  <si>
    <t xml:space="preserve">COMPAÑIA DE SEGURIDAD PROSEGUR S. A</t>
  </si>
  <si>
    <t xml:space="preserve">A-194</t>
  </si>
  <si>
    <t xml:space="preserve">https://www.prosegur.com.pe/empresas/soluciones-efectivo/mineria</t>
  </si>
  <si>
    <t xml:space="preserve">FIRE SUPPRESSION SYSTEMS S.A.C.</t>
  </si>
  <si>
    <t xml:space="preserve">E-190</t>
  </si>
  <si>
    <t xml:space="preserve">www.fss-peru.com</t>
  </si>
  <si>
    <t xml:space="preserve">FIREMED S.A.C.</t>
  </si>
  <si>
    <t xml:space="preserve">ventas@firemed.com.pe</t>
  </si>
  <si>
    <t xml:space="preserve">ExpoMina 2026. También en CRM Directorio SSO 2026 (ID 321).</t>
  </si>
  <si>
    <t xml:space="preserve">A-432</t>
  </si>
  <si>
    <t xml:space="preserve">www.firemed.com.pe</t>
  </si>
  <si>
    <t xml:space="preserve">3660000 / 939194183</t>
  </si>
  <si>
    <t xml:space="preserve">Av. Santiago de Surco 3845 Urb. Vista Alegre, Santiago de Surco - Lima</t>
  </si>
  <si>
    <t xml:space="preserve">HERMES TRANSPORTES BLINDADOS S A</t>
  </si>
  <si>
    <t xml:space="preserve">sac@hermes.com.pe</t>
  </si>
  <si>
    <t xml:space="preserve">ExpoMina 2026. También en CRM Directorio SSO 2026 (ID 333).</t>
  </si>
  <si>
    <t xml:space="preserve">A-311</t>
  </si>
  <si>
    <t xml:space="preserve">www.hermes.com.pe</t>
  </si>
  <si>
    <t xml:space="preserve">6174004</t>
  </si>
  <si>
    <t xml:space="preserve">Av. Producción Nacional 278 Urb. La Villa, Chorrillos - Lima</t>
  </si>
  <si>
    <t xml:space="preserve">IFLUTECH S.A.C.</t>
  </si>
  <si>
    <t xml:space="preserve">ventas@iflutech.com</t>
  </si>
  <si>
    <t xml:space="preserve">ExpoMina 2026. También en CRM Directorio SSO 2026 (ID 336).</t>
  </si>
  <si>
    <t xml:space="preserve">B-064</t>
  </si>
  <si>
    <t xml:space="preserve">www.iflutech.com</t>
  </si>
  <si>
    <t xml:space="preserve">5482323 / 987223441</t>
  </si>
  <si>
    <t xml:space="preserve">Av. El Derby 254 Of. 1401 Santiago de Surco - Lima</t>
  </si>
  <si>
    <t xml:space="preserve">Ricardo Cossio</t>
  </si>
  <si>
    <t xml:space="preserve">INGENIERIA Y SISTEMAS OPEN WORLD S.A.C.</t>
  </si>
  <si>
    <t xml:space="preserve">info@openworldlatam.com</t>
  </si>
  <si>
    <t xml:space="preserve">ExpoMina 2026. También en CRM Directorio SSO 2026 (ID 338).</t>
  </si>
  <si>
    <t xml:space="preserve">B-271</t>
  </si>
  <si>
    <t xml:space="preserve">www.openworldlatam.com</t>
  </si>
  <si>
    <t xml:space="preserve">(01) 7112887 / (+51) 949777702</t>
  </si>
  <si>
    <t xml:space="preserve">Cl. Los Antares 320 Torre B Of. 902 Santiago de Surco - Lima</t>
  </si>
  <si>
    <t xml:space="preserve">MERCH INDUSTRIAL S.A.C.</t>
  </si>
  <si>
    <t xml:space="preserve">E-049</t>
  </si>
  <si>
    <t xml:space="preserve">www.firetex.com.pe</t>
  </si>
  <si>
    <t xml:space="preserve">MINEARC SYSTEMS</t>
  </si>
  <si>
    <t xml:space="preserve">roberto.breyer@minearcusa.com</t>
  </si>
  <si>
    <t xml:space="preserve">ExpoMina 2026. También en CRM Directorio SSO 2026 (ID 347).</t>
  </si>
  <si>
    <t xml:space="preserve">A-043</t>
  </si>
  <si>
    <t xml:space="preserve">www.minearc.com</t>
  </si>
  <si>
    <t xml:space="preserve">(+51) 947992239</t>
  </si>
  <si>
    <t xml:space="preserve">Sebastián Barranca 311 - Arequipa</t>
  </si>
  <si>
    <t xml:space="preserve">PROTECCION VIP SEGURIDAD Y VIGILANCIA S.A.C.</t>
  </si>
  <si>
    <t xml:space="preserve">B-217</t>
  </si>
  <si>
    <t xml:space="preserve">https://proteccion-vip.com.pe/</t>
  </si>
  <si>
    <t xml:space="preserve">UNI-SPAN PERÚ S.A.</t>
  </si>
  <si>
    <t xml:space="preserve">ExpoMina 2026. También en CRM Directorio SSO 2026 (ID 381).</t>
  </si>
  <si>
    <t xml:space="preserve">E-350</t>
  </si>
  <si>
    <t xml:space="preserve">www.unispan.com.pe</t>
  </si>
  <si>
    <t xml:space="preserve">2641242 / 998222039</t>
  </si>
  <si>
    <t xml:space="preserve">Jr. Los Tulipanes Mz. H Lt. 7B (Unidad C 10857 Lt. A) Urb. Huertos de Santa Genoveva Lurín - Lima</t>
  </si>
  <si>
    <t xml:space="preserve">OXIMEDIC S.A.C.</t>
  </si>
  <si>
    <t xml:space="preserve">Evaluar alianza en salud ocupacional / fatiga</t>
  </si>
  <si>
    <t xml:space="preserve">Aliado complementario – salud</t>
  </si>
  <si>
    <t xml:space="preserve">B-164</t>
  </si>
  <si>
    <t xml:space="preserve">www.oximedicimport.com</t>
  </si>
  <si>
    <t xml:space="preserve">EMBAJADA DE CHILE - PROCHILE</t>
  </si>
  <si>
    <t xml:space="preserve">Networking institucional; identificar contacto de pabellón</t>
  </si>
  <si>
    <t xml:space="preserve">Institución / gremio / pabellón país</t>
  </si>
  <si>
    <t xml:space="preserve">B-120, B-121, B-122, B-123, B-124, B-125, B-126, B-127, B-128, B-129</t>
  </si>
  <si>
    <t xml:space="preserve">EMBAJADA DE LOS ESTADOS UNIDOS AMERICA</t>
  </si>
  <si>
    <t xml:space="preserve">Estados Unidos</t>
  </si>
  <si>
    <t xml:space="preserve">A-271, A-272, A-273</t>
  </si>
  <si>
    <t xml:space="preserve">www.trade.gov</t>
  </si>
  <si>
    <t xml:space="preserve">MINISTERIO DE ENERGIA Y MINAS</t>
  </si>
  <si>
    <t xml:space="preserve">E-270, E-271, E-272</t>
  </si>
  <si>
    <t xml:space="preserve">https://www.gob.pe/minem</t>
  </si>
  <si>
    <t xml:space="preserve">CAMARA DE COMERCIO E INDUSTRIA PERUANO ALEMANA</t>
  </si>
  <si>
    <t xml:space="preserve">A-312, A-313</t>
  </si>
  <si>
    <t xml:space="preserve">https://peru.ahk.de/es</t>
  </si>
  <si>
    <t xml:space="preserve">ASOCIACION EMPRESARIOS POR LA EDUCACION</t>
  </si>
  <si>
    <t xml:space="preserve">A-039A</t>
  </si>
  <si>
    <t xml:space="preserve">www.empresariosporlaeducacion.org.pe</t>
  </si>
  <si>
    <t xml:space="preserve">GROUP GLOBAL INVESTEMENT AND SERVICES S.A.C</t>
  </si>
  <si>
    <t xml:space="preserve">B-050</t>
  </si>
  <si>
    <t xml:space="preserve">https://gloinser.com/</t>
  </si>
  <si>
    <t xml:space="preserve">JK INVESTMENT S.A.C.</t>
  </si>
  <si>
    <t xml:space="preserve">E-340</t>
  </si>
  <si>
    <t xml:space="preserve">https://machines-investment.com/</t>
  </si>
  <si>
    <t xml:space="preserve">GRAND CREATION EXHIBITION (QUANZHOU) CO.,LTD.</t>
  </si>
  <si>
    <t xml:space="preserve">Baja</t>
  </si>
  <si>
    <t xml:space="preserve">Nutrir con contenido; sin acción comercial inmediata</t>
  </si>
  <si>
    <t xml:space="preserve">Proveedor industrial (equipos/insumos)</t>
  </si>
  <si>
    <t xml:space="preserve">E-276, E-327, A-368, A-369, A-370, A-372</t>
  </si>
  <si>
    <t xml:space="preserve">BEIJING JIADA INTERNATIONAL EXHIBITION CO., L</t>
  </si>
  <si>
    <t xml:space="preserve">A-367A, A-367B, A-367F, A-367G, A-367H</t>
  </si>
  <si>
    <t xml:space="preserve">https://www.wuzheng.com/</t>
  </si>
  <si>
    <t xml:space="preserve">OR MAQUINARIAS S.A.C.</t>
  </si>
  <si>
    <t xml:space="preserve">B-104, B-105, B-108, B-109, E-001A</t>
  </si>
  <si>
    <t xml:space="preserve">https://www.ormaquinarias-rental.com.pe/; https://ormaquinarias.com.pe/</t>
  </si>
  <si>
    <t xml:space="preserve">ANDES MOTOR PERÚ S.A.C.</t>
  </si>
  <si>
    <t xml:space="preserve">C-001, E-009D, E-009E, E-009F</t>
  </si>
  <si>
    <t xml:space="preserve">www.andesmaq.com/pe</t>
  </si>
  <si>
    <t xml:space="preserve">BEIJING BOM INTERNATIONAL EXHIBITION CO, LTD</t>
  </si>
  <si>
    <t xml:space="preserve">E-420, E-421, E-422, E-423</t>
  </si>
  <si>
    <t xml:space="preserve">FUNDACIÓN ARGENTINA PARA LA PROMOCIÓN DE INVERSIONES Y COMERCIO INTERNACIONAL - PROMARGENTINA</t>
  </si>
  <si>
    <t xml:space="preserve">Argentina</t>
  </si>
  <si>
    <t xml:space="preserve">B-141E, B-141F, B-141G, B-141H</t>
  </si>
  <si>
    <t xml:space="preserve">promargentina.ar; https://arminera.ar.messefrankfurt.com/buenosaires/es.html; www.carretonesbrito.ar; www.saenzdynos.com.ar</t>
  </si>
  <si>
    <t xml:space="preserve">HAIAN RUBBER GROUP CO.,LTD</t>
  </si>
  <si>
    <t xml:space="preserve">E-239, E-240, E-244, E-245</t>
  </si>
  <si>
    <t xml:space="preserve">https://www.haiangroup.com/</t>
  </si>
  <si>
    <t xml:space="preserve">INTCOMEX PERÚ S.A.C</t>
  </si>
  <si>
    <t xml:space="preserve">A-321, A-322, A-325, A-326</t>
  </si>
  <si>
    <t xml:space="preserve">https://store.intcomex.com/es-xpe/home</t>
  </si>
  <si>
    <t xml:space="preserve">MUR - WY S.A.C.</t>
  </si>
  <si>
    <t xml:space="preserve">B-031A, B-032, B-033, B-034</t>
  </si>
  <si>
    <t xml:space="preserve">https://apucorp.pe/</t>
  </si>
  <si>
    <t xml:space="preserve">SANTA CLARA MULTIMAQ S.A.C.</t>
  </si>
  <si>
    <t xml:space="preserve">E-323D, E-323E, E-324D, E-324E</t>
  </si>
  <si>
    <t xml:space="preserve">santaclara.com.pe</t>
  </si>
  <si>
    <t xml:space="preserve">SIBAN PEOSA</t>
  </si>
  <si>
    <t xml:space="preserve">A-360, A-361, A-364, A-365</t>
  </si>
  <si>
    <t xml:space="preserve">https://www.siban.com/</t>
  </si>
  <si>
    <t xml:space="preserve">ZAPLER S.A.C.</t>
  </si>
  <si>
    <t xml:space="preserve">A-344, A-345, A-348, A-349</t>
  </si>
  <si>
    <t xml:space="preserve">https://www.zapler.com/</t>
  </si>
  <si>
    <t xml:space="preserve">AIRTEC S A</t>
  </si>
  <si>
    <t xml:space="preserve">airtec@airtec.com.pe</t>
  </si>
  <si>
    <t xml:space="preserve">ExpoMina 2026. Varios stands (mayor inversión). También en CRM Directorio SSO 2026 (ID 519).</t>
  </si>
  <si>
    <t xml:space="preserve">B-206, B-207, B-208</t>
  </si>
  <si>
    <t xml:space="preserve">www.airtec.com.pe</t>
  </si>
  <si>
    <t xml:space="preserve">7153956</t>
  </si>
  <si>
    <t xml:space="preserve">Jr. Manuel Arispe 311 Urb. La Chalaca Callao</t>
  </si>
  <si>
    <t xml:space="preserve">DONGGUAN SANHUI MACHINERY CO., LTD</t>
  </si>
  <si>
    <t xml:space="preserve">E-198F, E-198G, E-198H</t>
  </si>
  <si>
    <t xml:space="preserve">dekahydrauli.com</t>
  </si>
  <si>
    <t xml:space="preserve">EBRO ARMATUREN PERÚ S.R.L.</t>
  </si>
  <si>
    <t xml:space="preserve">A-053, A-054, A-055</t>
  </si>
  <si>
    <t xml:space="preserve">https://www.ebro-armaturen.com/en/company/ebro-places/ebro-peru/</t>
  </si>
  <si>
    <t xml:space="preserve">GLOBALTEC S.A.C.</t>
  </si>
  <si>
    <t xml:space="preserve">B-204, B-205, E-209</t>
  </si>
  <si>
    <t xml:space="preserve">globaltec.com.pe</t>
  </si>
  <si>
    <t xml:space="preserve">INVERSIONES BAHAMONDE S.A.C.</t>
  </si>
  <si>
    <t xml:space="preserve">E-346A, E-347, E-346</t>
  </si>
  <si>
    <t xml:space="preserve">www.bi250.com</t>
  </si>
  <si>
    <t xml:space="preserve">ABASTECEDORES Y SERVICIOS INDUSTRIALES S.A.</t>
  </si>
  <si>
    <t xml:space="preserve">B-300, B-304</t>
  </si>
  <si>
    <t xml:space="preserve">www.absisa.com</t>
  </si>
  <si>
    <t xml:space="preserve">ACCUAPRODUCT S.A.C.</t>
  </si>
  <si>
    <t xml:space="preserve">ventas@accuaproduct.com</t>
  </si>
  <si>
    <t xml:space="preserve">ExpoMina 2026. Varios stands (mayor inversión). También en CRM Directorio SSO 2026 (ID 515).</t>
  </si>
  <si>
    <t xml:space="preserve">B-149, B-151</t>
  </si>
  <si>
    <t xml:space="preserve">www.accuaproduct.com</t>
  </si>
  <si>
    <t xml:space="preserve">4361400</t>
  </si>
  <si>
    <t xml:space="preserve">Cl. Los Talabarteros 161 Urb. El Artesano - Ate - Lima</t>
  </si>
  <si>
    <t xml:space="preserve">ACRE SURVEYING SOLUTIONS PERÚ S.A.C - ACRE PERÚ S.A.C.</t>
  </si>
  <si>
    <t xml:space="preserve">A-137, A-138</t>
  </si>
  <si>
    <t xml:space="preserve">www.grupoacre.lat</t>
  </si>
  <si>
    <t xml:space="preserve">ALS LS PERÚ S.A.C.</t>
  </si>
  <si>
    <t xml:space="preserve">E-430, E-431</t>
  </si>
  <si>
    <t xml:space="preserve">https://als-inspection.cl/</t>
  </si>
  <si>
    <t xml:space="preserve">ANHUI ANRUI I-TECH ENGINEERING MACHINERY CO.,LTD</t>
  </si>
  <si>
    <t xml:space="preserve">E-024, E-025</t>
  </si>
  <si>
    <t xml:space="preserve">ww.anrvai.com</t>
  </si>
  <si>
    <t xml:space="preserve">ANHUI SANFANG NEW MATERIAL TECHNOLOGY CO., LTD.</t>
  </si>
  <si>
    <t xml:space="preserve">A-393, A-394</t>
  </si>
  <si>
    <t xml:space="preserve">http://en.ahsanfang.com.cn/</t>
  </si>
  <si>
    <t xml:space="preserve">APTEIN SAC</t>
  </si>
  <si>
    <t xml:space="preserve">B-019B, B-020</t>
  </si>
  <si>
    <t xml:space="preserve">www.aptein.pe</t>
  </si>
  <si>
    <t xml:space="preserve">AROS DEL PACIFICO S.A.C.</t>
  </si>
  <si>
    <t xml:space="preserve">E-260, E-265</t>
  </si>
  <si>
    <t xml:space="preserve">www.aros.com.pe</t>
  </si>
  <si>
    <t xml:space="preserve">BALFLEX PERÚ SAC</t>
  </si>
  <si>
    <t xml:space="preserve">E-059, E-060</t>
  </si>
  <si>
    <t xml:space="preserve">www.balflexperu.com</t>
  </si>
  <si>
    <t xml:space="preserve">BANCO INTERNACIONAL DEL PERU</t>
  </si>
  <si>
    <t xml:space="preserve">B-214, B-220</t>
  </si>
  <si>
    <t xml:space="preserve">interbank.pe/facturanegociable</t>
  </si>
  <si>
    <t xml:space="preserve">BRANIF PERÚ S.A.C</t>
  </si>
  <si>
    <t xml:space="preserve">B-038, B-039</t>
  </si>
  <si>
    <t xml:space="preserve">www.branifperu.com</t>
  </si>
  <si>
    <t xml:space="preserve">BRESDEL S.A.C.</t>
  </si>
  <si>
    <t xml:space="preserve">B-141C, B-141D</t>
  </si>
  <si>
    <t xml:space="preserve">https://bresdelmining.com</t>
  </si>
  <si>
    <t xml:space="preserve">CAR SPORTS S.A.C.</t>
  </si>
  <si>
    <t xml:space="preserve">A-256, A-257</t>
  </si>
  <si>
    <t xml:space="preserve">www.segwaypowersports.com.pe</t>
  </si>
  <si>
    <t xml:space="preserve">CARGAMAX</t>
  </si>
  <si>
    <t xml:space="preserve">E-294, E-299</t>
  </si>
  <si>
    <t xml:space="preserve">www.cargamax.pe</t>
  </si>
  <si>
    <t xml:space="preserve">CARGOTECNICA S.A.C.</t>
  </si>
  <si>
    <t xml:space="preserve">E-175, E-176</t>
  </si>
  <si>
    <t xml:space="preserve">www.cargotecnica.com</t>
  </si>
  <si>
    <t xml:space="preserve">CEPICON SOCIEDAD ANÓNIMA CERRADA</t>
  </si>
  <si>
    <t xml:space="preserve">E-365, E-366</t>
  </si>
  <si>
    <t xml:space="preserve">https://www.cepicon.com.pe/</t>
  </si>
  <si>
    <t xml:space="preserve">CEYESA INGENIERIA ELECTRICA S.A.</t>
  </si>
  <si>
    <t xml:space="preserve">ventas@ceyesa.com.pe</t>
  </si>
  <si>
    <t xml:space="preserve">ExpoMina 2026. Varios stands (mayor inversión). También en CRM Directorio SSO 2026 (ID 551).</t>
  </si>
  <si>
    <t xml:space="preserve">A-129, A-130</t>
  </si>
  <si>
    <t xml:space="preserve">www.ceyesa.com.pe</t>
  </si>
  <si>
    <t xml:space="preserve">6268585</t>
  </si>
  <si>
    <t xml:space="preserve">Av. Enrique Meiggs 253 Urb. Parque Internacional de Industria y Comercio Callao</t>
  </si>
  <si>
    <t xml:space="preserve">CHEMIFABRIK PERÚ S.A.C.- CHEMIFABRIK</t>
  </si>
  <si>
    <t xml:space="preserve">B-249, B-251</t>
  </si>
  <si>
    <t xml:space="preserve">www.chemifabrik.com.pe</t>
  </si>
  <si>
    <t xml:space="preserve">CM INTERNATIONAL MEXICO INFORMATION TECHNOLOGY</t>
  </si>
  <si>
    <t xml:space="preserve">A-340, A-341</t>
  </si>
  <si>
    <t xml:space="preserve">www.cmi.chinamobile.com</t>
  </si>
  <si>
    <t xml:space="preserve">CODELPA PERÚ S.A.C.</t>
  </si>
  <si>
    <t xml:space="preserve">B-159, B-161</t>
  </si>
  <si>
    <t xml:space="preserve">www.codelpa.cl/peru</t>
  </si>
  <si>
    <t xml:space="preserve">COMERCIAL CISGE S.A.C.</t>
  </si>
  <si>
    <t xml:space="preserve">E-019, E-020</t>
  </si>
  <si>
    <t xml:space="preserve">hhtp.//www.comercialcisgesac.com.pe</t>
  </si>
  <si>
    <t xml:space="preserve">COMERCIAL INDUSTRIAL DELTA S A CIDELSA</t>
  </si>
  <si>
    <t xml:space="preserve">info@cidelsa.com</t>
  </si>
  <si>
    <t xml:space="preserve">ExpoMina 2026. Varios stands (mayor inversión). También en CRM Directorio SSO 2026 (ID 556).</t>
  </si>
  <si>
    <t xml:space="preserve">B-199, B-200</t>
  </si>
  <si>
    <t xml:space="preserve">www.cidelsa.com</t>
  </si>
  <si>
    <t xml:space="preserve">992768385</t>
  </si>
  <si>
    <t xml:space="preserve">Av. Los Flamencos Mz.F Lt.5-6 Urb. Santa Genoveva, Lurín - Lima</t>
  </si>
  <si>
    <t xml:space="preserve">COMERCIO &amp; CIA S.A.</t>
  </si>
  <si>
    <t xml:space="preserve">B-022, C-015</t>
  </si>
  <si>
    <t xml:space="preserve">https://www.comerciollantas.com.pe/</t>
  </si>
  <si>
    <t xml:space="preserve">COMREIVIC S.A.C.</t>
  </si>
  <si>
    <t xml:space="preserve">E-325, E-325B</t>
  </si>
  <si>
    <t xml:space="preserve">https://www.comreivic.com.pe/nosotros/</t>
  </si>
  <si>
    <t xml:space="preserve">CONSORCIO GEOHIDRAULICA S.A.C.</t>
  </si>
  <si>
    <t xml:space="preserve">E-278, E-278C</t>
  </si>
  <si>
    <t xml:space="preserve">https://geohidraulica.com/</t>
  </si>
  <si>
    <t xml:space="preserve">CORE TECH S.A</t>
  </si>
  <si>
    <t xml:space="preserve">B-236, B-237</t>
  </si>
  <si>
    <t xml:space="preserve">www.coretech.com.pe</t>
  </si>
  <si>
    <t xml:space="preserve">CORPORACION PERUANA DE PRODUCTOS QUIMICOS S.A. - CPPQ S.A.</t>
  </si>
  <si>
    <t xml:space="preserve">B-231, B-232</t>
  </si>
  <si>
    <t xml:space="preserve">https://www.pinturasjet.com/</t>
  </si>
  <si>
    <t xml:space="preserve">CRISOLO CORPORATION S.A.C.</t>
  </si>
  <si>
    <t xml:space="preserve">A-059, A-062</t>
  </si>
  <si>
    <t xml:space="preserve">www.wontech-drill.com</t>
  </si>
  <si>
    <t xml:space="preserve">CROMASA S.A.C</t>
  </si>
  <si>
    <t xml:space="preserve">B-065, B-066</t>
  </si>
  <si>
    <t xml:space="preserve">www.cromasa.com.pe</t>
  </si>
  <si>
    <t xml:space="preserve">DETROIT POWER SYSTEM PERÚ LIMITADA S.R.L.</t>
  </si>
  <si>
    <t xml:space="preserve">A-288, A-289</t>
  </si>
  <si>
    <t xml:space="preserve">www.detroit.pe</t>
  </si>
  <si>
    <t xml:space="preserve">DICOMET PERÚ S.A.C.- DICOMET PERÚ S.A.C.</t>
  </si>
  <si>
    <t xml:space="preserve">B-227, B-228</t>
  </si>
  <si>
    <t xml:space="preserve">dicomet.com.pe</t>
  </si>
  <si>
    <t xml:space="preserve">ELECTRO CONDUCTORES PERUANOS S.A.C</t>
  </si>
  <si>
    <t xml:space="preserve">ventas@elcope.com.pe</t>
  </si>
  <si>
    <t xml:space="preserve">ExpoMina 2026. Varios stands (mayor inversión). También en CRM Directorio SSO 2026 (ID 568).</t>
  </si>
  <si>
    <t xml:space="preserve">E-091, E-095</t>
  </si>
  <si>
    <t xml:space="preserve">www.elcope.com.pe</t>
  </si>
  <si>
    <t xml:space="preserve">6602652</t>
  </si>
  <si>
    <t xml:space="preserve">Cl. Las Camelias Mz. D Lt. 5 Urb. Huertos de Pachacamac Lurín - Lima</t>
  </si>
  <si>
    <t xml:space="preserve">ENERGOTEC SAC</t>
  </si>
  <si>
    <t xml:space="preserve">ventas@energotecsac.com</t>
  </si>
  <si>
    <t xml:space="preserve">ExpoMina 2026. Varios stands (mayor inversión). También en CRM Directorio SSO 2026 (ID 571).</t>
  </si>
  <si>
    <t xml:space="preserve">A-065, A-067</t>
  </si>
  <si>
    <t xml:space="preserve">www.energotecsac.com</t>
  </si>
  <si>
    <t xml:space="preserve">3487570 / 964986710</t>
  </si>
  <si>
    <t xml:space="preserve">Cl. Los Plásticos 204 Urb. Vulcano Ate - Lima</t>
  </si>
  <si>
    <t xml:space="preserve">EQUIPOS Y HERRAMIENTAS S.A.C.</t>
  </si>
  <si>
    <t xml:space="preserve">cotizacionweb@equiposperu.com</t>
  </si>
  <si>
    <t xml:space="preserve">ExpoMina 2026. Varios stands (mayor inversión). También en CRM Directorio SSO 2026 (ID 573).</t>
  </si>
  <si>
    <t xml:space="preserve">E-061, E-062</t>
  </si>
  <si>
    <t xml:space="preserve">www.equiposperu.com</t>
  </si>
  <si>
    <t xml:space="preserve">970388830 / 998150218</t>
  </si>
  <si>
    <t xml:space="preserve">Av. Javier Prado Este 1127 La Victoria - Lima</t>
  </si>
  <si>
    <t xml:space="preserve">ESPINOZA ASOCIADOS S.A.</t>
  </si>
  <si>
    <t xml:space="preserve">E-233, E-238</t>
  </si>
  <si>
    <t xml:space="preserve">www.espiasa.com.pe</t>
  </si>
  <si>
    <t xml:space="preserve">FDC CORPORATION E.I.R.L.</t>
  </si>
  <si>
    <t xml:space="preserve">D-071, A-374</t>
  </si>
  <si>
    <t xml:space="preserve">https://www.fdc-corporation.com/</t>
  </si>
  <si>
    <t xml:space="preserve">FERRETERA INDUSTRIAL BENDEZU SAC</t>
  </si>
  <si>
    <t xml:space="preserve">E-074, E-075</t>
  </si>
  <si>
    <t xml:space="preserve">www.ferreterabendezu.com.pe</t>
  </si>
  <si>
    <t xml:space="preserve">FLOTTWEG PERÚ S.A.C.</t>
  </si>
  <si>
    <t xml:space="preserve">B-095, B-097</t>
  </si>
  <si>
    <t xml:space="preserve">www.flottweg.com</t>
  </si>
  <si>
    <t xml:space="preserve">FLOW VALVE PERÚ S.A.C</t>
  </si>
  <si>
    <t xml:space="preserve">B-141I, B-141J</t>
  </si>
  <si>
    <t xml:space="preserve">https://www.flowvalve.com.pe/</t>
  </si>
  <si>
    <t xml:space="preserve">G.R. TECH S.A.C.</t>
  </si>
  <si>
    <t xml:space="preserve">A-173, A-174</t>
  </si>
  <si>
    <t xml:space="preserve">www.grtech.com.pe</t>
  </si>
  <si>
    <t xml:space="preserve">GESTION TECNICA MINERA E INDUSTRIAL PERÚ S.A.C.- GESTEMIND PERÚ S.A.C.</t>
  </si>
  <si>
    <t xml:space="preserve">E-259, E-264</t>
  </si>
  <si>
    <t xml:space="preserve">https://gestemindperu.com/</t>
  </si>
  <si>
    <t xml:space="preserve">GLOBAL MINING EQUIPMENTS PERÚ S.A.C.</t>
  </si>
  <si>
    <t xml:space="preserve">E-081, E-082</t>
  </si>
  <si>
    <t xml:space="preserve">https://gmedrills.com/es-pe/</t>
  </si>
  <si>
    <t xml:space="preserve">GRUPO HIDRAULICA S.A.C.</t>
  </si>
  <si>
    <t xml:space="preserve">A-134, A-135</t>
  </si>
  <si>
    <t xml:space="preserve">www.grupohidraulica.com</t>
  </si>
  <si>
    <t xml:space="preserve">GUANGXI MESDA INTERNATIONAL TRADE CO., LTD</t>
  </si>
  <si>
    <t xml:space="preserve">E-308A, E-309</t>
  </si>
  <si>
    <t xml:space="preserve">www.mesda.com</t>
  </si>
  <si>
    <t xml:space="preserve">HEBEI MATSON METAL TECH CO.,LTD</t>
  </si>
  <si>
    <t xml:space="preserve">E-132, E-133</t>
  </si>
  <si>
    <t xml:space="preserve">www.matsonmining.com</t>
  </si>
  <si>
    <t xml:space="preserve">HENAN DALIN RUBBER AND TELECOMMUNICATIONS APPARATUS CO., LTD.</t>
  </si>
  <si>
    <t xml:space="preserve">E-087, E-089</t>
  </si>
  <si>
    <t xml:space="preserve">www.rubflex.cn</t>
  </si>
  <si>
    <t xml:space="preserve">HENAN ZGM INDUSTRIAL TECHNOLOGY CO.,LTD</t>
  </si>
  <si>
    <t xml:space="preserve">E-071A, E-128</t>
  </si>
  <si>
    <t xml:space="preserve">www.zoomline.com.cn; https://es.zgmtech.com</t>
  </si>
  <si>
    <t xml:space="preserve">HYDRAULIC AND HIDROSTATIC E.I.R.L.</t>
  </si>
  <si>
    <t xml:space="preserve">A-351, A-352</t>
  </si>
  <si>
    <t xml:space="preserve">hydraulicaperu.com</t>
  </si>
  <si>
    <t xml:space="preserve">HYDROMATIC PERÚ SAC</t>
  </si>
  <si>
    <t xml:space="preserve">B-187, B-188</t>
  </si>
  <si>
    <t xml:space="preserve">www.hydromatic.com.pe</t>
  </si>
  <si>
    <t xml:space="preserve">I &amp; T ELECTRIC S.A.C</t>
  </si>
  <si>
    <t xml:space="preserve">E-177, E-178</t>
  </si>
  <si>
    <t xml:space="preserve">www.itesa.com.pe</t>
  </si>
  <si>
    <t xml:space="preserve">I&amp;M MINERIA S.A.C.</t>
  </si>
  <si>
    <t xml:space="preserve">B-274, B-275</t>
  </si>
  <si>
    <t xml:space="preserve">www.immineria.com</t>
  </si>
  <si>
    <t xml:space="preserve">IMPORT &amp; EXPORT EL TRIUNFO SERVICIOS GENERALES S.R.L.</t>
  </si>
  <si>
    <t xml:space="preserve">E-268A, E-268F</t>
  </si>
  <si>
    <t xml:space="preserve">https://eltriunfoperu.com.pe</t>
  </si>
  <si>
    <t xml:space="preserve">IMPORTADORA Y DISTRIBUIDORA DE RETENES RODAMIENTOS Y AFINES SOCIEDAD ANONIMA</t>
  </si>
  <si>
    <t xml:space="preserve">D-026, D-027</t>
  </si>
  <si>
    <t xml:space="preserve">dre-sa.com</t>
  </si>
  <si>
    <t xml:space="preserve">INACONS S.R.L.</t>
  </si>
  <si>
    <t xml:space="preserve">A-086, A-087</t>
  </si>
  <si>
    <t xml:space="preserve">https://home.inacons.com.pe/</t>
  </si>
  <si>
    <t xml:space="preserve">INDUSTRIAL TECHNOLOGY S.A.</t>
  </si>
  <si>
    <t xml:space="preserve">ventas@intech-sa.com</t>
  </si>
  <si>
    <t xml:space="preserve">ExpoMina 2026. Varios stands (mayor inversión). También en CRM Directorio SSO 2026 (ID 601). País inferido; validar.</t>
  </si>
  <si>
    <t xml:space="preserve">B-224, B-229</t>
  </si>
  <si>
    <t xml:space="preserve">intech-sa.com</t>
  </si>
  <si>
    <t xml:space="preserve">3485858 / 940874616</t>
  </si>
  <si>
    <t xml:space="preserve">Cl. Los Calderos 237 Urb. Industrial Vulcano - Ate - Lima</t>
  </si>
  <si>
    <t xml:space="preserve">INDUSTRIAS IMIM SAC</t>
  </si>
  <si>
    <t xml:space="preserve">B-235, B-240</t>
  </si>
  <si>
    <t xml:space="preserve">www.imim.com.pe</t>
  </si>
  <si>
    <t xml:space="preserve">INET S.A.C.</t>
  </si>
  <si>
    <t xml:space="preserve">ventas@inet.com.pe</t>
  </si>
  <si>
    <t xml:space="preserve">ExpoMina 2026. Varios stands (mayor inversión). También en CRM Directorio SSO 2026 (ID 603).</t>
  </si>
  <si>
    <t xml:space="preserve">B-158C, B-158D</t>
  </si>
  <si>
    <t xml:space="preserve">www.inet.com.pe</t>
  </si>
  <si>
    <t xml:space="preserve">5314949 / 981345768</t>
  </si>
  <si>
    <t xml:space="preserve">Av. Universitaria 1619 Asoc. María Gracia de Antares San Martín de Porres - Lima</t>
  </si>
  <si>
    <t xml:space="preserve">INTERNATIONAL WHEEL S.A.C.</t>
  </si>
  <si>
    <t xml:space="preserve">servicioventas@internationalwheel.com.pe</t>
  </si>
  <si>
    <t xml:space="preserve">ExpoMina 2026. Varios stands (mayor inversión). También en CRM Directorio SSO 2026 (ID 606).</t>
  </si>
  <si>
    <t xml:space="preserve">F-082A, F-082B</t>
  </si>
  <si>
    <t xml:space="preserve">www.internationalwheel.com.pe</t>
  </si>
  <si>
    <t xml:space="preserve">4487366 / 999095587</t>
  </si>
  <si>
    <t xml:space="preserve">Cl. David Roca Norte Mz.L Lt.18 Urb. Liguria, Santiago de Surco - Lima</t>
  </si>
  <si>
    <t xml:space="preserve">INVERSIONES GARCIA &amp; LOZANO S.A.</t>
  </si>
  <si>
    <t xml:space="preserve">E-336, E-336A</t>
  </si>
  <si>
    <t xml:space="preserve">https://www.igl.com.pe/empresa/</t>
  </si>
  <si>
    <t xml:space="preserve">IPESA S.A.C.</t>
  </si>
  <si>
    <t xml:space="preserve">C-008, C-008A</t>
  </si>
  <si>
    <t xml:space="preserve">https://www.ipesa.com.pe/</t>
  </si>
  <si>
    <t xml:space="preserve">ITO SUPPLIES &amp; SERVICES S.A.C.</t>
  </si>
  <si>
    <t xml:space="preserve">E-370, E-371</t>
  </si>
  <si>
    <t xml:space="preserve">www.itoss.pe</t>
  </si>
  <si>
    <t xml:space="preserve">J.S. GEOFISICA S.A.C.</t>
  </si>
  <si>
    <t xml:space="preserve">B-114, B-115</t>
  </si>
  <si>
    <t xml:space="preserve">https://www.linkedin.com/in/javier-soto-g%c3%b3mez-7282b4bb/</t>
  </si>
  <si>
    <t xml:space="preserve">JIAOZUO CREATION HEAVY EQUIPMENT CO., LTD.</t>
  </si>
  <si>
    <t xml:space="preserve">E-268E, E-268J</t>
  </si>
  <si>
    <t xml:space="preserve">www.jzcreation.com</t>
  </si>
  <si>
    <t xml:space="preserve">JSC EQUIPOS MINEROS S.A.</t>
  </si>
  <si>
    <t xml:space="preserve">B-260, B-264</t>
  </si>
  <si>
    <t xml:space="preserve">www.jscequiposmineros.com.pe</t>
  </si>
  <si>
    <t xml:space="preserve">KABEL GROUP S.A.C.</t>
  </si>
  <si>
    <t xml:space="preserve">A-112, E-330</t>
  </si>
  <si>
    <t xml:space="preserve">www.kabelgroupsac.com</t>
  </si>
  <si>
    <t xml:space="preserve">KAESER COMPRESORES DE PERÚ S.R.L.</t>
  </si>
  <si>
    <t xml:space="preserve">E-017, E-017A</t>
  </si>
  <si>
    <t xml:space="preserve">KLR INDUSTRIES PVT. LTD.</t>
  </si>
  <si>
    <t xml:space="preserve">India</t>
  </si>
  <si>
    <t xml:space="preserve">A-314, A-318</t>
  </si>
  <si>
    <t xml:space="preserve">KOLFF PERÚ S.A.C.</t>
  </si>
  <si>
    <t xml:space="preserve">A-166, A-167</t>
  </si>
  <si>
    <t xml:space="preserve">https://kolff.com.pe/</t>
  </si>
  <si>
    <t xml:space="preserve">LAMINADOS Y EXTRUIDOS DE CAUCHO S.A.C.</t>
  </si>
  <si>
    <t xml:space="preserve">B-183, B-184</t>
  </si>
  <si>
    <t xml:space="preserve">www.lexacaucho.com</t>
  </si>
  <si>
    <t xml:space="preserve">LIAONING ZHONGHE XINKE INDUSTRIAL TECHNOLOGY CO.LTD.</t>
  </si>
  <si>
    <t xml:space="preserve">E-315, E-316</t>
  </si>
  <si>
    <t xml:space="preserve">www.zhonghexinke.com</t>
  </si>
  <si>
    <t xml:space="preserve">LUBRICACIÓN Y TECNOLOGÍA S.A.C.</t>
  </si>
  <si>
    <t xml:space="preserve">E-039, E-044</t>
  </si>
  <si>
    <t xml:space="preserve">www.lubtec.com.pe</t>
  </si>
  <si>
    <t xml:space="preserve">MACHEN PERÚ S.A.C.</t>
  </si>
  <si>
    <t xml:space="preserve">F-082C, F-082D</t>
  </si>
  <si>
    <t xml:space="preserve">www.machenperu.com</t>
  </si>
  <si>
    <t xml:space="preserve">MANUFACTURAS ELECTRICAS S A</t>
  </si>
  <si>
    <t xml:space="preserve">A-423, A-424</t>
  </si>
  <si>
    <t xml:space="preserve">www.manelsa.com.pe</t>
  </si>
  <si>
    <t xml:space="preserve">MAQUINARIAS U-GUIL S.A.</t>
  </si>
  <si>
    <t xml:space="preserve">C-003A, C-011</t>
  </si>
  <si>
    <t xml:space="preserve">https://www.uguil.com/</t>
  </si>
  <si>
    <t xml:space="preserve">MARLEW SA</t>
  </si>
  <si>
    <t xml:space="preserve">B-082, B-083</t>
  </si>
  <si>
    <t xml:space="preserve">https://www.marlew.com.ar/</t>
  </si>
  <si>
    <t xml:space="preserve">MC AUTOS DEL PERÚ S.A.C.</t>
  </si>
  <si>
    <t xml:space="preserve">B-283, E-009G</t>
  </si>
  <si>
    <t xml:space="preserve">www.fuso.com.pe; www.mitsubishi-motors.com.pe/flotas</t>
  </si>
  <si>
    <t xml:space="preserve">MCCO INTERNATIONAL BUSINESS S.A.C.</t>
  </si>
  <si>
    <t xml:space="preserve">E-324, E-324A</t>
  </si>
  <si>
    <t xml:space="preserve">www.mccobusiness.com</t>
  </si>
  <si>
    <t xml:space="preserve">MECANIZA INDUSTRIAL S.A.C.</t>
  </si>
  <si>
    <t xml:space="preserve">E-041, E-042</t>
  </si>
  <si>
    <t xml:space="preserve">https://www.mecanizaindustrial.com/</t>
  </si>
  <si>
    <t xml:space="preserve">METALPLAST IMPORTADORA S.A.C.</t>
  </si>
  <si>
    <t xml:space="preserve">E-204, E-205</t>
  </si>
  <si>
    <t xml:space="preserve">www.metalplast.com.pe</t>
  </si>
  <si>
    <t xml:space="preserve">MH TERMOVENT S.A.C.</t>
  </si>
  <si>
    <t xml:space="preserve">A-183, A-187</t>
  </si>
  <si>
    <t xml:space="preserve">www.termovent.pe</t>
  </si>
  <si>
    <t xml:space="preserve">MONCAL S.A.C.</t>
  </si>
  <si>
    <t xml:space="preserve">A-265, A-266</t>
  </si>
  <si>
    <t xml:space="preserve">https://yamamoto-latam.com/</t>
  </si>
  <si>
    <t xml:space="preserve">MTW WEAR PARTS(SUZHOU) CO.,LTD.</t>
  </si>
  <si>
    <t xml:space="preserve">B-278, B-281</t>
  </si>
  <si>
    <t xml:space="preserve">http://www.mtw-blades.com</t>
  </si>
  <si>
    <t xml:space="preserve">NANCHANG MINERAL SYSTEMS CO., LTD.</t>
  </si>
  <si>
    <t xml:space="preserve">B-056, B-057</t>
  </si>
  <si>
    <t xml:space="preserve">https://www.nmsystems.cn/</t>
  </si>
  <si>
    <t xml:space="preserve">NETZSCH PERÚ S.A.C.</t>
  </si>
  <si>
    <t xml:space="preserve">A-116, A-119</t>
  </si>
  <si>
    <t xml:space="preserve">www.netzsch.com</t>
  </si>
  <si>
    <t xml:space="preserve">NEUMAN PERÚ S.A.C.</t>
  </si>
  <si>
    <t xml:space="preserve">F-093, F-094</t>
  </si>
  <si>
    <t xml:space="preserve">https://www.neumanperu.com/</t>
  </si>
  <si>
    <t xml:space="preserve">OEM ELECTRIC S.A.C.</t>
  </si>
  <si>
    <t xml:space="preserve">A-274, A-275</t>
  </si>
  <si>
    <t xml:space="preserve">https://oemelectric.godaddysites.com</t>
  </si>
  <si>
    <t xml:space="preserve">OMEGA PERÚ SA</t>
  </si>
  <si>
    <t xml:space="preserve">B-215, B-216</t>
  </si>
  <si>
    <t xml:space="preserve">https://omegaperu.com.pe/</t>
  </si>
  <si>
    <t xml:space="preserve">PROCESOS DE SOLDADURAS ESP.Y SERV.SRLTDA</t>
  </si>
  <si>
    <t xml:space="preserve">E-022, E-023</t>
  </si>
  <si>
    <t xml:space="preserve">www.prosoldes.com</t>
  </si>
  <si>
    <t xml:space="preserve">PROMOTORES ELECTRICOS S A</t>
  </si>
  <si>
    <t xml:space="preserve">B-011, B-012</t>
  </si>
  <si>
    <t xml:space="preserve">promelsa.com.pe</t>
  </si>
  <si>
    <t xml:space="preserve">RELCASTING HEAVY INDUSTRY</t>
  </si>
  <si>
    <t xml:space="preserve">E-154, E-155</t>
  </si>
  <si>
    <t xml:space="preserve">https://www.htwearparts.com/wear-parts/</t>
  </si>
  <si>
    <t xml:space="preserve">RENTAL RCHG SAC S.A.C.</t>
  </si>
  <si>
    <t xml:space="preserve">A-252, A-251</t>
  </si>
  <si>
    <t xml:space="preserve">rentalrchg.com</t>
  </si>
  <si>
    <t xml:space="preserve">REPSOL COMERCIAL SAC</t>
  </si>
  <si>
    <t xml:space="preserve">B-137, B-138</t>
  </si>
  <si>
    <t xml:space="preserve">RMB SATECI S.A.C.- RMB SATECI SAC</t>
  </si>
  <si>
    <t xml:space="preserve">E-143, E-148</t>
  </si>
  <si>
    <t xml:space="preserve">https://rmbsateci.com.pe/</t>
  </si>
  <si>
    <t xml:space="preserve">ROBERTO A TORRES S A -ROATSA</t>
  </si>
  <si>
    <t xml:space="preserve">B-201, B-202</t>
  </si>
  <si>
    <t xml:space="preserve">www.roatsa.com</t>
  </si>
  <si>
    <t xml:space="preserve">ROCK TOOLS PERÚ S.A.C.</t>
  </si>
  <si>
    <t xml:space="preserve">E-199, E-200</t>
  </si>
  <si>
    <t xml:space="preserve">www.rtperu.com</t>
  </si>
  <si>
    <t xml:space="preserve">SAIRCOM PERÚ S.A.C</t>
  </si>
  <si>
    <t xml:space="preserve">E-032, E-037</t>
  </si>
  <si>
    <t xml:space="preserve">https://saircomperu.com.pe/</t>
  </si>
  <si>
    <t xml:space="preserve">SAPEN INTERNATIONAL CO.,LTD</t>
  </si>
  <si>
    <t xml:space="preserve">E-335, A-308</t>
  </si>
  <si>
    <t xml:space="preserve">http://www.sapenfibre.com</t>
  </si>
  <si>
    <t xml:space="preserve">SELCOSI EXPORT GOLD S.A.C.</t>
  </si>
  <si>
    <t xml:space="preserve">E-111, E-112</t>
  </si>
  <si>
    <t xml:space="preserve">www.selcosiexportgold.pe</t>
  </si>
  <si>
    <t xml:space="preserve">SHENLI MAQUINARIA INDUSTRIAL PERÚ E.I.R.L.</t>
  </si>
  <si>
    <t xml:space="preserve">E-066, E-067</t>
  </si>
  <si>
    <t xml:space="preserve">https://www.y-sld.com/es/</t>
  </si>
  <si>
    <t xml:space="preserve">SHIJIAZHUANG SHANGLISHI PUMP CO.,LTD</t>
  </si>
  <si>
    <t xml:space="preserve">E-129, E-134</t>
  </si>
  <si>
    <t xml:space="preserve">www.sls-pump.com</t>
  </si>
  <si>
    <t xml:space="preserve">SIGELEC S.A.C.</t>
  </si>
  <si>
    <t xml:space="preserve">E-141, E-142</t>
  </si>
  <si>
    <t xml:space="preserve">https://www.sigelec.com.pe/https://www.sigelec.com.pe/</t>
  </si>
  <si>
    <t xml:space="preserve">SINOMIN PERÚ S.A.C.</t>
  </si>
  <si>
    <t xml:space="preserve">E-149C, E-149D</t>
  </si>
  <si>
    <t xml:space="preserve">https://shili.sinominperu.com/</t>
  </si>
  <si>
    <t xml:space="preserve">SSAB EMEA AB, SUCURSAL DEL PERU</t>
  </si>
  <si>
    <t xml:space="preserve">E-046, E-047</t>
  </si>
  <si>
    <t xml:space="preserve">https://www.ssab.com/es-mx</t>
  </si>
  <si>
    <t xml:space="preserve">STOCKHOLM PRECISION TOOLS PERÚ S.R.L.</t>
  </si>
  <si>
    <t xml:space="preserve">A-188, A-189</t>
  </si>
  <si>
    <t xml:space="preserve">https://sptab.com/es/</t>
  </si>
  <si>
    <t xml:space="preserve">SUNIX TECH S.A.C.</t>
  </si>
  <si>
    <t xml:space="preserve">A-433, A-434</t>
  </si>
  <si>
    <t xml:space="preserve">https://sunixtec.com</t>
  </si>
  <si>
    <t xml:space="preserve">SYZ COMINSA S.R.L.</t>
  </si>
  <si>
    <t xml:space="preserve">E-180, E-181</t>
  </si>
  <si>
    <t xml:space="preserve">https://syzcominsa.pe/</t>
  </si>
  <si>
    <t xml:space="preserve">TAIAN LIOU IMP &amp; EXP CO., LTD</t>
  </si>
  <si>
    <t xml:space="preserve">A-398, A-399</t>
  </si>
  <si>
    <t xml:space="preserve">www.zhongxianggroup.net</t>
  </si>
  <si>
    <t xml:space="preserve">TAIZHOU SHANHE TRADING CO.,LTD.</t>
  </si>
  <si>
    <t xml:space="preserve">A-005, A-006</t>
  </si>
  <si>
    <t xml:space="preserve">www.pulankagroup.com</t>
  </si>
  <si>
    <t xml:space="preserve">TECKNOWELD ALLOYS ( INDIA ) PRIVATE LIMITED</t>
  </si>
  <si>
    <t xml:space="preserve">E-323C, E-324C</t>
  </si>
  <si>
    <t xml:space="preserve">https://www.tecknoweld.com</t>
  </si>
  <si>
    <t xml:space="preserve">TECNIFAJAS S.A.</t>
  </si>
  <si>
    <t xml:space="preserve">D-021, D-025</t>
  </si>
  <si>
    <t xml:space="preserve">www.tecnifajas.com</t>
  </si>
  <si>
    <t xml:space="preserve">THE NILE MACHINERY</t>
  </si>
  <si>
    <t xml:space="preserve">A-338, A-342</t>
  </si>
  <si>
    <t xml:space="preserve">www.nilemining.ltd</t>
  </si>
  <si>
    <t xml:space="preserve">THIESSEN DEL PERÚ S.A.</t>
  </si>
  <si>
    <t xml:space="preserve">E-223, E-228</t>
  </si>
  <si>
    <t xml:space="preserve">https://thiessenperu.com/</t>
  </si>
  <si>
    <t xml:space="preserve">TIRE SOL S.A.C.</t>
  </si>
  <si>
    <t xml:space="preserve">A-148, A-149</t>
  </si>
  <si>
    <t xml:space="preserve">www.tiresol.com.pe / www.reencauchadoraelsol.com</t>
  </si>
  <si>
    <t xml:space="preserve">TOYOTA DEL PERÚ S A</t>
  </si>
  <si>
    <t xml:space="preserve">ExpoMina 2026. Varios stands (mayor inversión). También en CRM Directorio SSO 2026 (ID 665).</t>
  </si>
  <si>
    <t xml:space="preserve">D-005, D-005A</t>
  </si>
  <si>
    <t xml:space="preserve">https://www.toyotaperu.com.pe/</t>
  </si>
  <si>
    <t xml:space="preserve">6111000 / 080000669 / 6168600</t>
  </si>
  <si>
    <t xml:space="preserve">Av. Santo Toribio 173 Torre Real 8 Of. 1401 - San Isidro - Lima</t>
  </si>
  <si>
    <t xml:space="preserve">TURISMO CIVA S.A.C.</t>
  </si>
  <si>
    <t xml:space="preserve">E-290, E-292</t>
  </si>
  <si>
    <t xml:space="preserve">https://www.civa.com.pe/</t>
  </si>
  <si>
    <t xml:space="preserve">VALMET SA</t>
  </si>
  <si>
    <t xml:space="preserve">A-356, A-357</t>
  </si>
  <si>
    <t xml:space="preserve">www.valmet.com</t>
  </si>
  <si>
    <t xml:space="preserve">VISTONY COMPAÑIA INDUSTRIAL DEL PERÚ S.A.C.</t>
  </si>
  <si>
    <t xml:space="preserve">B-175, B-181</t>
  </si>
  <si>
    <t xml:space="preserve">https://vistony.pe/</t>
  </si>
  <si>
    <t xml:space="preserve">VOLTEX S.A.C.</t>
  </si>
  <si>
    <t xml:space="preserve">E-116, E-117</t>
  </si>
  <si>
    <t xml:space="preserve">wisdom.pe</t>
  </si>
  <si>
    <t xml:space="preserve">WORTEC SOCIEDAD ANONIMA</t>
  </si>
  <si>
    <t xml:space="preserve">E-397, E-396</t>
  </si>
  <si>
    <t xml:space="preserve">www.wortecperu.com</t>
  </si>
  <si>
    <t xml:space="preserve">WUXI GEOLOGICAL DRILLING EQUIPMENT CO., LTD.</t>
  </si>
  <si>
    <t xml:space="preserve">B-009, B-010</t>
  </si>
  <si>
    <t xml:space="preserve">www.chinaxizuan.com</t>
  </si>
  <si>
    <t xml:space="preserve">YANTAI XINGYE MACHINERY CO., LTD</t>
  </si>
  <si>
    <t xml:space="preserve">B-106, B-106B</t>
  </si>
  <si>
    <t xml:space="preserve">https://www.ytxingye.com</t>
  </si>
  <si>
    <t xml:space="preserve">YOKE INDUSTRIAL CORP.</t>
  </si>
  <si>
    <t xml:space="preserve">E-341, E-342</t>
  </si>
  <si>
    <t xml:space="preserve">https://www.yoke.net/</t>
  </si>
  <si>
    <t xml:space="preserve">ZAMINE SERVICE PERÚ SAC</t>
  </si>
  <si>
    <t xml:space="preserve">A, C-009</t>
  </si>
  <si>
    <t xml:space="preserve">www.zamineperu.com</t>
  </si>
  <si>
    <t xml:space="preserve">ZHEJIANG MINGHE STEEL PIPE CO. LTD.</t>
  </si>
  <si>
    <t xml:space="preserve">E-374, E-375</t>
  </si>
  <si>
    <t xml:space="preserve">http://www.zjmhgg.com</t>
  </si>
  <si>
    <t xml:space="preserve">ZITRON PERÚ S.A.C.- ZITRON PERÚ S.A.C.</t>
  </si>
  <si>
    <t xml:space="preserve">A-132, A-136</t>
  </si>
  <si>
    <t xml:space="preserve">www.zitron.com</t>
  </si>
  <si>
    <t xml:space="preserve">A &amp; L IMPORT TRADE S.A.C.</t>
  </si>
  <si>
    <t xml:space="preserve">A-072</t>
  </si>
  <si>
    <t xml:space="preserve">www.ayl.pe</t>
  </si>
  <si>
    <t xml:space="preserve">A &amp; L INDUSTRIES PERÚ S.R.L. - A &amp; L INDPERU S.R.L.</t>
  </si>
  <si>
    <t xml:space="preserve">B-130</t>
  </si>
  <si>
    <t xml:space="preserve">https://www.al-industriesperu.com/</t>
  </si>
  <si>
    <t xml:space="preserve">A&amp;S MACHINERY CO., LTD.</t>
  </si>
  <si>
    <t xml:space="preserve">E-084</t>
  </si>
  <si>
    <t xml:space="preserve">www.sparewearparts.com</t>
  </si>
  <si>
    <t xml:space="preserve">A.M.B. INGENIERIA Y PROYECTOS SAC</t>
  </si>
  <si>
    <t xml:space="preserve">A-111</t>
  </si>
  <si>
    <t xml:space="preserve">www.ambingenieria.com</t>
  </si>
  <si>
    <t xml:space="preserve">ABA REPRESENTACIONES S.A.C.</t>
  </si>
  <si>
    <t xml:space="preserve">B-158A</t>
  </si>
  <si>
    <t xml:space="preserve">www.aba-representaciones.com</t>
  </si>
  <si>
    <t xml:space="preserve">ABL INTERNATIONAL S.A.C</t>
  </si>
  <si>
    <t xml:space="preserve">A-063</t>
  </si>
  <si>
    <t xml:space="preserve">http://www.ablinternational.com.pe</t>
  </si>
  <si>
    <t xml:space="preserve">ABRATECH INGENIEROS S.A.C.</t>
  </si>
  <si>
    <t xml:space="preserve">B-247</t>
  </si>
  <si>
    <t xml:space="preserve">www.abratechsac.com</t>
  </si>
  <si>
    <t xml:space="preserve">ACAMAR ADUANAS S.A.</t>
  </si>
  <si>
    <t xml:space="preserve">A-385</t>
  </si>
  <si>
    <t xml:space="preserve">www.acamar.pe</t>
  </si>
  <si>
    <t xml:space="preserve">ACEROS INDUSTRIALES LATINOAMERICANOS S.A.C.</t>
  </si>
  <si>
    <t xml:space="preserve">E-194</t>
  </si>
  <si>
    <t xml:space="preserve">https://acilasac.com/</t>
  </si>
  <si>
    <t xml:space="preserve">ACS INDUSTRIA METAL MECANICA EIRL</t>
  </si>
  <si>
    <t xml:space="preserve">E-080</t>
  </si>
  <si>
    <t xml:space="preserve">www.acscarrocerias.com</t>
  </si>
  <si>
    <t xml:space="preserve">ADVANCED VEHICLE REMOTE TECHNOLOGY S.A.C.- AVRTEC S.A.C.</t>
  </si>
  <si>
    <t xml:space="preserve">A-397</t>
  </si>
  <si>
    <t xml:space="preserve">www.avrtec.com.pe</t>
  </si>
  <si>
    <t xml:space="preserve">AFD &amp; PRESENTACION S.A.C.</t>
  </si>
  <si>
    <t xml:space="preserve">B-078</t>
  </si>
  <si>
    <t xml:space="preserve">https://www.afd.com.pe/en</t>
  </si>
  <si>
    <t xml:space="preserve">AFECO S R LTDA</t>
  </si>
  <si>
    <t xml:space="preserve">E-293</t>
  </si>
  <si>
    <t xml:space="preserve">www.afecotractorparts.com</t>
  </si>
  <si>
    <t xml:space="preserve">AIGI ENVIRONMENTAL INCORPORATED</t>
  </si>
  <si>
    <t xml:space="preserve">A-377</t>
  </si>
  <si>
    <t xml:space="preserve">https://www.aigienvironmental.com/</t>
  </si>
  <si>
    <t xml:space="preserve">AIMIX GROUP CO.,LTD</t>
  </si>
  <si>
    <t xml:space="preserve">E-060A</t>
  </si>
  <si>
    <t xml:space="preserve">www.aimix-group.com</t>
  </si>
  <si>
    <t xml:space="preserve">ALEPH GROUP &amp; ASOCIADOS SAC</t>
  </si>
  <si>
    <t xml:space="preserve">A-016</t>
  </si>
  <si>
    <t xml:space="preserve">https://www.alephsac.com/</t>
  </si>
  <si>
    <t xml:space="preserve">ALEXIM TRADING CORPORATION</t>
  </si>
  <si>
    <t xml:space="preserve">E-394</t>
  </si>
  <si>
    <t xml:space="preserve">https://alexim.com/es/</t>
  </si>
  <si>
    <t xml:space="preserve">ALJOP S A</t>
  </si>
  <si>
    <t xml:space="preserve">A-442</t>
  </si>
  <si>
    <t xml:space="preserve">https://www.aljop.com/</t>
  </si>
  <si>
    <t xml:space="preserve">ALLMAN PERÚ S.A.C.</t>
  </si>
  <si>
    <t xml:space="preserve">B-272G</t>
  </si>
  <si>
    <t xml:space="preserve">https://allmanlatam.com/</t>
  </si>
  <si>
    <t xml:space="preserve">ALMACENES SANTA CLARA S A</t>
  </si>
  <si>
    <t xml:space="preserve">E-009</t>
  </si>
  <si>
    <t xml:space="preserve">ALO GROUP PERÚ S.A.C.</t>
  </si>
  <si>
    <t xml:space="preserve">E-009B</t>
  </si>
  <si>
    <t xml:space="preserve">www.alogruoup.pe</t>
  </si>
  <si>
    <t xml:space="preserve">AMAZON MOTORS S.A.</t>
  </si>
  <si>
    <t xml:space="preserve">A-254</t>
  </si>
  <si>
    <t xml:space="preserve">https://amazonmotors.pe/</t>
  </si>
  <si>
    <t xml:space="preserve">AMBITO SRL</t>
  </si>
  <si>
    <t xml:space="preserve">B-287</t>
  </si>
  <si>
    <t xml:space="preserve">www.ambitoperu.com</t>
  </si>
  <si>
    <t xml:space="preserve">ANALAB SRL</t>
  </si>
  <si>
    <t xml:space="preserve">E-028</t>
  </si>
  <si>
    <t xml:space="preserve">www.analab.com.pe</t>
  </si>
  <si>
    <t xml:space="preserve">ANALISTA QUIMICO S.A.C.</t>
  </si>
  <si>
    <t xml:space="preserve">E-318</t>
  </si>
  <si>
    <t xml:space="preserve">www.analistaquimico.com.pe</t>
  </si>
  <si>
    <t xml:space="preserve">ANHUI FEICHUN SPECIAL CABLE CO.,LTD.</t>
  </si>
  <si>
    <t xml:space="preserve">E-319</t>
  </si>
  <si>
    <t xml:space="preserve">www.feichuncables.com</t>
  </si>
  <si>
    <t xml:space="preserve">ANHUI FENGXING NEW MATERIAL TECHNOLOGY CO., LTD</t>
  </si>
  <si>
    <t xml:space="preserve">E-045</t>
  </si>
  <si>
    <t xml:space="preserve">https://www.fengxing.com/</t>
  </si>
  <si>
    <t xml:space="preserve">ANHUI LONGSHENG NEW MATERIAL CO.,LTD.</t>
  </si>
  <si>
    <t xml:space="preserve">E-385</t>
  </si>
  <si>
    <t xml:space="preserve">http://www.lssteelball.com/</t>
  </si>
  <si>
    <t xml:space="preserve">ANHUI NINGGUO CHENGXI WEAR RESISTANT MATERIAL CO., LTD.</t>
  </si>
  <si>
    <t xml:space="preserve">E-210</t>
  </si>
  <si>
    <t xml:space="preserve">www.ahchengxi.com</t>
  </si>
  <si>
    <t xml:space="preserve">ANKA WORLD MACHINE S.A.C.</t>
  </si>
  <si>
    <t xml:space="preserve">E-038</t>
  </si>
  <si>
    <t xml:space="preserve">www.ankaperu.pe</t>
  </si>
  <si>
    <t xml:space="preserve">ANSHAN ANZHONG MINING MACHINERY CO., LTD.</t>
  </si>
  <si>
    <t xml:space="preserve">E-137</t>
  </si>
  <si>
    <t xml:space="preserve">www.screensaz.com</t>
  </si>
  <si>
    <t xml:space="preserve">ANTO MINING EQUIPMENT CO.,LTD.</t>
  </si>
  <si>
    <t xml:space="preserve">E-036</t>
  </si>
  <si>
    <t xml:space="preserve">https://www.antomining.com/</t>
  </si>
  <si>
    <t xml:space="preserve">APRENDER CREANDO VON BRAUN S.A.</t>
  </si>
  <si>
    <t xml:space="preserve">A-358</t>
  </si>
  <si>
    <t xml:space="preserve">www.aprendercreando.com.pe</t>
  </si>
  <si>
    <t xml:space="preserve">AQUA INDUSTRIA E INGENIERIA SAC</t>
  </si>
  <si>
    <t xml:space="preserve">A-307</t>
  </si>
  <si>
    <t xml:space="preserve">www.aquaindustria.com</t>
  </si>
  <si>
    <t xml:space="preserve">AR RACKING PERÚ SAC</t>
  </si>
  <si>
    <t xml:space="preserve">A-299</t>
  </si>
  <si>
    <t xml:space="preserve">ar-racking.com</t>
  </si>
  <si>
    <t xml:space="preserve">ASB HYDRAULIC SAC</t>
  </si>
  <si>
    <t xml:space="preserve">A-441</t>
  </si>
  <si>
    <t xml:space="preserve">www.asbhydraulic.com</t>
  </si>
  <si>
    <t xml:space="preserve">ASOE HOSE MANUFACTURING INC</t>
  </si>
  <si>
    <t xml:space="preserve">B-007</t>
  </si>
  <si>
    <t xml:space="preserve">https://www.asoehose.com/</t>
  </si>
  <si>
    <t xml:space="preserve">ATMOS INTERNATIONAL LTD</t>
  </si>
  <si>
    <t xml:space="preserve">E-354</t>
  </si>
  <si>
    <t xml:space="preserve">www.atmosi.com/es/</t>
  </si>
  <si>
    <t xml:space="preserve">AURY (TIANJIN) INDUSTRY GROUP CO., LTD</t>
  </si>
  <si>
    <t xml:space="preserve">E-298</t>
  </si>
  <si>
    <t xml:space="preserve">www.tjaury.cn</t>
  </si>
  <si>
    <t xml:space="preserve">AUTOBEL S.A.C.</t>
  </si>
  <si>
    <t xml:space="preserve">E-147</t>
  </si>
  <si>
    <t xml:space="preserve">herramaster.pe</t>
  </si>
  <si>
    <t xml:space="preserve">AUTOPARTES FERROSOS S.R.L.</t>
  </si>
  <si>
    <t xml:space="preserve">E-280</t>
  </si>
  <si>
    <t xml:space="preserve">www.autopartesferrosos.com.pe</t>
  </si>
  <si>
    <t xml:space="preserve">B &amp; L ASOCIADOS SOCIEDAD ANONIMA</t>
  </si>
  <si>
    <t xml:space="preserve">A-255</t>
  </si>
  <si>
    <t xml:space="preserve">www.aps-supply.com</t>
  </si>
  <si>
    <t xml:space="preserve">BALANZAS VEGASYSTEMS SAC</t>
  </si>
  <si>
    <t xml:space="preserve">A-169</t>
  </si>
  <si>
    <t xml:space="preserve">www.balanzasvega.com</t>
  </si>
  <si>
    <t xml:space="preserve">BAOJI SPECIAL STEEL TITANIUM INDUSTRY CO.,LTD.</t>
  </si>
  <si>
    <t xml:space="preserve">A-160</t>
  </si>
  <si>
    <t xml:space="preserve">en.tiindustrial.com</t>
  </si>
  <si>
    <t xml:space="preserve">BAOKE MACHINERY CO., LTD.</t>
  </si>
  <si>
    <t xml:space="preserve">A-379</t>
  </si>
  <si>
    <t xml:space="preserve">www.baokeconveyor.com</t>
  </si>
  <si>
    <t xml:space="preserve">BARCHIP PERÚ S.A.C.</t>
  </si>
  <si>
    <t xml:space="preserve">A-176</t>
  </si>
  <si>
    <t xml:space="preserve">www.barchip.com</t>
  </si>
  <si>
    <t xml:space="preserve">BASOR PERÚ S.A.C.</t>
  </si>
  <si>
    <t xml:space="preserve">B-146</t>
  </si>
  <si>
    <t xml:space="preserve">www.basor.com/pe/home/</t>
  </si>
  <si>
    <t xml:space="preserve">BATERIAS VOLTA S A</t>
  </si>
  <si>
    <t xml:space="preserve">E-168</t>
  </si>
  <si>
    <t xml:space="preserve">www.bateriasvolta.com</t>
  </si>
  <si>
    <t xml:space="preserve">BAUSTELLE S.A.</t>
  </si>
  <si>
    <t xml:space="preserve">B-028</t>
  </si>
  <si>
    <t xml:space="preserve">www.baustelle-sa.com</t>
  </si>
  <si>
    <t xml:space="preserve">BAYTAIN RUBBER AND PLASTIC PRODUCTS CO.,LTD</t>
  </si>
  <si>
    <t xml:space="preserve">E-092</t>
  </si>
  <si>
    <t xml:space="preserve">www.baytain.com</t>
  </si>
  <si>
    <t xml:space="preserve">BEDESCHI</t>
  </si>
  <si>
    <t xml:space="preserve">A-328</t>
  </si>
  <si>
    <t xml:space="preserve">www.bedeschi.com</t>
  </si>
  <si>
    <t xml:space="preserve">BEIJING FIRST PUMP CO., LTD</t>
  </si>
  <si>
    <t xml:space="preserve">E-031</t>
  </si>
  <si>
    <t xml:space="preserve">https://angroupcn.com</t>
  </si>
  <si>
    <t xml:space="preserve">BEIJING HAOSHENG TRANSMISSION TECHNOLOGY CO., LTD</t>
  </si>
  <si>
    <t xml:space="preserve">A-025A</t>
  </si>
  <si>
    <t xml:space="preserve">www.hscdtech.com</t>
  </si>
  <si>
    <t xml:space="preserve">BEIJING HONESORT TECHNOLOGY CO., LTD.</t>
  </si>
  <si>
    <t xml:space="preserve">D-066</t>
  </si>
  <si>
    <t xml:space="preserve">en.honesort.com</t>
  </si>
  <si>
    <t xml:space="preserve">BENXI HUALONG SWEEPER MANUFACTURING CO., LTD.</t>
  </si>
  <si>
    <t xml:space="preserve">A-347</t>
  </si>
  <si>
    <t xml:space="preserve">www.bxqsq.com.cn</t>
  </si>
  <si>
    <t xml:space="preserve">BEST DRILLING EQUIPMENT(WUXI)CO.,LTD</t>
  </si>
  <si>
    <t xml:space="preserve">E-064</t>
  </si>
  <si>
    <t xml:space="preserve">www.cnbestdrilling.com</t>
  </si>
  <si>
    <t xml:space="preserve">BH INGENIEROS S.A.C.</t>
  </si>
  <si>
    <t xml:space="preserve">A-007</t>
  </si>
  <si>
    <t xml:space="preserve">https://bhingenieros.com/</t>
  </si>
  <si>
    <t xml:space="preserve">BILL FINANCIAL SERVICES SOCIEDAD ANONIMA - BILL FINANCIAL SERVICES S.A.</t>
  </si>
  <si>
    <t xml:space="preserve">B-223</t>
  </si>
  <si>
    <t xml:space="preserve">www.billex.pe</t>
  </si>
  <si>
    <t xml:space="preserve">BLAUD ENERGY PERÚ S.A.C.</t>
  </si>
  <si>
    <t xml:space="preserve">E-337</t>
  </si>
  <si>
    <t xml:space="preserve">www.blaudenergy.com</t>
  </si>
  <si>
    <t xml:space="preserve">BLEXIM S.A.C.- BLEXIM S.A.C.</t>
  </si>
  <si>
    <t xml:space="preserve">A-158</t>
  </si>
  <si>
    <t xml:space="preserve">blexim.com</t>
  </si>
  <si>
    <t xml:space="preserve">BOSCH REXROTH S.A.C.</t>
  </si>
  <si>
    <t xml:space="preserve">A-064B</t>
  </si>
  <si>
    <t xml:space="preserve">https://www.boschrexroth.com/es/pe/</t>
  </si>
  <si>
    <t xml:space="preserve">BOYLES BROS DIAMANTINA S A</t>
  </si>
  <si>
    <t xml:space="preserve">ventas@boyles.com.pe</t>
  </si>
  <si>
    <t xml:space="preserve">ExpoMina 2026. También en CRM Directorio SSO 2026 (ID 540). País inferido; validar.</t>
  </si>
  <si>
    <t xml:space="preserve">B-273</t>
  </si>
  <si>
    <t xml:space="preserve">www.christensenboyles.com</t>
  </si>
  <si>
    <t xml:space="preserve">6186777</t>
  </si>
  <si>
    <t xml:space="preserve">Av. Santa Ana 180 Urb. Santa Angélica Ate - Lima</t>
  </si>
  <si>
    <t xml:space="preserve">BYMA INSTRUMENTS S.A.C.</t>
  </si>
  <si>
    <t xml:space="preserve">A-120</t>
  </si>
  <si>
    <t xml:space="preserve">https://www.bymainstruments.com/</t>
  </si>
  <si>
    <t xml:space="preserve">C &amp; O INVERSIONES CENTRAL S.A.C.- C &amp; O INVERSIONES CENTRAL S.A.C.</t>
  </si>
  <si>
    <t xml:space="preserve">A-082</t>
  </si>
  <si>
    <t xml:space="preserve">https://cysco.pe/maquinarias/</t>
  </si>
  <si>
    <t xml:space="preserve">CABLECENTRO S.A.C.</t>
  </si>
  <si>
    <t xml:space="preserve">A-182</t>
  </si>
  <si>
    <t xml:space="preserve">www.cablecentrosac.com</t>
  </si>
  <si>
    <t xml:space="preserve">CAL &amp; CEMENTO SUR S.A.</t>
  </si>
  <si>
    <t xml:space="preserve">E-283</t>
  </si>
  <si>
    <t xml:space="preserve">https://intical.com.pe/</t>
  </si>
  <si>
    <t xml:space="preserve">CAMIONES CHINOS PERÚ S.A.C.</t>
  </si>
  <si>
    <t xml:space="preserve">E-007</t>
  </si>
  <si>
    <t xml:space="preserve">https://camioneschinosperu.pe/</t>
  </si>
  <si>
    <t xml:space="preserve">CARON BUSINESS SOLUTIONS INC</t>
  </si>
  <si>
    <t xml:space="preserve">A-426</t>
  </si>
  <si>
    <t xml:space="preserve">www.caronbusiness.com</t>
  </si>
  <si>
    <t xml:space="preserve">CARP &amp; ASOCIADOS SOCIEDAD COMERCIAL DE RESPONSABILIDAD LIMITADA</t>
  </si>
  <si>
    <t xml:space="preserve">B-059</t>
  </si>
  <si>
    <t xml:space="preserve">https://carp.pe/</t>
  </si>
  <si>
    <t xml:space="preserve">CAVAR PERÚ S.A.C.- CAVAR PERÚ S.A.C.</t>
  </si>
  <si>
    <t xml:space="preserve">E-151</t>
  </si>
  <si>
    <t xml:space="preserve">hornfrp.com</t>
  </si>
  <si>
    <t xml:space="preserve">CEP INTERNATIONAL LTD.</t>
  </si>
  <si>
    <t xml:space="preserve">E-225</t>
  </si>
  <si>
    <t xml:space="preserve">www.cep-intl.com</t>
  </si>
  <si>
    <t xml:space="preserve">CERRO DE PASCO RESOURCES DEL PERÚ S.A.C.</t>
  </si>
  <si>
    <t xml:space="preserve">E-289</t>
  </si>
  <si>
    <t xml:space="preserve">https://pascoresources.com/</t>
  </si>
  <si>
    <t xml:space="preserve">CESEL S A</t>
  </si>
  <si>
    <t xml:space="preserve">E-378</t>
  </si>
  <si>
    <t xml:space="preserve">www.cesel.com.pe</t>
  </si>
  <si>
    <t xml:space="preserve">CFMTOOLS &amp; REPRESENTACIONES S.A.C.</t>
  </si>
  <si>
    <t xml:space="preserve">B-176</t>
  </si>
  <si>
    <t xml:space="preserve">www.cfmtools.com</t>
  </si>
  <si>
    <t xml:space="preserve">CGETECH MANUFACTURING (WUXI) CO.,LTD</t>
  </si>
  <si>
    <t xml:space="preserve">E-381</t>
  </si>
  <si>
    <t xml:space="preserve">www.cgegtech.com</t>
  </si>
  <si>
    <t xml:space="preserve">CGM RENTAL S.A.C.</t>
  </si>
  <si>
    <t xml:space="preserve">B-301</t>
  </si>
  <si>
    <t xml:space="preserve">cgmrental.com</t>
  </si>
  <si>
    <t xml:space="preserve">CHAHUIN MINING S.A.C.</t>
  </si>
  <si>
    <t xml:space="preserve">E-332</t>
  </si>
  <si>
    <t xml:space="preserve">https://www.facebook.com/chahuin.mining/</t>
  </si>
  <si>
    <t xml:space="preserve">CHANGSHA ADRILLER MACHINERY CO., LTD</t>
  </si>
  <si>
    <t xml:space="preserve">E-382</t>
  </si>
  <si>
    <t xml:space="preserve">www.adriller.com</t>
  </si>
  <si>
    <t xml:space="preserve">CHANGSHA DTH DRILL CONSTRUCTION MACHINERY CO.,LTD.</t>
  </si>
  <si>
    <t xml:space="preserve">E-198</t>
  </si>
  <si>
    <t xml:space="preserve">www.csdrill.com/</t>
  </si>
  <si>
    <t xml:space="preserve">CHANGSHA SOLLROC ENGINEERING EQUIPMENTS CO., LTD</t>
  </si>
  <si>
    <t xml:space="preserve">D-051</t>
  </si>
  <si>
    <t xml:space="preserve">www.sollroc.com</t>
  </si>
  <si>
    <t xml:space="preserve">CHANGSHA VIBO WEARABLE MATERIAL CO.LTD</t>
  </si>
  <si>
    <t xml:space="preserve">A-420</t>
  </si>
  <si>
    <t xml:space="preserve">www.vibowear.com</t>
  </si>
  <si>
    <t xml:space="preserve">CHANGZHOU GREEN HYDRAULIC CO., LTD</t>
  </si>
  <si>
    <t xml:space="preserve">E-222</t>
  </si>
  <si>
    <t xml:space="preserve">www.gelinyy.com</t>
  </si>
  <si>
    <t xml:space="preserve">CHEMTRADE S.A.C.</t>
  </si>
  <si>
    <t xml:space="preserve">E-325A</t>
  </si>
  <si>
    <t xml:space="preserve">https://www.enaex.com/pe/es/</t>
  </si>
  <si>
    <t xml:space="preserve">CHINA DRILLING GEOLOGICAL EQUIPMENT LTD.</t>
  </si>
  <si>
    <t xml:space="preserve">B-021</t>
  </si>
  <si>
    <t xml:space="preserve">www.chinadrillingbits.com</t>
  </si>
  <si>
    <t xml:space="preserve">CHINA GEOLOGICAL EQUIPMENT GROUP CO.,LTD</t>
  </si>
  <si>
    <t xml:space="preserve">B-019A</t>
  </si>
  <si>
    <t xml:space="preserve">www.cgeg.com.cn</t>
  </si>
  <si>
    <t xml:space="preserve">CHOLLY INDUSTRIAL PACKAGING PRODUCT CORPORATION</t>
  </si>
  <si>
    <t xml:space="preserve">E-279</t>
  </si>
  <si>
    <t xml:space="preserve">https://www.bigbagfibc.com/</t>
  </si>
  <si>
    <t xml:space="preserve">CIF PERÚ S.A.C.</t>
  </si>
  <si>
    <t xml:space="preserve">A-083</t>
  </si>
  <si>
    <t xml:space="preserve">www.cifperu.com</t>
  </si>
  <si>
    <t xml:space="preserve">CIMAC WHEELCO.,LTD</t>
  </si>
  <si>
    <t xml:space="preserve">E-254</t>
  </si>
  <si>
    <t xml:space="preserve">www.cimacwheel.com</t>
  </si>
  <si>
    <t xml:space="preserve">CINO MINING</t>
  </si>
  <si>
    <t xml:space="preserve">Colombia</t>
  </si>
  <si>
    <t xml:space="preserve">A-339</t>
  </si>
  <si>
    <t xml:space="preserve">www.cinomining.co</t>
  </si>
  <si>
    <t xml:space="preserve">CIRCUTOR ANDINA S.A.C.</t>
  </si>
  <si>
    <t xml:space="preserve">A-115</t>
  </si>
  <si>
    <t xml:space="preserve">https://circutor.com/</t>
  </si>
  <si>
    <t xml:space="preserve">CITIC HEAVY INDUSTRIES CO.LTD-SUCURSAL PERU</t>
  </si>
  <si>
    <t xml:space="preserve">A-416</t>
  </si>
  <si>
    <t xml:space="preserve">www.citicheavyindustries.com</t>
  </si>
  <si>
    <t xml:space="preserve">CLA-VAL</t>
  </si>
  <si>
    <t xml:space="preserve">E-334A</t>
  </si>
  <si>
    <t xml:space="preserve">cla-val.com</t>
  </si>
  <si>
    <t xml:space="preserve">CLIK ASIA LIMITED</t>
  </si>
  <si>
    <t xml:space="preserve">E-138</t>
  </si>
  <si>
    <t xml:space="preserve">www.cliktracks.com</t>
  </si>
  <si>
    <t xml:space="preserve">CMS CEPCOR LTD</t>
  </si>
  <si>
    <t xml:space="preserve">E-305</t>
  </si>
  <si>
    <t xml:space="preserve">https://www.cmscepcor.com/</t>
  </si>
  <si>
    <t xml:space="preserve">COMBILIFT LTD.</t>
  </si>
  <si>
    <t xml:space="preserve">B-006</t>
  </si>
  <si>
    <t xml:space="preserve">https://combilift.com/</t>
  </si>
  <si>
    <t xml:space="preserve">COMERCIAL DE VALORES SERVICIOS FINANCIEROS PERU S.A.C.</t>
  </si>
  <si>
    <t xml:space="preserve">E-352</t>
  </si>
  <si>
    <t xml:space="preserve">https://coval.pe/</t>
  </si>
  <si>
    <t xml:space="preserve">COMERCIAL ELECTRICA PRADO S.A.C. - COELPRA S.A.C.</t>
  </si>
  <si>
    <t xml:space="preserve">E-372</t>
  </si>
  <si>
    <t xml:space="preserve">www.coelpra.com</t>
  </si>
  <si>
    <t xml:space="preserve">COMERCIAL FERRETERA LOS SAUCES S R LTDA</t>
  </si>
  <si>
    <t xml:space="preserve">B-024</t>
  </si>
  <si>
    <t xml:space="preserve">lossauces.pe</t>
  </si>
  <si>
    <t xml:space="preserve">COMERCIAL LECARNAQUE EIRL</t>
  </si>
  <si>
    <t xml:space="preserve">E-179</t>
  </si>
  <si>
    <t xml:space="preserve">www.colec.com.pe</t>
  </si>
  <si>
    <t xml:space="preserve">COMERCIAL QUIMICA MASSO PERÚ SAC</t>
  </si>
  <si>
    <t xml:space="preserve">A-021</t>
  </si>
  <si>
    <t xml:space="preserve">https://trs.cqmasso.com/en/conozca-trs</t>
  </si>
  <si>
    <t xml:space="preserve">COMERCIALIZADORA Y FABRICANTE DE RADIADORES EN ALUMINIO SAS</t>
  </si>
  <si>
    <t xml:space="preserve">A-310</t>
  </si>
  <si>
    <t xml:space="preserve">www.cyfral.com.co</t>
  </si>
  <si>
    <t xml:space="preserve">COMPAÑIA EXCELLENCE PUMP INDUSTRY CO. LTD CHINA, SUCURSAL PERU</t>
  </si>
  <si>
    <t xml:space="preserve">E-148A</t>
  </si>
  <si>
    <t xml:space="preserve">https://www.excellencepumps.com/</t>
  </si>
  <si>
    <t xml:space="preserve">COMPAÑIA MECANICA Y CONMINUCION S.A.C</t>
  </si>
  <si>
    <t xml:space="preserve">B-055</t>
  </si>
  <si>
    <t xml:space="preserve">comeco.com.pe</t>
  </si>
  <si>
    <t xml:space="preserve">COMPAÑIA PERUANA DE BATERIAS S A</t>
  </si>
  <si>
    <t xml:space="preserve">E-108</t>
  </si>
  <si>
    <t xml:space="preserve">www.bateriasrose.com</t>
  </si>
  <si>
    <t xml:space="preserve">COMPAÑIA TECNICA MIRANDA COTECMI S.A.C</t>
  </si>
  <si>
    <t xml:space="preserve">A-069A</t>
  </si>
  <si>
    <t xml:space="preserve">https://www.cotecmisac.com/</t>
  </si>
  <si>
    <t xml:space="preserve">COMPUTATIONAL ENTERPRISE SIMULATIONS CHILE SPA</t>
  </si>
  <si>
    <t xml:space="preserve">A-305</t>
  </si>
  <si>
    <t xml:space="preserve">www.cesimulations.com</t>
  </si>
  <si>
    <t xml:space="preserve">COMSATEL PERÚ SAC</t>
  </si>
  <si>
    <t xml:space="preserve">A-027A</t>
  </si>
  <si>
    <t xml:space="preserve">www.comsatel.com.pe</t>
  </si>
  <si>
    <t xml:space="preserve">CONDUCTORES ELECTRICOS LIMA S A</t>
  </si>
  <si>
    <t xml:space="preserve">A-412</t>
  </si>
  <si>
    <t xml:space="preserve">www.celsa.com.pe</t>
  </si>
  <si>
    <t xml:space="preserve">CONDUMEX</t>
  </si>
  <si>
    <t xml:space="preserve">A-150</t>
  </si>
  <si>
    <t xml:space="preserve">www.condumex.com</t>
  </si>
  <si>
    <t xml:space="preserve">CONECTORES MINEROS S.A.C.</t>
  </si>
  <si>
    <t xml:space="preserve">F-096</t>
  </si>
  <si>
    <t xml:space="preserve">www.conectoresmineros.com</t>
  </si>
  <si>
    <t xml:space="preserve">CONNEKT S.A.C.</t>
  </si>
  <si>
    <t xml:space="preserve">E-053</t>
  </si>
  <si>
    <t xml:space="preserve">www.connekt.pe</t>
  </si>
  <si>
    <t xml:space="preserve">CONSORCIO LURIN I</t>
  </si>
  <si>
    <t xml:space="preserve">B-225</t>
  </si>
  <si>
    <t xml:space="preserve">www.lucumo.com.pe</t>
  </si>
  <si>
    <t xml:space="preserve">CONTAINER SUDAMERICA PERÚ SAC</t>
  </si>
  <si>
    <t xml:space="preserve">A-353</t>
  </si>
  <si>
    <t xml:space="preserve">www.containersudamericaperu.com</t>
  </si>
  <si>
    <t xml:space="preserve">CONVEYOR BELT SERVICE S.A.C.</t>
  </si>
  <si>
    <t xml:space="preserve">B-302</t>
  </si>
  <si>
    <t xml:space="preserve">www.cbs.com.pe</t>
  </si>
  <si>
    <t xml:space="preserve">COOPERATIVA DE SERVICIOS EDUCATIVOS IDECAP</t>
  </si>
  <si>
    <t xml:space="preserve">A-157</t>
  </si>
  <si>
    <t xml:space="preserve">idecap - instagram</t>
  </si>
  <si>
    <t xml:space="preserve">CORECASE</t>
  </si>
  <si>
    <t xml:space="preserve">F-081</t>
  </si>
  <si>
    <t xml:space="preserve">corecase.com</t>
  </si>
  <si>
    <t xml:space="preserve">CORPORACION COINSA S.A.C.</t>
  </si>
  <si>
    <t xml:space="preserve">B-255</t>
  </si>
  <si>
    <t xml:space="preserve">www.ccoinsa.com.pe</t>
  </si>
  <si>
    <t xml:space="preserve">CORPORACION DE INDUSTRIAS PLASTICAS S A</t>
  </si>
  <si>
    <t xml:space="preserve">B-026</t>
  </si>
  <si>
    <t xml:space="preserve">www.ciptech.pe</t>
  </si>
  <si>
    <t xml:space="preserve">CORPORACION MACMINING E.I.R.L.</t>
  </si>
  <si>
    <t xml:space="preserve">D-006</t>
  </si>
  <si>
    <t xml:space="preserve">http://www.macmining.com</t>
  </si>
  <si>
    <t xml:space="preserve">CORPORACION MAINSERV INGENIEROS S.A.C.</t>
  </si>
  <si>
    <t xml:space="preserve">B-286</t>
  </si>
  <si>
    <t xml:space="preserve">www.corporacionmainserv.com</t>
  </si>
  <si>
    <t xml:space="preserve">CORPORACION PRIMAX S.A.</t>
  </si>
  <si>
    <t xml:space="preserve">D-069</t>
  </si>
  <si>
    <t xml:space="preserve">CORPORACION TRESNAK DEL PERÚ S.A.C.</t>
  </si>
  <si>
    <t xml:space="preserve">A-088</t>
  </si>
  <si>
    <t xml:space="preserve">https://www.tresnak.com.pe/</t>
  </si>
  <si>
    <t xml:space="preserve">CORPORACIÓN AIREX S.A.C. - CORP. AIREX SAC</t>
  </si>
  <si>
    <t xml:space="preserve">B-093</t>
  </si>
  <si>
    <t xml:space="preserve">https://www.airex.com.pe/</t>
  </si>
  <si>
    <t xml:space="preserve">CORREA INGENIERIA APLICADA S.A.C.</t>
  </si>
  <si>
    <t xml:space="preserve">E-139A</t>
  </si>
  <si>
    <t xml:space="preserve">www.ciasac.com</t>
  </si>
  <si>
    <t xml:space="preserve">CORSUSA INTERNATIONAL S.A.C.</t>
  </si>
  <si>
    <t xml:space="preserve">A-027</t>
  </si>
  <si>
    <t xml:space="preserve">www.corsusa.com</t>
  </si>
  <si>
    <t xml:space="preserve">COSMOS GLOBAL LOGISTICS S.A.C.</t>
  </si>
  <si>
    <t xml:space="preserve">B-265</t>
  </si>
  <si>
    <t xml:space="preserve">https://cosmos.com.pe/</t>
  </si>
  <si>
    <t xml:space="preserve">COSTEX TRACTOR PARTS</t>
  </si>
  <si>
    <t xml:space="preserve">E-216</t>
  </si>
  <si>
    <t xml:space="preserve">www.costex.com</t>
  </si>
  <si>
    <t xml:space="preserve">CRONOSTEC S.A.C.</t>
  </si>
  <si>
    <t xml:space="preserve">E-402</t>
  </si>
  <si>
    <t xml:space="preserve">https://cronostec.pe/</t>
  </si>
  <si>
    <t xml:space="preserve">CS BEAVER SAC</t>
  </si>
  <si>
    <t xml:space="preserve">A-151</t>
  </si>
  <si>
    <t xml:space="preserve">www.csbeaver.com</t>
  </si>
  <si>
    <t xml:space="preserve">CS SUPPLY INTERNATIONAL INC</t>
  </si>
  <si>
    <t xml:space="preserve">A-332</t>
  </si>
  <si>
    <t xml:space="preserve">https://cs-supply.com/</t>
  </si>
  <si>
    <t xml:space="preserve">CUOTA DE VENTA S.A.C.</t>
  </si>
  <si>
    <t xml:space="preserve">A-438</t>
  </si>
  <si>
    <t xml:space="preserve">https://www.cdvperu.com/</t>
  </si>
  <si>
    <t xml:space="preserve">CYBERTAN GROUP</t>
  </si>
  <si>
    <t xml:space="preserve">E-301</t>
  </si>
  <si>
    <t xml:space="preserve">cybertan-group.com</t>
  </si>
  <si>
    <t xml:space="preserve">DALIAN SHANGFENG FLOTATION REAGENTS CO.,LTD.</t>
  </si>
  <si>
    <t xml:space="preserve">E-135</t>
  </si>
  <si>
    <t xml:space="preserve">www.daliansfxk.com</t>
  </si>
  <si>
    <t xml:space="preserve">DANDONG DONGFANG MEASUREMENT&amp;CONTROL TECHNOLOGY CO.,LTD</t>
  </si>
  <si>
    <t xml:space="preserve">E-191</t>
  </si>
  <si>
    <t xml:space="preserve">www.dfmc.cc</t>
  </si>
  <si>
    <t xml:space="preserve">DARTEL ELECTRICIDAD</t>
  </si>
  <si>
    <t xml:space="preserve">A-260</t>
  </si>
  <si>
    <t xml:space="preserve">www.dartel.com.pe</t>
  </si>
  <si>
    <t xml:space="preserve">DELLNER BUBENZER</t>
  </si>
  <si>
    <t xml:space="preserve">A-335</t>
  </si>
  <si>
    <t xml:space="preserve">www.dellnerbubenzer.com</t>
  </si>
  <si>
    <t xml:space="preserve">DERUI INTERNATIONAL TRADE CO., LTD.</t>
  </si>
  <si>
    <t xml:space="preserve">E-156</t>
  </si>
  <si>
    <t xml:space="preserve">www.derui-crusher.com</t>
  </si>
  <si>
    <t xml:space="preserve">DESARROLLO Y TECNOLOGIA INDUSTRIAL S.A.C.</t>
  </si>
  <si>
    <t xml:space="preserve">A-172</t>
  </si>
  <si>
    <t xml:space="preserve">www.detecin.com</t>
  </si>
  <si>
    <t xml:space="preserve">DESARROLLOS ALIMENTICIOS S.A.</t>
  </si>
  <si>
    <t xml:space="preserve">E-393</t>
  </si>
  <si>
    <t xml:space="preserve">www.daff.cl</t>
  </si>
  <si>
    <t xml:space="preserve">DEVOM S.A.C.</t>
  </si>
  <si>
    <t xml:space="preserve">F-087</t>
  </si>
  <si>
    <t xml:space="preserve">www.devomsac.com</t>
  </si>
  <si>
    <t xml:space="preserve">DEWATERING SOLUTIONS PERÚ S.A.C.</t>
  </si>
  <si>
    <t xml:space="preserve">A-047</t>
  </si>
  <si>
    <t xml:space="preserve">www.dewatering.pe</t>
  </si>
  <si>
    <t xml:space="preserve">DG LATAM S.A.C.</t>
  </si>
  <si>
    <t xml:space="preserve">E-324B</t>
  </si>
  <si>
    <t xml:space="preserve">www.dg-latam.com</t>
  </si>
  <si>
    <t xml:space="preserve">DHL EXPRESS PERÚ S.A.C.</t>
  </si>
  <si>
    <t xml:space="preserve">E-126</t>
  </si>
  <si>
    <t xml:space="preserve">https://www.dhl.com/pe-es/home.html</t>
  </si>
  <si>
    <t xml:space="preserve">DIECOM S.R.L.</t>
  </si>
  <si>
    <t xml:space="preserve">B-167</t>
  </si>
  <si>
    <t xml:space="preserve">https://diecomcorporation.com/</t>
  </si>
  <si>
    <t xml:space="preserve">DIESEL TECNICA E I R L</t>
  </si>
  <si>
    <t xml:space="preserve">B-226</t>
  </si>
  <si>
    <t xml:space="preserve">www.dieseltecnica.com.pe</t>
  </si>
  <si>
    <t xml:space="preserve">DIRECTV PERÚ S.R.L.</t>
  </si>
  <si>
    <t xml:space="preserve">A-253</t>
  </si>
  <si>
    <t xml:space="preserve">www.directv.pe</t>
  </si>
  <si>
    <t xml:space="preserve">DIRTEX S.A.C</t>
  </si>
  <si>
    <t xml:space="preserve">B-147</t>
  </si>
  <si>
    <t xml:space="preserve">www.dirtex.pe</t>
  </si>
  <si>
    <t xml:space="preserve">DISTRIBUCIONES DIESEL PERÚ S.A.C.</t>
  </si>
  <si>
    <t xml:space="preserve">E-172</t>
  </si>
  <si>
    <t xml:space="preserve">www.distribucionesdiesel.com.pe</t>
  </si>
  <si>
    <t xml:space="preserve">DISTRIBUIDORA INDUSTRIAL Y TECNICA DEL PERÚ S.A.C.</t>
  </si>
  <si>
    <t xml:space="preserve">B-061</t>
  </si>
  <si>
    <t xml:space="preserve">https://www.distintec.pe/</t>
  </si>
  <si>
    <t xml:space="preserve">DORICH &amp; WATKIN S.A.C</t>
  </si>
  <si>
    <t xml:space="preserve">B-150</t>
  </si>
  <si>
    <t xml:space="preserve">www.dorichywatkin.com</t>
  </si>
  <si>
    <t xml:space="preserve">E2I S.A.C.</t>
  </si>
  <si>
    <t xml:space="preserve">A-300</t>
  </si>
  <si>
    <t xml:space="preserve">https://e2i.tech/es</t>
  </si>
  <si>
    <t xml:space="preserve">EAGLEBURGMANN DO BRASIL VEDAÇÕES INDUSTRIAIS LTDA SUCURSAL DE PERU</t>
  </si>
  <si>
    <t xml:space="preserve">E-339</t>
  </si>
  <si>
    <t xml:space="preserve">https://www.eagleburgmann.com/</t>
  </si>
  <si>
    <t xml:space="preserve">ECO-GOLDEX INC</t>
  </si>
  <si>
    <t xml:space="preserve">E-322E</t>
  </si>
  <si>
    <t xml:space="preserve">www.eco-goldex.com</t>
  </si>
  <si>
    <t xml:space="preserve">ECOSERVICIOS E INGENIERIA LIMPIA S.A.C.- EIL S.A.C.</t>
  </si>
  <si>
    <t xml:space="preserve">E-170</t>
  </si>
  <si>
    <t xml:space="preserve">https://ecoservicios.pe/</t>
  </si>
  <si>
    <t xml:space="preserve">EFCO DEL PERÚ LTD, SUCURSAL</t>
  </si>
  <si>
    <t xml:space="preserve">E-261</t>
  </si>
  <si>
    <t xml:space="preserve">www.efcoforms.com</t>
  </si>
  <si>
    <t xml:space="preserve">ELECTROTECNIA MUNDIAL MASTER S S.R.L</t>
  </si>
  <si>
    <t xml:space="preserve">E-218</t>
  </si>
  <si>
    <t xml:space="preserve">www.electrotecniamundial.com</t>
  </si>
  <si>
    <t xml:space="preserve">EMPRESA DE METALIZADO ELECTROQUIMICO S.R.L.</t>
  </si>
  <si>
    <t xml:space="preserve">E-076</t>
  </si>
  <si>
    <t xml:space="preserve">www.emetelsrl.com</t>
  </si>
  <si>
    <t xml:space="preserve">ENERGIA &amp; LUBRICACION PERÚ E.I.R.L. - ENERLUB PERÚ E.I.R.L.</t>
  </si>
  <si>
    <t xml:space="preserve">E-185</t>
  </si>
  <si>
    <t xml:space="preserve">www.enerlubperu.com</t>
  </si>
  <si>
    <t xml:space="preserve">ENERGIA Y LABORATORIOS S.A.C. - ENERLAB S.A.C.</t>
  </si>
  <si>
    <t xml:space="preserve">E-201</t>
  </si>
  <si>
    <t xml:space="preserve">https://www.enerlab.com.pe/</t>
  </si>
  <si>
    <t xml:space="preserve">ENERTEK S.A.C.</t>
  </si>
  <si>
    <t xml:space="preserve">A-198</t>
  </si>
  <si>
    <t xml:space="preserve">https://enertekglobal.com/</t>
  </si>
  <si>
    <t xml:space="preserve">ENRIQUE FREYRE S.A.C.</t>
  </si>
  <si>
    <t xml:space="preserve">E-193</t>
  </si>
  <si>
    <t xml:space="preserve">www.efreyre.com</t>
  </si>
  <si>
    <t xml:space="preserve">ENRIQUE HUERTA Y CIA S.A.C.</t>
  </si>
  <si>
    <t xml:space="preserve">A-290</t>
  </si>
  <si>
    <t xml:space="preserve">www.eh.com.pe</t>
  </si>
  <si>
    <t xml:space="preserve">ENVAL SA</t>
  </si>
  <si>
    <t xml:space="preserve">A-371</t>
  </si>
  <si>
    <t xml:space="preserve">https://enval3d.com/</t>
  </si>
  <si>
    <t xml:space="preserve">EQUIPOS ANALITICOS Y TECNOLOGIA DE INFORMACION S.A.C. - EQUANTI S.A.C.</t>
  </si>
  <si>
    <t xml:space="preserve">D-072</t>
  </si>
  <si>
    <t xml:space="preserve">www.equanti.com</t>
  </si>
  <si>
    <t xml:space="preserve">EQUIPOS MAGNETICOS Y VIBRATORIOS S.A.C.</t>
  </si>
  <si>
    <t xml:space="preserve">B-203</t>
  </si>
  <si>
    <t xml:space="preserve">https://www.equimag.com.pe</t>
  </si>
  <si>
    <t xml:space="preserve">ERBESSD INSTRUMENTS</t>
  </si>
  <si>
    <t xml:space="preserve">E-405</t>
  </si>
  <si>
    <t xml:space="preserve">https://www.erbessd-instruments.com/es/</t>
  </si>
  <si>
    <t xml:space="preserve">ESAN EXPRESS PERÚ S.A.C.</t>
  </si>
  <si>
    <t xml:space="preserve">A-181</t>
  </si>
  <si>
    <t xml:space="preserve">esanexpress.com</t>
  </si>
  <si>
    <t xml:space="preserve">EVOLUTION CAR SERVICE EMPRESA INDIVIDUAL DE RESPONSABILIDAD LIMITADA</t>
  </si>
  <si>
    <t xml:space="preserve">B-136</t>
  </si>
  <si>
    <t xml:space="preserve">https://evocars.pe/</t>
  </si>
  <si>
    <t xml:space="preserve">F &amp; A GEOINGENIERIA S.A.C.</t>
  </si>
  <si>
    <t xml:space="preserve">A-013</t>
  </si>
  <si>
    <t xml:space="preserve">https://www.fia-geoingenieria.com/</t>
  </si>
  <si>
    <t xml:space="preserve">F.P. TECNOLOGI &amp; SYSTEM S.A.C</t>
  </si>
  <si>
    <t xml:space="preserve">A-133</t>
  </si>
  <si>
    <t xml:space="preserve">www.fptecnologi.com</t>
  </si>
  <si>
    <t xml:space="preserve">F45 E.I.R.L</t>
  </si>
  <si>
    <t xml:space="preserve">E-404</t>
  </si>
  <si>
    <t xml:space="preserve">www.f45.com.pe</t>
  </si>
  <si>
    <t xml:space="preserve">FABRICA NACIONAL DE ACUMULADORES ETNA S.A.</t>
  </si>
  <si>
    <t xml:space="preserve">B-185</t>
  </si>
  <si>
    <t xml:space="preserve">https://www.etna.com.pe/</t>
  </si>
  <si>
    <t xml:space="preserve">FABRICACIONES METALICAS CARRANZA S.A.C.</t>
  </si>
  <si>
    <t xml:space="preserve">ventas@fameca.com.pe</t>
  </si>
  <si>
    <t xml:space="preserve">ExpoMina 2026. También en CRM Directorio SSO 2026 (ID 574).</t>
  </si>
  <si>
    <t xml:space="preserve">E-048</t>
  </si>
  <si>
    <t xml:space="preserve">www.fameca.com.pe</t>
  </si>
  <si>
    <t xml:space="preserve">(044) 203047 / 948337488</t>
  </si>
  <si>
    <t xml:space="preserve">Car. Panamericana Norte Km. 561 Z.I. Pque. Industrial Sur Moche¡ - La Libertad</t>
  </si>
  <si>
    <t xml:space="preserve">FERRI PERN S R LTDA</t>
  </si>
  <si>
    <t xml:space="preserve">E-073</t>
  </si>
  <si>
    <t xml:space="preserve">https://ferriper.com/</t>
  </si>
  <si>
    <t xml:space="preserve">FESEPSA S.A</t>
  </si>
  <si>
    <t xml:space="preserve">E-348A</t>
  </si>
  <si>
    <t xml:space="preserve">www.fesepsa.com.pe</t>
  </si>
  <si>
    <t xml:space="preserve">FESTO S.R.L.</t>
  </si>
  <si>
    <t xml:space="preserve">ventas.pe@festo.com</t>
  </si>
  <si>
    <t xml:space="preserve">ExpoMina 2026. También en CRM Directorio SSO 2026 (ID 579).</t>
  </si>
  <si>
    <t xml:space="preserve">E-043</t>
  </si>
  <si>
    <t xml:space="preserve">https://www.festo.com/pe/es/</t>
  </si>
  <si>
    <t xml:space="preserve">2196960</t>
  </si>
  <si>
    <t xml:space="preserve">Av. Circunvalación del Golf Los Incas 134 Of. 401 Centro Empresarial Panorama Torre II, Santiago de Surco - Lima</t>
  </si>
  <si>
    <t xml:space="preserve">FILBLOCK SRL</t>
  </si>
  <si>
    <t xml:space="preserve">E-339A</t>
  </si>
  <si>
    <t xml:space="preserve">https://filblock.com/</t>
  </si>
  <si>
    <t xml:space="preserve">FILTROS SAN JORGE S.A.C.</t>
  </si>
  <si>
    <t xml:space="preserve">A-147</t>
  </si>
  <si>
    <t xml:space="preserve">www.filtrosanjorge.com</t>
  </si>
  <si>
    <t xml:space="preserve">FIORELLA REPRESENTACIONES S.A.C.</t>
  </si>
  <si>
    <t xml:space="preserve">B-017</t>
  </si>
  <si>
    <t xml:space="preserve">www.fiorellarepre.com.pe</t>
  </si>
  <si>
    <t xml:space="preserve">FKK ERSATZTEILE GMBH</t>
  </si>
  <si>
    <t xml:space="preserve">A-317</t>
  </si>
  <si>
    <t xml:space="preserve">https://www.fkkde.com/</t>
  </si>
  <si>
    <t xml:space="preserve">FLUICONNECTO TALLERES HIDRAULICOS S.A.C.</t>
  </si>
  <si>
    <t xml:space="preserve">C-014</t>
  </si>
  <si>
    <t xml:space="preserve">FLUIDTEK S R L</t>
  </si>
  <si>
    <t xml:space="preserve">A-440</t>
  </si>
  <si>
    <t xml:space="preserve">www.fluidteksrl.com</t>
  </si>
  <si>
    <t xml:space="preserve">FORD PERÚ S.R.L.</t>
  </si>
  <si>
    <t xml:space="preserve">C-003</t>
  </si>
  <si>
    <t xml:space="preserve">ford.pe</t>
  </si>
  <si>
    <t xml:space="preserve">FOREMOST INDUSTRIES LP</t>
  </si>
  <si>
    <t xml:space="preserve">Canadá</t>
  </si>
  <si>
    <t xml:space="preserve">E-323</t>
  </si>
  <si>
    <t xml:space="preserve">www.foremost.ca</t>
  </si>
  <si>
    <t xml:space="preserve">FORSUN ULTRA-HARD MATERIAL INDUSTRY CO., LTD.</t>
  </si>
  <si>
    <t xml:space="preserve">E-091A</t>
  </si>
  <si>
    <t xml:space="preserve">www.forsun-tools.com</t>
  </si>
  <si>
    <t xml:space="preserve">FOSHAN HZW IMPORT AND EXPORT TRADING COMPANY LTD.</t>
  </si>
  <si>
    <t xml:space="preserve">A-002</t>
  </si>
  <si>
    <t xml:space="preserve">www.sitbo.com</t>
  </si>
  <si>
    <t xml:space="preserve">FOSHAN SOEASY MODULAR HOUSING CO .,LTD</t>
  </si>
  <si>
    <t xml:space="preserve">E-249</t>
  </si>
  <si>
    <t xml:space="preserve">www.foldingcontainerhouse.com</t>
  </si>
  <si>
    <t xml:space="preserve">FOX COMERCIAL GROUP S.A.C.</t>
  </si>
  <si>
    <t xml:space="preserve">A-185</t>
  </si>
  <si>
    <t xml:space="preserve">FRESOMAC S.A.C.</t>
  </si>
  <si>
    <t xml:space="preserve">A-085</t>
  </si>
  <si>
    <t xml:space="preserve">www.fresomac.com</t>
  </si>
  <si>
    <t xml:space="preserve">FROTCOM PERÚ S.A.C.</t>
  </si>
  <si>
    <t xml:space="preserve">A-189A</t>
  </si>
  <si>
    <t xml:space="preserve">https://www.frotcom.com/es-es</t>
  </si>
  <si>
    <t xml:space="preserve">FUJIAN TIETUO MACHINERY CO., LTD.</t>
  </si>
  <si>
    <t xml:space="preserve">E-257</t>
  </si>
  <si>
    <t xml:space="preserve">www.fjttm.net</t>
  </si>
  <si>
    <t xml:space="preserve">FUJIAN XIONGTAI SUPPLY CHAIN MANAGMENT CO.,LTD.</t>
  </si>
  <si>
    <t xml:space="preserve">E-241</t>
  </si>
  <si>
    <t xml:space="preserve">www.chinaminda.com</t>
  </si>
  <si>
    <t xml:space="preserve">G &amp; G INDUSTRIAL S.R.L.</t>
  </si>
  <si>
    <t xml:space="preserve">marketing@gygindustrial.com</t>
  </si>
  <si>
    <t xml:space="preserve">ExpoMina 2026. También en CRM Directorio SSO 2026 (ID 581).</t>
  </si>
  <si>
    <t xml:space="preserve">E-169</t>
  </si>
  <si>
    <t xml:space="preserve">https://ggi.ambienteprevio.com/</t>
  </si>
  <si>
    <t xml:space="preserve">2746644 / 2746648 / 983460250</t>
  </si>
  <si>
    <t xml:space="preserve">Av. Santiago de Surco 4703 Urb. Benavides - Santiago de Surco - Lima</t>
  </si>
  <si>
    <t xml:space="preserve">G &amp; K INTERNATIONAL GROUP S.A.C.</t>
  </si>
  <si>
    <t xml:space="preserve">E-362</t>
  </si>
  <si>
    <t xml:space="preserve">https://www.sngular.com/es/connectedworks</t>
  </si>
  <si>
    <t xml:space="preserve">GDI CORPORATION SAC</t>
  </si>
  <si>
    <t xml:space="preserve">A-195</t>
  </si>
  <si>
    <t xml:space="preserve">https://gdicorporation.com/wordpress/</t>
  </si>
  <si>
    <t xml:space="preserve">GENERAL KINEMATICS</t>
  </si>
  <si>
    <t xml:space="preserve">E-104</t>
  </si>
  <si>
    <t xml:space="preserve">www.generalkinematics.com</t>
  </si>
  <si>
    <t xml:space="preserve">GEO-LOGIC PERÚ S.R.L.</t>
  </si>
  <si>
    <t xml:space="preserve">B-148</t>
  </si>
  <si>
    <t xml:space="preserve">https://geo-logic.com.pe/</t>
  </si>
  <si>
    <t xml:space="preserve">GEOMATRIX PERÚ S.A.C</t>
  </si>
  <si>
    <t xml:space="preserve">B-285</t>
  </si>
  <si>
    <t xml:space="preserve">https://geomatrix.co</t>
  </si>
  <si>
    <t xml:space="preserve">GEOMETRICS INC.</t>
  </si>
  <si>
    <t xml:space="preserve">B-272</t>
  </si>
  <si>
    <t xml:space="preserve">https://www.geometrics.com/</t>
  </si>
  <si>
    <t xml:space="preserve">GEOPERSIS JWJ S.R.L.</t>
  </si>
  <si>
    <t xml:space="preserve">E-379</t>
  </si>
  <si>
    <t xml:space="preserve">www.geopersis.com.pe</t>
  </si>
  <si>
    <t xml:space="preserve">GEOPIPE SOLUTIONS S.A.C.</t>
  </si>
  <si>
    <t xml:space="preserve">B-250</t>
  </si>
  <si>
    <t xml:space="preserve">www.geopipesac.com</t>
  </si>
  <si>
    <t xml:space="preserve">GEOTECNIA PERUANA SR LTDA</t>
  </si>
  <si>
    <t xml:space="preserve">B-259</t>
  </si>
  <si>
    <t xml:space="preserve">www.geotecniaperuana.com</t>
  </si>
  <si>
    <t xml:space="preserve">GESTORES DE NEGOCIOS ELECTRICOS DE EXCELENCIA S.A.C.</t>
  </si>
  <si>
    <t xml:space="preserve">A-014</t>
  </si>
  <si>
    <t xml:space="preserve">https://www.gnexperu.com/</t>
  </si>
  <si>
    <t xml:space="preserve">GEYER KABEL PERÚ S.A.C.</t>
  </si>
  <si>
    <t xml:space="preserve">A-168</t>
  </si>
  <si>
    <t xml:space="preserve">https://www.geyer-kabel.com/</t>
  </si>
  <si>
    <t xml:space="preserve">GH GRUAS PUENTE PERÚ S.A.C.</t>
  </si>
  <si>
    <t xml:space="preserve">A-179</t>
  </si>
  <si>
    <t xml:space="preserve">https://www.ghcranes.com/</t>
  </si>
  <si>
    <t xml:space="preserve">GLOBAL ABRASIVES S.A.C.</t>
  </si>
  <si>
    <t xml:space="preserve">E-192</t>
  </si>
  <si>
    <t xml:space="preserve">https://globalabrasivessac.com</t>
  </si>
  <si>
    <t xml:space="preserve">GLOBAL RUBBER CORPORATION S.A.C.</t>
  </si>
  <si>
    <t xml:space="preserve">B-258</t>
  </si>
  <si>
    <t xml:space="preserve">www.globalrubbercorporation.com</t>
  </si>
  <si>
    <t xml:space="preserve">GLOBAL SUPPORT SYSTEMS S.A</t>
  </si>
  <si>
    <t xml:space="preserve">B-213</t>
  </si>
  <si>
    <t xml:space="preserve">www.gss-peru.com</t>
  </si>
  <si>
    <t xml:space="preserve">GLOBALPLAST SAC</t>
  </si>
  <si>
    <t xml:space="preserve">B-256</t>
  </si>
  <si>
    <t xml:space="preserve">https://globalplastperu.com/</t>
  </si>
  <si>
    <t xml:space="preserve">GLOVALZUR E.I.R.L.</t>
  </si>
  <si>
    <t xml:space="preserve">E-274</t>
  </si>
  <si>
    <t xml:space="preserve">www.glovalzur.com</t>
  </si>
  <si>
    <t xml:space="preserve">GN SEPARATION EQUIPMENT CO., LTD</t>
  </si>
  <si>
    <t xml:space="preserve">E-139</t>
  </si>
  <si>
    <t xml:space="preserve">https://www.gnseparation.com</t>
  </si>
  <si>
    <t xml:space="preserve">GOLD PANDA MINERIA EQUIPAMIENTO S.A.C</t>
  </si>
  <si>
    <t xml:space="preserve">B-277</t>
  </si>
  <si>
    <t xml:space="preserve">https://www.aoj-pump.com/</t>
  </si>
  <si>
    <t xml:space="preserve">GOMACO RUBBER S.R.L.</t>
  </si>
  <si>
    <t xml:space="preserve">B-179</t>
  </si>
  <si>
    <t xml:space="preserve">www.gomacorubber.com.pe</t>
  </si>
  <si>
    <t xml:space="preserve">GONGYI XINQI POLYMER CO.,LTD.</t>
  </si>
  <si>
    <t xml:space="preserve">E-127</t>
  </si>
  <si>
    <t xml:space="preserve">www.xinqipolymer.com</t>
  </si>
  <si>
    <t xml:space="preserve">GOODWIN IND E COM DE BOMBAS SUBMERSAS LTDA</t>
  </si>
  <si>
    <t xml:space="preserve">E-149E</t>
  </si>
  <si>
    <t xml:space="preserve">www.goodwinpumpslatam.com</t>
  </si>
  <si>
    <t xml:space="preserve">GRUPO ACERO MARCELA E.I.R.L.</t>
  </si>
  <si>
    <t xml:space="preserve">A-118</t>
  </si>
  <si>
    <t xml:space="preserve">https://grupomarcela.com.pe/</t>
  </si>
  <si>
    <t xml:space="preserve">GRUPO AVG MINING S.A.C.</t>
  </si>
  <si>
    <t xml:space="preserve">A-362</t>
  </si>
  <si>
    <t xml:space="preserve">https://cecavg.edu.pe/</t>
  </si>
  <si>
    <t xml:space="preserve">GRUPO BONNETT S.A.</t>
  </si>
  <si>
    <t xml:space="preserve">B-113</t>
  </si>
  <si>
    <t xml:space="preserve">www.grupobonnett.com</t>
  </si>
  <si>
    <t xml:space="preserve">GRUPO JRI SPA</t>
  </si>
  <si>
    <t xml:space="preserve">E-356</t>
  </si>
  <si>
    <t xml:space="preserve">www.grupojri.cl</t>
  </si>
  <si>
    <t xml:space="preserve">GRUPO KA S.A.C.</t>
  </si>
  <si>
    <t xml:space="preserve">A-201</t>
  </si>
  <si>
    <t xml:space="preserve">www.kasac.pe</t>
  </si>
  <si>
    <t xml:space="preserve">GUANGDONG LEIMENG INTELLIGENT EQUIPMENT GROUP CO.,LTD.</t>
  </si>
  <si>
    <t xml:space="preserve">E-118</t>
  </si>
  <si>
    <t xml:space="preserve">https://www.crusherlm.com/</t>
  </si>
  <si>
    <t xml:space="preserve">GUANGDONG LIANSU TECHNOLOGY INDUSTRY CO., LTD.</t>
  </si>
  <si>
    <t xml:space="preserve">A-415</t>
  </si>
  <si>
    <t xml:space="preserve">en.lesso.com</t>
  </si>
  <si>
    <t xml:space="preserve">GUANGDONG RONGDA WEAR RESISTANT TECHNOLOGY CO., LTD</t>
  </si>
  <si>
    <t xml:space="preserve">A-039</t>
  </si>
  <si>
    <t xml:space="preserve">www.rtsdhardfacing.com</t>
  </si>
  <si>
    <t xml:space="preserve">GUANGXI SENHE HIGH TECHNOLOGY CO., LTD.</t>
  </si>
  <si>
    <t xml:space="preserve">E-182</t>
  </si>
  <si>
    <t xml:space="preserve">http://www.gxshgk.com</t>
  </si>
  <si>
    <t xml:space="preserve">GUANGZHOU DISONG MACHINERY EQUIPMENT CO., LTD.</t>
  </si>
  <si>
    <t xml:space="preserve">E-198A</t>
  </si>
  <si>
    <t xml:space="preserve">gzjds.en.alibaba.com</t>
  </si>
  <si>
    <t xml:space="preserve">GUANGZHOU FENGQUN CONSTRUCTION MACHINERY CO., LTD</t>
  </si>
  <si>
    <t xml:space="preserve">E-198D</t>
  </si>
  <si>
    <t xml:space="preserve">[https://fq13580402259.en.alibaba.com/index.html?spm=a2700.shop\_index.88.12.69d54c87z2gpui](https://fq13580402259.en.alibaba.com/index.html?spm=a2700.shop_index.88.12.69d54c87z2gpui)</t>
  </si>
  <si>
    <t xml:space="preserve">GUANGZHOU HUILIAN MACHINERY CO.,LTD</t>
  </si>
  <si>
    <t xml:space="preserve">E-399</t>
  </si>
  <si>
    <t xml:space="preserve">www.excavatorbreakerparts.com</t>
  </si>
  <si>
    <t xml:space="preserve">GUANGZHOU WEIYE MACHINERY EQUIPMENT CO., LTD</t>
  </si>
  <si>
    <t xml:space="preserve">E-113</t>
  </si>
  <si>
    <t xml:space="preserve">https://gzweiye168.en.alibaba.com</t>
  </si>
  <si>
    <t xml:space="preserve">GUANGZHOU YATO MAGHINERY CO.,LTD</t>
  </si>
  <si>
    <t xml:space="preserve">E-056</t>
  </si>
  <si>
    <t xml:space="preserve">http://www.yatopower.com/</t>
  </si>
  <si>
    <t xml:space="preserve">HAIKOU HENGCHANG LIDA IMP.&amp; EXP. CO., LTD.</t>
  </si>
  <si>
    <t xml:space="preserve">E-124</t>
  </si>
  <si>
    <t xml:space="preserve">www.huachuangpowertec.com</t>
  </si>
  <si>
    <t xml:space="preserve">HANGZHOU BEFA MACHINERY CO.,LTD</t>
  </si>
  <si>
    <t xml:space="preserve">E-157</t>
  </si>
  <si>
    <t xml:space="preserve">www.befa.com.cn</t>
  </si>
  <si>
    <t xml:space="preserve">HANGZHOU HENGTUO MACHINERY TECHNOLOGY CO.,LTD.</t>
  </si>
  <si>
    <t xml:space="preserve">A-186</t>
  </si>
  <si>
    <t xml:space="preserve">www.htconveyor.com</t>
  </si>
  <si>
    <t xml:space="preserve">HANGZHOU MICROIMAGE INTELLIGENT TECHNOLOGY CO., LTD.</t>
  </si>
  <si>
    <t xml:space="preserve">B-171</t>
  </si>
  <si>
    <t xml:space="preserve">www.sedisaservicios.com</t>
  </si>
  <si>
    <t xml:space="preserve">HANGZHOU TOPELE IMPORT AND EXPORT CO.,LTD.</t>
  </si>
  <si>
    <t xml:space="preserve">E-363</t>
  </si>
  <si>
    <t xml:space="preserve">www.topele.com</t>
  </si>
  <si>
    <t xml:space="preserve">HANJIANG HONGYUAN XIANGYANG SILICON CARBIDE SPECIAL CERAMICS CO.,LTD.</t>
  </si>
  <si>
    <t xml:space="preserve">E-035</t>
  </si>
  <si>
    <t xml:space="preserve">www.hysic.com</t>
  </si>
  <si>
    <t xml:space="preserve">HANSY MINING CO., LTD.</t>
  </si>
  <si>
    <t xml:space="preserve">E-321</t>
  </si>
  <si>
    <t xml:space="preserve">www.hansymining.com</t>
  </si>
  <si>
    <t xml:space="preserve">HAOYANG (SHANDONG) MINING MACHINERY CO., LTD</t>
  </si>
  <si>
    <t xml:space="preserve">A-343</t>
  </si>
  <si>
    <t xml:space="preserve">www. tuowangindustry.com</t>
  </si>
  <si>
    <t xml:space="preserve">HARTUFF BIMETALS (NINGGUO) CO., LTD.</t>
  </si>
  <si>
    <t xml:space="preserve">E-206</t>
  </si>
  <si>
    <t xml:space="preserve">www.zhenlimotor.com</t>
  </si>
  <si>
    <t xml:space="preserve">HAVER Y BOECKER</t>
  </si>
  <si>
    <t xml:space="preserve">E-224</t>
  </si>
  <si>
    <t xml:space="preserve">https://haverboecker.com</t>
  </si>
  <si>
    <t xml:space="preserve">HEBEI EVERGREEN MINING EQUIPMENT CO.,LTD.</t>
  </si>
  <si>
    <t xml:space="preserve">E-253</t>
  </si>
  <si>
    <t xml:space="preserve">www.china-miningtech.com</t>
  </si>
  <si>
    <t xml:space="preserve">HEBEI FENGBAILI PUMP INDUSTRY CO., LTD.</t>
  </si>
  <si>
    <t xml:space="preserve">A-163</t>
  </si>
  <si>
    <t xml:space="preserve">www.fblpump.com</t>
  </si>
  <si>
    <t xml:space="preserve">HEBEI HUAHAIYUAN WIRE MESH PROJECT CO.,LTD</t>
  </si>
  <si>
    <t xml:space="preserve">E-097</t>
  </si>
  <si>
    <t xml:space="preserve">www.hhy-wiremesh.com</t>
  </si>
  <si>
    <t xml:space="preserve">HEBEI JIANGHUA MINING MACHINERY CO., LTD.</t>
  </si>
  <si>
    <t xml:space="preserve">E-387</t>
  </si>
  <si>
    <t xml:space="preserve">n/a</t>
  </si>
  <si>
    <t xml:space="preserve">HEBEI METALS &amp; MINERALS CORP LTD.</t>
  </si>
  <si>
    <t xml:space="preserve">A-027B</t>
  </si>
  <si>
    <t xml:space="preserve">www.hebcasting.com</t>
  </si>
  <si>
    <t xml:space="preserve">HEBEI ROULE MECHANICAL TECHNOLOGY CO., LTD</t>
  </si>
  <si>
    <t xml:space="preserve">E-119</t>
  </si>
  <si>
    <t xml:space="preserve">https://www.hgconveyorbelt.com</t>
  </si>
  <si>
    <t xml:space="preserve">HEBEI STRUDEX TECHNOLOGY CO., LTD</t>
  </si>
  <si>
    <t xml:space="preserve">A-113</t>
  </si>
  <si>
    <t xml:space="preserve">https://www.miningstrudex.com</t>
  </si>
  <si>
    <t xml:space="preserve">HEBEI TIIEC MACHINERY CO.,LTD</t>
  </si>
  <si>
    <t xml:space="preserve">B-063</t>
  </si>
  <si>
    <t xml:space="preserve">www.tiiec.com</t>
  </si>
  <si>
    <t xml:space="preserve">HEBEI TONGDA PUMP AND VALVE GROUP CO.,LTD.</t>
  </si>
  <si>
    <t xml:space="preserve">E-042A</t>
  </si>
  <si>
    <t xml:space="preserve">www.td-pumpgroup.com</t>
  </si>
  <si>
    <t xml:space="preserve">HEBEI XIAOJIN MACHINERY MANUFACTURING INC.</t>
  </si>
  <si>
    <t xml:space="preserve">A-019</t>
  </si>
  <si>
    <t xml:space="preserve">www.xjm.cn</t>
  </si>
  <si>
    <t xml:space="preserve">HEFEI HUAYUN MACHINERY MANUFACTURING CO.,LTD</t>
  </si>
  <si>
    <t xml:space="preserve">E-231</t>
  </si>
  <si>
    <t xml:space="preserve">www.hospump.com</t>
  </si>
  <si>
    <t xml:space="preserve">HELUKABEL PERÚ S.A.C.</t>
  </si>
  <si>
    <t xml:space="preserve">E-103</t>
  </si>
  <si>
    <t xml:space="preserve">https://www.helu.com/pe-es/home/</t>
  </si>
  <si>
    <t xml:space="preserve">HENAN ANSHUN MACHINERY EQUIPMENT CO., LTD.</t>
  </si>
  <si>
    <t xml:space="preserve">E-246</t>
  </si>
  <si>
    <t xml:space="preserve">www.ascrusher.com</t>
  </si>
  <si>
    <t xml:space="preserve">HENAN BAICHY MACHINERY EQUIPMENT CO.,LTD</t>
  </si>
  <si>
    <t xml:space="preserve">E-186</t>
  </si>
  <si>
    <t xml:space="preserve">https://www.baichy.cn/index.html</t>
  </si>
  <si>
    <t xml:space="preserve">HENAN CHINA FIRST ENGINEERING TECHNOLOGY CO., LTD.</t>
  </si>
  <si>
    <t xml:space="preserve">E-054</t>
  </si>
  <si>
    <t xml:space="preserve">https://cftccrusher.com</t>
  </si>
  <si>
    <t xml:space="preserve">HENAN DONGFANG GROUP</t>
  </si>
  <si>
    <t xml:space="preserve">E-220</t>
  </si>
  <si>
    <t xml:space="preserve">no</t>
  </si>
  <si>
    <t xml:space="preserve">HENAN FINEWORK CRANES CO.,LTD</t>
  </si>
  <si>
    <t xml:space="preserve">E-230</t>
  </si>
  <si>
    <t xml:space="preserve">www.fineworkcranes.com</t>
  </si>
  <si>
    <t xml:space="preserve">HENAN FOTE HEAVY MACHINERY CO., LTD</t>
  </si>
  <si>
    <t xml:space="preserve">E-101</t>
  </si>
  <si>
    <t xml:space="preserve">https://www.fotemac.com/</t>
  </si>
  <si>
    <t xml:space="preserve">HENAN GREATWALL MACHINERY CO.,LTD.</t>
  </si>
  <si>
    <t xml:space="preserve">E-106</t>
  </si>
  <si>
    <t xml:space="preserve">https://www.gwcrusher.com</t>
  </si>
  <si>
    <t xml:space="preserve">HENAN HONGJI MINE MACHINERY COMPANY CO.,LTD</t>
  </si>
  <si>
    <t xml:space="preserve">D-050</t>
  </si>
  <si>
    <t xml:space="preserve">http://www.hjksjx.com/</t>
  </si>
  <si>
    <t xml:space="preserve">HENAN HONGXING MINING MACHINERY CO.,LTD.</t>
  </si>
  <si>
    <t xml:space="preserve">E-100</t>
  </si>
  <si>
    <t xml:space="preserve">https://www.hxjqchina.com/</t>
  </si>
  <si>
    <t xml:space="preserve">HENAN HUVLONE HYDRAULIC TECHNOLOGY CO.,LTD.</t>
  </si>
  <si>
    <t xml:space="preserve">E-121</t>
  </si>
  <si>
    <t xml:space="preserve">https://huvlone.com/</t>
  </si>
  <si>
    <t xml:space="preserve">HENAN JUQI MACHINERY EQUIPMENT CO.,LTD</t>
  </si>
  <si>
    <t xml:space="preserve">E-198I</t>
  </si>
  <si>
    <t xml:space="preserve">https://jqcrusher.en.alibaba.com/?spm=a2700.micro\_cgs\_home.0.0.e8193e5f1spvss</t>
  </si>
  <si>
    <t xml:space="preserve">HENAN NAICERAM GRINDING MATERIALS CO., LTD</t>
  </si>
  <si>
    <t xml:space="preserve">E-348F</t>
  </si>
  <si>
    <t xml:space="preserve">www.niceabrasive.com</t>
  </si>
  <si>
    <t xml:space="preserve">HENAN NIHIX TECHNOLOGY CO., LTD</t>
  </si>
  <si>
    <t xml:space="preserve">E-296</t>
  </si>
  <si>
    <t xml:space="preserve">https://en.hnnihix.com/ or https://www.hnnihix.com/</t>
  </si>
  <si>
    <t xml:space="preserve">HENAN SANTMACH MACHINERY EQUIPMENT CO., LTD</t>
  </si>
  <si>
    <t xml:space="preserve">E-286</t>
  </si>
  <si>
    <t xml:space="preserve">www.santmachine.com</t>
  </si>
  <si>
    <t xml:space="preserve">HENAN SEVEN INDUSTRY CO.,LTD</t>
  </si>
  <si>
    <t xml:space="preserve">E-051</t>
  </si>
  <si>
    <t xml:space="preserve">www.sevencrane.com</t>
  </si>
  <si>
    <t xml:space="preserve">HENAN SHOWIN HYDRAULICS TECHNOLOGY CO., LTD</t>
  </si>
  <si>
    <t xml:space="preserve">E-166</t>
  </si>
  <si>
    <t xml:space="preserve">www.showinhydro.com</t>
  </si>
  <si>
    <t xml:space="preserve">HENAN SHUNZHI MACHINERY CO., LTD.</t>
  </si>
  <si>
    <t xml:space="preserve">E-373</t>
  </si>
  <si>
    <t xml:space="preserve">www.chinashunzhi.com</t>
  </si>
  <si>
    <t xml:space="preserve">HENAN TURUI MACHINERY CO., LTD.</t>
  </si>
  <si>
    <t xml:space="preserve">E-125</t>
  </si>
  <si>
    <t xml:space="preserve">www.turuimac.com</t>
  </si>
  <si>
    <t xml:space="preserve">HENAN VICTORY MACHINERY CO., LTD.</t>
  </si>
  <si>
    <t xml:space="preserve">E-247</t>
  </si>
  <si>
    <t xml:space="preserve">www.vicmineral.com</t>
  </si>
  <si>
    <t xml:space="preserve">HENAN WEIBANG INTELLIGENT TECHNOLOGY CO.,LTD.</t>
  </si>
  <si>
    <t xml:space="preserve">B-110A</t>
  </si>
  <si>
    <t xml:space="preserve">https://www.hnwbzn.com/</t>
  </si>
  <si>
    <t xml:space="preserve">HENAN ZHONGKE ENGINEERING &amp; TECHNOLOGY CO., LTD.</t>
  </si>
  <si>
    <t xml:space="preserve">A-153</t>
  </si>
  <si>
    <t xml:space="preserve">www.cnzhongke.com</t>
  </si>
  <si>
    <t xml:space="preserve">HENAN ZHONGYUAN HEAVY FORGING CO.,LTD</t>
  </si>
  <si>
    <t xml:space="preserve">E-198B</t>
  </si>
  <si>
    <t xml:space="preserve">www.hhf.cn</t>
  </si>
  <si>
    <t xml:space="preserve">HENGSHUI KERTE ENVIRONMENT CO, LTD.</t>
  </si>
  <si>
    <t xml:space="preserve">E-219</t>
  </si>
  <si>
    <t xml:space="preserve">www.kertefilterpress.com</t>
  </si>
  <si>
    <t xml:space="preserve">HENGSHUI WEIKE HYDRAULIC FLUID CO.,LTD</t>
  </si>
  <si>
    <t xml:space="preserve">E-083</t>
  </si>
  <si>
    <t xml:space="preserve">www.huaweifitting.com</t>
  </si>
  <si>
    <t xml:space="preserve">HENGYU GROUP HYDRAULIC FLUID TECHNOLOGY HEBEI CO.,LTD</t>
  </si>
  <si>
    <t xml:space="preserve">E-050</t>
  </si>
  <si>
    <t xml:space="preserve">www.hengyuflex.com</t>
  </si>
  <si>
    <t xml:space="preserve">HFP HYDRAULIC S.A.C.- HFP</t>
  </si>
  <si>
    <t xml:space="preserve">A-269</t>
  </si>
  <si>
    <t xml:space="preserve">https://hfphydraulic.com/</t>
  </si>
  <si>
    <t xml:space="preserve">HIDROMEC INGENIEROS S.A.C.</t>
  </si>
  <si>
    <t xml:space="preserve">B-132</t>
  </si>
  <si>
    <t xml:space="preserve">https://hidromecingenieros.com/</t>
  </si>
  <si>
    <t xml:space="preserve">HIDROQUIMICA INDUSTRIAL S.A</t>
  </si>
  <si>
    <t xml:space="preserve">A-057</t>
  </si>
  <si>
    <t xml:space="preserve">www.hidroquimica.com</t>
  </si>
  <si>
    <t xml:space="preserve">HISAN (TIANJIN) CO.,LTD</t>
  </si>
  <si>
    <t xml:space="preserve">E-255</t>
  </si>
  <si>
    <t xml:space="preserve">www.hisantech.com</t>
  </si>
  <si>
    <t xml:space="preserve">HOFMANN ENGINEERING PERÚ S.A.C.</t>
  </si>
  <si>
    <t xml:space="preserve">E-208</t>
  </si>
  <si>
    <t xml:space="preserve">HONGIL INDUSTRIAL CORPORATION</t>
  </si>
  <si>
    <t xml:space="preserve">A-264</t>
  </si>
  <si>
    <t xml:space="preserve">www.hongilhose.com</t>
  </si>
  <si>
    <t xml:space="preserve">HONGRUN SUPPLIES LIMITED</t>
  </si>
  <si>
    <t xml:space="preserve">A-001</t>
  </si>
  <si>
    <t xml:space="preserve">www.dieseltank.com</t>
  </si>
  <si>
    <t xml:space="preserve">HONGXIANG NEW GEO-MATERIAL CO., LTD.</t>
  </si>
  <si>
    <t xml:space="preserve">F-090</t>
  </si>
  <si>
    <t xml:space="preserve">https://www.hongxianggeos.com/</t>
  </si>
  <si>
    <t xml:space="preserve">HOSCH PERÚ S.A.C.</t>
  </si>
  <si>
    <t xml:space="preserve">E-004</t>
  </si>
  <si>
    <t xml:space="preserve">https://www.hosch-international.com</t>
  </si>
  <si>
    <t xml:space="preserve">HP &amp; K INVERSIONES S.R.L.</t>
  </si>
  <si>
    <t xml:space="preserve">B-025</t>
  </si>
  <si>
    <t xml:space="preserve">hpkinv.com</t>
  </si>
  <si>
    <t xml:space="preserve">HPR GROUP S.A.C.- HPR GROUP</t>
  </si>
  <si>
    <t xml:space="preserve">A-270</t>
  </si>
  <si>
    <t xml:space="preserve">https://hprsac.com/</t>
  </si>
  <si>
    <t xml:space="preserve">HUAYNA S.A.C.</t>
  </si>
  <si>
    <t xml:space="preserve">B-230</t>
  </si>
  <si>
    <t xml:space="preserve">HUBEI AULICE TYRE CO.,LTD</t>
  </si>
  <si>
    <t xml:space="preserve">D-043</t>
  </si>
  <si>
    <t xml:space="preserve">www.aulicetyre.com</t>
  </si>
  <si>
    <t xml:space="preserve">HUEBNER PERÚ SAC S.A.C.</t>
  </si>
  <si>
    <t xml:space="preserve">A-142</t>
  </si>
  <si>
    <t xml:space="preserve">www.huebner-peru.pe</t>
  </si>
  <si>
    <t xml:space="preserve">HUNAN HYSTER MATERIAL TECH. CO., LTD.</t>
  </si>
  <si>
    <t xml:space="preserve">B-087</t>
  </si>
  <si>
    <t xml:space="preserve">www.hystertech.com</t>
  </si>
  <si>
    <t xml:space="preserve">HUNTER RIEGO EN MINERÍA</t>
  </si>
  <si>
    <t xml:space="preserve">A-439</t>
  </si>
  <si>
    <t xml:space="preserve">http://www.senninger.com/</t>
  </si>
  <si>
    <t xml:space="preserve">HYDAC TECNOLOGIA CHILE LTDA</t>
  </si>
  <si>
    <t xml:space="preserve">D-070</t>
  </si>
  <si>
    <t xml:space="preserve">www.hydac.com</t>
  </si>
  <si>
    <t xml:space="preserve">HYDRAULIC &amp; TECHNOLOGY S.A.C.</t>
  </si>
  <si>
    <t xml:space="preserve">B-153A</t>
  </si>
  <si>
    <t xml:space="preserve">www.hydratech.com.pe</t>
  </si>
  <si>
    <t xml:space="preserve">HYDRAULIC CENTER S.A.C.</t>
  </si>
  <si>
    <t xml:space="preserve">E-149</t>
  </si>
  <si>
    <t xml:space="preserve">www.hydraulicenter.com</t>
  </si>
  <si>
    <t xml:space="preserve">HYDRAULIC CORPORATION S.A.C.</t>
  </si>
  <si>
    <t xml:space="preserve">E-332A</t>
  </si>
  <si>
    <t xml:space="preserve">www.hydrauliccorporation.com</t>
  </si>
  <si>
    <t xml:space="preserve">HYDRAULITECHS SOLUTIONS LTD.</t>
  </si>
  <si>
    <t xml:space="preserve">B-272B</t>
  </si>
  <si>
    <t xml:space="preserve">www.hydraulitechs.com</t>
  </si>
  <si>
    <t xml:space="preserve">HYDROLUBE SYSTEMS S.A.C</t>
  </si>
  <si>
    <t xml:space="preserve">E-311</t>
  </si>
  <si>
    <t xml:space="preserve">www.hydrolube-systems.pe</t>
  </si>
  <si>
    <t xml:space="preserve">HYTORC PERÚ SOLUTIONS S.A.C.</t>
  </si>
  <si>
    <t xml:space="preserve">A-131</t>
  </si>
  <si>
    <t xml:space="preserve">https://hytorc.com.pe/web/</t>
  </si>
  <si>
    <t xml:space="preserve">ICOM SERVICIOS GEOTECNICOS S.A.C.</t>
  </si>
  <si>
    <t xml:space="preserve">A-070</t>
  </si>
  <si>
    <t xml:space="preserve">https://icomsg.pe/</t>
  </si>
  <si>
    <t xml:space="preserve">IDT PERÚ INGENIERIA S.A.C.- IDT PERÚ INGENIERIA S.A.C.</t>
  </si>
  <si>
    <t xml:space="preserve">D-037</t>
  </si>
  <si>
    <t xml:space="preserve">idtperu.com</t>
  </si>
  <si>
    <t xml:space="preserve">IGARDI HERRAMIENTAS S.A.C.</t>
  </si>
  <si>
    <t xml:space="preserve">igardiweb@igardi.com</t>
  </si>
  <si>
    <t xml:space="preserve">ExpoMina 2026. También en CRM Directorio SSO 2026 (ID 595).</t>
  </si>
  <si>
    <t xml:space="preserve">E-063</t>
  </si>
  <si>
    <t xml:space="preserve">www.igardi.com</t>
  </si>
  <si>
    <t xml:space="preserve">934557091</t>
  </si>
  <si>
    <t xml:space="preserve">Av. Javier Prado Este 1131 La Victoria - Lima</t>
  </si>
  <si>
    <t xml:space="preserve">IMG EQUIPAMIENTOS S.A.C.</t>
  </si>
  <si>
    <t xml:space="preserve">E-303</t>
  </si>
  <si>
    <t xml:space="preserve">www.img-equipamientos.pe</t>
  </si>
  <si>
    <t xml:space="preserve">IMPODRILL S.A.C.</t>
  </si>
  <si>
    <t xml:space="preserve">A-140</t>
  </si>
  <si>
    <t xml:space="preserve">https://impodrill.pe/</t>
  </si>
  <si>
    <t xml:space="preserve">IMPORTACIONES &amp; TECNOLOGIAS S.R.L.</t>
  </si>
  <si>
    <t xml:space="preserve">ventas@imptec.com.pe</t>
  </si>
  <si>
    <t xml:space="preserve">ExpoMina 2026. También en CRM Directorio SSO 2026 (ID 597).</t>
  </si>
  <si>
    <t xml:space="preserve">E-131</t>
  </si>
  <si>
    <t xml:space="preserve">www.imptec.com.pe</t>
  </si>
  <si>
    <t xml:space="preserve">7137980</t>
  </si>
  <si>
    <t xml:space="preserve">Av. Elmer Faucett 339-341 San Miguel - Lima</t>
  </si>
  <si>
    <t xml:space="preserve">IMPORTADORA DE RODAMIENTOS S.A.C.</t>
  </si>
  <si>
    <t xml:space="preserve">B-081</t>
  </si>
  <si>
    <t xml:space="preserve">www.imporod.com.pe</t>
  </si>
  <si>
    <t xml:space="preserve">IMPORTADORA Y MANUFACTURERA VON DER HEYDE S.A.C.I.</t>
  </si>
  <si>
    <t xml:space="preserve">A-295</t>
  </si>
  <si>
    <t xml:space="preserve">www.hela.cl</t>
  </si>
  <si>
    <t xml:space="preserve">IMPORTADORA YANI SAC</t>
  </si>
  <si>
    <t xml:space="preserve">B-163</t>
  </si>
  <si>
    <t xml:space="preserve">https://yanisac.com/</t>
  </si>
  <si>
    <t xml:space="preserve">IMPROTEK CORPORACION S.A.C.</t>
  </si>
  <si>
    <t xml:space="preserve">B-156</t>
  </si>
  <si>
    <t xml:space="preserve">www.improtek.pe</t>
  </si>
  <si>
    <t xml:space="preserve">INDELAT SAC</t>
  </si>
  <si>
    <t xml:space="preserve">mineria@indelat.com</t>
  </si>
  <si>
    <t xml:space="preserve">ExpoMina 2026. También en CRM Directorio SSO 2026 (ID 600).</t>
  </si>
  <si>
    <t xml:space="preserve">A-123</t>
  </si>
  <si>
    <t xml:space="preserve">www.indelat.com</t>
  </si>
  <si>
    <t xml:space="preserve">4858295</t>
  </si>
  <si>
    <t xml:space="preserve">Av. El Pacífico 397 Urb. Industrial Panamericana Norte - Independencia Lima</t>
  </si>
  <si>
    <t xml:space="preserve">INDUSTRIA DE FORTIFICACION MINERA S.A.C. - FORMIN</t>
  </si>
  <si>
    <t xml:space="preserve">F-097</t>
  </si>
  <si>
    <t xml:space="preserve">https://formin.com.pe/</t>
  </si>
  <si>
    <t xml:space="preserve">INDUSTRIA ESPECIALIZADA Y REPRESENTACIONES S.A.C.</t>
  </si>
  <si>
    <t xml:space="preserve">A-029</t>
  </si>
  <si>
    <t xml:space="preserve">https://iersac.com/</t>
  </si>
  <si>
    <t xml:space="preserve">INDUSTRIA METAL MECANICA LUREN &amp; COMERCIO S.A.C.</t>
  </si>
  <si>
    <t xml:space="preserve">E-167</t>
  </si>
  <si>
    <t xml:space="preserve">https://www.imetalcom.com/</t>
  </si>
  <si>
    <t xml:space="preserve">INDUSTRIA METALICA BULLON S.A.C.</t>
  </si>
  <si>
    <t xml:space="preserve">E-009H</t>
  </si>
  <si>
    <t xml:space="preserve">www.bullon.com.pe</t>
  </si>
  <si>
    <t xml:space="preserve">INDUSTRIAL QUIMICA FERRE S.A.C.- INQUIFESAC</t>
  </si>
  <si>
    <t xml:space="preserve">E-202</t>
  </si>
  <si>
    <t xml:space="preserve">www.inquifesa.pe</t>
  </si>
  <si>
    <t xml:space="preserve">INDUSTRIAL RUBBER COMPANY</t>
  </si>
  <si>
    <t xml:space="preserve">E-348C</t>
  </si>
  <si>
    <t xml:space="preserve">www.irctyre.com</t>
  </si>
  <si>
    <t xml:space="preserve">INDUSTRIAS EL CISNE S.A.C.</t>
  </si>
  <si>
    <t xml:space="preserve">A-114</t>
  </si>
  <si>
    <t xml:space="preserve">ventascorporativas\@colchoneselcisne.pe</t>
  </si>
  <si>
    <t xml:space="preserve">INDUSTRIAS MAQUILAK S.A.C.</t>
  </si>
  <si>
    <t xml:space="preserve">E-322</t>
  </si>
  <si>
    <t xml:space="preserve">www.maquilak.com</t>
  </si>
  <si>
    <t xml:space="preserve">INDUSTRIAS MINER EMPRESA INDIVIDUAL DE RESPONSABILIDAD LIMITADA</t>
  </si>
  <si>
    <t xml:space="preserve">B-253</t>
  </si>
  <si>
    <t xml:space="preserve">grupominer.com</t>
  </si>
  <si>
    <t xml:space="preserve">INGENIA GREEN EQUIPMENT DEL PERÚ S.A.C.</t>
  </si>
  <si>
    <t xml:space="preserve">A-437</t>
  </si>
  <si>
    <t xml:space="preserve">https://ingeniagreen.com/</t>
  </si>
  <si>
    <t xml:space="preserve">INGENIERIA DE PROTECCION SPA.</t>
  </si>
  <si>
    <t xml:space="preserve">E-295</t>
  </si>
  <si>
    <t xml:space="preserve">www.tarpulin.cl/modular</t>
  </si>
  <si>
    <t xml:space="preserve">INGENIERIA FERRETERA INDUSTRIAL S.A.</t>
  </si>
  <si>
    <t xml:space="preserve">A-162</t>
  </si>
  <si>
    <t xml:space="preserve">https://www.ifitsa.pe/</t>
  </si>
  <si>
    <t xml:space="preserve">INTERWAY IND CO., LTD.</t>
  </si>
  <si>
    <t xml:space="preserve">A-396</t>
  </si>
  <si>
    <t xml:space="preserve">https://interway-tarp.com</t>
  </si>
  <si>
    <t xml:space="preserve">INTRIAL S.A.C.</t>
  </si>
  <si>
    <t xml:space="preserve">E-380</t>
  </si>
  <si>
    <t xml:space="preserve">https://intrialcorp.com/</t>
  </si>
  <si>
    <t xml:space="preserve">INVERS.MARITIMAS UNIVERSALES PERÚ S.A</t>
  </si>
  <si>
    <t xml:space="preserve">A-191</t>
  </si>
  <si>
    <t xml:space="preserve">https://agunsa.com</t>
  </si>
  <si>
    <t xml:space="preserve">INVERSIONES ILLAYUK S.A.C.</t>
  </si>
  <si>
    <t xml:space="preserve">A-422</t>
  </si>
  <si>
    <t xml:space="preserve">www.overall-equipment.com</t>
  </si>
  <si>
    <t xml:space="preserve">INVESUX SRL</t>
  </si>
  <si>
    <t xml:space="preserve">A-020</t>
  </si>
  <si>
    <t xml:space="preserve">https://invesux.com.pe/</t>
  </si>
  <si>
    <t xml:space="preserve">INYECMIN FORTIFICACION S.A.C.</t>
  </si>
  <si>
    <t xml:space="preserve">A-155</t>
  </si>
  <si>
    <t xml:space="preserve">http://www.inyecmin.com</t>
  </si>
  <si>
    <t xml:space="preserve">ISETEK S A</t>
  </si>
  <si>
    <t xml:space="preserve">ExpoMina 2026. También en CRM Directorio SSO 2026 (ID 607).</t>
  </si>
  <si>
    <t xml:space="preserve">B-271A</t>
  </si>
  <si>
    <t xml:space="preserve">www.isetek.com.pe</t>
  </si>
  <si>
    <t xml:space="preserve">972734598</t>
  </si>
  <si>
    <t xml:space="preserve">Av. Alberto Alexander 2201 - Lince Lima</t>
  </si>
  <si>
    <t xml:space="preserve">ISOPETROL LUBRICANTS DEL PERÚ S.A.C.</t>
  </si>
  <si>
    <t xml:space="preserve">E-360</t>
  </si>
  <si>
    <t xml:space="preserve">https://isopetrol.net/</t>
  </si>
  <si>
    <t xml:space="preserve">ITALMECAN S.A.C.</t>
  </si>
  <si>
    <t xml:space="preserve">B-168</t>
  </si>
  <si>
    <t xml:space="preserve">www.italmecan.com.pe</t>
  </si>
  <si>
    <t xml:space="preserve">JC PORTAL PERÚ S.A.C.</t>
  </si>
  <si>
    <t xml:space="preserve">D-040</t>
  </si>
  <si>
    <t xml:space="preserve">https://www.jcportalds.com/</t>
  </si>
  <si>
    <t xml:space="preserve">JEHOGRAN E.I.R.L</t>
  </si>
  <si>
    <t xml:space="preserve">A-250</t>
  </si>
  <si>
    <t xml:space="preserve">https://jehogran.com/</t>
  </si>
  <si>
    <t xml:space="preserve">JIAANG OPERADOR LOGÍSTICO INTERNACIONAL</t>
  </si>
  <si>
    <t xml:space="preserve">A-392</t>
  </si>
  <si>
    <t xml:space="preserve">http://jiaang.hongxuwuliu.com</t>
  </si>
  <si>
    <t xml:space="preserve">JIANGSU DYNAMIC CONSTRUCTION MACHINERY CO., LTD.</t>
  </si>
  <si>
    <t xml:space="preserve">E-130</t>
  </si>
  <si>
    <t xml:space="preserve">www.dynamic-eq.com</t>
  </si>
  <si>
    <t xml:space="preserve">JIANGSU NEW HONGDA GROUP CO., LTD</t>
  </si>
  <si>
    <t xml:space="preserve">E-338</t>
  </si>
  <si>
    <t xml:space="preserve">https://www.chinanhd.com</t>
  </si>
  <si>
    <t xml:space="preserve">JIANGSU OUERQI FILTER TECHNOLOGY CO., LTD</t>
  </si>
  <si>
    <t xml:space="preserve">E-095A</t>
  </si>
  <si>
    <t xml:space="preserve">http://www.jsouerqi.com</t>
  </si>
  <si>
    <t xml:space="preserve">JIANGSU TAIMING HYDRAULIC TECHNOLOGY CO.,LTD</t>
  </si>
  <si>
    <t xml:space="preserve">E-198C</t>
  </si>
  <si>
    <t xml:space="preserve">www.tmhydraulic.com</t>
  </si>
  <si>
    <t xml:space="preserve">JIANGSU ZHENGDAO OCEAN TECHNOLOGY CO.,LTD</t>
  </si>
  <si>
    <t xml:space="preserve">A-387</t>
  </si>
  <si>
    <t xml:space="preserve">www.ztoc.com.cn</t>
  </si>
  <si>
    <t xml:space="preserve">JIANGXI LIANFENG PRECISION CASTING CO.,LTD.</t>
  </si>
  <si>
    <t xml:space="preserve">B-088</t>
  </si>
  <si>
    <t xml:space="preserve">www.lianfeng-group.com</t>
  </si>
  <si>
    <t xml:space="preserve">JIANGXI XINHANG PRECISION CASTING CO.,LTD</t>
  </si>
  <si>
    <t xml:space="preserve">E-198J</t>
  </si>
  <si>
    <t xml:space="preserve">www.xhget.com</t>
  </si>
  <si>
    <t xml:space="preserve">JIANGYIN NEWWAY PLASTICS CO. LTD.</t>
  </si>
  <si>
    <t xml:space="preserve">E-114</t>
  </si>
  <si>
    <t xml:space="preserve">.</t>
  </si>
  <si>
    <t xml:space="preserve">JIAOZUO DEBON TECHNOLOGY CO., LTD</t>
  </si>
  <si>
    <t xml:space="preserve">F-100</t>
  </si>
  <si>
    <t xml:space="preserve">www.jzdbkj.com</t>
  </si>
  <si>
    <t xml:space="preserve">JIAOZUO ZHONGXIN HEAVY INDUSTRIAL MACHINERY CO.,LTD</t>
  </si>
  <si>
    <t xml:space="preserve">E-235</t>
  </si>
  <si>
    <t xml:space="preserve">www.zxcrusher.com</t>
  </si>
  <si>
    <t xml:space="preserve">JINAN DENING RUIYUAN TRUCK SPARE PARTS CAPITAL WAREHOUSE INDUSTRY CO.,LTD.</t>
  </si>
  <si>
    <t xml:space="preserve">E-400</t>
  </si>
  <si>
    <t xml:space="preserve">www.xiujianmachinery.com</t>
  </si>
  <si>
    <t xml:space="preserve">JINAN JUNDA INDUSTRIAL TECHNOLOGY CO.,LTD</t>
  </si>
  <si>
    <t xml:space="preserve">E-357</t>
  </si>
  <si>
    <t xml:space="preserve">www.jnjunda.com</t>
  </si>
  <si>
    <t xml:space="preserve">JINAN ZHONGWEI CASTINGND FORGING GRINDING BALL CO.,LTD</t>
  </si>
  <si>
    <t xml:space="preserve">A-042</t>
  </si>
  <si>
    <t xml:space="preserve">www.zwgrindingball.com</t>
  </si>
  <si>
    <t xml:space="preserve">JINHUA ENSURE NEW-ENERGY TECHNOLOGY CO., LTD.</t>
  </si>
  <si>
    <t xml:space="preserve">A-323</t>
  </si>
  <si>
    <t xml:space="preserve">https://www.lestarwelding.com/</t>
  </si>
  <si>
    <t xml:space="preserve">JM SERVICIOS Y SUMINISTROS S.A.C.</t>
  </si>
  <si>
    <t xml:space="preserve">E-094</t>
  </si>
  <si>
    <t xml:space="preserve">www.jymsys.com</t>
  </si>
  <si>
    <t xml:space="preserve">JOYWAY INDUSTRIAL COMPANY LIMITED</t>
  </si>
  <si>
    <t xml:space="preserve">A-156</t>
  </si>
  <si>
    <t xml:space="preserve">www.joywayindustrial.com</t>
  </si>
  <si>
    <t xml:space="preserve">JRM SOLUTIONS PERÚ E.I.R.L.</t>
  </si>
  <si>
    <t xml:space="preserve">E-328A</t>
  </si>
  <si>
    <t xml:space="preserve">www.jrmsolutionsperu.com</t>
  </si>
  <si>
    <t xml:space="preserve">JS INDUSTRIAL S.A.C.</t>
  </si>
  <si>
    <t xml:space="preserve">E-011</t>
  </si>
  <si>
    <t xml:space="preserve">https://www.jsindustrial.com.pe/</t>
  </si>
  <si>
    <t xml:space="preserve">JSI ROCK TOOLS CO., LTD.</t>
  </si>
  <si>
    <t xml:space="preserve">B-154A</t>
  </si>
  <si>
    <t xml:space="preserve">https://www.jsintl.com.cn/</t>
  </si>
  <si>
    <t xml:space="preserve">JTEKT LATAN AMERCIA S.A</t>
  </si>
  <si>
    <t xml:space="preserve">A-330</t>
  </si>
  <si>
    <t xml:space="preserve">www.koyola.com.pa</t>
  </si>
  <si>
    <t xml:space="preserve">JUROC S.A.C.</t>
  </si>
  <si>
    <t xml:space="preserve">A-389</t>
  </si>
  <si>
    <t xml:space="preserve">www.guders.com.pe</t>
  </si>
  <si>
    <t xml:space="preserve">JWK FILTER PRESS &amp; FILTER PLATE</t>
  </si>
  <si>
    <t xml:space="preserve">A-049</t>
  </si>
  <si>
    <t xml:space="preserve">https://www.jwk-filterpress.com/</t>
  </si>
  <si>
    <t xml:space="preserve">KAPEK INTERNACIONAL S.A.C</t>
  </si>
  <si>
    <t xml:space="preserve">A-170</t>
  </si>
  <si>
    <t xml:space="preserve">kapekinternacional.com</t>
  </si>
  <si>
    <t xml:space="preserve">KAYCOL S.A.C.</t>
  </si>
  <si>
    <t xml:space="preserve">A-139</t>
  </si>
  <si>
    <t xml:space="preserve">www.kaycol.com</t>
  </si>
  <si>
    <t xml:space="preserve">KINGDOM SOLUTIONS S.R.L.</t>
  </si>
  <si>
    <t xml:space="preserve">A-430</t>
  </si>
  <si>
    <t xml:space="preserve">www.ks.com.pe</t>
  </si>
  <si>
    <t xml:space="preserve">KIWAMI AUTOMOTRIZ S.A.C.</t>
  </si>
  <si>
    <t xml:space="preserve">A-419</t>
  </si>
  <si>
    <t xml:space="preserve">https://isuzupickup.santaclara.com.pe/</t>
  </si>
  <si>
    <t xml:space="preserve">KS DEPOR S.A.</t>
  </si>
  <si>
    <t xml:space="preserve">B-257</t>
  </si>
  <si>
    <t xml:space="preserve">https://www.catlifestyle.pe/</t>
  </si>
  <si>
    <t xml:space="preserve">KUNMING CIBA DIGGINGS MACHINERY CO., LTD.</t>
  </si>
  <si>
    <t xml:space="preserve">E-027</t>
  </si>
  <si>
    <t xml:space="preserve">www.yncb.cn/ciba/en</t>
  </si>
  <si>
    <t xml:space="preserve">KUNSHAN SIMA CONVEYING EQUIPMENT CO., LTD.</t>
  </si>
  <si>
    <t xml:space="preserve">E-152</t>
  </si>
  <si>
    <t xml:space="preserve">www.sima-conveying.com</t>
  </si>
  <si>
    <t xml:space="preserve">KURAC S.A.C.</t>
  </si>
  <si>
    <t xml:space="preserve">E-333A</t>
  </si>
  <si>
    <t xml:space="preserve">LA CASA DEL SERAPHIN GAS S.A.C.</t>
  </si>
  <si>
    <t xml:space="preserve">E-086</t>
  </si>
  <si>
    <t xml:space="preserve">www.gruposerafhin.com</t>
  </si>
  <si>
    <t xml:space="preserve">LA LLAVE S.A.</t>
  </si>
  <si>
    <t xml:space="preserve">F-099</t>
  </si>
  <si>
    <t xml:space="preserve">lallave.com.pe</t>
  </si>
  <si>
    <t xml:space="preserve">LAB TOP PERÚ S.R.L.</t>
  </si>
  <si>
    <t xml:space="preserve">B-212</t>
  </si>
  <si>
    <t xml:space="preserve">www.labtop.pe</t>
  </si>
  <si>
    <t xml:space="preserve">LAFIA WIRE ROPE AND ACCESSORY CO.,LTD.</t>
  </si>
  <si>
    <t xml:space="preserve">A-303</t>
  </si>
  <si>
    <t xml:space="preserve">www.lafialift.com</t>
  </si>
  <si>
    <t xml:space="preserve">LEGAMA SOCIEDAD ANONIMA</t>
  </si>
  <si>
    <t xml:space="preserve">B-166</t>
  </si>
  <si>
    <t xml:space="preserve">www.legama.com</t>
  </si>
  <si>
    <t xml:space="preserve">LETMAN S.A.C.</t>
  </si>
  <si>
    <t xml:space="preserve">E-174</t>
  </si>
  <si>
    <t xml:space="preserve">www.letman.pe</t>
  </si>
  <si>
    <t xml:space="preserve">LIAONING DINGLI MACHINERY SALES CO., LTD.</t>
  </si>
  <si>
    <t xml:space="preserve">D-009</t>
  </si>
  <si>
    <t xml:space="preserve">www.</t>
  </si>
  <si>
    <t xml:space="preserve">LIAONING VASOAR CO., LTD.</t>
  </si>
  <si>
    <t xml:space="preserve">E-052A</t>
  </si>
  <si>
    <t xml:space="preserve">www.gzcrusher.com</t>
  </si>
  <si>
    <t xml:space="preserve">LISHIDE CONSTRUCTION MACHINERY CO., LTD.</t>
  </si>
  <si>
    <t xml:space="preserve">E-030</t>
  </si>
  <si>
    <t xml:space="preserve">www.lishidefactory.com</t>
  </si>
  <si>
    <t xml:space="preserve">LLAQTA INGENIEROS S.A.C.</t>
  </si>
  <si>
    <t xml:space="preserve">A-334</t>
  </si>
  <si>
    <t xml:space="preserve">https://llaqta.com.pe/</t>
  </si>
  <si>
    <t xml:space="preserve">LUOHE MEDLINE HYDRAULIC FLUID CO.,LTD.</t>
  </si>
  <si>
    <t xml:space="preserve">E-197</t>
  </si>
  <si>
    <t xml:space="preserve">www.mdlflex.com</t>
  </si>
  <si>
    <t xml:space="preserve">LUOYANG FARVISTA MINING EQUIPMENT CO., LTD</t>
  </si>
  <si>
    <t xml:space="preserve">E-146</t>
  </si>
  <si>
    <t xml:space="preserve">https://www.farvistamining.com</t>
  </si>
  <si>
    <t xml:space="preserve">LUOYANG HAIQI TECHNOLOGY CO., LTD.</t>
  </si>
  <si>
    <t xml:space="preserve">E-326</t>
  </si>
  <si>
    <t xml:space="preserve">www.forgedbucketteeth.com</t>
  </si>
  <si>
    <t xml:space="preserve">LUOYANG HENG GUAN BEARING TECHNOLOGY CO.,LTD</t>
  </si>
  <si>
    <t xml:space="preserve">E-123</t>
  </si>
  <si>
    <t xml:space="preserve">https://www.ly-hgzc.com/</t>
  </si>
  <si>
    <t xml:space="preserve">LUOYANG LONGZHONG HEAVY MACHINERY CO.,LTD.</t>
  </si>
  <si>
    <t xml:space="preserve">E-109</t>
  </si>
  <si>
    <t xml:space="preserve">https://www.ldhbchina.com/</t>
  </si>
  <si>
    <t xml:space="preserve">LUOYANG ZHONGDE HEAVY INDUSTRIES CO., LTD</t>
  </si>
  <si>
    <t xml:space="preserve">B-015</t>
  </si>
  <si>
    <t xml:space="preserve">www.zdzg.cn</t>
  </si>
  <si>
    <t xml:space="preserve">M &amp; M REPUESTOS Y SERVICIOS S.A.</t>
  </si>
  <si>
    <t xml:space="preserve">C-005</t>
  </si>
  <si>
    <t xml:space="preserve">www.mym.com.pe</t>
  </si>
  <si>
    <t xml:space="preserve">M Y W SALAS S A</t>
  </si>
  <si>
    <t xml:space="preserve">A-143</t>
  </si>
  <si>
    <t xml:space="preserve">www.mywsalas.com.pe</t>
  </si>
  <si>
    <t xml:space="preserve">MACCAFERRI DE PERÚ S.A.C.</t>
  </si>
  <si>
    <t xml:space="preserve">B-252</t>
  </si>
  <si>
    <t xml:space="preserve">https://www.maccaferri.com/pe</t>
  </si>
  <si>
    <t xml:space="preserve">MACUSANI YELLOWCAKE S.A.C.</t>
  </si>
  <si>
    <t xml:space="preserve">A-071</t>
  </si>
  <si>
    <t xml:space="preserve">www.americanlithiumcorp.com</t>
  </si>
  <si>
    <t xml:space="preserve">MAKITA PERÚ SOCIEDAD ANONIMA - MAKITA PERÚ S.A.</t>
  </si>
  <si>
    <t xml:space="preserve">E-008</t>
  </si>
  <si>
    <t xml:space="preserve">www.makita.pe</t>
  </si>
  <si>
    <t xml:space="preserve">MANGUERAS Y CONEXIONES PREMIER S.A.C.</t>
  </si>
  <si>
    <t xml:space="preserve">A-125</t>
  </si>
  <si>
    <t xml:space="preserve">https://www.facebook.com/mycpremier</t>
  </si>
  <si>
    <t xml:space="preserve">MAQPOWER S.A.C.</t>
  </si>
  <si>
    <t xml:space="preserve">A-417</t>
  </si>
  <si>
    <t xml:space="preserve">MAQUINARIA ROCA POTENTE S.A.C</t>
  </si>
  <si>
    <t xml:space="preserve">E-055</t>
  </si>
  <si>
    <t xml:space="preserve">maquinariarp.com</t>
  </si>
  <si>
    <t xml:space="preserve">MAQUINARIAS VELASQUEZ S.A.C.</t>
  </si>
  <si>
    <t xml:space="preserve">B-210</t>
  </si>
  <si>
    <t xml:space="preserve">https://www.tiktok.com/@maquinariasvelasquez?\_r=1&amp;\_t=zs-96h2wl4rnij</t>
  </si>
  <si>
    <t xml:space="preserve">MAQUINARIAS Y EQUIPOS DEL PERÚ S.A.</t>
  </si>
  <si>
    <t xml:space="preserve">ventas@maquiperu.com</t>
  </si>
  <si>
    <t xml:space="preserve">ExpoMina 2026. También en CRM Directorio SSO 2026 (ID 621).</t>
  </si>
  <si>
    <t xml:space="preserve">C-013</t>
  </si>
  <si>
    <t xml:space="preserve">https://www.maquiperu.com/</t>
  </si>
  <si>
    <t xml:space="preserve">7198800 / 999792283</t>
  </si>
  <si>
    <t xml:space="preserve">Av. Nicolás Ayllón 1820-1830 Urb. El Pino - San Luis - Lima</t>
  </si>
  <si>
    <t xml:space="preserve">MAQUINARIAS Y REPUESTOS S.A.C.</t>
  </si>
  <si>
    <t xml:space="preserve">E-012</t>
  </si>
  <si>
    <t xml:space="preserve">www.maquinariasyrepuestos.com</t>
  </si>
  <si>
    <t xml:space="preserve">MARTIN BACHMANN KELLER EIRL</t>
  </si>
  <si>
    <t xml:space="preserve">B-170</t>
  </si>
  <si>
    <t xml:space="preserve">www.insitu.com.pe</t>
  </si>
  <si>
    <t xml:space="preserve">MASTERFLOW S.A.C.</t>
  </si>
  <si>
    <t xml:space="preserve">E-029</t>
  </si>
  <si>
    <t xml:space="preserve">www.masterflowsac.com</t>
  </si>
  <si>
    <t xml:space="preserve">MASTERLUB S.A.C.</t>
  </si>
  <si>
    <t xml:space="preserve">B-209</t>
  </si>
  <si>
    <t xml:space="preserve">www.masterlub.com.pe</t>
  </si>
  <si>
    <t xml:space="preserve">MATERIAL RESISTENTE AL DESGASTE TGPROMETAL EC</t>
  </si>
  <si>
    <t xml:space="preserve">E-348</t>
  </si>
  <si>
    <t xml:space="preserve">MAXAM TIRE SOLUTION</t>
  </si>
  <si>
    <t xml:space="preserve">C-006</t>
  </si>
  <si>
    <t xml:space="preserve">www.sailuntire.com</t>
  </si>
  <si>
    <t xml:space="preserve">MCLANAHAN LATIN AMERICA SPA</t>
  </si>
  <si>
    <t xml:space="preserve">Chile (por validar)</t>
  </si>
  <si>
    <t xml:space="preserve">E-009A</t>
  </si>
  <si>
    <t xml:space="preserve">www.mclanahan.com</t>
  </si>
  <si>
    <t xml:space="preserve">MEGA HIDRAULICA S.R.L.</t>
  </si>
  <si>
    <t xml:space="preserve">E-302</t>
  </si>
  <si>
    <t xml:space="preserve">www.megahidraulica.com.pe</t>
  </si>
  <si>
    <t xml:space="preserve">MEJORA DE PROCESOS INDUSTRIALES S.A.C</t>
  </si>
  <si>
    <t xml:space="preserve">B-134</t>
  </si>
  <si>
    <t xml:space="preserve">www.mpisac.com.pe</t>
  </si>
  <si>
    <t xml:space="preserve">METAL TECNICA S A</t>
  </si>
  <si>
    <t xml:space="preserve">C-010</t>
  </si>
  <si>
    <t xml:space="preserve">www.metaltecnica.com.pe</t>
  </si>
  <si>
    <t xml:space="preserve">METALAB S.A.C.</t>
  </si>
  <si>
    <t xml:space="preserve">E-297</t>
  </si>
  <si>
    <t xml:space="preserve">grupoaurica.pe</t>
  </si>
  <si>
    <t xml:space="preserve">METALLURGICAL PROCESING SERVICE S.A.C.</t>
  </si>
  <si>
    <t xml:space="preserve">B-234</t>
  </si>
  <si>
    <t xml:space="preserve">www.mepser.com.pe</t>
  </si>
  <si>
    <t xml:space="preserve">METALLURGICAL TESTING SERVICES E.I.R.L.</t>
  </si>
  <si>
    <t xml:space="preserve">A-309</t>
  </si>
  <si>
    <t xml:space="preserve">https://metts.com.pe/</t>
  </si>
  <si>
    <t xml:space="preserve">METALMARK S.A.</t>
  </si>
  <si>
    <t xml:space="preserve">E-392</t>
  </si>
  <si>
    <t xml:space="preserve">www.metalmark.pe</t>
  </si>
  <si>
    <t xml:space="preserve">METALSPRAY PERÚ S.A.C.</t>
  </si>
  <si>
    <t xml:space="preserve">A-395</t>
  </si>
  <si>
    <t xml:space="preserve">https://metalsprayperu.com/</t>
  </si>
  <si>
    <t xml:space="preserve">METALURGIA DEL FIERRO Y EL COBRE S.A.C.</t>
  </si>
  <si>
    <t xml:space="preserve">A-073</t>
  </si>
  <si>
    <t xml:space="preserve">https://mefico.com.pe/</t>
  </si>
  <si>
    <t xml:space="preserve">METALURGIA SILVER S.A.C. - METASIL S.A.C.</t>
  </si>
  <si>
    <t xml:space="preserve">F-098</t>
  </si>
  <si>
    <t xml:space="preserve">www.metasil.com.pe</t>
  </si>
  <si>
    <t xml:space="preserve">METROLOGIA E INGENIERIA LINO S.A.C. - METROIL S.A.C.</t>
  </si>
  <si>
    <t xml:space="preserve">B-248</t>
  </si>
  <si>
    <t xml:space="preserve">www.metroil.com.pe</t>
  </si>
  <si>
    <t xml:space="preserve">MG INDUSTRIAL SOLUTIONS S.A.C.-MG INDUSOL S.A.C.</t>
  </si>
  <si>
    <t xml:space="preserve">B-157</t>
  </si>
  <si>
    <t xml:space="preserve">https://mgindusol.com/</t>
  </si>
  <si>
    <t xml:space="preserve">MI-JACK PRODUCTS.</t>
  </si>
  <si>
    <t xml:space="preserve">E-227</t>
  </si>
  <si>
    <t xml:space="preserve">www.mi-jack.com</t>
  </si>
  <si>
    <t xml:space="preserve">MICRO PNEUMATIC S.A.C.</t>
  </si>
  <si>
    <t xml:space="preserve">E-195</t>
  </si>
  <si>
    <t xml:space="preserve">https://pe.microautomacion.com</t>
  </si>
  <si>
    <t xml:space="preserve">MICRONICS ENGINEERED FILTRATION GROUP INC</t>
  </si>
  <si>
    <t xml:space="preserve">A-121</t>
  </si>
  <si>
    <t xml:space="preserve">https://www.micronicsinc.com</t>
  </si>
  <si>
    <t xml:space="preserve">MINING MECHATRONICK S.A.C.</t>
  </si>
  <si>
    <t xml:space="preserve">E-068</t>
  </si>
  <si>
    <t xml:space="preserve">www.mintronick.com</t>
  </si>
  <si>
    <t xml:space="preserve">MLT MINET LACING TECHNOLOGY PERÚ S.A.C.</t>
  </si>
  <si>
    <t xml:space="preserve">A-380</t>
  </si>
  <si>
    <t xml:space="preserve">https://mltchile.cl/</t>
  </si>
  <si>
    <t xml:space="preserve">MM360 GRUPO EMPRESARIAL EIRL</t>
  </si>
  <si>
    <t xml:space="preserve">E-439</t>
  </si>
  <si>
    <t xml:space="preserve">www.mundominero360.com</t>
  </si>
  <si>
    <t xml:space="preserve">MNSTEELS</t>
  </si>
  <si>
    <t xml:space="preserve">A-355</t>
  </si>
  <si>
    <t xml:space="preserve">mnsteels.com</t>
  </si>
  <si>
    <t xml:space="preserve">MOBLE SOLUCIONES S.A.C.</t>
  </si>
  <si>
    <t xml:space="preserve">A-058</t>
  </si>
  <si>
    <t xml:space="preserve">www.moblesoluciones.com</t>
  </si>
  <si>
    <t xml:space="preserve">MODULAR SOLUTIONS S.A.C.</t>
  </si>
  <si>
    <t xml:space="preserve">B-089</t>
  </si>
  <si>
    <t xml:space="preserve">www.modulosperu.com</t>
  </si>
  <si>
    <t xml:space="preserve">MONTER PERÚ S.A.C.</t>
  </si>
  <si>
    <t xml:space="preserve">B-119</t>
  </si>
  <si>
    <t xml:space="preserve">www.monterperu.com</t>
  </si>
  <si>
    <t xml:space="preserve">MONTERO INGENIEROS S.A.C.</t>
  </si>
  <si>
    <t xml:space="preserve">A-084</t>
  </si>
  <si>
    <t xml:space="preserve">https://monteroingenieros.com/</t>
  </si>
  <si>
    <t xml:space="preserve">MORGILLO S.A.C.</t>
  </si>
  <si>
    <t xml:space="preserve">A-414</t>
  </si>
  <si>
    <t xml:space="preserve">www.morgillo.pe</t>
  </si>
  <si>
    <t xml:space="preserve">MOTORES DIESEL ANDINOS S.A.- MODASA</t>
  </si>
  <si>
    <t xml:space="preserve">E-015</t>
  </si>
  <si>
    <t xml:space="preserve">www.modasa.com.pe</t>
  </si>
  <si>
    <t xml:space="preserve">MOVITECNICA S A</t>
  </si>
  <si>
    <t xml:space="preserve">consultas@movitecnica.com.pe</t>
  </si>
  <si>
    <t xml:space="preserve">ExpoMina 2026. También en CRM Directorio SSO 2026 (ID 628).</t>
  </si>
  <si>
    <t xml:space="preserve">B-174</t>
  </si>
  <si>
    <t xml:space="preserve">https://movitecnica.com.pe/</t>
  </si>
  <si>
    <t xml:space="preserve">994240024</t>
  </si>
  <si>
    <t xml:space="preserve">Cl. Elias Aguirre 605 Dpto.1001 Miraflores - Lima</t>
  </si>
  <si>
    <t xml:space="preserve">MULTIAGUA TECHNOLOGY E.I.R.L.</t>
  </si>
  <si>
    <t xml:space="preserve">B-160</t>
  </si>
  <si>
    <t xml:space="preserve">www.multiagua.com.pe</t>
  </si>
  <si>
    <t xml:space="preserve">NABILA S.A.C.</t>
  </si>
  <si>
    <t xml:space="preserve">B-131A</t>
  </si>
  <si>
    <t xml:space="preserve">www.nabila.pe</t>
  </si>
  <si>
    <t xml:space="preserve">NAIPU PERÚ MINERIA MAQUINARIA S.A.C.</t>
  </si>
  <si>
    <t xml:space="preserve">E-018</t>
  </si>
  <si>
    <t xml:space="preserve">www.naipu.com.cn</t>
  </si>
  <si>
    <t xml:space="preserve">NANTONG CHUANGDA MACHINERY CO.,LTD</t>
  </si>
  <si>
    <t xml:space="preserve">E-251</t>
  </si>
  <si>
    <t xml:space="preserve">www.chuangdadrill.com</t>
  </si>
  <si>
    <t xml:space="preserve">NARDOCCI S A</t>
  </si>
  <si>
    <t xml:space="preserve">A-091</t>
  </si>
  <si>
    <t xml:space="preserve">www.nardocciplast.com</t>
  </si>
  <si>
    <t xml:space="preserve">NBC CONVEYOR SYSTEMS S.A.C.</t>
  </si>
  <si>
    <t xml:space="preserve">B-173</t>
  </si>
  <si>
    <t xml:space="preserve">www.nbc.com.pe</t>
  </si>
  <si>
    <t xml:space="preserve">NEGOCIAR S.A.C.</t>
  </si>
  <si>
    <t xml:space="preserve">E-329</t>
  </si>
  <si>
    <t xml:space="preserve">https://negociar.com.pe/</t>
  </si>
  <si>
    <t xml:space="preserve">NEOMAQ S.A.C.</t>
  </si>
  <si>
    <t xml:space="preserve">A-413</t>
  </si>
  <si>
    <t xml:space="preserve">NEWREST PERÚ S.A.C.</t>
  </si>
  <si>
    <t xml:space="preserve">A-095</t>
  </si>
  <si>
    <t xml:space="preserve">https://www.newrest.eu/es/nuestra-red/peru/</t>
  </si>
  <si>
    <t xml:space="preserve">NINGBO BRS NEW MATERIAL CO.,LTD</t>
  </si>
  <si>
    <t xml:space="preserve">E-165</t>
  </si>
  <si>
    <t xml:space="preserve">www.brstrack.com</t>
  </si>
  <si>
    <t xml:space="preserve">NINGBO OILMAX HYDRAULIC PUMP CO.,LTD</t>
  </si>
  <si>
    <t xml:space="preserve">B-085</t>
  </si>
  <si>
    <t xml:space="preserve">www.oilmax.com.cn</t>
  </si>
  <si>
    <t xml:space="preserve">NINGBO S&amp;D METALWORK CO.,LTD</t>
  </si>
  <si>
    <t xml:space="preserve">E-096</t>
  </si>
  <si>
    <t xml:space="preserve">www.sendingmetalwork.com</t>
  </si>
  <si>
    <t xml:space="preserve">NINGBO SENLI HYDRAULIC EQUIPMENT CO. LTD.</t>
  </si>
  <si>
    <t xml:space="preserve">D-047</t>
  </si>
  <si>
    <t xml:space="preserve">www.nbsenli.com</t>
  </si>
  <si>
    <t xml:space="preserve">NINGBO SINCO IMPORT AND EXPORT CO., LTD.</t>
  </si>
  <si>
    <t xml:space="preserve">E-248</t>
  </si>
  <si>
    <t xml:space="preserve">www.scrusherparts.com</t>
  </si>
  <si>
    <t xml:space="preserve">NINGBO TIP FLUID TECHNOLOGY CO., LTD</t>
  </si>
  <si>
    <t xml:space="preserve">E-196</t>
  </si>
  <si>
    <t xml:space="preserve">www.tipnb.com</t>
  </si>
  <si>
    <t xml:space="preserve">NINGBO YINZHOU JOIN MACHINERY CO; LTD</t>
  </si>
  <si>
    <t xml:space="preserve">E-164</t>
  </si>
  <si>
    <t xml:space="preserve">www.nbjm-china.com</t>
  </si>
  <si>
    <t xml:space="preserve">NOVINSA COMERCIAL S.A.</t>
  </si>
  <si>
    <t xml:space="preserve">E-148E</t>
  </si>
  <si>
    <t xml:space="preserve">www.novinsa.com</t>
  </si>
  <si>
    <t xml:space="preserve">O+P SRL</t>
  </si>
  <si>
    <t xml:space="preserve">E-150</t>
  </si>
  <si>
    <t xml:space="preserve">https://op-srl.it/es</t>
  </si>
  <si>
    <t xml:space="preserve">O-FORCE</t>
  </si>
  <si>
    <t xml:space="preserve">B-272C</t>
  </si>
  <si>
    <t xml:space="preserve">www.o-force.cc</t>
  </si>
  <si>
    <t xml:space="preserve">OBL ASOCIADOS S.A.C.- OBL S.A.C.</t>
  </si>
  <si>
    <t xml:space="preserve">E-148C</t>
  </si>
  <si>
    <t xml:space="preserve">www.obl.com.pe</t>
  </si>
  <si>
    <t xml:space="preserve">OCHMON S.A.C.</t>
  </si>
  <si>
    <t xml:space="preserve">A-081</t>
  </si>
  <si>
    <t xml:space="preserve">www.ochmonperu.com.pe</t>
  </si>
  <si>
    <t xml:space="preserve">OFM TOP LINE</t>
  </si>
  <si>
    <t xml:space="preserve">A-406</t>
  </si>
  <si>
    <t xml:space="preserve">www.ofmtopline.com</t>
  </si>
  <si>
    <t xml:space="preserve">OLIMAQ S.A.C.</t>
  </si>
  <si>
    <t xml:space="preserve">A-066</t>
  </si>
  <si>
    <t xml:space="preserve">https://olimaq.com.pe/</t>
  </si>
  <si>
    <t xml:space="preserve">ORANGE ENERGY S.A.C.</t>
  </si>
  <si>
    <t xml:space="preserve">B-162</t>
  </si>
  <si>
    <t xml:space="preserve">https://orangeener.com/</t>
  </si>
  <si>
    <t xml:space="preserve">ORIENT GS INTERNATIONAL ENGINEERING CO.,LTD.</t>
  </si>
  <si>
    <t xml:space="preserve">E-221</t>
  </si>
  <si>
    <t xml:space="preserve">www.gshousinggroup.com</t>
  </si>
  <si>
    <t xml:space="preserve">OXITEC S.A.C.</t>
  </si>
  <si>
    <t xml:space="preserve">B-172</t>
  </si>
  <si>
    <t xml:space="preserve">www.oxitecsac.com</t>
  </si>
  <si>
    <t xml:space="preserve">PANAMAX AGRO HIDRAULICA SA</t>
  </si>
  <si>
    <t xml:space="preserve">E-417</t>
  </si>
  <si>
    <t xml:space="preserve">www.panamax.com.pa</t>
  </si>
  <si>
    <t xml:space="preserve">PERFOMIN MINERA S.A.C.</t>
  </si>
  <si>
    <t xml:space="preserve">E-288</t>
  </si>
  <si>
    <t xml:space="preserve">https://perfominperu.com/</t>
  </si>
  <si>
    <t xml:space="preserve">PERISSINOTTO SPA</t>
  </si>
  <si>
    <t xml:space="preserve">B-089A</t>
  </si>
  <si>
    <t xml:space="preserve">www.pemopumps.com</t>
  </si>
  <si>
    <t xml:space="preserve">PERU CONTROLS SYSTEM S.A.C</t>
  </si>
  <si>
    <t xml:space="preserve">E-331</t>
  </si>
  <si>
    <t xml:space="preserve">https://www.peru-controls.com/</t>
  </si>
  <si>
    <t xml:space="preserve">PERU TRACTOR S.R.L.</t>
  </si>
  <si>
    <t xml:space="preserve">B-218</t>
  </si>
  <si>
    <t xml:space="preserve">https://perutractor.com/</t>
  </si>
  <si>
    <t xml:space="preserve">PERURAIL S.A.</t>
  </si>
  <si>
    <t xml:space="preserve">E-214</t>
  </si>
  <si>
    <t xml:space="preserve">www.perurail.com/es/cargo/</t>
  </si>
  <si>
    <t xml:space="preserve">PESCO PERÚ S.A.C.</t>
  </si>
  <si>
    <t xml:space="preserve">C-002</t>
  </si>
  <si>
    <t xml:space="preserve">PEÑARANDA DIESEL S.A.C.</t>
  </si>
  <si>
    <t xml:space="preserve">F-083</t>
  </si>
  <si>
    <t xml:space="preserve">https://www.penarandadieselcorp.com</t>
  </si>
  <si>
    <t xml:space="preserve">PHILADELPHIA GEAR</t>
  </si>
  <si>
    <t xml:space="preserve">A-294</t>
  </si>
  <si>
    <t xml:space="preserve">www.philagear.com</t>
  </si>
  <si>
    <t xml:space="preserve">PLASTICOS AGRICOLAS Y GEOMEMBRANAS S.A.C.</t>
  </si>
  <si>
    <t xml:space="preserve">B-152A</t>
  </si>
  <si>
    <t xml:space="preserve">www.pqapag.co</t>
  </si>
  <si>
    <t xml:space="preserve">POLAT ITALIA GROUP S.R.L.</t>
  </si>
  <si>
    <t xml:space="preserve">E-344</t>
  </si>
  <si>
    <t xml:space="preserve">www.polatitalia.it</t>
  </si>
  <si>
    <t xml:space="preserve">POLIGRUAS PERÚ S.A.</t>
  </si>
  <si>
    <t xml:space="preserve">B-182</t>
  </si>
  <si>
    <t xml:space="preserve">www.poligruas.com.pe</t>
  </si>
  <si>
    <t xml:space="preserve">POLIMETALES S.A.C.</t>
  </si>
  <si>
    <t xml:space="preserve">E-383</t>
  </si>
  <si>
    <t xml:space="preserve">https://metgroup.pe/</t>
  </si>
  <si>
    <t xml:space="preserve">POTENCIA INDUSTRIAL S.A.C.</t>
  </si>
  <si>
    <t xml:space="preserve">info@potenciaindustrial.com.pe</t>
  </si>
  <si>
    <t xml:space="preserve">ExpoMina 2026. También en CRM Directorio SSO 2026 (ID 634).</t>
  </si>
  <si>
    <t xml:space="preserve">E-099</t>
  </si>
  <si>
    <t xml:space="preserve">www.potenciaindustrial.com.pe</t>
  </si>
  <si>
    <t xml:space="preserve">2417725 / 961759599 / 998405240</t>
  </si>
  <si>
    <t xml:space="preserve">Cl. Alcanfores 981 Of. 601 Miraflores - Lima</t>
  </si>
  <si>
    <t xml:space="preserve">POTENT MECHANICAL &amp; INDUSTRIAL (XIAMEN) CO.,LTD</t>
  </si>
  <si>
    <t xml:space="preserve">E-171</t>
  </si>
  <si>
    <t xml:space="preserve">www.potent.com.cn</t>
  </si>
  <si>
    <t xml:space="preserve">PR ENGINEERING</t>
  </si>
  <si>
    <t xml:space="preserve">B-141K</t>
  </si>
  <si>
    <t xml:space="preserve">www.prengineering.com</t>
  </si>
  <si>
    <t xml:space="preserve">PRED &amp; ASOCIADOS S.A.C.</t>
  </si>
  <si>
    <t xml:space="preserve">B-145</t>
  </si>
  <si>
    <t xml:space="preserve">www.pred-asociados.com</t>
  </si>
  <si>
    <t xml:space="preserve">PRODUCTS AND SERVICES TECHNOLOGY DEL PERÚ S.A.C.- PSTECHPERU S.A.C.</t>
  </si>
  <si>
    <t xml:space="preserve">B-072</t>
  </si>
  <si>
    <t xml:space="preserve">www.pstechperu.com</t>
  </si>
  <si>
    <t xml:space="preserve">PROIGUS S.A.C.</t>
  </si>
  <si>
    <t xml:space="preserve">E-102</t>
  </si>
  <si>
    <t xml:space="preserve">www.proigusperu.com</t>
  </si>
  <si>
    <t xml:space="preserve">PROMINE PERÚ S.A.C.</t>
  </si>
  <si>
    <t xml:space="preserve">E-278B</t>
  </si>
  <si>
    <t xml:space="preserve">www.promineperu.com</t>
  </si>
  <si>
    <t xml:space="preserve">PROTENCO S.A.C.</t>
  </si>
  <si>
    <t xml:space="preserve">B-186A</t>
  </si>
  <si>
    <t xml:space="preserve">www.protenco.com.pe</t>
  </si>
  <si>
    <t xml:space="preserve">PROVEEDORES MINEROS S.A.C.</t>
  </si>
  <si>
    <t xml:space="preserve">ventas@proveedoresmineros.com</t>
  </si>
  <si>
    <t xml:space="preserve">ExpoMina 2026. También en CRM Directorio SSO 2026 (ID 640).</t>
  </si>
  <si>
    <t xml:space="preserve">E-322B</t>
  </si>
  <si>
    <t xml:space="preserve">https://www.proveedoresmineros.com/</t>
  </si>
  <si>
    <t xml:space="preserve">997573038</t>
  </si>
  <si>
    <t xml:space="preserve">Cl. Felipe Santiago Salaverry 352 Urb. El Pino, San Luis - Lima</t>
  </si>
  <si>
    <t xml:space="preserve">PRYSMIAN PERÚ SAC.</t>
  </si>
  <si>
    <t xml:space="preserve">A-052</t>
  </si>
  <si>
    <t xml:space="preserve">https://pe.prysmian.com/es</t>
  </si>
  <si>
    <t xml:space="preserve">PTC S.A.C</t>
  </si>
  <si>
    <t xml:space="preserve">E-153</t>
  </si>
  <si>
    <t xml:space="preserve">www.ptcsac.com</t>
  </si>
  <si>
    <t xml:space="preserve">Q-ENERGY PERÚ S.A.C.</t>
  </si>
  <si>
    <t xml:space="preserve">E-389</t>
  </si>
  <si>
    <t xml:space="preserve">https://www.qenergyperu.com/</t>
  </si>
  <si>
    <t xml:space="preserve">QINGDAO FAMBITION HEAVY MACHINERY CO.,LTD</t>
  </si>
  <si>
    <t xml:space="preserve">D-004</t>
  </si>
  <si>
    <t xml:space="preserve">www.fambition.com</t>
  </si>
  <si>
    <t xml:space="preserve">QINGDAO GLOBAL BELTING CO.,LTD</t>
  </si>
  <si>
    <t xml:space="preserve">E-026</t>
  </si>
  <si>
    <t xml:space="preserve">http://www.hqssd.cn/en/</t>
  </si>
  <si>
    <t xml:space="preserve">QINGDAO GREATWALL INDUSTRY CO.,LTD</t>
  </si>
  <si>
    <t xml:space="preserve">B-076</t>
  </si>
  <si>
    <t xml:space="preserve">https://www.greatwallfabrics.com/</t>
  </si>
  <si>
    <t xml:space="preserve">QINGDAO HONGRUI INTERNATIONAL EXHIBITION CO. LTD</t>
  </si>
  <si>
    <t xml:space="preserve">E-148J</t>
  </si>
  <si>
    <t xml:space="preserve">www.dzchaishang.com</t>
  </si>
  <si>
    <t xml:space="preserve">QINGDAO PENTAFLEX CO., LTD.</t>
  </si>
  <si>
    <t xml:space="preserve">E-065</t>
  </si>
  <si>
    <t xml:space="preserve">www.sygpentaflex.com</t>
  </si>
  <si>
    <t xml:space="preserve">QINGDAO RUBBER SIX HOSE CO., LTD.</t>
  </si>
  <si>
    <t xml:space="preserve">E-369</t>
  </si>
  <si>
    <t xml:space="preserve">www.qdxlhose.cn</t>
  </si>
  <si>
    <t xml:space="preserve">QINGDAO WEITAI HYDRAULIC CO.,LTD.</t>
  </si>
  <si>
    <t xml:space="preserve">D-067</t>
  </si>
  <si>
    <t xml:space="preserve">www.weitai-group.com</t>
  </si>
  <si>
    <t xml:space="preserve">QUE TAL COMPRA DEL PERÚ S.A.C.</t>
  </si>
  <si>
    <t xml:space="preserve">E-304A</t>
  </si>
  <si>
    <t xml:space="preserve">https://tienda.qtc.pe/ecoflow</t>
  </si>
  <si>
    <t xml:space="preserve">QUIMFLUX S.A.C.</t>
  </si>
  <si>
    <t xml:space="preserve">B-053</t>
  </si>
  <si>
    <t xml:space="preserve">www.quimflux.com</t>
  </si>
  <si>
    <t xml:space="preserve">QUIMICOS GOICOCHEA S.A.C.</t>
  </si>
  <si>
    <t xml:space="preserve">qgventas@quimicosgoicochea.com</t>
  </si>
  <si>
    <t xml:space="preserve">ExpoMina 2026. También en CRM Directorio SSO 2026 (ID 645).</t>
  </si>
  <si>
    <t xml:space="preserve">E-069</t>
  </si>
  <si>
    <t xml:space="preserve">www.quimicosgoicochea.com</t>
  </si>
  <si>
    <t xml:space="preserve">6144400 / 987515625</t>
  </si>
  <si>
    <t xml:space="preserve">Av. Néstor Gambeta 150 Urb. Industrial La Chalaca Callao</t>
  </si>
  <si>
    <t xml:space="preserve">QUIMTIA S.A.</t>
  </si>
  <si>
    <t xml:space="preserve">contacto@quimtia.com</t>
  </si>
  <si>
    <t xml:space="preserve">ExpoMina 2026. También en CRM Directorio SSO 2026 (ID 644). País inferido; validar.</t>
  </si>
  <si>
    <t xml:space="preserve">E-009C</t>
  </si>
  <si>
    <t xml:space="preserve">6306500 / 949187325</t>
  </si>
  <si>
    <t xml:space="preserve">Mz.B Lt.1 Urb. Las Praderas de Lurín (Unidad Inmobiliaria 02) Lurín - Lima</t>
  </si>
  <si>
    <t xml:space="preserve">R &amp; R HYDRAULIC PARTS S.A.C</t>
  </si>
  <si>
    <t xml:space="preserve">A-319</t>
  </si>
  <si>
    <t xml:space="preserve">https://www.rrhpart.com/rrhp/home</t>
  </si>
  <si>
    <t xml:space="preserve">R Y C SERVICIOS INDUSTRIALES S.A.C.</t>
  </si>
  <si>
    <t xml:space="preserve">A-146</t>
  </si>
  <si>
    <t xml:space="preserve">www.rycservicios.com</t>
  </si>
  <si>
    <t xml:space="preserve">R Y W NAGO S.A.C.</t>
  </si>
  <si>
    <t xml:space="preserve">E-348D</t>
  </si>
  <si>
    <t xml:space="preserve">www.nagoperu.com</t>
  </si>
  <si>
    <t xml:space="preserve">RAYMA E HIJOS S.A.C.</t>
  </si>
  <si>
    <t xml:space="preserve">A-292</t>
  </si>
  <si>
    <t xml:space="preserve">RAYTECH INGENIERÍA SAS</t>
  </si>
  <si>
    <t xml:space="preserve">E-403</t>
  </si>
  <si>
    <t xml:space="preserve">www.rayteching.com</t>
  </si>
  <si>
    <t xml:space="preserve">RD RENTAL S.A.C.</t>
  </si>
  <si>
    <t xml:space="preserve">D-007</t>
  </si>
  <si>
    <t xml:space="preserve">www.rdrental.com.pe</t>
  </si>
  <si>
    <t xml:space="preserve">RECOMAQ HI TECH S.R.L.</t>
  </si>
  <si>
    <t xml:space="preserve">A-012</t>
  </si>
  <si>
    <t xml:space="preserve">www.recomaq.com</t>
  </si>
  <si>
    <t xml:space="preserve">REMAVISA S.A.</t>
  </si>
  <si>
    <t xml:space="preserve">E-158</t>
  </si>
  <si>
    <t xml:space="preserve">www.remavisa.com</t>
  </si>
  <si>
    <t xml:space="preserve">RENOVA S.A.C.</t>
  </si>
  <si>
    <t xml:space="preserve">informes@renova.com.pe</t>
  </si>
  <si>
    <t xml:space="preserve">ExpoMina 2026. También en CRM Directorio SSO 2026 (ID 649).</t>
  </si>
  <si>
    <t xml:space="preserve">A-159</t>
  </si>
  <si>
    <t xml:space="preserve">www.renova.com.pe</t>
  </si>
  <si>
    <t xml:space="preserve">4854075 / 4856365 / 984122487</t>
  </si>
  <si>
    <t xml:space="preserve">Av. Industrial 3598 Urb. Industrial Pan. Norte - Independencia - Lima</t>
  </si>
  <si>
    <t xml:space="preserve">REPRESENTACIONES COPACABANA SRL.</t>
  </si>
  <si>
    <t xml:space="preserve">A-327</t>
  </si>
  <si>
    <t xml:space="preserve">https://phenomenal-duckanoo-3f1efd.netlify.app/</t>
  </si>
  <si>
    <t xml:space="preserve">RESORTES LANSA S.A.C.</t>
  </si>
  <si>
    <t xml:space="preserve">B-058</t>
  </si>
  <si>
    <t xml:space="preserve">www.relansa.com.pe</t>
  </si>
  <si>
    <t xml:space="preserve">REVULC PERÚ S.A.C.- REVULC PERÚ S.A.C.</t>
  </si>
  <si>
    <t xml:space="preserve">A-421</t>
  </si>
  <si>
    <t xml:space="preserve">www.revulcperu.pe</t>
  </si>
  <si>
    <t xml:space="preserve">REYMOSA SA</t>
  </si>
  <si>
    <t xml:space="preserve">B-238</t>
  </si>
  <si>
    <t xml:space="preserve">https://www.reymosaperu.com</t>
  </si>
  <si>
    <t xml:space="preserve">RHC ESTRUCTURAS E.I.R.L.</t>
  </si>
  <si>
    <t xml:space="preserve">E-136</t>
  </si>
  <si>
    <t xml:space="preserve">https://www.rhcestructuras.com/</t>
  </si>
  <si>
    <t xml:space="preserve">RHONA PERÚ S.A.C.</t>
  </si>
  <si>
    <t xml:space="preserve">B-067</t>
  </si>
  <si>
    <t xml:space="preserve">www.rhona.pe</t>
  </si>
  <si>
    <t xml:space="preserve">RIVERCON. COM S.A.C</t>
  </si>
  <si>
    <t xml:space="preserve">E-162</t>
  </si>
  <si>
    <t xml:space="preserve">https://rivercon.com/</t>
  </si>
  <si>
    <t xml:space="preserve">RMC CHINA QUALITY MACHINE PARTS INC.</t>
  </si>
  <si>
    <t xml:space="preserve">E-057</t>
  </si>
  <si>
    <t xml:space="preserve">www.rmcchina.com</t>
  </si>
  <si>
    <t xml:space="preserve">ROBIT S.A.C.</t>
  </si>
  <si>
    <t xml:space="preserve">A-128</t>
  </si>
  <si>
    <t xml:space="preserve">www.robitgroup.com</t>
  </si>
  <si>
    <t xml:space="preserve">ROCKSDRILLING EQUIPMENT CO., LTD.</t>
  </si>
  <si>
    <t xml:space="preserve">E-203</t>
  </si>
  <si>
    <t xml:space="preserve">www.gdrills.net</t>
  </si>
  <si>
    <t xml:space="preserve">RRV SOLUCIONES Y SERVICIOS S.A.C.</t>
  </si>
  <si>
    <t xml:space="preserve">A-346</t>
  </si>
  <si>
    <t xml:space="preserve">www.rrvsac.com</t>
  </si>
  <si>
    <t xml:space="preserve">RW OUTFITTERS PERÚ S.A.C.</t>
  </si>
  <si>
    <t xml:space="preserve">B-239</t>
  </si>
  <si>
    <t xml:space="preserve">www.rwoperu.com</t>
  </si>
  <si>
    <t xml:space="preserve">SAB SPA</t>
  </si>
  <si>
    <t xml:space="preserve">E-098</t>
  </si>
  <si>
    <t xml:space="preserve">www.sabspa.com</t>
  </si>
  <si>
    <t xml:space="preserve">SAER ELETTROPOMPE S.P.A.</t>
  </si>
  <si>
    <t xml:space="preserve">A-004</t>
  </si>
  <si>
    <t xml:space="preserve">www.saerelettropompe.com</t>
  </si>
  <si>
    <t xml:space="preserve">SAFEMAR SAC</t>
  </si>
  <si>
    <t xml:space="preserve">A-110</t>
  </si>
  <si>
    <t xml:space="preserve">https://www.alemargroup.com.pe/</t>
  </si>
  <si>
    <t xml:space="preserve">SAMSON CONTROLS S.A.</t>
  </si>
  <si>
    <t xml:space="preserve">A-069</t>
  </si>
  <si>
    <t xml:space="preserve">https://peru.samsongroup.com/</t>
  </si>
  <si>
    <t xml:space="preserve">SANHE GREAT WALL RUBBER CO., LTD.</t>
  </si>
  <si>
    <t xml:space="preserve">E-079</t>
  </si>
  <si>
    <t xml:space="preserve">www.greatwallrubber.com</t>
  </si>
  <si>
    <t xml:space="preserve">SCALE INTERNATIONAL SERVICE S.A.C</t>
  </si>
  <si>
    <t xml:space="preserve">E-281</t>
  </si>
  <si>
    <t xml:space="preserve">wwe.sissac.com</t>
  </si>
  <si>
    <t xml:space="preserve">SCIAPS, INC.</t>
  </si>
  <si>
    <t xml:space="preserve">B-141</t>
  </si>
  <si>
    <t xml:space="preserve">www.sciaps.com</t>
  </si>
  <si>
    <t xml:space="preserve">SCONTROL INGENIERIA S.A.C. -SCONTROL INGENIERIA S.A.C</t>
  </si>
  <si>
    <t xml:space="preserve">B-016</t>
  </si>
  <si>
    <t xml:space="preserve">scontrol.pe</t>
  </si>
  <si>
    <t xml:space="preserve">SEDECO COMERCIAL S.A.C.</t>
  </si>
  <si>
    <t xml:space="preserve">B-284A</t>
  </si>
  <si>
    <t xml:space="preserve">https://sedecosac.com.pe/</t>
  </si>
  <si>
    <t xml:space="preserve">SEDISA S.A.C.</t>
  </si>
  <si>
    <t xml:space="preserve">B-178</t>
  </si>
  <si>
    <t xml:space="preserve">https://sedisa.com.pe/</t>
  </si>
  <si>
    <t xml:space="preserve">SEGURIA S.A.C.</t>
  </si>
  <si>
    <t xml:space="preserve">E-160</t>
  </si>
  <si>
    <t xml:space="preserve">https://seguria.com.pe/</t>
  </si>
  <si>
    <t xml:space="preserve">SELCOSI COMPANY S.A.C.</t>
  </si>
  <si>
    <t xml:space="preserve">A-026</t>
  </si>
  <si>
    <t xml:space="preserve">www.selcosicompany.com</t>
  </si>
  <si>
    <t xml:space="preserve">SELCOSI EXPORT S.A.C.</t>
  </si>
  <si>
    <t xml:space="preserve">E-351</t>
  </si>
  <si>
    <t xml:space="preserve">https://selcosixport.com/</t>
  </si>
  <si>
    <t xml:space="preserve">SERFAC S.A.C.</t>
  </si>
  <si>
    <t xml:space="preserve">B-131</t>
  </si>
  <si>
    <t xml:space="preserve">www.serfac.com.pe</t>
  </si>
  <si>
    <t xml:space="preserve">SERVIFABRICK VHR S.A.C.</t>
  </si>
  <si>
    <t xml:space="preserve">A-320</t>
  </si>
  <si>
    <t xml:space="preserve">https://www.servifabrickvhr.com/</t>
  </si>
  <si>
    <t xml:space="preserve">SERVIMAQ SOLUTIONS E.I.R.L.</t>
  </si>
  <si>
    <t xml:space="preserve">E-345</t>
  </si>
  <si>
    <t xml:space="preserve">servimaq.pe</t>
  </si>
  <si>
    <t xml:space="preserve">SHAANXI STANDARD TITANIUM INDUSTRY CO., LTD</t>
  </si>
  <si>
    <t xml:space="preserve">B-261</t>
  </si>
  <si>
    <t xml:space="preserve">www.titanium.net</t>
  </si>
  <si>
    <t xml:space="preserve">SHANDONG BLUE BAY NEW MATERIAL CO.,LTD</t>
  </si>
  <si>
    <t xml:space="preserve">E-317</t>
  </si>
  <si>
    <t xml:space="preserve">www.lanwancn.com</t>
  </si>
  <si>
    <t xml:space="preserve">SHANDONG CONMAC INDUSTRIAL TECHNOLOGY CO., LTD</t>
  </si>
  <si>
    <t xml:space="preserve">E-071</t>
  </si>
  <si>
    <t xml:space="preserve">www.conmac.com.cn</t>
  </si>
  <si>
    <t xml:space="preserve">SHANDONG JIARUN PRECISION MACHINERY MANUFACTURING CO.,LTD.</t>
  </si>
  <si>
    <t xml:space="preserve">E-234</t>
  </si>
  <si>
    <t xml:space="preserve">https://www.jiarunmachinery.com/</t>
  </si>
  <si>
    <t xml:space="preserve">SHANDONG JUNING MACHINERY CO.,LTD</t>
  </si>
  <si>
    <t xml:space="preserve">E-058</t>
  </si>
  <si>
    <t xml:space="preserve">www.juningjixie.com</t>
  </si>
  <si>
    <t xml:space="preserve">SHANDONG KANGYU PIPE INDUSTRY CO.,LTD.</t>
  </si>
  <si>
    <t xml:space="preserve">E-310</t>
  </si>
  <si>
    <t xml:space="preserve">www.kangyupiping.com</t>
  </si>
  <si>
    <t xml:space="preserve">SHANDONG MIGHTY GEAR INTERNATIONAL TRADE CO., LTD.</t>
  </si>
  <si>
    <t xml:space="preserve">E-091B</t>
  </si>
  <si>
    <t xml:space="preserve">https://www.facebook.com/profile.php?id=61582114976805</t>
  </si>
  <si>
    <t xml:space="preserve">SHANDONG MINGYANG CONVEYOR EQUIPMENT CO.,LTD.</t>
  </si>
  <si>
    <t xml:space="preserve">A-099</t>
  </si>
  <si>
    <t xml:space="preserve">www.sdmyconveyor.com</t>
  </si>
  <si>
    <t xml:space="preserve">SHANDONG TIANHONG INDUSTRAIL CO., LTD</t>
  </si>
  <si>
    <t xml:space="preserve">A-388</t>
  </si>
  <si>
    <t xml:space="preserve">tianhongtrailer.com</t>
  </si>
  <si>
    <t xml:space="preserve">SHANDONG XIANGSHAN ROCK DRILLING TOOLS CO., LTD.</t>
  </si>
  <si>
    <t xml:space="preserve">D-065</t>
  </si>
  <si>
    <t xml:space="preserve">www.xiangshanqianju.com</t>
  </si>
  <si>
    <t xml:space="preserve">SHANDONG XINHAI MINING TECHNOLOGY EQUIPMENT INC.</t>
  </si>
  <si>
    <t xml:space="preserve">A-109</t>
  </si>
  <si>
    <t xml:space="preserve">www.epcservicio.com</t>
  </si>
  <si>
    <t xml:space="preserve">SHANDONG YINENG HEAVY INDUSTRY CO., LTD</t>
  </si>
  <si>
    <t xml:space="preserve">E-376</t>
  </si>
  <si>
    <t xml:space="preserve">www.yinengchina.com</t>
  </si>
  <si>
    <t xml:space="preserve">SHANDONG ZHANCHEN TECH CO., LTD</t>
  </si>
  <si>
    <t xml:space="preserve">E-070</t>
  </si>
  <si>
    <t xml:space="preserve">www.zhanchenrubber.com</t>
  </si>
  <si>
    <t xml:space="preserve">SHANDONG ZHIQIANG DRILLING EQUIPMENT CO., LTD.</t>
  </si>
  <si>
    <t xml:space="preserve">E-229</t>
  </si>
  <si>
    <t xml:space="preserve">www.zhiqiangdrill.com</t>
  </si>
  <si>
    <t xml:space="preserve">SHANGHAI CHIP DANCE CO.,LTD.</t>
  </si>
  <si>
    <t xml:space="preserve">A-403</t>
  </si>
  <si>
    <t xml:space="preserve">www.chipdance.com</t>
  </si>
  <si>
    <t xml:space="preserve">SHANGHAI DUNKE MACHINERY CO.,LTD</t>
  </si>
  <si>
    <t xml:space="preserve">E-386</t>
  </si>
  <si>
    <t xml:space="preserve">www.coyo-sh.com</t>
  </si>
  <si>
    <t xml:space="preserve">SHANGHAI HAOCHENG MACHINERY PARTS CO.,LTD</t>
  </si>
  <si>
    <t xml:space="preserve">E-033</t>
  </si>
  <si>
    <t xml:space="preserve">http://www.hcmachineryparts.com</t>
  </si>
  <si>
    <t xml:space="preserve">SHANGHAI JIANYE HEAVY INDUSTRY CO., LTD</t>
  </si>
  <si>
    <t xml:space="preserve">F-081A</t>
  </si>
  <si>
    <t xml:space="preserve">www.mineral-grinder.com</t>
  </si>
  <si>
    <t xml:space="preserve">SHANGHAI JOYAL MACHINERY CO.,LTD</t>
  </si>
  <si>
    <t xml:space="preserve">E-242</t>
  </si>
  <si>
    <t xml:space="preserve">https://www.joyalcrusher.com/</t>
  </si>
  <si>
    <t xml:space="preserve">SHANGHAI JUXIN PUMP CO., LTD.</t>
  </si>
  <si>
    <t xml:space="preserve">E-031A</t>
  </si>
  <si>
    <t xml:space="preserve">www.jxhin.com</t>
  </si>
  <si>
    <t xml:space="preserve">SHANGHAI MOLIDORA MACHINERY CO., LTD</t>
  </si>
  <si>
    <t xml:space="preserve">A-404</t>
  </si>
  <si>
    <t xml:space="preserve">www.molidoragroup.com</t>
  </si>
  <si>
    <t xml:space="preserve">SHANGHAI PINXING EXPLOSION-PROOF MOTOR CO., LTD.</t>
  </si>
  <si>
    <t xml:space="preserve">E-284</t>
  </si>
  <si>
    <t xml:space="preserve">https://www.pinxingmotor.com/</t>
  </si>
  <si>
    <t xml:space="preserve">SHANXI HUHUA IMPORT AND EXPORT TRADE CO., LTD.</t>
  </si>
  <si>
    <t xml:space="preserve">A-056</t>
  </si>
  <si>
    <t xml:space="preserve">http://www.shanxihuhua.com</t>
  </si>
  <si>
    <t xml:space="preserve">SHANXI LANYUAN TECHNOLOGY CO., LTD.</t>
  </si>
  <si>
    <t xml:space="preserve">A-074</t>
  </si>
  <si>
    <t xml:space="preserve">www.lanyuanglobal.com</t>
  </si>
  <si>
    <t xml:space="preserve">SHENYANG FENTE MINING MACHINERY TECHNOLOGY CO., LTD.</t>
  </si>
  <si>
    <t xml:space="preserve">A-378</t>
  </si>
  <si>
    <t xml:space="preserve">www.fentejixie.com</t>
  </si>
  <si>
    <t xml:space="preserve">SHENYANG NEW HAIBO MACHINERY CO.,LTD</t>
  </si>
  <si>
    <t xml:space="preserve">E-314</t>
  </si>
  <si>
    <t xml:space="preserve">www.hbmcrusher.com</t>
  </si>
  <si>
    <t xml:space="preserve">SHENYANG SANLAND MINING EQUIPMENT MANUFACTURE CO., LTD.</t>
  </si>
  <si>
    <t xml:space="preserve">E-105</t>
  </si>
  <si>
    <t xml:space="preserve">www.sanland.com</t>
  </si>
  <si>
    <t xml:space="preserve">SHENYANG SHILONG MECHANICAL MANUFACTURING CO., LTD.</t>
  </si>
  <si>
    <t xml:space="preserve">E-282</t>
  </si>
  <si>
    <t xml:space="preserve">www.chinaslm.net</t>
  </si>
  <si>
    <t xml:space="preserve">SHENYANG SURFACE MINING WORKS ASSOCIATION CO., LTD.</t>
  </si>
  <si>
    <t xml:space="preserve">A-383</t>
  </si>
  <si>
    <t xml:space="preserve">www.swacompany.com</t>
  </si>
  <si>
    <t xml:space="preserve">SHENZHEN BLINCE HYDRAULIC CO., LTD.</t>
  </si>
  <si>
    <t xml:space="preserve">E-343</t>
  </si>
  <si>
    <t xml:space="preserve">www.blince.com</t>
  </si>
  <si>
    <t xml:space="preserve">SHIJIAZHUANG DAMEI KINGMECH PUMP CO., LTD.</t>
  </si>
  <si>
    <t xml:space="preserve">E-313</t>
  </si>
  <si>
    <t xml:space="preserve">https://www.pumpkingmech.com/</t>
  </si>
  <si>
    <t xml:space="preserve">SHIJIAZHUANG INDUSTRIAL PUMP FACTORY CO., LTD</t>
  </si>
  <si>
    <t xml:space="preserve">E-277</t>
  </si>
  <si>
    <t xml:space="preserve">www.sgb-slurrypump.com</t>
  </si>
  <si>
    <t xml:space="preserve">SHUANGFENG COUNTY DATANG METALLURGICAL MACHINERY CO., LTD.</t>
  </si>
  <si>
    <t xml:space="preserve">B-077</t>
  </si>
  <si>
    <t xml:space="preserve">https://datangyejin.en.alibaba.com/?spm=a2700.micro\_cgs\_home.0.0.65c53e5fwgutpp</t>
  </si>
  <si>
    <t xml:space="preserve">SICHUAN BOJUN MACHINERY MANUFACTURING CO.,LTD</t>
  </si>
  <si>
    <t xml:space="preserve">B-080</t>
  </si>
  <si>
    <t xml:space="preserve">http://www.bjcasting.cn/</t>
  </si>
  <si>
    <t xml:space="preserve">SICHUAN NOCK DRILLING MACHINERY CO., LTD.</t>
  </si>
  <si>
    <t xml:space="preserve">E-078</t>
  </si>
  <si>
    <t xml:space="preserve">en.rockzt.com</t>
  </si>
  <si>
    <t xml:space="preserve">SIGECO S.A.C.</t>
  </si>
  <si>
    <t xml:space="preserve">A-367</t>
  </si>
  <si>
    <t xml:space="preserve">https://www.sigeco.com.pe/</t>
  </si>
  <si>
    <t xml:space="preserve">SIKA PERÚ S.A.C.</t>
  </si>
  <si>
    <t xml:space="preserve">E-003</t>
  </si>
  <si>
    <t xml:space="preserve">https://per.sika.com/</t>
  </si>
  <si>
    <t xml:space="preserve">SILLION</t>
  </si>
  <si>
    <t xml:space="preserve">A-038</t>
  </si>
  <si>
    <t xml:space="preserve">sillion.com</t>
  </si>
  <si>
    <t xml:space="preserve">SINO MUD PERÚ S.A.C.</t>
  </si>
  <si>
    <t xml:space="preserve">A-427</t>
  </si>
  <si>
    <t xml:space="preserve">https://www.smdmud.com/</t>
  </si>
  <si>
    <t xml:space="preserve">SINOFLOC CHEMICAL LTD</t>
  </si>
  <si>
    <t xml:space="preserve">F-091</t>
  </si>
  <si>
    <t xml:space="preserve">https://www.sinofloc.com/</t>
  </si>
  <si>
    <t xml:space="preserve">SINOMA - LIYANG HEAVY MACHINERY IMPORT &amp; EXPORT (SHENYANG) CO., LTD.</t>
  </si>
  <si>
    <t xml:space="preserve">E-159</t>
  </si>
  <si>
    <t xml:space="preserve">www.sinomaly-china.com</t>
  </si>
  <si>
    <t xml:space="preserve">SKY AIRLINE</t>
  </si>
  <si>
    <t xml:space="preserve">B-073</t>
  </si>
  <si>
    <t xml:space="preserve">https://empresas.skyairline.com/es/peru/login</t>
  </si>
  <si>
    <t xml:space="preserve">SOCIEDAD COMERCIAL E INVERSIONES SANTA VERONICA SUCURSAL DEL PERU</t>
  </si>
  <si>
    <t xml:space="preserve">B-070</t>
  </si>
  <si>
    <t xml:space="preserve">www.instruvalve.com.pe</t>
  </si>
  <si>
    <t xml:space="preserve">SOCIETY FOR MINING METALLURGY EXPLORATION SME</t>
  </si>
  <si>
    <t xml:space="preserve">E-398</t>
  </si>
  <si>
    <t xml:space="preserve">smenet.org</t>
  </si>
  <si>
    <t xml:space="preserve">SOLAY SOLUTIONS S.A.C.</t>
  </si>
  <si>
    <t xml:space="preserve">E-120A</t>
  </si>
  <si>
    <t xml:space="preserve">www.solaysolutions.com</t>
  </si>
  <si>
    <t xml:space="preserve">SOLDEX SA</t>
  </si>
  <si>
    <t xml:space="preserve">C-007</t>
  </si>
  <si>
    <t xml:space="preserve">www.esab.com</t>
  </si>
  <si>
    <t xml:space="preserve">SOS SERVICIOS Y SUMINISTROS S.A.C.</t>
  </si>
  <si>
    <t xml:space="preserve">B-284</t>
  </si>
  <si>
    <t xml:space="preserve">sosacperu.com</t>
  </si>
  <si>
    <t xml:space="preserve">SOTRAFA SA</t>
  </si>
  <si>
    <t xml:space="preserve">B-219</t>
  </si>
  <si>
    <t xml:space="preserve">www.sotrafageo.com</t>
  </si>
  <si>
    <t xml:space="preserve">SPEED LOGISTICA Y SERVICIOS S.A.C.</t>
  </si>
  <si>
    <t xml:space="preserve">B-018</t>
  </si>
  <si>
    <t xml:space="preserve">www.sls.com.pe</t>
  </si>
  <si>
    <t xml:space="preserve">SPRAYING SYSTEMS PERÚ S.R.L.</t>
  </si>
  <si>
    <t xml:space="preserve">A-015</t>
  </si>
  <si>
    <t xml:space="preserve">www.spray.com</t>
  </si>
  <si>
    <t xml:space="preserve">STAREDGE</t>
  </si>
  <si>
    <t xml:space="preserve">A-296</t>
  </si>
  <si>
    <t xml:space="preserve">mtnsat.com</t>
  </si>
  <si>
    <t xml:space="preserve">STONE</t>
  </si>
  <si>
    <t xml:space="preserve">E-161</t>
  </si>
  <si>
    <t xml:space="preserve">https://www.stone-mining.com</t>
  </si>
  <si>
    <t xml:space="preserve">STROBBE INDUSTRIAL S.A.C.</t>
  </si>
  <si>
    <t xml:space="preserve">B-276</t>
  </si>
  <si>
    <t xml:space="preserve">https://strobbe.com/</t>
  </si>
  <si>
    <t xml:space="preserve">SUCCESSFUL IMPORT S.A.C.</t>
  </si>
  <si>
    <t xml:space="preserve">F-095</t>
  </si>
  <si>
    <t xml:space="preserve">www.tacnimaq.com</t>
  </si>
  <si>
    <t xml:space="preserve">SUDAMERICANA DE RODAMIENTOS S.A.C.</t>
  </si>
  <si>
    <t xml:space="preserve">B-062</t>
  </si>
  <si>
    <t xml:space="preserve">www.sudamericana.com.pe</t>
  </si>
  <si>
    <t xml:space="preserve">SULLAIR DEL PACIFICO S.A.C.</t>
  </si>
  <si>
    <t xml:space="preserve">ExpoMina 2026. También en CRM Directorio SSO 2026 (ID 660).</t>
  </si>
  <si>
    <t xml:space="preserve">A-064A</t>
  </si>
  <si>
    <t xml:space="preserve">https://www.sullair.com.pe/</t>
  </si>
  <si>
    <t xml:space="preserve">2612233 / 987962188 / 914410170</t>
  </si>
  <si>
    <t xml:space="preserve">Av. San Felipe 298 Urb. Los Patricios Jesús María - Lima</t>
  </si>
  <si>
    <t xml:space="preserve">SUMINCO S.A.</t>
  </si>
  <si>
    <t xml:space="preserve">ventas@suminco.pe</t>
  </si>
  <si>
    <t xml:space="preserve">ExpoMina 2026. También en CRM Directorio SSO 2026 (ID 661).</t>
  </si>
  <si>
    <t xml:space="preserve">B-272E</t>
  </si>
  <si>
    <t xml:space="preserve">www.suminco.pe</t>
  </si>
  <si>
    <t xml:space="preserve">2024060 / 996316685</t>
  </si>
  <si>
    <t xml:space="preserve">Av. Javier Prado Este 7069 Urb. Mayorazgo Etp. V - Ate - Lima</t>
  </si>
  <si>
    <t xml:space="preserve">SUMINER SAC</t>
  </si>
  <si>
    <t xml:space="preserve">B-019</t>
  </si>
  <si>
    <t xml:space="preserve">www.suminer.com</t>
  </si>
  <si>
    <t xml:space="preserve">SUNWE MINING MACHINERY CO., LTD</t>
  </si>
  <si>
    <t xml:space="preserve">E-300</t>
  </si>
  <si>
    <t xml:space="preserve">https://sunwecrusher.com/</t>
  </si>
  <si>
    <t xml:space="preserve">SUPPLIES &amp; MANUFACTURING S.A.C.</t>
  </si>
  <si>
    <t xml:space="preserve">B-222</t>
  </si>
  <si>
    <t xml:space="preserve">www.suppliesm.com</t>
  </si>
  <si>
    <t xml:space="preserve">SURGICORP SOCIEDAD COMERCIAL DE RESPONSABILIDAD LIMITADA - SURGICORP S.R.L.</t>
  </si>
  <si>
    <t xml:space="preserve">A-428</t>
  </si>
  <si>
    <t xml:space="preserve">www.surgicorperu.com</t>
  </si>
  <si>
    <t xml:space="preserve">SURTIDORES S.A.C.</t>
  </si>
  <si>
    <t xml:space="preserve">E-213</t>
  </si>
  <si>
    <t xml:space="preserve">www.surtidores.pe</t>
  </si>
  <si>
    <t xml:space="preserve">SWIFT TRADING S.A.C.</t>
  </si>
  <si>
    <t xml:space="preserve">B-052</t>
  </si>
  <si>
    <t xml:space="preserve">www.swift.pe</t>
  </si>
  <si>
    <t xml:space="preserve">T &amp; D ELECTRIC S.A.C.</t>
  </si>
  <si>
    <t xml:space="preserve">B-040</t>
  </si>
  <si>
    <t xml:space="preserve">https://tydelectric.pe/</t>
  </si>
  <si>
    <t xml:space="preserve">TAIAN YONGDUO MACHINERY MANUFACTURING CO.,LTD</t>
  </si>
  <si>
    <t xml:space="preserve">E-107</t>
  </si>
  <si>
    <t xml:space="preserve">www.yongduoroller.com</t>
  </si>
  <si>
    <t xml:space="preserve">TAN SAN JINSHI S.A.C.</t>
  </si>
  <si>
    <t xml:space="preserve">A-411</t>
  </si>
  <si>
    <t xml:space="preserve">https://js.com.pe/</t>
  </si>
  <si>
    <t xml:space="preserve">TANGSHAN JINDERONG WEAR RESISTANT INDUSTRY CO., LTD</t>
  </si>
  <si>
    <t xml:space="preserve">E-328</t>
  </si>
  <si>
    <t xml:space="preserve">https://en.tsjdr.com/</t>
  </si>
  <si>
    <t xml:space="preserve">TECH CHROME S.A.C.</t>
  </si>
  <si>
    <t xml:space="preserve">B-079</t>
  </si>
  <si>
    <t xml:space="preserve">www.techchrome.com.pe</t>
  </si>
  <si>
    <t xml:space="preserve">TECHNOVA ENGINEERING SOCIEDAD ANONIMA</t>
  </si>
  <si>
    <t xml:space="preserve">B-068</t>
  </si>
  <si>
    <t xml:space="preserve">https://technova.com.pe/</t>
  </si>
  <si>
    <t xml:space="preserve">TECNIFLOW S.A.C.</t>
  </si>
  <si>
    <t xml:space="preserve">A-076A</t>
  </si>
  <si>
    <t xml:space="preserve">https://tecniflow.com/</t>
  </si>
  <si>
    <t xml:space="preserve">TECNIMPORT S.A.</t>
  </si>
  <si>
    <t xml:space="preserve">A-375</t>
  </si>
  <si>
    <t xml:space="preserve">TECNITALIA S.A.C.</t>
  </si>
  <si>
    <t xml:space="preserve">B-144</t>
  </si>
  <si>
    <t xml:space="preserve">https://tecnitalia.com.pe/</t>
  </si>
  <si>
    <t xml:space="preserve">TECNO CONTROL S.A.C.</t>
  </si>
  <si>
    <t xml:space="preserve">A-097</t>
  </si>
  <si>
    <t xml:space="preserve">https://www.tecnocontrol.com.pe/</t>
  </si>
  <si>
    <t xml:space="preserve">TECNO INGENIERIA INDUSTRIAL S.A.C.</t>
  </si>
  <si>
    <t xml:space="preserve">A-429</t>
  </si>
  <si>
    <t xml:space="preserve">www.tecnoing.com</t>
  </si>
  <si>
    <t xml:space="preserve">TECNOLOGIA EN FLUIDOS PROMINENT S.A.C.</t>
  </si>
  <si>
    <t xml:space="preserve">B-069</t>
  </si>
  <si>
    <t xml:space="preserve">https://prominentperu.com/</t>
  </si>
  <si>
    <t xml:space="preserve">TECOMING S.A.C.</t>
  </si>
  <si>
    <t xml:space="preserve">B-269</t>
  </si>
  <si>
    <t xml:space="preserve">www.tecoming.com</t>
  </si>
  <si>
    <t xml:space="preserve">TECSUR S.A.</t>
  </si>
  <si>
    <t xml:space="preserve">E-149B</t>
  </si>
  <si>
    <t xml:space="preserve">www.tecsur.com.pe</t>
  </si>
  <si>
    <t xml:space="preserve">TECTRONICA S.A.C.</t>
  </si>
  <si>
    <t xml:space="preserve">B-180</t>
  </si>
  <si>
    <t xml:space="preserve">www.tectronica.com.pe</t>
  </si>
  <si>
    <t xml:space="preserve">TEGA HOLDINGS PTE. LIMITED SUCURSAL DEL PERU</t>
  </si>
  <si>
    <t xml:space="preserve">A-061</t>
  </si>
  <si>
    <t xml:space="preserve">www.tegaindustries.com</t>
  </si>
  <si>
    <t xml:space="preserve">TELVICOM S.A.</t>
  </si>
  <si>
    <t xml:space="preserve">A-018</t>
  </si>
  <si>
    <t xml:space="preserve">www.telvicom.com</t>
  </si>
  <si>
    <t xml:space="preserve">TEMPORARY SITE FACILITIES</t>
  </si>
  <si>
    <t xml:space="preserve">B-117</t>
  </si>
  <si>
    <t xml:space="preserve">www.umdhouse.com/</t>
  </si>
  <si>
    <t xml:space="preserve">TENSOPERU S.A.C.</t>
  </si>
  <si>
    <t xml:space="preserve">B-165</t>
  </si>
  <si>
    <t xml:space="preserve">https://tensoperu.com/</t>
  </si>
  <si>
    <t xml:space="preserve">TERRAPRO SOLUTIONS S.A.C.</t>
  </si>
  <si>
    <t xml:space="preserve">E-215</t>
  </si>
  <si>
    <t xml:space="preserve">TEXTIL GROUP C &amp; B S.A.C.</t>
  </si>
  <si>
    <t xml:space="preserve">B-233</t>
  </si>
  <si>
    <t xml:space="preserve">www.panzer.com.pe</t>
  </si>
  <si>
    <t xml:space="preserve">THE PAINT SPOT</t>
  </si>
  <si>
    <t xml:space="preserve">B-083A</t>
  </si>
  <si>
    <t xml:space="preserve">www.hcmpinturas.com</t>
  </si>
  <si>
    <t xml:space="preserve">THERMO DETECTION DE MEXICO</t>
  </si>
  <si>
    <t xml:space="preserve">A-200</t>
  </si>
  <si>
    <t xml:space="preserve">https://www.thermofisher.com/us/en/home.html</t>
  </si>
  <si>
    <t xml:space="preserve">TIANJIN PANKOW TECHNOLOGY CO.,LTD</t>
  </si>
  <si>
    <t xml:space="preserve">B-014</t>
  </si>
  <si>
    <t xml:space="preserve">www.pankow.cn</t>
  </si>
  <si>
    <t xml:space="preserve">TIANJIN WODON WEAR RESISTANT MATERIAL CO.,LTD</t>
  </si>
  <si>
    <t xml:space="preserve">B-118</t>
  </si>
  <si>
    <t xml:space="preserve">https://chinawodon.com/</t>
  </si>
  <si>
    <t xml:space="preserve">TIANKE CONSTRUCTION MACHINERY CO.,LTD.</t>
  </si>
  <si>
    <t xml:space="preserve">B-092</t>
  </si>
  <si>
    <t xml:space="preserve">https://www.tuodaee.com</t>
  </si>
  <si>
    <t xml:space="preserve">TIGRE ADS PERÚ S.A.C</t>
  </si>
  <si>
    <t xml:space="preserve">B-270</t>
  </si>
  <si>
    <t xml:space="preserve">https://www.adstigre.com/peru/</t>
  </si>
  <si>
    <t xml:space="preserve">TIZIANNI PERU</t>
  </si>
  <si>
    <t xml:space="preserve">A-287</t>
  </si>
  <si>
    <t xml:space="preserve">www.tizianni.com</t>
  </si>
  <si>
    <t xml:space="preserve">TJ H2B LATINA S.A.C.</t>
  </si>
  <si>
    <t xml:space="preserve">A-048</t>
  </si>
  <si>
    <t xml:space="preserve">www.tjh2b.com.pe</t>
  </si>
  <si>
    <t xml:space="preserve">TMC TRANSFORMERS S.P.A.</t>
  </si>
  <si>
    <t xml:space="preserve">E-148I</t>
  </si>
  <si>
    <t xml:space="preserve">https://www.tmctransformers.com/es</t>
  </si>
  <si>
    <t xml:space="preserve">TONGLING HUI ER PU TECHNOLOGY CO.,LTD.</t>
  </si>
  <si>
    <t xml:space="preserve">E-256</t>
  </si>
  <si>
    <t xml:space="preserve">http://tlhep.com/</t>
  </si>
  <si>
    <t xml:space="preserve">TONGSUI MACHINERY</t>
  </si>
  <si>
    <t xml:space="preserve">E-252</t>
  </si>
  <si>
    <t xml:space="preserve">http://tongsui.cn.com</t>
  </si>
  <si>
    <t xml:space="preserve">TOTAL HYDRAULICS S.A.C.</t>
  </si>
  <si>
    <t xml:space="preserve">A-436</t>
  </si>
  <si>
    <t xml:space="preserve">www.th.com.pe</t>
  </si>
  <si>
    <t xml:space="preserve">TPX TOTAL POWER PERÚ S.A.C. - TPX PERU</t>
  </si>
  <si>
    <t xml:space="preserve">E-188</t>
  </si>
  <si>
    <t xml:space="preserve">www.tpxtech.com</t>
  </si>
  <si>
    <t xml:space="preserve">TRACKLOG S.A.C</t>
  </si>
  <si>
    <t xml:space="preserve">E-333</t>
  </si>
  <si>
    <t xml:space="preserve">tracklog.pe</t>
  </si>
  <si>
    <t xml:space="preserve">TRACTO CAMIONES USA S.A.C.</t>
  </si>
  <si>
    <t xml:space="preserve">ventas@tracusape.com</t>
  </si>
  <si>
    <t xml:space="preserve">ExpoMina 2026. También en CRM Directorio SSO 2026 (ID 666).</t>
  </si>
  <si>
    <t xml:space="preserve">C-011A</t>
  </si>
  <si>
    <t xml:space="preserve">3199555 / 939240124</t>
  </si>
  <si>
    <t xml:space="preserve">Av. Nicolás Ayllon 3904 Carretera Central Alt. km 3.5 - Ate - Lima</t>
  </si>
  <si>
    <t xml:space="preserve">TRACTOPARTES VICTOR PARI S.A.C.- TRACTOPARTES V.P. S.A.C.</t>
  </si>
  <si>
    <t xml:space="preserve">A-035</t>
  </si>
  <si>
    <t xml:space="preserve">https://tractopartes.com.pe/</t>
  </si>
  <si>
    <t xml:space="preserve">TRANSBER S.A.C.</t>
  </si>
  <si>
    <t xml:space="preserve">F-092</t>
  </si>
  <si>
    <t xml:space="preserve">https://www.transberperu.com</t>
  </si>
  <si>
    <t xml:space="preserve">TRANSMISIONES &amp; SERVICIOS S.A.C</t>
  </si>
  <si>
    <t xml:space="preserve">E-377</t>
  </si>
  <si>
    <t xml:space="preserve">www.transmisiones.pe</t>
  </si>
  <si>
    <t xml:space="preserve">TRATAR PERÚ SAC</t>
  </si>
  <si>
    <t xml:space="preserve">E-148H</t>
  </si>
  <si>
    <t xml:space="preserve">www.tratarperu.pe</t>
  </si>
  <si>
    <t xml:space="preserve">TRIDENT SOUTH AFRICA (PTY) LTD</t>
  </si>
  <si>
    <t xml:space="preserve">Sudáfrica</t>
  </si>
  <si>
    <t xml:space="preserve">E-021</t>
  </si>
  <si>
    <t xml:space="preserve">www.bypqualitee.com</t>
  </si>
  <si>
    <t xml:space="preserve">TRILLIUM PUMPS ITALY SPA</t>
  </si>
  <si>
    <t xml:space="preserve">A-291</t>
  </si>
  <si>
    <t xml:space="preserve">www.trilliumflow.com</t>
  </si>
  <si>
    <t xml:space="preserve">TURBO DE LOS ANDES S.A.C.</t>
  </si>
  <si>
    <t xml:space="preserve">B-031</t>
  </si>
  <si>
    <t xml:space="preserve">www.turbodelosandes.com.pe</t>
  </si>
  <si>
    <t xml:space="preserve">TYHOO CO. LTD</t>
  </si>
  <si>
    <t xml:space="preserve">E-388</t>
  </si>
  <si>
    <t xml:space="preserve">https://tyhoogroup.com/xby/</t>
  </si>
  <si>
    <t xml:space="preserve">UNION DEL ACERO S.A.C. - UNACER</t>
  </si>
  <si>
    <t xml:space="preserve">B-098</t>
  </si>
  <si>
    <t xml:space="preserve">http://www.unacer.com/</t>
  </si>
  <si>
    <t xml:space="preserve">USA MY BOX S.A.C.</t>
  </si>
  <si>
    <t xml:space="preserve">E-323B</t>
  </si>
  <si>
    <t xml:space="preserve">https://usamybox.com/</t>
  </si>
  <si>
    <t xml:space="preserve">VANECO E.I.R.LTDA.</t>
  </si>
  <si>
    <t xml:space="preserve">E-273</t>
  </si>
  <si>
    <t xml:space="preserve">www.vaneco.com.pe</t>
  </si>
  <si>
    <t xml:space="preserve">VERNE PERÚ S.A.C.</t>
  </si>
  <si>
    <t xml:space="preserve">B-268</t>
  </si>
  <si>
    <t xml:space="preserve">www.verne.com.pe</t>
  </si>
  <si>
    <t xml:space="preserve">VERTIV PERÚ S.A.C.</t>
  </si>
  <si>
    <t xml:space="preserve">E-427</t>
  </si>
  <si>
    <t xml:space="preserve">vertiv.com</t>
  </si>
  <si>
    <t xml:space="preserve">VIBROREX E.I.R.L</t>
  </si>
  <si>
    <t xml:space="preserve">E-355</t>
  </si>
  <si>
    <t xml:space="preserve">www.vibrorex.com.pe</t>
  </si>
  <si>
    <t xml:space="preserve">VOESTALPINE HIGH PERFORMANCE METALS DEL PERÚ SOCIEDAD ANONIMA</t>
  </si>
  <si>
    <t xml:space="preserve">B-279</t>
  </si>
  <si>
    <t xml:space="preserve">www.voestalpine.com/highperformancemetals/peru/</t>
  </si>
  <si>
    <t xml:space="preserve">VORAZ DEL PERÚ S.A.C.- VORAZ DEL PERÚ S.A.C</t>
  </si>
  <si>
    <t xml:space="preserve">A-036</t>
  </si>
  <si>
    <t xml:space="preserve">VULCAFLEX INDUSTRIA E COMERCIO LTDA</t>
  </si>
  <si>
    <t xml:space="preserve">Brasil</t>
  </si>
  <si>
    <t xml:space="preserve">A-329</t>
  </si>
  <si>
    <t xml:space="preserve">www.vulcaflex.com.br</t>
  </si>
  <si>
    <t xml:space="preserve">VULCANO METALS S.A.C.</t>
  </si>
  <si>
    <t xml:space="preserve">A-017</t>
  </si>
  <si>
    <t xml:space="preserve">vulcanometals.com</t>
  </si>
  <si>
    <t xml:space="preserve">WALU INVERSIONES S.A.C.</t>
  </si>
  <si>
    <t xml:space="preserve">B-272D</t>
  </si>
  <si>
    <t xml:space="preserve">mundomaqu.com</t>
  </si>
  <si>
    <t xml:space="preserve">WATER PARTNERS S.A.C.</t>
  </si>
  <si>
    <t xml:space="preserve">A-044</t>
  </si>
  <si>
    <t xml:space="preserve">https://waterpartners.com.pe</t>
  </si>
  <si>
    <t xml:space="preserve">WATER TECHNOLOGY PERÚ S.A.C.</t>
  </si>
  <si>
    <t xml:space="preserve">E-189</t>
  </si>
  <si>
    <t xml:space="preserve">www.watertechperu.com</t>
  </si>
  <si>
    <t xml:space="preserve">WEIHAI DIYI HYDRAULIC MACHINERY CO.,LTD.</t>
  </si>
  <si>
    <t xml:space="preserve">A-050</t>
  </si>
  <si>
    <t xml:space="preserve">www.diyihydraulic.com</t>
  </si>
  <si>
    <t xml:space="preserve">WEIHAI ZHONGYI HYDRAULIC TECHNOLOGY CO., LTD.</t>
  </si>
  <si>
    <t xml:space="preserve">E-021A</t>
  </si>
  <si>
    <t xml:space="preserve">www.zhongyihydraulic.com</t>
  </si>
  <si>
    <t xml:space="preserve">WEIHUI WEIYOU MACHINERY MANUFACTURING CO.,LTD.</t>
  </si>
  <si>
    <t xml:space="preserve">B-090</t>
  </si>
  <si>
    <t xml:space="preserve">http://www.well-radiator.com</t>
  </si>
  <si>
    <t xml:space="preserve">WEKAR TECHNIC (YANCHENG) CO.,LTD.</t>
  </si>
  <si>
    <t xml:space="preserve">A-435</t>
  </si>
  <si>
    <t xml:space="preserve">www.wekar.cn</t>
  </si>
  <si>
    <t xml:space="preserve">WELLCO PERUANA S.A.</t>
  </si>
  <si>
    <t xml:space="preserve">A-032</t>
  </si>
  <si>
    <t xml:space="preserve">wellcoperuana.com.pe</t>
  </si>
  <si>
    <t xml:space="preserve">WENZHOU WINCO IMP &amp; EXP CO., LTD</t>
  </si>
  <si>
    <t xml:space="preserve">A-041</t>
  </si>
  <si>
    <t xml:space="preserve">www.beltwin.com</t>
  </si>
  <si>
    <t xml:space="preserve">WENZHOUJUELONG AUTO PARTS CO.,LTD</t>
  </si>
  <si>
    <t xml:space="preserve">E-120</t>
  </si>
  <si>
    <t xml:space="preserve">www.juelongfiltration.com</t>
  </si>
  <si>
    <t xml:space="preserve">WF TRADING S.A.C.</t>
  </si>
  <si>
    <t xml:space="preserve">B-029</t>
  </si>
  <si>
    <t xml:space="preserve">www.autoequipo.pe</t>
  </si>
  <si>
    <t xml:space="preserve">WINTERHALTER</t>
  </si>
  <si>
    <t xml:space="preserve">A-316</t>
  </si>
  <si>
    <t xml:space="preserve">http://winterhalter.pe/</t>
  </si>
  <si>
    <t xml:space="preserve">WINTERS INSTRUMENTS LATÍN AMÉRICA</t>
  </si>
  <si>
    <t xml:space="preserve">E-322F</t>
  </si>
  <si>
    <t xml:space="preserve">www.winters.lat</t>
  </si>
  <si>
    <t xml:space="preserve">WOCAT SPOM GROUP MINERAL TECH CO., LTD.</t>
  </si>
  <si>
    <t xml:space="preserve">F-082</t>
  </si>
  <si>
    <t xml:space="preserve">https://www.wocato.com/</t>
  </si>
  <si>
    <t xml:space="preserve">WOOKE ROCK DRILLING TOOLS COLTD</t>
  </si>
  <si>
    <t xml:space="preserve">E-052</t>
  </si>
  <si>
    <t xml:space="preserve">www.wooke-intl.com</t>
  </si>
  <si>
    <t xml:space="preserve">WUHAN PRODRILL GEOLOGICAL EQUIPMENT CO., LTD.</t>
  </si>
  <si>
    <t xml:space="preserve">E-187</t>
  </si>
  <si>
    <t xml:space="preserve">3zdrill.com</t>
  </si>
  <si>
    <t xml:space="preserve">WUHU GUANGYUAN HRDRAULIC TECHNOLOGY CO., LTD.</t>
  </si>
  <si>
    <t xml:space="preserve">A-089</t>
  </si>
  <si>
    <t xml:space="preserve">www.puruisi-filter.com</t>
  </si>
  <si>
    <t xml:space="preserve">WUXI BORUIDA MACHINERY TECH CO., LTD.</t>
  </si>
  <si>
    <t xml:space="preserve">F-088</t>
  </si>
  <si>
    <t xml:space="preserve">www.china-boruida.com</t>
  </si>
  <si>
    <t xml:space="preserve">WUXI GEOTEC GEOLOGICAL EQUIPMENT CO.,LTD.</t>
  </si>
  <si>
    <t xml:space="preserve">E-217</t>
  </si>
  <si>
    <t xml:space="preserve">www.geotec.com.cn</t>
  </si>
  <si>
    <t xml:space="preserve">WUXI XINZUAN GEOLOGICAL EQUIPMENT CO., LTD.</t>
  </si>
  <si>
    <t xml:space="preserve">A-354</t>
  </si>
  <si>
    <t xml:space="preserve">www.drilltek.com.cn</t>
  </si>
  <si>
    <t xml:space="preserve">XI'AN KAKA POWER MACHINERY CO., LTD</t>
  </si>
  <si>
    <t xml:space="preserve">B-086</t>
  </si>
  <si>
    <t xml:space="preserve">www.kakaengine.com</t>
  </si>
  <si>
    <t xml:space="preserve">XIAMEN WINSUM MACHINERY CO., LTD</t>
  </si>
  <si>
    <t xml:space="preserve">E-237</t>
  </si>
  <si>
    <t xml:space="preserve">https://www.wsgparts.com</t>
  </si>
  <si>
    <t xml:space="preserve">XIAMEN WORTHPART MACHINERY CO.,LTD</t>
  </si>
  <si>
    <t xml:space="preserve">A-405</t>
  </si>
  <si>
    <t xml:space="preserve">www.worthpart.com</t>
  </si>
  <si>
    <t xml:space="preserve">XINGAONAI HEAVY INDUSTRY (ZHENGZHOU)GROUP CO.,LTD</t>
  </si>
  <si>
    <t xml:space="preserve">E-250</t>
  </si>
  <si>
    <t xml:space="preserve">https://www.xgnzg.com/about</t>
  </si>
  <si>
    <t xml:space="preserve">XINXIANG DEGONG MACHINERY CO., LTD</t>
  </si>
  <si>
    <t xml:space="preserve">E-361</t>
  </si>
  <si>
    <t xml:space="preserve">www.dgcrane.com</t>
  </si>
  <si>
    <t xml:space="preserve">XINXIANG DESHENGWEI FILTRATION PURIFICATION EQUIPMENT CO.,LTD</t>
  </si>
  <si>
    <t xml:space="preserve">E-093</t>
  </si>
  <si>
    <t xml:space="preserve">www.dswgl.com</t>
  </si>
  <si>
    <t xml:space="preserve">XINXIANG KUNLUN SCREENING MACHINERY DESIGN CO., LTD</t>
  </si>
  <si>
    <t xml:space="preserve">A-381</t>
  </si>
  <si>
    <t xml:space="preserve">www.kunlunscreen.com</t>
  </si>
  <si>
    <t xml:space="preserve">XUZHOU H&amp;G WEAR-RESISTANT MATERIAL CO., LTD.</t>
  </si>
  <si>
    <t xml:space="preserve">A-040</t>
  </si>
  <si>
    <t xml:space="preserve">www.hgminingparts.com</t>
  </si>
  <si>
    <t xml:space="preserve">XYLEM WATER SOLUTIONS PERÚ S.A.</t>
  </si>
  <si>
    <t xml:space="preserve">B-158B</t>
  </si>
  <si>
    <t xml:space="preserve">www.xylem.com/es-pe/</t>
  </si>
  <si>
    <t xml:space="preserve">YALESA S.A.C.</t>
  </si>
  <si>
    <t xml:space="preserve">B-037</t>
  </si>
  <si>
    <t xml:space="preserve">www.yalesa.com.pe</t>
  </si>
  <si>
    <t xml:space="preserve">YANTAI AOTONG CHEMICAL CO., LTD</t>
  </si>
  <si>
    <t xml:space="preserve">E-312</t>
  </si>
  <si>
    <t xml:space="preserve">http://www.aotongchem.com/</t>
  </si>
  <si>
    <t xml:space="preserve">YANTAI BILLION THAI CHEMICAL CO., LTD</t>
  </si>
  <si>
    <t xml:space="preserve">E-184</t>
  </si>
  <si>
    <t xml:space="preserve">www.billionthai.com</t>
  </si>
  <si>
    <t xml:space="preserve">YANTAI CHIHONG MACHINERY CO.,LTD.</t>
  </si>
  <si>
    <t xml:space="preserve">E-005</t>
  </si>
  <si>
    <t xml:space="preserve">www.ytchihong.com</t>
  </si>
  <si>
    <t xml:space="preserve">YANTAI HEXIN ENVIERONMENTAL PROTECTION EQUIPMENT CO.,LTD.</t>
  </si>
  <si>
    <t xml:space="preserve">E-122</t>
  </si>
  <si>
    <t xml:space="preserve">www.hexinfiltermachine.com</t>
  </si>
  <si>
    <t xml:space="preserve">YANTAI HUNK MACHINERY CO.,LTD</t>
  </si>
  <si>
    <t xml:space="preserve">E-232</t>
  </si>
  <si>
    <t xml:space="preserve">www.underground-loader.com</t>
  </si>
  <si>
    <t xml:space="preserve">YANTAI JINPENG MINING MACHINERY CO.,LTD</t>
  </si>
  <si>
    <t xml:space="preserve">E-034</t>
  </si>
  <si>
    <t xml:space="preserve">www.jinpengmining.com</t>
  </si>
  <si>
    <t xml:space="preserve">YANTAI ZENDEE INDUSTRIAL EQUIPMENT CO., LTD</t>
  </si>
  <si>
    <t xml:space="preserve">E-236</t>
  </si>
  <si>
    <t xml:space="preserve">www.ytzendee.net</t>
  </si>
  <si>
    <t xml:space="preserve">YELLOW MACHINERY COMPANY</t>
  </si>
  <si>
    <t xml:space="preserve">A-400</t>
  </si>
  <si>
    <t xml:space="preserve">https://yellowmachinerycompany.com/</t>
  </si>
  <si>
    <t xml:space="preserve">YURA S.A.</t>
  </si>
  <si>
    <t xml:space="preserve">E-285A</t>
  </si>
  <si>
    <t xml:space="preserve">www.yura.com.pe</t>
  </si>
  <si>
    <t xml:space="preserve">ZAFIRO EQUIPOS Y SERVICIOS S.A.C.</t>
  </si>
  <si>
    <t xml:space="preserve">A-011</t>
  </si>
  <si>
    <t xml:space="preserve">https://www.zafiro.com.pe/</t>
  </si>
  <si>
    <t xml:space="preserve">ZANINI RENK</t>
  </si>
  <si>
    <t xml:space="preserve">A-386</t>
  </si>
  <si>
    <t xml:space="preserve">www.zaninirenk.com.br</t>
  </si>
  <si>
    <t xml:space="preserve">ZAOZHUANG TIANYI INDUSTRIAL CO., LTD.</t>
  </si>
  <si>
    <t xml:space="preserve">E-163</t>
  </si>
  <si>
    <t xml:space="preserve">https://www.tianyiindustry.com/</t>
  </si>
  <si>
    <t xml:space="preserve">ZENTI HEAVY INDUSTRY (BOLAS DE MOLINO)</t>
  </si>
  <si>
    <t xml:space="preserve">F-089</t>
  </si>
  <si>
    <t xml:space="preserve">www.zentiheavyindustry.com</t>
  </si>
  <si>
    <t xml:space="preserve">ZHANGJIAKOU XUANHUA JINKE DRILLING MACHINERY CO.,LTD</t>
  </si>
  <si>
    <t xml:space="preserve">E-081A</t>
  </si>
  <si>
    <t xml:space="preserve">https://www.jkdrilling.com/</t>
  </si>
  <si>
    <t xml:space="preserve">ZHEJIANG FUJIE INTELLIGENT EQUIPMENT CO., LTD.</t>
  </si>
  <si>
    <t xml:space="preserve">E-090</t>
  </si>
  <si>
    <t xml:space="preserve">https://www.fujiehuanbao.com</t>
  </si>
  <si>
    <t xml:space="preserve">ZHEJIANG HEADMAN FILTRATION TECHNOLOGY CO.,LTD.</t>
  </si>
  <si>
    <t xml:space="preserve">E-198E</t>
  </si>
  <si>
    <t xml:space="preserve">headmanfilter.com</t>
  </si>
  <si>
    <t xml:space="preserve">ZHEJIANG JUGUAN FILTRATION EQUIPMENT CO., LTD</t>
  </si>
  <si>
    <t xml:space="preserve">E-211</t>
  </si>
  <si>
    <t xml:space="preserve">www.rongsunfilters.com</t>
  </si>
  <si>
    <t xml:space="preserve">ZHEJIANG KAISHAN HEAVY INDUSTRY CO., LTD.</t>
  </si>
  <si>
    <t xml:space="preserve">E-400A</t>
  </si>
  <si>
    <t xml:space="preserve">https://www.zjkszg.com/</t>
  </si>
  <si>
    <t xml:space="preserve">ZHEJIANG LIANGGAO VALVE CO.,LTD</t>
  </si>
  <si>
    <t xml:space="preserve">E-258</t>
  </si>
  <si>
    <t xml:space="preserve">https://lgvalvecn.com/</t>
  </si>
  <si>
    <t xml:space="preserve">ZHEJIANG MP MINING EQUIPMENT CORP.,LTD</t>
  </si>
  <si>
    <t xml:space="preserve">E-243</t>
  </si>
  <si>
    <t xml:space="preserve">www.mpcrusher.com</t>
  </si>
  <si>
    <t xml:space="preserve">ZHEJIANG MSD GROUP SHARE CO., LTD</t>
  </si>
  <si>
    <t xml:space="preserve">E-100A</t>
  </si>
  <si>
    <t xml:space="preserve">www.zjmsd.com</t>
  </si>
  <si>
    <t xml:space="preserve">ZHEJIANG SHENGDA MACHINERY CO.,LTD</t>
  </si>
  <si>
    <t xml:space="preserve">B-074</t>
  </si>
  <si>
    <t xml:space="preserve">www.shdcasting.com</t>
  </si>
  <si>
    <t xml:space="preserve">ZHEJIANG XINYONG BIOCHEMICAL CO., LTD.</t>
  </si>
  <si>
    <t xml:space="preserve">A-152</t>
  </si>
  <si>
    <t xml:space="preserve">www.seeyon-bio.com</t>
  </si>
  <si>
    <t xml:space="preserve">ZHEJIANG YONGBANG MACHINERY CO. LTD.</t>
  </si>
  <si>
    <t xml:space="preserve">E-085</t>
  </si>
  <si>
    <t xml:space="preserve">http://www.yongbung.com/</t>
  </si>
  <si>
    <t xml:space="preserve">ZHENG ZHOU YUHANG CONSTRUCTION MACHINERY CO., LTD</t>
  </si>
  <si>
    <t xml:space="preserve">A-407</t>
  </si>
  <si>
    <t xml:space="preserve">www.yuhangmech.com</t>
  </si>
  <si>
    <t xml:space="preserve">ZHENGZHOU BIMAN INTERNATIONAL COOPERATION CO,LTD</t>
  </si>
  <si>
    <t xml:space="preserve">A-117</t>
  </si>
  <si>
    <t xml:space="preserve">http://www.zzbimanparts.com/</t>
  </si>
  <si>
    <t xml:space="preserve">ZHENGZHOU HANFA IMP &amp; EXP TRADING CO., LTD.</t>
  </si>
  <si>
    <t xml:space="preserve">E-072</t>
  </si>
  <si>
    <t xml:space="preserve">www.hanfagroup.com</t>
  </si>
  <si>
    <t xml:space="preserve">ZHENGZHOU UNIQUE INDUSTRIAL EQUIPMENT CO.,LTD</t>
  </si>
  <si>
    <t xml:space="preserve">A-384</t>
  </si>
  <si>
    <t xml:space="preserve">www.uniquemacglobal.com</t>
  </si>
  <si>
    <t xml:space="preserve">ZHENGZHOU WINSEN ELECTRONICS TECHNOLOGY CO., LTD.</t>
  </si>
  <si>
    <t xml:space="preserve">D-068</t>
  </si>
  <si>
    <t xml:space="preserve">www.winsen-sensor.com</t>
  </si>
  <si>
    <t xml:space="preserve">ZHENLI INTELLIGENT EQUIPMENT(ZHEJIANG)CO.,LTD</t>
  </si>
  <si>
    <t xml:space="preserve">B-305</t>
  </si>
  <si>
    <t xml:space="preserve">ZHENZHOU HAMAC AUTOMATION EQUIPMENT CO.,LTD</t>
  </si>
  <si>
    <t xml:space="preserve">A-391</t>
  </si>
  <si>
    <t xml:space="preserve">www.hamacinc.com</t>
  </si>
  <si>
    <t xml:space="preserve">ZHUJI HENGCHUAN TRADING CO., LTD</t>
  </si>
  <si>
    <t xml:space="preserve">E-040</t>
  </si>
  <si>
    <t xml:space="preserve">hengchuan-intl.com</t>
  </si>
  <si>
    <t xml:space="preserve">ZIGONG INTERNATIONAL MARKETING LLC</t>
  </si>
  <si>
    <t xml:space="preserve">A-376</t>
  </si>
  <si>
    <t xml:space="preserve">www.zim-llc.com</t>
  </si>
  <si>
    <t xml:space="preserve">ZOLUZION S.A.C.</t>
  </si>
  <si>
    <t xml:space="preserve">A-425</t>
  </si>
  <si>
    <t xml:space="preserve">www.zoluzion.com</t>
  </si>
  <si>
    <t xml:space="preserve">ID oportunidad</t>
  </si>
  <si>
    <t xml:space="preserve">ID contacto</t>
  </si>
  <si>
    <t xml:space="preserve">Necesidad</t>
  </si>
  <si>
    <t xml:space="preserve">Solución propuesta</t>
  </si>
  <si>
    <t xml:space="preserve">Etapa</t>
  </si>
  <si>
    <t xml:space="preserve">Valor estimado</t>
  </si>
  <si>
    <t xml:space="preserve">Probabilidad</t>
  </si>
  <si>
    <t xml:space="preserve">Fecha</t>
  </si>
  <si>
    <t xml:space="preserve">Evento/Fuente</t>
  </si>
  <si>
    <t xml:space="preserve">Cantidad</t>
  </si>
  <si>
    <t xml:space="preserve">Total</t>
  </si>
  <si>
    <t xml:space="preserve">Estado (pipeline)</t>
  </si>
  <si>
    <t xml:space="preserve">Contactado</t>
  </si>
  <si>
    <t xml:space="preserve">Reunión</t>
  </si>
  <si>
    <t xml:space="preserve">Propuesta</t>
  </si>
  <si>
    <t xml:space="preserve">Cliente</t>
  </si>
  <si>
    <t xml:space="preserve">No interesado</t>
  </si>
  <si>
    <t xml:space="preserve">Indicadores</t>
  </si>
  <si>
    <t xml:space="preserve">Registros originales (stands)</t>
  </si>
  <si>
    <t xml:space="preserve">Empresas únicas</t>
  </si>
  <si>
    <t xml:space="preserve">Con web</t>
  </si>
  <si>
    <t xml:space="preserve">También en Directorio SSO</t>
  </si>
  <si>
    <t xml:space="preserve">Con email (vía Directorio)</t>
  </si>
  <si>
    <t xml:space="preserve">Con 2+ stands</t>
  </si>
  <si>
    <t xml:space="preserve">Evento</t>
  </si>
  <si>
    <t xml:space="preserve">Valor para SafetyMind</t>
  </si>
  <si>
    <t xml:space="preserve">Directorio SSO 2026 – Cero Accidentes (22.ª ed.)</t>
  </si>
  <si>
    <t xml:space="preserve">Mapa de ~670 proveedores SST en Perú (ver CRM_Directorio_SSO_2026).</t>
  </si>
  <si>
    <t xml:space="preserve">ExpoMina Perú 2026</t>
  </si>
  <si>
    <t xml:space="preserve">Feria minera: mineras, contratistas, OEM de equipos, tecnología y proveedores; base para agendar reuniones en stand y prospección post-evento.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</si>
</sst>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actos" displayName="Contactos" ref="A1:S980" headerRowCount="1" totalsRowCount="0" totalsRowShown="0">
  <autoFilter ref="A1:S980"/>
  <tableColumns count="19">
    <tableColumn id="1" name="ID"/>
    <tableColumn id="2" name="Nombre"/>
    <tableColumn id="3" name="Cargo"/>
    <tableColumn id="4" name="Empresa"/>
    <tableColumn id="5" name="País"/>
    <tableColumn id="6" name="Email"/>
    <tableColumn id="7" name="LinkedIn"/>
    <tableColumn id="8" name="Origen"/>
    <tableColumn id="9" name="Estado"/>
    <tableColumn id="10" name="Prioridad"/>
    <tableColumn id="11" name="Próxima acción"/>
    <tableColumn id="12" name="Notas"/>
    <tableColumn id="13" name="Segmento SafetyMind"/>
    <tableColumn id="14" name="Stand(s)"/>
    <tableColumn id="15" name="N° stands"/>
    <tableColumn id="16" name="Web"/>
    <tableColumn id="17" name="Teléfono(s)"/>
    <tableColumn id="18" name="Dirección"/>
    <tableColumn id="19" name="En Directorio SS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45"/>
    <col collapsed="false" customWidth="true" hidden="false" outlineLevel="0" max="12" min="12" style="0" width="55"/>
    <col collapsed="false" customWidth="true" hidden="false" outlineLevel="0" max="13" min="13" style="0" width="40"/>
    <col collapsed="false" customWidth="true" hidden="false" outlineLevel="0" max="14" min="14" style="0" width="18"/>
    <col collapsed="false" customWidth="true" hidden="false" outlineLevel="0" max="15" min="15" style="0" width="9"/>
    <col collapsed="false" customWidth="true" hidden="false" outlineLevel="0" max="16" min="16" style="0" width="32"/>
    <col collapsed="false" customWidth="true" hidden="false" outlineLevel="0" max="17" min="17" style="0" width="28"/>
    <col collapsed="false" customWidth="true" hidden="false" outlineLevel="0" max="18" min="18" style="0" width="45"/>
    <col collapsed="false" customWidth="true" hidden="false" outlineLevel="0" max="19" min="19" style="0" width="12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D2" s="0" t="s">
        <v>19</v>
      </c>
      <c r="E2" s="0" t="s">
        <v>20</v>
      </c>
      <c r="H2" s="0" t="s">
        <v>21</v>
      </c>
      <c r="I2" s="2" t="s">
        <v>22</v>
      </c>
      <c r="J2" s="2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n">
        <v>2</v>
      </c>
      <c r="P2" s="0" t="s">
        <v>28</v>
      </c>
      <c r="Q2" s="3"/>
      <c r="S2" s="2" t="s">
        <v>29</v>
      </c>
    </row>
    <row r="3" customFormat="false" ht="15" hidden="false" customHeight="false" outlineLevel="0" collapsed="false">
      <c r="A3" s="0" t="n">
        <v>2</v>
      </c>
      <c r="D3" s="0" t="s">
        <v>30</v>
      </c>
      <c r="E3" s="0" t="s">
        <v>20</v>
      </c>
      <c r="H3" s="0" t="s">
        <v>21</v>
      </c>
      <c r="I3" s="2" t="s">
        <v>22</v>
      </c>
      <c r="J3" s="2" t="s">
        <v>23</v>
      </c>
      <c r="K3" s="0" t="s">
        <v>24</v>
      </c>
      <c r="L3" s="0" t="s">
        <v>31</v>
      </c>
      <c r="M3" s="0" t="s">
        <v>26</v>
      </c>
      <c r="N3" s="0" t="s">
        <v>32</v>
      </c>
      <c r="O3" s="0" t="n">
        <v>1</v>
      </c>
      <c r="P3" s="0" t="s">
        <v>33</v>
      </c>
      <c r="Q3" s="3"/>
      <c r="S3" s="2" t="s">
        <v>29</v>
      </c>
    </row>
    <row r="4" customFormat="false" ht="15" hidden="false" customHeight="false" outlineLevel="0" collapsed="false">
      <c r="A4" s="0" t="n">
        <v>3</v>
      </c>
      <c r="D4" s="0" t="s">
        <v>34</v>
      </c>
      <c r="E4" s="0" t="s">
        <v>20</v>
      </c>
      <c r="H4" s="0" t="s">
        <v>21</v>
      </c>
      <c r="I4" s="2" t="s">
        <v>22</v>
      </c>
      <c r="J4" s="2" t="s">
        <v>23</v>
      </c>
      <c r="K4" s="0" t="s">
        <v>24</v>
      </c>
      <c r="L4" s="0" t="s">
        <v>31</v>
      </c>
      <c r="M4" s="0" t="s">
        <v>26</v>
      </c>
      <c r="N4" s="0" t="s">
        <v>35</v>
      </c>
      <c r="O4" s="0" t="n">
        <v>1</v>
      </c>
      <c r="P4" s="0" t="s">
        <v>36</v>
      </c>
      <c r="Q4" s="3"/>
      <c r="S4" s="2" t="s">
        <v>29</v>
      </c>
    </row>
    <row r="5" customFormat="false" ht="15" hidden="false" customHeight="false" outlineLevel="0" collapsed="false">
      <c r="A5" s="0" t="n">
        <v>4</v>
      </c>
      <c r="D5" s="0" t="s">
        <v>37</v>
      </c>
      <c r="E5" s="0" t="s">
        <v>20</v>
      </c>
      <c r="F5" s="0" t="s">
        <v>38</v>
      </c>
      <c r="H5" s="0" t="s">
        <v>21</v>
      </c>
      <c r="I5" s="2" t="s">
        <v>22</v>
      </c>
      <c r="J5" s="2" t="s">
        <v>23</v>
      </c>
      <c r="K5" s="0" t="s">
        <v>39</v>
      </c>
      <c r="L5" s="0" t="s">
        <v>40</v>
      </c>
      <c r="M5" s="0" t="s">
        <v>41</v>
      </c>
      <c r="N5" s="0" t="s">
        <v>42</v>
      </c>
      <c r="O5" s="0" t="n">
        <v>4</v>
      </c>
      <c r="P5" s="0" t="s">
        <v>43</v>
      </c>
      <c r="Q5" s="3"/>
      <c r="R5" s="2" t="s">
        <v>44</v>
      </c>
      <c r="S5" s="2" t="s">
        <v>45</v>
      </c>
    </row>
    <row r="6" customFormat="false" ht="15" hidden="false" customHeight="false" outlineLevel="0" collapsed="false">
      <c r="A6" s="0" t="n">
        <v>5</v>
      </c>
      <c r="D6" s="0" t="s">
        <v>46</v>
      </c>
      <c r="E6" s="0" t="s">
        <v>20</v>
      </c>
      <c r="F6" s="0" t="s">
        <v>47</v>
      </c>
      <c r="H6" s="0" t="s">
        <v>21</v>
      </c>
      <c r="I6" s="2" t="s">
        <v>22</v>
      </c>
      <c r="J6" s="2" t="s">
        <v>23</v>
      </c>
      <c r="K6" s="0" t="s">
        <v>39</v>
      </c>
      <c r="L6" s="0" t="s">
        <v>48</v>
      </c>
      <c r="M6" s="0" t="s">
        <v>41</v>
      </c>
      <c r="N6" s="0" t="s">
        <v>49</v>
      </c>
      <c r="O6" s="0" t="n">
        <v>3</v>
      </c>
      <c r="P6" s="0" t="s">
        <v>50</v>
      </c>
      <c r="Q6" s="3" t="s">
        <v>51</v>
      </c>
      <c r="R6" s="2" t="s">
        <v>52</v>
      </c>
      <c r="S6" s="2" t="s">
        <v>45</v>
      </c>
    </row>
    <row r="7" customFormat="false" ht="15" hidden="false" customHeight="false" outlineLevel="0" collapsed="false">
      <c r="A7" s="0" t="n">
        <v>6</v>
      </c>
      <c r="D7" s="0" t="s">
        <v>53</v>
      </c>
      <c r="E7" s="0" t="s">
        <v>20</v>
      </c>
      <c r="F7" s="0" t="s">
        <v>54</v>
      </c>
      <c r="H7" s="0" t="s">
        <v>21</v>
      </c>
      <c r="I7" s="2" t="s">
        <v>22</v>
      </c>
      <c r="J7" s="2" t="s">
        <v>23</v>
      </c>
      <c r="K7" s="0" t="s">
        <v>39</v>
      </c>
      <c r="L7" s="0" t="s">
        <v>55</v>
      </c>
      <c r="M7" s="0" t="s">
        <v>41</v>
      </c>
      <c r="N7" s="0" t="s">
        <v>56</v>
      </c>
      <c r="O7" s="0" t="n">
        <v>2</v>
      </c>
      <c r="P7" s="0" t="s">
        <v>57</v>
      </c>
      <c r="Q7" s="3"/>
      <c r="R7" s="2" t="s">
        <v>58</v>
      </c>
      <c r="S7" s="2" t="s">
        <v>45</v>
      </c>
    </row>
    <row r="8" customFormat="false" ht="15" hidden="false" customHeight="false" outlineLevel="0" collapsed="false">
      <c r="A8" s="0" t="n">
        <v>7</v>
      </c>
      <c r="D8" s="0" t="s">
        <v>59</v>
      </c>
      <c r="E8" s="0" t="s">
        <v>20</v>
      </c>
      <c r="H8" s="0" t="s">
        <v>21</v>
      </c>
      <c r="I8" s="2" t="s">
        <v>22</v>
      </c>
      <c r="J8" s="2" t="s">
        <v>23</v>
      </c>
      <c r="K8" s="0" t="s">
        <v>39</v>
      </c>
      <c r="L8" s="0" t="s">
        <v>25</v>
      </c>
      <c r="M8" s="0" t="s">
        <v>41</v>
      </c>
      <c r="N8" s="0" t="s">
        <v>60</v>
      </c>
      <c r="O8" s="0" t="n">
        <v>2</v>
      </c>
      <c r="P8" s="0" t="s">
        <v>61</v>
      </c>
      <c r="Q8" s="3"/>
      <c r="S8" s="2" t="s">
        <v>29</v>
      </c>
    </row>
    <row r="9" customFormat="false" ht="15" hidden="false" customHeight="false" outlineLevel="0" collapsed="false">
      <c r="A9" s="0" t="n">
        <v>8</v>
      </c>
      <c r="D9" s="0" t="s">
        <v>62</v>
      </c>
      <c r="E9" s="0" t="s">
        <v>63</v>
      </c>
      <c r="H9" s="0" t="s">
        <v>21</v>
      </c>
      <c r="I9" s="2" t="s">
        <v>22</v>
      </c>
      <c r="J9" s="2" t="s">
        <v>23</v>
      </c>
      <c r="K9" s="0" t="s">
        <v>39</v>
      </c>
      <c r="L9" s="0" t="s">
        <v>64</v>
      </c>
      <c r="M9" s="0" t="s">
        <v>41</v>
      </c>
      <c r="N9" s="0" t="s">
        <v>65</v>
      </c>
      <c r="O9" s="0" t="n">
        <v>2</v>
      </c>
      <c r="P9" s="0" t="s">
        <v>66</v>
      </c>
      <c r="Q9" s="3"/>
      <c r="S9" s="2" t="s">
        <v>29</v>
      </c>
    </row>
    <row r="10" customFormat="false" ht="15" hidden="false" customHeight="false" outlineLevel="0" collapsed="false">
      <c r="A10" s="0" t="n">
        <v>9</v>
      </c>
      <c r="D10" s="0" t="s">
        <v>67</v>
      </c>
      <c r="E10" s="0" t="s">
        <v>20</v>
      </c>
      <c r="F10" s="0" t="s">
        <v>68</v>
      </c>
      <c r="H10" s="0" t="s">
        <v>21</v>
      </c>
      <c r="I10" s="2" t="s">
        <v>22</v>
      </c>
      <c r="J10" s="2" t="s">
        <v>23</v>
      </c>
      <c r="K10" s="0" t="s">
        <v>39</v>
      </c>
      <c r="L10" s="0" t="s">
        <v>69</v>
      </c>
      <c r="M10" s="0" t="s">
        <v>41</v>
      </c>
      <c r="N10" s="0" t="s">
        <v>70</v>
      </c>
      <c r="O10" s="0" t="n">
        <v>2</v>
      </c>
      <c r="P10" s="0" t="s">
        <v>71</v>
      </c>
      <c r="Q10" s="3" t="s">
        <v>72</v>
      </c>
      <c r="R10" s="2" t="s">
        <v>73</v>
      </c>
      <c r="S10" s="2" t="s">
        <v>45</v>
      </c>
    </row>
    <row r="11" customFormat="false" ht="15" hidden="false" customHeight="false" outlineLevel="0" collapsed="false">
      <c r="A11" s="0" t="n">
        <v>10</v>
      </c>
      <c r="D11" s="0" t="s">
        <v>74</v>
      </c>
      <c r="E11" s="0" t="s">
        <v>20</v>
      </c>
      <c r="F11" s="0" t="s">
        <v>75</v>
      </c>
      <c r="H11" s="0" t="s">
        <v>21</v>
      </c>
      <c r="I11" s="2" t="s">
        <v>22</v>
      </c>
      <c r="J11" s="2" t="s">
        <v>23</v>
      </c>
      <c r="K11" s="0" t="s">
        <v>39</v>
      </c>
      <c r="L11" s="0" t="s">
        <v>76</v>
      </c>
      <c r="M11" s="0" t="s">
        <v>41</v>
      </c>
      <c r="N11" s="0" t="s">
        <v>77</v>
      </c>
      <c r="O11" s="0" t="n">
        <v>1</v>
      </c>
      <c r="P11" s="0" t="s">
        <v>78</v>
      </c>
      <c r="Q11" s="3" t="s">
        <v>79</v>
      </c>
      <c r="R11" s="2" t="s">
        <v>80</v>
      </c>
      <c r="S11" s="2" t="s">
        <v>45</v>
      </c>
    </row>
    <row r="12" customFormat="false" ht="15" hidden="false" customHeight="false" outlineLevel="0" collapsed="false">
      <c r="A12" s="0" t="n">
        <v>11</v>
      </c>
      <c r="D12" s="0" t="s">
        <v>81</v>
      </c>
      <c r="E12" s="0" t="s">
        <v>20</v>
      </c>
      <c r="H12" s="0" t="s">
        <v>21</v>
      </c>
      <c r="I12" s="2" t="s">
        <v>22</v>
      </c>
      <c r="J12" s="2" t="s">
        <v>23</v>
      </c>
      <c r="K12" s="0" t="s">
        <v>39</v>
      </c>
      <c r="L12" s="0" t="s">
        <v>31</v>
      </c>
      <c r="M12" s="0" t="s">
        <v>41</v>
      </c>
      <c r="N12" s="0" t="s">
        <v>82</v>
      </c>
      <c r="O12" s="0" t="n">
        <v>1</v>
      </c>
      <c r="P12" s="0" t="s">
        <v>83</v>
      </c>
      <c r="Q12" s="3"/>
      <c r="S12" s="2" t="s">
        <v>29</v>
      </c>
    </row>
    <row r="13" customFormat="false" ht="15" hidden="false" customHeight="false" outlineLevel="0" collapsed="false">
      <c r="A13" s="0" t="n">
        <v>12</v>
      </c>
      <c r="D13" s="0" t="s">
        <v>84</v>
      </c>
      <c r="E13" s="0" t="s">
        <v>20</v>
      </c>
      <c r="H13" s="0" t="s">
        <v>21</v>
      </c>
      <c r="I13" s="2" t="s">
        <v>22</v>
      </c>
      <c r="J13" s="2" t="s">
        <v>23</v>
      </c>
      <c r="K13" s="0" t="s">
        <v>39</v>
      </c>
      <c r="L13" s="0" t="s">
        <v>31</v>
      </c>
      <c r="M13" s="0" t="s">
        <v>41</v>
      </c>
      <c r="N13" s="0" t="s">
        <v>85</v>
      </c>
      <c r="O13" s="0" t="n">
        <v>1</v>
      </c>
      <c r="P13" s="0" t="s">
        <v>86</v>
      </c>
      <c r="Q13" s="3"/>
      <c r="S13" s="2" t="s">
        <v>29</v>
      </c>
    </row>
    <row r="14" customFormat="false" ht="15" hidden="false" customHeight="false" outlineLevel="0" collapsed="false">
      <c r="A14" s="0" t="n">
        <v>13</v>
      </c>
      <c r="D14" s="0" t="s">
        <v>87</v>
      </c>
      <c r="E14" s="0" t="s">
        <v>20</v>
      </c>
      <c r="H14" s="0" t="s">
        <v>21</v>
      </c>
      <c r="I14" s="2" t="s">
        <v>22</v>
      </c>
      <c r="J14" s="2" t="s">
        <v>23</v>
      </c>
      <c r="K14" s="0" t="s">
        <v>39</v>
      </c>
      <c r="L14" s="0" t="s">
        <v>31</v>
      </c>
      <c r="M14" s="0" t="s">
        <v>41</v>
      </c>
      <c r="N14" s="0" t="s">
        <v>88</v>
      </c>
      <c r="O14" s="0" t="n">
        <v>1</v>
      </c>
      <c r="P14" s="0" t="s">
        <v>89</v>
      </c>
      <c r="Q14" s="3"/>
      <c r="S14" s="2" t="s">
        <v>29</v>
      </c>
    </row>
    <row r="15" customFormat="false" ht="15" hidden="false" customHeight="false" outlineLevel="0" collapsed="false">
      <c r="A15" s="0" t="n">
        <v>14</v>
      </c>
      <c r="D15" s="0" t="s">
        <v>90</v>
      </c>
      <c r="E15" s="0" t="s">
        <v>20</v>
      </c>
      <c r="H15" s="0" t="s">
        <v>21</v>
      </c>
      <c r="I15" s="2" t="s">
        <v>22</v>
      </c>
      <c r="J15" s="2" t="s">
        <v>23</v>
      </c>
      <c r="K15" s="0" t="s">
        <v>39</v>
      </c>
      <c r="L15" s="0" t="s">
        <v>31</v>
      </c>
      <c r="M15" s="0" t="s">
        <v>41</v>
      </c>
      <c r="N15" s="0" t="s">
        <v>91</v>
      </c>
      <c r="O15" s="0" t="n">
        <v>1</v>
      </c>
      <c r="P15" s="0" t="s">
        <v>92</v>
      </c>
      <c r="Q15" s="3"/>
      <c r="S15" s="2" t="s">
        <v>29</v>
      </c>
    </row>
    <row r="16" customFormat="false" ht="15" hidden="false" customHeight="false" outlineLevel="0" collapsed="false">
      <c r="A16" s="0" t="n">
        <v>15</v>
      </c>
      <c r="D16" s="0" t="s">
        <v>93</v>
      </c>
      <c r="E16" s="0" t="s">
        <v>20</v>
      </c>
      <c r="H16" s="0" t="s">
        <v>21</v>
      </c>
      <c r="I16" s="2" t="s">
        <v>22</v>
      </c>
      <c r="J16" s="2" t="s">
        <v>23</v>
      </c>
      <c r="K16" s="0" t="s">
        <v>39</v>
      </c>
      <c r="L16" s="0" t="s">
        <v>31</v>
      </c>
      <c r="M16" s="0" t="s">
        <v>41</v>
      </c>
      <c r="N16" s="0" t="s">
        <v>94</v>
      </c>
      <c r="O16" s="0" t="n">
        <v>1</v>
      </c>
      <c r="Q16" s="3"/>
      <c r="S16" s="2" t="s">
        <v>29</v>
      </c>
    </row>
    <row r="17" customFormat="false" ht="15" hidden="false" customHeight="false" outlineLevel="0" collapsed="false">
      <c r="A17" s="0" t="n">
        <v>16</v>
      </c>
      <c r="D17" s="0" t="s">
        <v>95</v>
      </c>
      <c r="E17" s="0" t="s">
        <v>20</v>
      </c>
      <c r="H17" s="0" t="s">
        <v>21</v>
      </c>
      <c r="I17" s="2" t="s">
        <v>22</v>
      </c>
      <c r="J17" s="2" t="s">
        <v>23</v>
      </c>
      <c r="K17" s="0" t="s">
        <v>39</v>
      </c>
      <c r="L17" s="0" t="s">
        <v>31</v>
      </c>
      <c r="M17" s="0" t="s">
        <v>41</v>
      </c>
      <c r="N17" s="0" t="s">
        <v>96</v>
      </c>
      <c r="O17" s="0" t="n">
        <v>1</v>
      </c>
      <c r="P17" s="0" t="s">
        <v>97</v>
      </c>
      <c r="Q17" s="3"/>
      <c r="S17" s="2" t="s">
        <v>29</v>
      </c>
    </row>
    <row r="18" customFormat="false" ht="15" hidden="false" customHeight="false" outlineLevel="0" collapsed="false">
      <c r="A18" s="0" t="n">
        <v>17</v>
      </c>
      <c r="D18" s="0" t="s">
        <v>98</v>
      </c>
      <c r="E18" s="0" t="s">
        <v>99</v>
      </c>
      <c r="H18" s="0" t="s">
        <v>21</v>
      </c>
      <c r="I18" s="2" t="s">
        <v>22</v>
      </c>
      <c r="J18" s="2" t="s">
        <v>23</v>
      </c>
      <c r="K18" s="0" t="s">
        <v>39</v>
      </c>
      <c r="L18" s="0" t="s">
        <v>100</v>
      </c>
      <c r="M18" s="0" t="s">
        <v>41</v>
      </c>
      <c r="N18" s="0" t="s">
        <v>101</v>
      </c>
      <c r="O18" s="0" t="n">
        <v>1</v>
      </c>
      <c r="Q18" s="3"/>
      <c r="S18" s="2" t="s">
        <v>29</v>
      </c>
    </row>
    <row r="19" customFormat="false" ht="15" hidden="false" customHeight="false" outlineLevel="0" collapsed="false">
      <c r="A19" s="0" t="n">
        <v>18</v>
      </c>
      <c r="D19" s="0" t="s">
        <v>102</v>
      </c>
      <c r="E19" s="0" t="s">
        <v>20</v>
      </c>
      <c r="H19" s="0" t="s">
        <v>21</v>
      </c>
      <c r="I19" s="2" t="s">
        <v>22</v>
      </c>
      <c r="J19" s="2" t="s">
        <v>23</v>
      </c>
      <c r="K19" s="0" t="s">
        <v>39</v>
      </c>
      <c r="L19" s="0" t="s">
        <v>31</v>
      </c>
      <c r="M19" s="0" t="s">
        <v>41</v>
      </c>
      <c r="N19" s="0" t="s">
        <v>103</v>
      </c>
      <c r="O19" s="0" t="n">
        <v>1</v>
      </c>
      <c r="P19" s="0" t="s">
        <v>104</v>
      </c>
      <c r="Q19" s="3"/>
      <c r="S19" s="2" t="s">
        <v>29</v>
      </c>
    </row>
    <row r="20" customFormat="false" ht="15" hidden="false" customHeight="false" outlineLevel="0" collapsed="false">
      <c r="A20" s="0" t="n">
        <v>19</v>
      </c>
      <c r="D20" s="0" t="s">
        <v>105</v>
      </c>
      <c r="E20" s="0" t="s">
        <v>20</v>
      </c>
      <c r="F20" s="0" t="s">
        <v>106</v>
      </c>
      <c r="H20" s="0" t="s">
        <v>21</v>
      </c>
      <c r="I20" s="2" t="s">
        <v>22</v>
      </c>
      <c r="J20" s="2" t="s">
        <v>23</v>
      </c>
      <c r="K20" s="0" t="s">
        <v>39</v>
      </c>
      <c r="L20" s="0" t="s">
        <v>107</v>
      </c>
      <c r="M20" s="0" t="s">
        <v>41</v>
      </c>
      <c r="N20" s="0" t="s">
        <v>108</v>
      </c>
      <c r="O20" s="0" t="n">
        <v>1</v>
      </c>
      <c r="P20" s="0" t="s">
        <v>109</v>
      </c>
      <c r="Q20" s="3" t="s">
        <v>110</v>
      </c>
      <c r="R20" s="2" t="s">
        <v>111</v>
      </c>
      <c r="S20" s="2" t="s">
        <v>45</v>
      </c>
    </row>
    <row r="21" customFormat="false" ht="15" hidden="false" customHeight="false" outlineLevel="0" collapsed="false">
      <c r="A21" s="0" t="n">
        <v>20</v>
      </c>
      <c r="D21" s="0" t="s">
        <v>112</v>
      </c>
      <c r="E21" s="0" t="s">
        <v>20</v>
      </c>
      <c r="F21" s="0" t="s">
        <v>113</v>
      </c>
      <c r="H21" s="0" t="s">
        <v>21</v>
      </c>
      <c r="I21" s="2" t="s">
        <v>22</v>
      </c>
      <c r="J21" s="2" t="s">
        <v>23</v>
      </c>
      <c r="K21" s="0" t="s">
        <v>39</v>
      </c>
      <c r="L21" s="0" t="s">
        <v>114</v>
      </c>
      <c r="M21" s="0" t="s">
        <v>41</v>
      </c>
      <c r="N21" s="0" t="s">
        <v>115</v>
      </c>
      <c r="O21" s="0" t="n">
        <v>1</v>
      </c>
      <c r="P21" s="0" t="s">
        <v>116</v>
      </c>
      <c r="Q21" s="3" t="s">
        <v>117</v>
      </c>
      <c r="R21" s="2" t="s">
        <v>118</v>
      </c>
      <c r="S21" s="2" t="s">
        <v>45</v>
      </c>
    </row>
    <row r="22" customFormat="false" ht="15" hidden="false" customHeight="false" outlineLevel="0" collapsed="false">
      <c r="A22" s="0" t="n">
        <v>21</v>
      </c>
      <c r="D22" s="0" t="s">
        <v>119</v>
      </c>
      <c r="E22" s="0" t="s">
        <v>20</v>
      </c>
      <c r="H22" s="0" t="s">
        <v>21</v>
      </c>
      <c r="I22" s="2" t="s">
        <v>22</v>
      </c>
      <c r="J22" s="2" t="s">
        <v>23</v>
      </c>
      <c r="K22" s="0" t="s">
        <v>39</v>
      </c>
      <c r="L22" s="0" t="s">
        <v>31</v>
      </c>
      <c r="M22" s="0" t="s">
        <v>41</v>
      </c>
      <c r="N22" s="0" t="s">
        <v>120</v>
      </c>
      <c r="O22" s="0" t="n">
        <v>1</v>
      </c>
      <c r="P22" s="0" t="s">
        <v>121</v>
      </c>
      <c r="Q22" s="3"/>
      <c r="S22" s="2" t="s">
        <v>29</v>
      </c>
    </row>
    <row r="23" customFormat="false" ht="15" hidden="false" customHeight="false" outlineLevel="0" collapsed="false">
      <c r="A23" s="0" t="n">
        <v>22</v>
      </c>
      <c r="D23" s="0" t="s">
        <v>122</v>
      </c>
      <c r="E23" s="0" t="s">
        <v>20</v>
      </c>
      <c r="H23" s="0" t="s">
        <v>21</v>
      </c>
      <c r="I23" s="2" t="s">
        <v>22</v>
      </c>
      <c r="J23" s="2" t="s">
        <v>23</v>
      </c>
      <c r="K23" s="0" t="s">
        <v>39</v>
      </c>
      <c r="L23" s="0" t="s">
        <v>31</v>
      </c>
      <c r="M23" s="0" t="s">
        <v>41</v>
      </c>
      <c r="N23" s="0" t="s">
        <v>123</v>
      </c>
      <c r="O23" s="0" t="n">
        <v>1</v>
      </c>
      <c r="P23" s="0" t="s">
        <v>124</v>
      </c>
      <c r="Q23" s="3"/>
      <c r="S23" s="2" t="s">
        <v>29</v>
      </c>
    </row>
    <row r="24" customFormat="false" ht="15" hidden="false" customHeight="false" outlineLevel="0" collapsed="false">
      <c r="A24" s="0" t="n">
        <v>23</v>
      </c>
      <c r="D24" s="0" t="s">
        <v>125</v>
      </c>
      <c r="E24" s="0" t="s">
        <v>20</v>
      </c>
      <c r="H24" s="0" t="s">
        <v>21</v>
      </c>
      <c r="I24" s="2" t="s">
        <v>22</v>
      </c>
      <c r="J24" s="2" t="s">
        <v>23</v>
      </c>
      <c r="K24" s="0" t="s">
        <v>39</v>
      </c>
      <c r="L24" s="0" t="s">
        <v>31</v>
      </c>
      <c r="M24" s="0" t="s">
        <v>41</v>
      </c>
      <c r="N24" s="0" t="s">
        <v>126</v>
      </c>
      <c r="O24" s="0" t="n">
        <v>1</v>
      </c>
      <c r="P24" s="0" t="s">
        <v>127</v>
      </c>
      <c r="Q24" s="3"/>
      <c r="S24" s="2" t="s">
        <v>29</v>
      </c>
    </row>
    <row r="25" customFormat="false" ht="15" hidden="false" customHeight="false" outlineLevel="0" collapsed="false">
      <c r="A25" s="0" t="n">
        <v>24</v>
      </c>
      <c r="D25" s="0" t="s">
        <v>128</v>
      </c>
      <c r="E25" s="0" t="s">
        <v>20</v>
      </c>
      <c r="H25" s="0" t="s">
        <v>21</v>
      </c>
      <c r="I25" s="2" t="s">
        <v>22</v>
      </c>
      <c r="J25" s="2" t="s">
        <v>23</v>
      </c>
      <c r="K25" s="0" t="s">
        <v>39</v>
      </c>
      <c r="L25" s="0" t="s">
        <v>31</v>
      </c>
      <c r="M25" s="0" t="s">
        <v>41</v>
      </c>
      <c r="N25" s="0" t="s">
        <v>129</v>
      </c>
      <c r="O25" s="0" t="n">
        <v>1</v>
      </c>
      <c r="P25" s="0" t="s">
        <v>130</v>
      </c>
      <c r="Q25" s="3"/>
      <c r="S25" s="2" t="s">
        <v>29</v>
      </c>
    </row>
    <row r="26" customFormat="false" ht="15" hidden="false" customHeight="false" outlineLevel="0" collapsed="false">
      <c r="A26" s="0" t="n">
        <v>25</v>
      </c>
      <c r="D26" s="0" t="s">
        <v>131</v>
      </c>
      <c r="E26" s="0" t="s">
        <v>20</v>
      </c>
      <c r="F26" s="0" t="s">
        <v>132</v>
      </c>
      <c r="H26" s="0" t="s">
        <v>21</v>
      </c>
      <c r="I26" s="2" t="s">
        <v>22</v>
      </c>
      <c r="J26" s="2" t="s">
        <v>23</v>
      </c>
      <c r="K26" s="0" t="s">
        <v>39</v>
      </c>
      <c r="L26" s="0" t="s">
        <v>133</v>
      </c>
      <c r="M26" s="0" t="s">
        <v>41</v>
      </c>
      <c r="N26" s="0" t="s">
        <v>134</v>
      </c>
      <c r="O26" s="0" t="n">
        <v>1</v>
      </c>
      <c r="P26" s="0" t="s">
        <v>135</v>
      </c>
      <c r="Q26" s="3" t="s">
        <v>136</v>
      </c>
      <c r="R26" s="2" t="s">
        <v>137</v>
      </c>
      <c r="S26" s="2" t="s">
        <v>45</v>
      </c>
    </row>
    <row r="27" customFormat="false" ht="15" hidden="false" customHeight="false" outlineLevel="0" collapsed="false">
      <c r="A27" s="0" t="n">
        <v>26</v>
      </c>
      <c r="D27" s="0" t="s">
        <v>138</v>
      </c>
      <c r="E27" s="0" t="s">
        <v>20</v>
      </c>
      <c r="H27" s="0" t="s">
        <v>21</v>
      </c>
      <c r="I27" s="2" t="s">
        <v>22</v>
      </c>
      <c r="J27" s="2" t="s">
        <v>23</v>
      </c>
      <c r="K27" s="0" t="s">
        <v>39</v>
      </c>
      <c r="L27" s="0" t="s">
        <v>31</v>
      </c>
      <c r="M27" s="0" t="s">
        <v>41</v>
      </c>
      <c r="N27" s="0" t="s">
        <v>139</v>
      </c>
      <c r="O27" s="0" t="n">
        <v>1</v>
      </c>
      <c r="P27" s="0" t="s">
        <v>140</v>
      </c>
      <c r="Q27" s="3"/>
      <c r="S27" s="2" t="s">
        <v>29</v>
      </c>
    </row>
    <row r="28" customFormat="false" ht="15" hidden="false" customHeight="false" outlineLevel="0" collapsed="false">
      <c r="A28" s="0" t="n">
        <v>27</v>
      </c>
      <c r="D28" s="0" t="s">
        <v>141</v>
      </c>
      <c r="E28" s="0" t="s">
        <v>20</v>
      </c>
      <c r="H28" s="0" t="s">
        <v>21</v>
      </c>
      <c r="I28" s="2" t="s">
        <v>22</v>
      </c>
      <c r="J28" s="2" t="s">
        <v>23</v>
      </c>
      <c r="K28" s="0" t="s">
        <v>39</v>
      </c>
      <c r="L28" s="0" t="s">
        <v>142</v>
      </c>
      <c r="M28" s="0" t="s">
        <v>41</v>
      </c>
      <c r="N28" s="0" t="s">
        <v>143</v>
      </c>
      <c r="O28" s="0" t="n">
        <v>1</v>
      </c>
      <c r="P28" s="0" t="s">
        <v>144</v>
      </c>
      <c r="Q28" s="3" t="s">
        <v>145</v>
      </c>
      <c r="R28" s="2" t="s">
        <v>146</v>
      </c>
      <c r="S28" s="2" t="s">
        <v>45</v>
      </c>
    </row>
    <row r="29" customFormat="false" ht="15" hidden="false" customHeight="false" outlineLevel="0" collapsed="false">
      <c r="A29" s="0" t="n">
        <v>28</v>
      </c>
      <c r="D29" s="0" t="s">
        <v>147</v>
      </c>
      <c r="E29" s="0" t="s">
        <v>20</v>
      </c>
      <c r="H29" s="0" t="s">
        <v>21</v>
      </c>
      <c r="I29" s="2" t="s">
        <v>22</v>
      </c>
      <c r="J29" s="2" t="s">
        <v>23</v>
      </c>
      <c r="K29" s="0" t="s">
        <v>39</v>
      </c>
      <c r="L29" s="0" t="s">
        <v>31</v>
      </c>
      <c r="M29" s="0" t="s">
        <v>41</v>
      </c>
      <c r="N29" s="0" t="s">
        <v>148</v>
      </c>
      <c r="O29" s="0" t="n">
        <v>1</v>
      </c>
      <c r="P29" s="0" t="s">
        <v>149</v>
      </c>
      <c r="Q29" s="3"/>
      <c r="S29" s="2" t="s">
        <v>29</v>
      </c>
    </row>
    <row r="30" customFormat="false" ht="15" hidden="false" customHeight="false" outlineLevel="0" collapsed="false">
      <c r="A30" s="0" t="n">
        <v>29</v>
      </c>
      <c r="D30" s="0" t="s">
        <v>150</v>
      </c>
      <c r="E30" s="0" t="s">
        <v>20</v>
      </c>
      <c r="F30" s="0" t="s">
        <v>151</v>
      </c>
      <c r="H30" s="0" t="s">
        <v>21</v>
      </c>
      <c r="I30" s="2" t="s">
        <v>22</v>
      </c>
      <c r="J30" s="2" t="s">
        <v>23</v>
      </c>
      <c r="K30" s="0" t="s">
        <v>39</v>
      </c>
      <c r="L30" s="0" t="s">
        <v>152</v>
      </c>
      <c r="M30" s="0" t="s">
        <v>41</v>
      </c>
      <c r="N30" s="0" t="s">
        <v>153</v>
      </c>
      <c r="O30" s="0" t="n">
        <v>1</v>
      </c>
      <c r="P30" s="0" t="s">
        <v>154</v>
      </c>
      <c r="Q30" s="3" t="s">
        <v>155</v>
      </c>
      <c r="R30" s="2" t="s">
        <v>156</v>
      </c>
      <c r="S30" s="2" t="s">
        <v>45</v>
      </c>
    </row>
    <row r="31" customFormat="false" ht="15" hidden="false" customHeight="false" outlineLevel="0" collapsed="false">
      <c r="A31" s="0" t="n">
        <v>30</v>
      </c>
      <c r="D31" s="0" t="s">
        <v>157</v>
      </c>
      <c r="E31" s="0" t="s">
        <v>20</v>
      </c>
      <c r="H31" s="0" t="s">
        <v>21</v>
      </c>
      <c r="I31" s="2" t="s">
        <v>22</v>
      </c>
      <c r="J31" s="2" t="s">
        <v>23</v>
      </c>
      <c r="K31" s="0" t="s">
        <v>39</v>
      </c>
      <c r="L31" s="0" t="s">
        <v>31</v>
      </c>
      <c r="M31" s="0" t="s">
        <v>41</v>
      </c>
      <c r="N31" s="0" t="s">
        <v>158</v>
      </c>
      <c r="O31" s="0" t="n">
        <v>1</v>
      </c>
      <c r="P31" s="0" t="s">
        <v>159</v>
      </c>
      <c r="Q31" s="3"/>
      <c r="S31" s="2" t="s">
        <v>29</v>
      </c>
    </row>
    <row r="32" customFormat="false" ht="15" hidden="false" customHeight="false" outlineLevel="0" collapsed="false">
      <c r="A32" s="0" t="n">
        <v>31</v>
      </c>
      <c r="D32" s="0" t="s">
        <v>160</v>
      </c>
      <c r="E32" s="0" t="s">
        <v>20</v>
      </c>
      <c r="H32" s="0" t="s">
        <v>21</v>
      </c>
      <c r="I32" s="2" t="s">
        <v>22</v>
      </c>
      <c r="J32" s="2" t="s">
        <v>23</v>
      </c>
      <c r="K32" s="0" t="s">
        <v>39</v>
      </c>
      <c r="L32" s="0" t="s">
        <v>31</v>
      </c>
      <c r="M32" s="0" t="s">
        <v>41</v>
      </c>
      <c r="N32" s="0" t="s">
        <v>161</v>
      </c>
      <c r="O32" s="0" t="n">
        <v>1</v>
      </c>
      <c r="P32" s="0" t="s">
        <v>162</v>
      </c>
      <c r="Q32" s="3"/>
      <c r="S32" s="2" t="s">
        <v>29</v>
      </c>
    </row>
    <row r="33" customFormat="false" ht="15" hidden="false" customHeight="false" outlineLevel="0" collapsed="false">
      <c r="A33" s="0" t="n">
        <v>32</v>
      </c>
      <c r="D33" s="0" t="s">
        <v>163</v>
      </c>
      <c r="E33" s="0" t="s">
        <v>20</v>
      </c>
      <c r="F33" s="0" t="s">
        <v>164</v>
      </c>
      <c r="H33" s="0" t="s">
        <v>21</v>
      </c>
      <c r="I33" s="2" t="s">
        <v>22</v>
      </c>
      <c r="J33" s="2" t="s">
        <v>23</v>
      </c>
      <c r="K33" s="0" t="s">
        <v>39</v>
      </c>
      <c r="L33" s="0" t="s">
        <v>165</v>
      </c>
      <c r="M33" s="0" t="s">
        <v>41</v>
      </c>
      <c r="N33" s="0" t="s">
        <v>166</v>
      </c>
      <c r="O33" s="0" t="n">
        <v>1</v>
      </c>
      <c r="P33" s="0" t="s">
        <v>167</v>
      </c>
      <c r="Q33" s="3" t="s">
        <v>168</v>
      </c>
      <c r="R33" s="2" t="s">
        <v>169</v>
      </c>
      <c r="S33" s="2" t="s">
        <v>45</v>
      </c>
    </row>
    <row r="34" customFormat="false" ht="15" hidden="false" customHeight="false" outlineLevel="0" collapsed="false">
      <c r="A34" s="0" t="n">
        <v>33</v>
      </c>
      <c r="D34" s="0" t="s">
        <v>170</v>
      </c>
      <c r="E34" s="0" t="s">
        <v>20</v>
      </c>
      <c r="H34" s="0" t="s">
        <v>21</v>
      </c>
      <c r="I34" s="2" t="s">
        <v>22</v>
      </c>
      <c r="J34" s="2" t="s">
        <v>23</v>
      </c>
      <c r="K34" s="0" t="s">
        <v>39</v>
      </c>
      <c r="L34" s="0" t="s">
        <v>31</v>
      </c>
      <c r="M34" s="0" t="s">
        <v>41</v>
      </c>
      <c r="N34" s="0" t="s">
        <v>171</v>
      </c>
      <c r="O34" s="0" t="n">
        <v>1</v>
      </c>
      <c r="P34" s="0" t="s">
        <v>172</v>
      </c>
      <c r="Q34" s="3"/>
      <c r="S34" s="2" t="s">
        <v>29</v>
      </c>
    </row>
    <row r="35" customFormat="false" ht="15" hidden="false" customHeight="false" outlineLevel="0" collapsed="false">
      <c r="A35" s="0" t="n">
        <v>34</v>
      </c>
      <c r="D35" s="0" t="s">
        <v>173</v>
      </c>
      <c r="E35" s="0" t="s">
        <v>20</v>
      </c>
      <c r="F35" s="0" t="s">
        <v>174</v>
      </c>
      <c r="H35" s="0" t="s">
        <v>21</v>
      </c>
      <c r="I35" s="2" t="s">
        <v>22</v>
      </c>
      <c r="J35" s="2" t="s">
        <v>23</v>
      </c>
      <c r="K35" s="0" t="s">
        <v>39</v>
      </c>
      <c r="L35" s="0" t="s">
        <v>175</v>
      </c>
      <c r="M35" s="0" t="s">
        <v>41</v>
      </c>
      <c r="N35" s="0" t="s">
        <v>176</v>
      </c>
      <c r="O35" s="0" t="n">
        <v>1</v>
      </c>
      <c r="P35" s="0" t="s">
        <v>177</v>
      </c>
      <c r="Q35" s="3" t="s">
        <v>178</v>
      </c>
      <c r="R35" s="2" t="s">
        <v>179</v>
      </c>
      <c r="S35" s="2" t="s">
        <v>45</v>
      </c>
    </row>
    <row r="36" customFormat="false" ht="15" hidden="false" customHeight="false" outlineLevel="0" collapsed="false">
      <c r="A36" s="0" t="n">
        <v>35</v>
      </c>
      <c r="D36" s="0" t="s">
        <v>180</v>
      </c>
      <c r="E36" s="0" t="s">
        <v>20</v>
      </c>
      <c r="H36" s="0" t="s">
        <v>21</v>
      </c>
      <c r="I36" s="2" t="s">
        <v>22</v>
      </c>
      <c r="J36" s="2" t="s">
        <v>23</v>
      </c>
      <c r="K36" s="0" t="s">
        <v>39</v>
      </c>
      <c r="L36" s="0" t="s">
        <v>31</v>
      </c>
      <c r="M36" s="0" t="s">
        <v>41</v>
      </c>
      <c r="N36" s="0" t="s">
        <v>181</v>
      </c>
      <c r="O36" s="0" t="n">
        <v>1</v>
      </c>
      <c r="P36" s="0" t="s">
        <v>182</v>
      </c>
      <c r="Q36" s="3"/>
      <c r="S36" s="2" t="s">
        <v>29</v>
      </c>
    </row>
    <row r="37" customFormat="false" ht="15" hidden="false" customHeight="false" outlineLevel="0" collapsed="false">
      <c r="A37" s="0" t="n">
        <v>36</v>
      </c>
      <c r="D37" s="0" t="s">
        <v>183</v>
      </c>
      <c r="E37" s="0" t="s">
        <v>20</v>
      </c>
      <c r="F37" s="0" t="s">
        <v>184</v>
      </c>
      <c r="H37" s="0" t="s">
        <v>21</v>
      </c>
      <c r="I37" s="2" t="s">
        <v>22</v>
      </c>
      <c r="J37" s="2" t="s">
        <v>23</v>
      </c>
      <c r="K37" s="0" t="s">
        <v>39</v>
      </c>
      <c r="L37" s="0" t="s">
        <v>185</v>
      </c>
      <c r="M37" s="0" t="s">
        <v>41</v>
      </c>
      <c r="N37" s="0" t="s">
        <v>186</v>
      </c>
      <c r="O37" s="0" t="n">
        <v>1</v>
      </c>
      <c r="P37" s="0" t="s">
        <v>187</v>
      </c>
      <c r="Q37" s="3" t="s">
        <v>188</v>
      </c>
      <c r="R37" s="2" t="s">
        <v>189</v>
      </c>
      <c r="S37" s="2" t="s">
        <v>45</v>
      </c>
    </row>
    <row r="38" customFormat="false" ht="15" hidden="false" customHeight="false" outlineLevel="0" collapsed="false">
      <c r="A38" s="0" t="n">
        <v>37</v>
      </c>
      <c r="D38" s="0" t="s">
        <v>190</v>
      </c>
      <c r="E38" s="0" t="s">
        <v>20</v>
      </c>
      <c r="H38" s="0" t="s">
        <v>21</v>
      </c>
      <c r="I38" s="2" t="s">
        <v>22</v>
      </c>
      <c r="J38" s="2" t="s">
        <v>23</v>
      </c>
      <c r="K38" s="0" t="s">
        <v>39</v>
      </c>
      <c r="L38" s="0" t="s">
        <v>31</v>
      </c>
      <c r="M38" s="0" t="s">
        <v>41</v>
      </c>
      <c r="N38" s="0" t="s">
        <v>191</v>
      </c>
      <c r="O38" s="0" t="n">
        <v>1</v>
      </c>
      <c r="P38" s="0" t="s">
        <v>192</v>
      </c>
      <c r="Q38" s="3"/>
      <c r="S38" s="2" t="s">
        <v>29</v>
      </c>
    </row>
    <row r="39" customFormat="false" ht="15" hidden="false" customHeight="false" outlineLevel="0" collapsed="false">
      <c r="A39" s="0" t="n">
        <v>38</v>
      </c>
      <c r="D39" s="0" t="s">
        <v>193</v>
      </c>
      <c r="E39" s="0" t="s">
        <v>20</v>
      </c>
      <c r="H39" s="0" t="s">
        <v>21</v>
      </c>
      <c r="I39" s="2" t="s">
        <v>22</v>
      </c>
      <c r="J39" s="2" t="s">
        <v>23</v>
      </c>
      <c r="K39" s="0" t="s">
        <v>39</v>
      </c>
      <c r="L39" s="0" t="s">
        <v>31</v>
      </c>
      <c r="M39" s="0" t="s">
        <v>41</v>
      </c>
      <c r="N39" s="0" t="s">
        <v>194</v>
      </c>
      <c r="O39" s="0" t="n">
        <v>1</v>
      </c>
      <c r="P39" s="0" t="s">
        <v>195</v>
      </c>
      <c r="Q39" s="3"/>
      <c r="S39" s="2" t="s">
        <v>29</v>
      </c>
    </row>
    <row r="40" customFormat="false" ht="15" hidden="false" customHeight="false" outlineLevel="0" collapsed="false">
      <c r="A40" s="0" t="n">
        <v>39</v>
      </c>
      <c r="D40" s="0" t="s">
        <v>196</v>
      </c>
      <c r="E40" s="0" t="s">
        <v>20</v>
      </c>
      <c r="H40" s="0" t="s">
        <v>21</v>
      </c>
      <c r="I40" s="2" t="s">
        <v>22</v>
      </c>
      <c r="J40" s="2" t="s">
        <v>23</v>
      </c>
      <c r="K40" s="0" t="s">
        <v>39</v>
      </c>
      <c r="L40" s="0" t="s">
        <v>31</v>
      </c>
      <c r="M40" s="0" t="s">
        <v>41</v>
      </c>
      <c r="N40" s="0" t="s">
        <v>197</v>
      </c>
      <c r="O40" s="0" t="n">
        <v>1</v>
      </c>
      <c r="P40" s="0" t="s">
        <v>198</v>
      </c>
      <c r="Q40" s="3"/>
      <c r="S40" s="2" t="s">
        <v>29</v>
      </c>
    </row>
    <row r="41" customFormat="false" ht="15" hidden="false" customHeight="false" outlineLevel="0" collapsed="false">
      <c r="A41" s="0" t="n">
        <v>40</v>
      </c>
      <c r="D41" s="0" t="s">
        <v>199</v>
      </c>
      <c r="E41" s="0" t="s">
        <v>20</v>
      </c>
      <c r="F41" s="0" t="s">
        <v>200</v>
      </c>
      <c r="H41" s="0" t="s">
        <v>21</v>
      </c>
      <c r="I41" s="2" t="s">
        <v>22</v>
      </c>
      <c r="J41" s="2" t="s">
        <v>23</v>
      </c>
      <c r="K41" s="0" t="s">
        <v>39</v>
      </c>
      <c r="L41" s="0" t="s">
        <v>201</v>
      </c>
      <c r="M41" s="0" t="s">
        <v>41</v>
      </c>
      <c r="N41" s="0" t="s">
        <v>202</v>
      </c>
      <c r="O41" s="0" t="n">
        <v>1</v>
      </c>
      <c r="P41" s="0" t="s">
        <v>203</v>
      </c>
      <c r="Q41" s="3" t="s">
        <v>204</v>
      </c>
      <c r="R41" s="2" t="s">
        <v>205</v>
      </c>
      <c r="S41" s="2" t="s">
        <v>45</v>
      </c>
    </row>
    <row r="42" customFormat="false" ht="15" hidden="false" customHeight="false" outlineLevel="0" collapsed="false">
      <c r="A42" s="0" t="n">
        <v>41</v>
      </c>
      <c r="D42" s="0" t="s">
        <v>206</v>
      </c>
      <c r="E42" s="0" t="s">
        <v>20</v>
      </c>
      <c r="H42" s="0" t="s">
        <v>21</v>
      </c>
      <c r="I42" s="2" t="s">
        <v>22</v>
      </c>
      <c r="J42" s="2" t="s">
        <v>23</v>
      </c>
      <c r="K42" s="0" t="s">
        <v>207</v>
      </c>
      <c r="L42" s="0" t="s">
        <v>25</v>
      </c>
      <c r="M42" s="0" t="s">
        <v>208</v>
      </c>
      <c r="N42" s="0" t="s">
        <v>209</v>
      </c>
      <c r="O42" s="0" t="n">
        <v>2</v>
      </c>
      <c r="P42" s="0" t="s">
        <v>210</v>
      </c>
      <c r="Q42" s="3"/>
      <c r="S42" s="2" t="s">
        <v>29</v>
      </c>
    </row>
    <row r="43" customFormat="false" ht="15" hidden="false" customHeight="false" outlineLevel="0" collapsed="false">
      <c r="A43" s="0" t="n">
        <v>42</v>
      </c>
      <c r="D43" s="0" t="s">
        <v>211</v>
      </c>
      <c r="E43" s="0" t="s">
        <v>20</v>
      </c>
      <c r="H43" s="0" t="s">
        <v>21</v>
      </c>
      <c r="I43" s="2" t="s">
        <v>22</v>
      </c>
      <c r="J43" s="2" t="s">
        <v>23</v>
      </c>
      <c r="K43" s="0" t="s">
        <v>207</v>
      </c>
      <c r="L43" s="0" t="s">
        <v>25</v>
      </c>
      <c r="M43" s="0" t="s">
        <v>208</v>
      </c>
      <c r="N43" s="0" t="s">
        <v>212</v>
      </c>
      <c r="O43" s="0" t="n">
        <v>2</v>
      </c>
      <c r="Q43" s="3"/>
      <c r="S43" s="2" t="s">
        <v>29</v>
      </c>
    </row>
    <row r="44" customFormat="false" ht="15" hidden="false" customHeight="false" outlineLevel="0" collapsed="false">
      <c r="A44" s="0" t="n">
        <v>43</v>
      </c>
      <c r="D44" s="0" t="s">
        <v>213</v>
      </c>
      <c r="E44" s="0" t="s">
        <v>20</v>
      </c>
      <c r="H44" s="0" t="s">
        <v>21</v>
      </c>
      <c r="I44" s="2" t="s">
        <v>22</v>
      </c>
      <c r="J44" s="2" t="s">
        <v>23</v>
      </c>
      <c r="K44" s="0" t="s">
        <v>207</v>
      </c>
      <c r="L44" s="0" t="s">
        <v>25</v>
      </c>
      <c r="M44" s="0" t="s">
        <v>208</v>
      </c>
      <c r="N44" s="0" t="s">
        <v>214</v>
      </c>
      <c r="O44" s="0" t="n">
        <v>2</v>
      </c>
      <c r="P44" s="0" t="s">
        <v>215</v>
      </c>
      <c r="Q44" s="3"/>
      <c r="S44" s="2" t="s">
        <v>29</v>
      </c>
    </row>
    <row r="45" customFormat="false" ht="15" hidden="false" customHeight="false" outlineLevel="0" collapsed="false">
      <c r="A45" s="0" t="n">
        <v>44</v>
      </c>
      <c r="D45" s="0" t="s">
        <v>216</v>
      </c>
      <c r="E45" s="0" t="s">
        <v>20</v>
      </c>
      <c r="H45" s="0" t="s">
        <v>21</v>
      </c>
      <c r="I45" s="2" t="s">
        <v>22</v>
      </c>
      <c r="J45" s="2" t="s">
        <v>23</v>
      </c>
      <c r="K45" s="0" t="s">
        <v>207</v>
      </c>
      <c r="L45" s="0" t="s">
        <v>25</v>
      </c>
      <c r="M45" s="0" t="s">
        <v>208</v>
      </c>
      <c r="N45" s="0" t="s">
        <v>217</v>
      </c>
      <c r="O45" s="0" t="n">
        <v>2</v>
      </c>
      <c r="P45" s="0" t="s">
        <v>218</v>
      </c>
      <c r="Q45" s="3"/>
      <c r="S45" s="2" t="s">
        <v>29</v>
      </c>
    </row>
    <row r="46" customFormat="false" ht="15" hidden="false" customHeight="false" outlineLevel="0" collapsed="false">
      <c r="A46" s="0" t="n">
        <v>45</v>
      </c>
      <c r="D46" s="0" t="s">
        <v>219</v>
      </c>
      <c r="E46" s="0" t="s">
        <v>20</v>
      </c>
      <c r="H46" s="0" t="s">
        <v>21</v>
      </c>
      <c r="I46" s="2" t="s">
        <v>22</v>
      </c>
      <c r="J46" s="2" t="s">
        <v>23</v>
      </c>
      <c r="K46" s="0" t="s">
        <v>207</v>
      </c>
      <c r="L46" s="0" t="s">
        <v>25</v>
      </c>
      <c r="M46" s="0" t="s">
        <v>208</v>
      </c>
      <c r="N46" s="0" t="s">
        <v>220</v>
      </c>
      <c r="O46" s="0" t="n">
        <v>2</v>
      </c>
      <c r="P46" s="0" t="s">
        <v>221</v>
      </c>
      <c r="Q46" s="3"/>
      <c r="S46" s="2" t="s">
        <v>29</v>
      </c>
    </row>
    <row r="47" customFormat="false" ht="15" hidden="false" customHeight="false" outlineLevel="0" collapsed="false">
      <c r="A47" s="0" t="n">
        <v>46</v>
      </c>
      <c r="D47" s="0" t="s">
        <v>222</v>
      </c>
      <c r="E47" s="0" t="s">
        <v>20</v>
      </c>
      <c r="H47" s="0" t="s">
        <v>21</v>
      </c>
      <c r="I47" s="2" t="s">
        <v>22</v>
      </c>
      <c r="J47" s="2" t="s">
        <v>23</v>
      </c>
      <c r="K47" s="0" t="s">
        <v>207</v>
      </c>
      <c r="L47" s="0" t="s">
        <v>31</v>
      </c>
      <c r="M47" s="0" t="s">
        <v>208</v>
      </c>
      <c r="N47" s="0" t="s">
        <v>223</v>
      </c>
      <c r="O47" s="0" t="n">
        <v>1</v>
      </c>
      <c r="P47" s="0" t="s">
        <v>224</v>
      </c>
      <c r="Q47" s="3"/>
      <c r="S47" s="2" t="s">
        <v>29</v>
      </c>
    </row>
    <row r="48" customFormat="false" ht="15" hidden="false" customHeight="false" outlineLevel="0" collapsed="false">
      <c r="A48" s="0" t="n">
        <v>47</v>
      </c>
      <c r="D48" s="0" t="s">
        <v>225</v>
      </c>
      <c r="E48" s="0" t="s">
        <v>226</v>
      </c>
      <c r="H48" s="0" t="s">
        <v>21</v>
      </c>
      <c r="I48" s="2" t="s">
        <v>22</v>
      </c>
      <c r="J48" s="2" t="s">
        <v>23</v>
      </c>
      <c r="K48" s="0" t="s">
        <v>207</v>
      </c>
      <c r="L48" s="0" t="s">
        <v>100</v>
      </c>
      <c r="M48" s="0" t="s">
        <v>208</v>
      </c>
      <c r="N48" s="0" t="s">
        <v>227</v>
      </c>
      <c r="O48" s="0" t="n">
        <v>1</v>
      </c>
      <c r="P48" s="0" t="s">
        <v>228</v>
      </c>
      <c r="Q48" s="3"/>
      <c r="S48" s="2" t="s">
        <v>29</v>
      </c>
    </row>
    <row r="49" customFormat="false" ht="15" hidden="false" customHeight="false" outlineLevel="0" collapsed="false">
      <c r="A49" s="0" t="n">
        <v>48</v>
      </c>
      <c r="D49" s="0" t="s">
        <v>229</v>
      </c>
      <c r="E49" s="0" t="s">
        <v>20</v>
      </c>
      <c r="H49" s="0" t="s">
        <v>21</v>
      </c>
      <c r="I49" s="2" t="s">
        <v>22</v>
      </c>
      <c r="J49" s="2" t="s">
        <v>23</v>
      </c>
      <c r="K49" s="0" t="s">
        <v>207</v>
      </c>
      <c r="L49" s="0" t="s">
        <v>31</v>
      </c>
      <c r="M49" s="0" t="s">
        <v>208</v>
      </c>
      <c r="N49" s="0" t="s">
        <v>230</v>
      </c>
      <c r="O49" s="0" t="n">
        <v>1</v>
      </c>
      <c r="P49" s="0" t="s">
        <v>231</v>
      </c>
      <c r="Q49" s="3"/>
      <c r="S49" s="2" t="s">
        <v>29</v>
      </c>
    </row>
    <row r="50" customFormat="false" ht="15" hidden="false" customHeight="false" outlineLevel="0" collapsed="false">
      <c r="A50" s="0" t="n">
        <v>49</v>
      </c>
      <c r="D50" s="0" t="s">
        <v>232</v>
      </c>
      <c r="E50" s="0" t="s">
        <v>20</v>
      </c>
      <c r="H50" s="0" t="s">
        <v>21</v>
      </c>
      <c r="I50" s="2" t="s">
        <v>22</v>
      </c>
      <c r="J50" s="2" t="s">
        <v>23</v>
      </c>
      <c r="K50" s="0" t="s">
        <v>207</v>
      </c>
      <c r="L50" s="0" t="s">
        <v>31</v>
      </c>
      <c r="M50" s="0" t="s">
        <v>208</v>
      </c>
      <c r="N50" s="0" t="s">
        <v>233</v>
      </c>
      <c r="O50" s="0" t="n">
        <v>1</v>
      </c>
      <c r="P50" s="0" t="s">
        <v>234</v>
      </c>
      <c r="Q50" s="3"/>
      <c r="S50" s="2" t="s">
        <v>29</v>
      </c>
    </row>
    <row r="51" customFormat="false" ht="15" hidden="false" customHeight="false" outlineLevel="0" collapsed="false">
      <c r="A51" s="0" t="n">
        <v>50</v>
      </c>
      <c r="D51" s="0" t="s">
        <v>235</v>
      </c>
      <c r="E51" s="0" t="s">
        <v>236</v>
      </c>
      <c r="H51" s="0" t="s">
        <v>21</v>
      </c>
      <c r="I51" s="2" t="s">
        <v>22</v>
      </c>
      <c r="J51" s="2" t="s">
        <v>23</v>
      </c>
      <c r="K51" s="0" t="s">
        <v>207</v>
      </c>
      <c r="L51" s="0" t="s">
        <v>31</v>
      </c>
      <c r="M51" s="0" t="s">
        <v>208</v>
      </c>
      <c r="N51" s="0" t="s">
        <v>237</v>
      </c>
      <c r="O51" s="0" t="n">
        <v>1</v>
      </c>
      <c r="P51" s="0" t="s">
        <v>238</v>
      </c>
      <c r="Q51" s="3"/>
      <c r="S51" s="2" t="s">
        <v>29</v>
      </c>
    </row>
    <row r="52" customFormat="false" ht="15" hidden="false" customHeight="false" outlineLevel="0" collapsed="false">
      <c r="A52" s="0" t="n">
        <v>51</v>
      </c>
      <c r="D52" s="0" t="s">
        <v>239</v>
      </c>
      <c r="E52" s="0" t="s">
        <v>20</v>
      </c>
      <c r="F52" s="0" t="s">
        <v>240</v>
      </c>
      <c r="H52" s="0" t="s">
        <v>21</v>
      </c>
      <c r="I52" s="2" t="s">
        <v>22</v>
      </c>
      <c r="J52" s="2" t="s">
        <v>23</v>
      </c>
      <c r="K52" s="0" t="s">
        <v>207</v>
      </c>
      <c r="L52" s="0" t="s">
        <v>241</v>
      </c>
      <c r="M52" s="0" t="s">
        <v>208</v>
      </c>
      <c r="N52" s="0" t="s">
        <v>242</v>
      </c>
      <c r="O52" s="0" t="n">
        <v>1</v>
      </c>
      <c r="P52" s="0" t="s">
        <v>243</v>
      </c>
      <c r="Q52" s="3" t="s">
        <v>244</v>
      </c>
      <c r="R52" s="2" t="s">
        <v>245</v>
      </c>
      <c r="S52" s="2" t="s">
        <v>45</v>
      </c>
    </row>
    <row r="53" customFormat="false" ht="15" hidden="false" customHeight="false" outlineLevel="0" collapsed="false">
      <c r="A53" s="0" t="n">
        <v>52</v>
      </c>
      <c r="D53" s="0" t="s">
        <v>246</v>
      </c>
      <c r="E53" s="0" t="s">
        <v>20</v>
      </c>
      <c r="H53" s="0" t="s">
        <v>21</v>
      </c>
      <c r="I53" s="2" t="s">
        <v>22</v>
      </c>
      <c r="J53" s="2" t="s">
        <v>23</v>
      </c>
      <c r="K53" s="0" t="s">
        <v>207</v>
      </c>
      <c r="L53" s="0" t="s">
        <v>31</v>
      </c>
      <c r="M53" s="0" t="s">
        <v>208</v>
      </c>
      <c r="N53" s="0" t="s">
        <v>247</v>
      </c>
      <c r="O53" s="0" t="n">
        <v>1</v>
      </c>
      <c r="P53" s="0" t="s">
        <v>248</v>
      </c>
      <c r="Q53" s="3"/>
      <c r="S53" s="2" t="s">
        <v>29</v>
      </c>
    </row>
    <row r="54" customFormat="false" ht="15" hidden="false" customHeight="false" outlineLevel="0" collapsed="false">
      <c r="A54" s="0" t="n">
        <v>53</v>
      </c>
      <c r="D54" s="0" t="s">
        <v>249</v>
      </c>
      <c r="E54" s="0" t="s">
        <v>20</v>
      </c>
      <c r="H54" s="0" t="s">
        <v>21</v>
      </c>
      <c r="I54" s="2" t="s">
        <v>22</v>
      </c>
      <c r="J54" s="2" t="s">
        <v>23</v>
      </c>
      <c r="K54" s="0" t="s">
        <v>207</v>
      </c>
      <c r="L54" s="0" t="s">
        <v>31</v>
      </c>
      <c r="M54" s="0" t="s">
        <v>208</v>
      </c>
      <c r="N54" s="0" t="s">
        <v>250</v>
      </c>
      <c r="O54" s="0" t="n">
        <v>1</v>
      </c>
      <c r="P54" s="0" t="s">
        <v>251</v>
      </c>
      <c r="Q54" s="3"/>
      <c r="S54" s="2" t="s">
        <v>29</v>
      </c>
    </row>
    <row r="55" customFormat="false" ht="15" hidden="false" customHeight="false" outlineLevel="0" collapsed="false">
      <c r="A55" s="0" t="n">
        <v>54</v>
      </c>
      <c r="D55" s="0" t="s">
        <v>252</v>
      </c>
      <c r="E55" s="0" t="s">
        <v>20</v>
      </c>
      <c r="H55" s="0" t="s">
        <v>21</v>
      </c>
      <c r="I55" s="2" t="s">
        <v>22</v>
      </c>
      <c r="J55" s="2" t="s">
        <v>23</v>
      </c>
      <c r="K55" s="0" t="s">
        <v>207</v>
      </c>
      <c r="L55" s="0" t="s">
        <v>31</v>
      </c>
      <c r="M55" s="0" t="s">
        <v>208</v>
      </c>
      <c r="N55" s="0" t="s">
        <v>253</v>
      </c>
      <c r="O55" s="0" t="n">
        <v>1</v>
      </c>
      <c r="P55" s="0" t="s">
        <v>254</v>
      </c>
      <c r="Q55" s="3"/>
      <c r="S55" s="2" t="s">
        <v>29</v>
      </c>
    </row>
    <row r="56" customFormat="false" ht="15" hidden="false" customHeight="false" outlineLevel="0" collapsed="false">
      <c r="A56" s="0" t="n">
        <v>55</v>
      </c>
      <c r="D56" s="0" t="s">
        <v>255</v>
      </c>
      <c r="E56" s="0" t="s">
        <v>20</v>
      </c>
      <c r="H56" s="0" t="s">
        <v>21</v>
      </c>
      <c r="I56" s="2" t="s">
        <v>22</v>
      </c>
      <c r="J56" s="2" t="s">
        <v>23</v>
      </c>
      <c r="K56" s="0" t="s">
        <v>207</v>
      </c>
      <c r="L56" s="0" t="s">
        <v>31</v>
      </c>
      <c r="M56" s="0" t="s">
        <v>208</v>
      </c>
      <c r="N56" s="0" t="s">
        <v>256</v>
      </c>
      <c r="O56" s="0" t="n">
        <v>1</v>
      </c>
      <c r="Q56" s="3"/>
      <c r="S56" s="2" t="s">
        <v>29</v>
      </c>
    </row>
    <row r="57" customFormat="false" ht="15" hidden="false" customHeight="false" outlineLevel="0" collapsed="false">
      <c r="A57" s="0" t="n">
        <v>56</v>
      </c>
      <c r="D57" s="0" t="s">
        <v>257</v>
      </c>
      <c r="E57" s="0" t="s">
        <v>20</v>
      </c>
      <c r="H57" s="0" t="s">
        <v>21</v>
      </c>
      <c r="I57" s="2" t="s">
        <v>22</v>
      </c>
      <c r="J57" s="2" t="s">
        <v>23</v>
      </c>
      <c r="K57" s="0" t="s">
        <v>207</v>
      </c>
      <c r="L57" s="0" t="s">
        <v>31</v>
      </c>
      <c r="M57" s="0" t="s">
        <v>208</v>
      </c>
      <c r="N57" s="0" t="s">
        <v>258</v>
      </c>
      <c r="O57" s="0" t="n">
        <v>1</v>
      </c>
      <c r="P57" s="0" t="s">
        <v>259</v>
      </c>
      <c r="Q57" s="3"/>
      <c r="S57" s="2" t="s">
        <v>29</v>
      </c>
    </row>
    <row r="58" customFormat="false" ht="15" hidden="false" customHeight="false" outlineLevel="0" collapsed="false">
      <c r="A58" s="0" t="n">
        <v>57</v>
      </c>
      <c r="D58" s="0" t="s">
        <v>260</v>
      </c>
      <c r="E58" s="0" t="s">
        <v>20</v>
      </c>
      <c r="H58" s="0" t="s">
        <v>21</v>
      </c>
      <c r="I58" s="2" t="s">
        <v>22</v>
      </c>
      <c r="J58" s="2" t="s">
        <v>23</v>
      </c>
      <c r="K58" s="0" t="s">
        <v>207</v>
      </c>
      <c r="L58" s="0" t="s">
        <v>31</v>
      </c>
      <c r="M58" s="0" t="s">
        <v>208</v>
      </c>
      <c r="N58" s="0" t="s">
        <v>261</v>
      </c>
      <c r="O58" s="0" t="n">
        <v>1</v>
      </c>
      <c r="P58" s="0" t="s">
        <v>262</v>
      </c>
      <c r="Q58" s="3"/>
      <c r="S58" s="2" t="s">
        <v>29</v>
      </c>
    </row>
    <row r="59" customFormat="false" ht="15" hidden="false" customHeight="false" outlineLevel="0" collapsed="false">
      <c r="A59" s="0" t="n">
        <v>58</v>
      </c>
      <c r="D59" s="0" t="s">
        <v>263</v>
      </c>
      <c r="E59" s="0" t="s">
        <v>20</v>
      </c>
      <c r="H59" s="0" t="s">
        <v>21</v>
      </c>
      <c r="I59" s="2" t="s">
        <v>22</v>
      </c>
      <c r="J59" s="2" t="s">
        <v>23</v>
      </c>
      <c r="K59" s="0" t="s">
        <v>207</v>
      </c>
      <c r="L59" s="0" t="s">
        <v>31</v>
      </c>
      <c r="M59" s="0" t="s">
        <v>208</v>
      </c>
      <c r="N59" s="0" t="s">
        <v>264</v>
      </c>
      <c r="O59" s="0" t="n">
        <v>1</v>
      </c>
      <c r="P59" s="0" t="s">
        <v>265</v>
      </c>
      <c r="Q59" s="3"/>
      <c r="S59" s="2" t="s">
        <v>29</v>
      </c>
    </row>
    <row r="60" customFormat="false" ht="15" hidden="false" customHeight="false" outlineLevel="0" collapsed="false">
      <c r="A60" s="0" t="n">
        <v>59</v>
      </c>
      <c r="D60" s="0" t="s">
        <v>266</v>
      </c>
      <c r="E60" s="0" t="s">
        <v>267</v>
      </c>
      <c r="H60" s="0" t="s">
        <v>21</v>
      </c>
      <c r="I60" s="2" t="s">
        <v>22</v>
      </c>
      <c r="J60" s="2" t="s">
        <v>23</v>
      </c>
      <c r="K60" s="0" t="s">
        <v>207</v>
      </c>
      <c r="L60" s="0" t="s">
        <v>31</v>
      </c>
      <c r="M60" s="0" t="s">
        <v>208</v>
      </c>
      <c r="N60" s="0" t="s">
        <v>268</v>
      </c>
      <c r="O60" s="0" t="n">
        <v>1</v>
      </c>
      <c r="P60" s="0" t="s">
        <v>269</v>
      </c>
      <c r="Q60" s="3"/>
      <c r="S60" s="2" t="s">
        <v>29</v>
      </c>
    </row>
    <row r="61" customFormat="false" ht="15" hidden="false" customHeight="false" outlineLevel="0" collapsed="false">
      <c r="A61" s="0" t="n">
        <v>60</v>
      </c>
      <c r="D61" s="0" t="s">
        <v>270</v>
      </c>
      <c r="E61" s="0" t="s">
        <v>20</v>
      </c>
      <c r="H61" s="0" t="s">
        <v>21</v>
      </c>
      <c r="I61" s="2" t="s">
        <v>22</v>
      </c>
      <c r="J61" s="2" t="s">
        <v>23</v>
      </c>
      <c r="K61" s="0" t="s">
        <v>207</v>
      </c>
      <c r="L61" s="0" t="s">
        <v>31</v>
      </c>
      <c r="M61" s="0" t="s">
        <v>208</v>
      </c>
      <c r="N61" s="0" t="s">
        <v>271</v>
      </c>
      <c r="O61" s="0" t="n">
        <v>1</v>
      </c>
      <c r="P61" s="0" t="s">
        <v>272</v>
      </c>
      <c r="Q61" s="3"/>
      <c r="S61" s="2" t="s">
        <v>29</v>
      </c>
    </row>
    <row r="62" customFormat="false" ht="15" hidden="false" customHeight="false" outlineLevel="0" collapsed="false">
      <c r="A62" s="0" t="n">
        <v>61</v>
      </c>
      <c r="D62" s="0" t="s">
        <v>273</v>
      </c>
      <c r="E62" s="0" t="s">
        <v>20</v>
      </c>
      <c r="F62" s="0" t="s">
        <v>274</v>
      </c>
      <c r="H62" s="0" t="s">
        <v>21</v>
      </c>
      <c r="I62" s="2" t="s">
        <v>22</v>
      </c>
      <c r="J62" s="2" t="s">
        <v>23</v>
      </c>
      <c r="K62" s="0" t="s">
        <v>207</v>
      </c>
      <c r="L62" s="0" t="s">
        <v>275</v>
      </c>
      <c r="M62" s="0" t="s">
        <v>208</v>
      </c>
      <c r="N62" s="0" t="s">
        <v>276</v>
      </c>
      <c r="O62" s="0" t="n">
        <v>1</v>
      </c>
      <c r="P62" s="0" t="s">
        <v>277</v>
      </c>
      <c r="Q62" s="3" t="s">
        <v>278</v>
      </c>
      <c r="R62" s="2" t="s">
        <v>279</v>
      </c>
      <c r="S62" s="2" t="s">
        <v>45</v>
      </c>
    </row>
    <row r="63" customFormat="false" ht="15" hidden="false" customHeight="false" outlineLevel="0" collapsed="false">
      <c r="A63" s="0" t="n">
        <v>62</v>
      </c>
      <c r="D63" s="0" t="s">
        <v>280</v>
      </c>
      <c r="E63" s="0" t="s">
        <v>20</v>
      </c>
      <c r="H63" s="0" t="s">
        <v>21</v>
      </c>
      <c r="I63" s="2" t="s">
        <v>22</v>
      </c>
      <c r="J63" s="2" t="s">
        <v>23</v>
      </c>
      <c r="K63" s="0" t="s">
        <v>207</v>
      </c>
      <c r="L63" s="0" t="s">
        <v>31</v>
      </c>
      <c r="M63" s="0" t="s">
        <v>208</v>
      </c>
      <c r="N63" s="0" t="s">
        <v>281</v>
      </c>
      <c r="O63" s="0" t="n">
        <v>1</v>
      </c>
      <c r="P63" s="0" t="s">
        <v>282</v>
      </c>
      <c r="Q63" s="3"/>
      <c r="S63" s="2" t="s">
        <v>29</v>
      </c>
    </row>
    <row r="64" customFormat="false" ht="15" hidden="false" customHeight="false" outlineLevel="0" collapsed="false">
      <c r="A64" s="0" t="n">
        <v>63</v>
      </c>
      <c r="B64" s="0" t="s">
        <v>283</v>
      </c>
      <c r="D64" s="0" t="s">
        <v>284</v>
      </c>
      <c r="E64" s="0" t="s">
        <v>20</v>
      </c>
      <c r="F64" s="0" t="s">
        <v>285</v>
      </c>
      <c r="H64" s="0" t="s">
        <v>21</v>
      </c>
      <c r="I64" s="2" t="s">
        <v>22</v>
      </c>
      <c r="J64" s="2" t="s">
        <v>23</v>
      </c>
      <c r="K64" s="0" t="s">
        <v>207</v>
      </c>
      <c r="L64" s="0" t="s">
        <v>286</v>
      </c>
      <c r="M64" s="0" t="s">
        <v>208</v>
      </c>
      <c r="N64" s="0" t="s">
        <v>287</v>
      </c>
      <c r="O64" s="0" t="n">
        <v>1</v>
      </c>
      <c r="P64" s="0" t="s">
        <v>288</v>
      </c>
      <c r="Q64" s="3" t="s">
        <v>289</v>
      </c>
      <c r="R64" s="2" t="s">
        <v>290</v>
      </c>
      <c r="S64" s="2" t="s">
        <v>45</v>
      </c>
    </row>
    <row r="65" customFormat="false" ht="15" hidden="false" customHeight="false" outlineLevel="0" collapsed="false">
      <c r="A65" s="0" t="n">
        <v>64</v>
      </c>
      <c r="D65" s="0" t="s">
        <v>291</v>
      </c>
      <c r="E65" s="0" t="s">
        <v>20</v>
      </c>
      <c r="F65" s="0" t="s">
        <v>292</v>
      </c>
      <c r="H65" s="0" t="s">
        <v>21</v>
      </c>
      <c r="I65" s="2" t="s">
        <v>22</v>
      </c>
      <c r="J65" s="2" t="s">
        <v>23</v>
      </c>
      <c r="K65" s="0" t="s">
        <v>207</v>
      </c>
      <c r="L65" s="0" t="s">
        <v>293</v>
      </c>
      <c r="M65" s="0" t="s">
        <v>208</v>
      </c>
      <c r="N65" s="0" t="s">
        <v>294</v>
      </c>
      <c r="O65" s="0" t="n">
        <v>1</v>
      </c>
      <c r="P65" s="0" t="s">
        <v>295</v>
      </c>
      <c r="Q65" s="3" t="s">
        <v>296</v>
      </c>
      <c r="R65" s="2" t="s">
        <v>297</v>
      </c>
      <c r="S65" s="2" t="s">
        <v>45</v>
      </c>
    </row>
    <row r="66" customFormat="false" ht="15" hidden="false" customHeight="false" outlineLevel="0" collapsed="false">
      <c r="A66" s="0" t="n">
        <v>65</v>
      </c>
      <c r="D66" s="0" t="s">
        <v>298</v>
      </c>
      <c r="E66" s="0" t="s">
        <v>20</v>
      </c>
      <c r="H66" s="0" t="s">
        <v>21</v>
      </c>
      <c r="I66" s="2" t="s">
        <v>22</v>
      </c>
      <c r="J66" s="2" t="s">
        <v>23</v>
      </c>
      <c r="K66" s="0" t="s">
        <v>207</v>
      </c>
      <c r="L66" s="0" t="s">
        <v>31</v>
      </c>
      <c r="M66" s="0" t="s">
        <v>208</v>
      </c>
      <c r="N66" s="0" t="s">
        <v>299</v>
      </c>
      <c r="O66" s="0" t="n">
        <v>1</v>
      </c>
      <c r="P66" s="0" t="s">
        <v>300</v>
      </c>
      <c r="Q66" s="3"/>
      <c r="S66" s="2" t="s">
        <v>29</v>
      </c>
    </row>
    <row r="67" customFormat="false" ht="15" hidden="false" customHeight="false" outlineLevel="0" collapsed="false">
      <c r="A67" s="0" t="n">
        <v>66</v>
      </c>
      <c r="D67" s="0" t="s">
        <v>301</v>
      </c>
      <c r="E67" s="0" t="s">
        <v>20</v>
      </c>
      <c r="H67" s="0" t="s">
        <v>21</v>
      </c>
      <c r="I67" s="2" t="s">
        <v>22</v>
      </c>
      <c r="J67" s="2" t="s">
        <v>23</v>
      </c>
      <c r="K67" s="0" t="s">
        <v>302</v>
      </c>
      <c r="L67" s="0" t="s">
        <v>25</v>
      </c>
      <c r="M67" s="0" t="s">
        <v>303</v>
      </c>
      <c r="N67" s="0" t="s">
        <v>304</v>
      </c>
      <c r="O67" s="0" t="n">
        <v>2</v>
      </c>
      <c r="P67" s="0" t="s">
        <v>305</v>
      </c>
      <c r="Q67" s="3"/>
      <c r="S67" s="2" t="s">
        <v>29</v>
      </c>
    </row>
    <row r="68" customFormat="false" ht="15" hidden="false" customHeight="false" outlineLevel="0" collapsed="false">
      <c r="A68" s="0" t="n">
        <v>67</v>
      </c>
      <c r="D68" s="0" t="s">
        <v>306</v>
      </c>
      <c r="E68" s="0" t="s">
        <v>20</v>
      </c>
      <c r="H68" s="0" t="s">
        <v>21</v>
      </c>
      <c r="I68" s="2" t="s">
        <v>22</v>
      </c>
      <c r="J68" s="2" t="s">
        <v>23</v>
      </c>
      <c r="K68" s="0" t="s">
        <v>302</v>
      </c>
      <c r="L68" s="0" t="s">
        <v>25</v>
      </c>
      <c r="M68" s="0" t="s">
        <v>303</v>
      </c>
      <c r="N68" s="0" t="s">
        <v>307</v>
      </c>
      <c r="O68" s="0" t="n">
        <v>2</v>
      </c>
      <c r="P68" s="0" t="s">
        <v>308</v>
      </c>
      <c r="Q68" s="3"/>
      <c r="S68" s="2" t="s">
        <v>29</v>
      </c>
    </row>
    <row r="69" customFormat="false" ht="15" hidden="false" customHeight="false" outlineLevel="0" collapsed="false">
      <c r="A69" s="0" t="n">
        <v>68</v>
      </c>
      <c r="D69" s="0" t="s">
        <v>309</v>
      </c>
      <c r="E69" s="0" t="s">
        <v>20</v>
      </c>
      <c r="H69" s="0" t="s">
        <v>21</v>
      </c>
      <c r="I69" s="2" t="s">
        <v>22</v>
      </c>
      <c r="J69" s="2" t="s">
        <v>23</v>
      </c>
      <c r="K69" s="0" t="s">
        <v>302</v>
      </c>
      <c r="L69" s="0" t="s">
        <v>31</v>
      </c>
      <c r="M69" s="0" t="s">
        <v>303</v>
      </c>
      <c r="N69" s="0" t="s">
        <v>310</v>
      </c>
      <c r="O69" s="0" t="n">
        <v>1</v>
      </c>
      <c r="P69" s="0" t="s">
        <v>311</v>
      </c>
      <c r="Q69" s="3"/>
      <c r="S69" s="2" t="s">
        <v>29</v>
      </c>
    </row>
    <row r="70" customFormat="false" ht="15" hidden="false" customHeight="false" outlineLevel="0" collapsed="false">
      <c r="A70" s="0" t="n">
        <v>69</v>
      </c>
      <c r="D70" s="0" t="s">
        <v>312</v>
      </c>
      <c r="E70" s="0" t="s">
        <v>20</v>
      </c>
      <c r="F70" s="0" t="s">
        <v>313</v>
      </c>
      <c r="H70" s="0" t="s">
        <v>21</v>
      </c>
      <c r="I70" s="2" t="s">
        <v>22</v>
      </c>
      <c r="J70" s="2" t="s">
        <v>23</v>
      </c>
      <c r="K70" s="0" t="s">
        <v>302</v>
      </c>
      <c r="L70" s="0" t="s">
        <v>314</v>
      </c>
      <c r="M70" s="0" t="s">
        <v>303</v>
      </c>
      <c r="N70" s="0" t="s">
        <v>315</v>
      </c>
      <c r="O70" s="0" t="n">
        <v>1</v>
      </c>
      <c r="P70" s="0" t="s">
        <v>316</v>
      </c>
      <c r="Q70" s="3" t="s">
        <v>317</v>
      </c>
      <c r="R70" s="2" t="s">
        <v>318</v>
      </c>
      <c r="S70" s="2" t="s">
        <v>45</v>
      </c>
    </row>
    <row r="71" customFormat="false" ht="15" hidden="false" customHeight="false" outlineLevel="0" collapsed="false">
      <c r="A71" s="0" t="n">
        <v>70</v>
      </c>
      <c r="D71" s="0" t="s">
        <v>319</v>
      </c>
      <c r="E71" s="0" t="s">
        <v>20</v>
      </c>
      <c r="H71" s="0" t="s">
        <v>21</v>
      </c>
      <c r="I71" s="2" t="s">
        <v>22</v>
      </c>
      <c r="J71" s="2" t="s">
        <v>23</v>
      </c>
      <c r="K71" s="0" t="s">
        <v>302</v>
      </c>
      <c r="L71" s="0" t="s">
        <v>31</v>
      </c>
      <c r="M71" s="0" t="s">
        <v>303</v>
      </c>
      <c r="N71" s="0" t="s">
        <v>320</v>
      </c>
      <c r="O71" s="0" t="n">
        <v>1</v>
      </c>
      <c r="P71" s="0" t="s">
        <v>321</v>
      </c>
      <c r="Q71" s="3"/>
      <c r="S71" s="2" t="s">
        <v>29</v>
      </c>
    </row>
    <row r="72" customFormat="false" ht="15" hidden="false" customHeight="false" outlineLevel="0" collapsed="false">
      <c r="A72" s="0" t="n">
        <v>71</v>
      </c>
      <c r="D72" s="0" t="s">
        <v>322</v>
      </c>
      <c r="E72" s="0" t="s">
        <v>267</v>
      </c>
      <c r="H72" s="0" t="s">
        <v>21</v>
      </c>
      <c r="I72" s="2" t="s">
        <v>22</v>
      </c>
      <c r="J72" s="2" t="s">
        <v>23</v>
      </c>
      <c r="K72" s="0" t="s">
        <v>302</v>
      </c>
      <c r="L72" s="0" t="s">
        <v>31</v>
      </c>
      <c r="M72" s="0" t="s">
        <v>303</v>
      </c>
      <c r="N72" s="0" t="s">
        <v>323</v>
      </c>
      <c r="O72" s="0" t="n">
        <v>1</v>
      </c>
      <c r="P72" s="0" t="s">
        <v>324</v>
      </c>
      <c r="Q72" s="3"/>
      <c r="S72" s="2" t="s">
        <v>29</v>
      </c>
    </row>
    <row r="73" customFormat="false" ht="15" hidden="false" customHeight="false" outlineLevel="0" collapsed="false">
      <c r="A73" s="0" t="n">
        <v>72</v>
      </c>
      <c r="D73" s="0" t="s">
        <v>325</v>
      </c>
      <c r="E73" s="0" t="s">
        <v>20</v>
      </c>
      <c r="H73" s="0" t="s">
        <v>21</v>
      </c>
      <c r="I73" s="2" t="s">
        <v>22</v>
      </c>
      <c r="J73" s="2" t="s">
        <v>23</v>
      </c>
      <c r="K73" s="0" t="s">
        <v>302</v>
      </c>
      <c r="L73" s="0" t="s">
        <v>31</v>
      </c>
      <c r="M73" s="0" t="s">
        <v>303</v>
      </c>
      <c r="N73" s="0" t="s">
        <v>326</v>
      </c>
      <c r="O73" s="0" t="n">
        <v>1</v>
      </c>
      <c r="P73" s="0" t="s">
        <v>327</v>
      </c>
      <c r="Q73" s="3"/>
      <c r="S73" s="2" t="s">
        <v>29</v>
      </c>
    </row>
    <row r="74" customFormat="false" ht="15" hidden="false" customHeight="false" outlineLevel="0" collapsed="false">
      <c r="A74" s="0" t="n">
        <v>73</v>
      </c>
      <c r="D74" s="0" t="s">
        <v>328</v>
      </c>
      <c r="E74" s="0" t="s">
        <v>63</v>
      </c>
      <c r="H74" s="0" t="s">
        <v>21</v>
      </c>
      <c r="I74" s="2" t="s">
        <v>22</v>
      </c>
      <c r="J74" s="2" t="s">
        <v>23</v>
      </c>
      <c r="K74" s="0" t="s">
        <v>302</v>
      </c>
      <c r="L74" s="0" t="s">
        <v>100</v>
      </c>
      <c r="M74" s="0" t="s">
        <v>303</v>
      </c>
      <c r="N74" s="0" t="s">
        <v>329</v>
      </c>
      <c r="O74" s="0" t="n">
        <v>1</v>
      </c>
      <c r="P74" s="0" t="s">
        <v>330</v>
      </c>
      <c r="Q74" s="3"/>
      <c r="S74" s="2" t="s">
        <v>29</v>
      </c>
    </row>
    <row r="75" customFormat="false" ht="15" hidden="false" customHeight="false" outlineLevel="0" collapsed="false">
      <c r="A75" s="0" t="n">
        <v>74</v>
      </c>
      <c r="D75" s="0" t="s">
        <v>331</v>
      </c>
      <c r="E75" s="0" t="s">
        <v>20</v>
      </c>
      <c r="F75" s="0" t="s">
        <v>332</v>
      </c>
      <c r="H75" s="0" t="s">
        <v>21</v>
      </c>
      <c r="I75" s="2" t="s">
        <v>22</v>
      </c>
      <c r="J75" s="2" t="s">
        <v>23</v>
      </c>
      <c r="K75" s="0" t="s">
        <v>302</v>
      </c>
      <c r="L75" s="0" t="s">
        <v>333</v>
      </c>
      <c r="M75" s="0" t="s">
        <v>303</v>
      </c>
      <c r="N75" s="0" t="s">
        <v>334</v>
      </c>
      <c r="O75" s="0" t="n">
        <v>1</v>
      </c>
      <c r="P75" s="0" t="s">
        <v>335</v>
      </c>
      <c r="Q75" s="3" t="s">
        <v>336</v>
      </c>
      <c r="R75" s="2" t="s">
        <v>337</v>
      </c>
      <c r="S75" s="2" t="s">
        <v>45</v>
      </c>
    </row>
    <row r="76" customFormat="false" ht="15" hidden="false" customHeight="false" outlineLevel="0" collapsed="false">
      <c r="A76" s="0" t="n">
        <v>75</v>
      </c>
      <c r="D76" s="0" t="s">
        <v>338</v>
      </c>
      <c r="E76" s="0" t="s">
        <v>20</v>
      </c>
      <c r="H76" s="0" t="s">
        <v>21</v>
      </c>
      <c r="I76" s="2" t="s">
        <v>22</v>
      </c>
      <c r="J76" s="2" t="s">
        <v>23</v>
      </c>
      <c r="K76" s="0" t="s">
        <v>302</v>
      </c>
      <c r="L76" s="0" t="s">
        <v>31</v>
      </c>
      <c r="M76" s="0" t="s">
        <v>303</v>
      </c>
      <c r="N76" s="0" t="s">
        <v>339</v>
      </c>
      <c r="O76" s="0" t="n">
        <v>1</v>
      </c>
      <c r="P76" s="0" t="s">
        <v>340</v>
      </c>
      <c r="Q76" s="3"/>
      <c r="S76" s="2" t="s">
        <v>29</v>
      </c>
    </row>
    <row r="77" customFormat="false" ht="15" hidden="false" customHeight="false" outlineLevel="0" collapsed="false">
      <c r="A77" s="0" t="n">
        <v>76</v>
      </c>
      <c r="D77" s="0" t="s">
        <v>341</v>
      </c>
      <c r="E77" s="0" t="s">
        <v>20</v>
      </c>
      <c r="F77" s="0" t="s">
        <v>342</v>
      </c>
      <c r="H77" s="0" t="s">
        <v>21</v>
      </c>
      <c r="I77" s="2" t="s">
        <v>22</v>
      </c>
      <c r="J77" s="2" t="s">
        <v>23</v>
      </c>
      <c r="K77" s="0" t="s">
        <v>302</v>
      </c>
      <c r="L77" s="0" t="s">
        <v>343</v>
      </c>
      <c r="M77" s="0" t="s">
        <v>303</v>
      </c>
      <c r="N77" s="0" t="s">
        <v>344</v>
      </c>
      <c r="O77" s="0" t="n">
        <v>1</v>
      </c>
      <c r="P77" s="0" t="s">
        <v>345</v>
      </c>
      <c r="Q77" s="3" t="s">
        <v>346</v>
      </c>
      <c r="R77" s="2" t="s">
        <v>347</v>
      </c>
      <c r="S77" s="2" t="s">
        <v>45</v>
      </c>
    </row>
    <row r="78" customFormat="false" ht="15" hidden="false" customHeight="false" outlineLevel="0" collapsed="false">
      <c r="A78" s="0" t="n">
        <v>77</v>
      </c>
      <c r="D78" s="0" t="s">
        <v>348</v>
      </c>
      <c r="E78" s="0" t="s">
        <v>20</v>
      </c>
      <c r="H78" s="0" t="s">
        <v>21</v>
      </c>
      <c r="I78" s="2" t="s">
        <v>22</v>
      </c>
      <c r="J78" s="2" t="s">
        <v>23</v>
      </c>
      <c r="K78" s="0" t="s">
        <v>302</v>
      </c>
      <c r="L78" s="0" t="s">
        <v>31</v>
      </c>
      <c r="M78" s="0" t="s">
        <v>303</v>
      </c>
      <c r="N78" s="0" t="s">
        <v>349</v>
      </c>
      <c r="O78" s="0" t="n">
        <v>1</v>
      </c>
      <c r="P78" s="0" t="s">
        <v>350</v>
      </c>
      <c r="Q78" s="3"/>
      <c r="S78" s="2" t="s">
        <v>29</v>
      </c>
    </row>
    <row r="79" customFormat="false" ht="15" hidden="false" customHeight="false" outlineLevel="0" collapsed="false">
      <c r="A79" s="0" t="n">
        <v>78</v>
      </c>
      <c r="D79" s="0" t="s">
        <v>351</v>
      </c>
      <c r="E79" s="0" t="s">
        <v>20</v>
      </c>
      <c r="H79" s="0" t="s">
        <v>21</v>
      </c>
      <c r="I79" s="2" t="s">
        <v>22</v>
      </c>
      <c r="J79" s="2" t="s">
        <v>23</v>
      </c>
      <c r="K79" s="0" t="s">
        <v>302</v>
      </c>
      <c r="L79" s="0" t="s">
        <v>31</v>
      </c>
      <c r="M79" s="0" t="s">
        <v>303</v>
      </c>
      <c r="N79" s="0" t="s">
        <v>352</v>
      </c>
      <c r="O79" s="0" t="n">
        <v>1</v>
      </c>
      <c r="P79" s="0" t="s">
        <v>353</v>
      </c>
      <c r="Q79" s="3"/>
      <c r="S79" s="2" t="s">
        <v>29</v>
      </c>
    </row>
    <row r="80" customFormat="false" ht="15" hidden="false" customHeight="false" outlineLevel="0" collapsed="false">
      <c r="A80" s="0" t="n">
        <v>79</v>
      </c>
      <c r="D80" s="0" t="s">
        <v>354</v>
      </c>
      <c r="E80" s="0" t="s">
        <v>20</v>
      </c>
      <c r="H80" s="0" t="s">
        <v>21</v>
      </c>
      <c r="I80" s="2" t="s">
        <v>22</v>
      </c>
      <c r="J80" s="2" t="s">
        <v>23</v>
      </c>
      <c r="K80" s="0" t="s">
        <v>302</v>
      </c>
      <c r="L80" s="0" t="s">
        <v>31</v>
      </c>
      <c r="M80" s="0" t="s">
        <v>303</v>
      </c>
      <c r="N80" s="0" t="s">
        <v>355</v>
      </c>
      <c r="O80" s="0" t="n">
        <v>1</v>
      </c>
      <c r="P80" s="0" t="s">
        <v>356</v>
      </c>
      <c r="Q80" s="3"/>
      <c r="S80" s="2" t="s">
        <v>29</v>
      </c>
    </row>
    <row r="81" customFormat="false" ht="15" hidden="false" customHeight="false" outlineLevel="0" collapsed="false">
      <c r="A81" s="0" t="n">
        <v>80</v>
      </c>
      <c r="D81" s="0" t="s">
        <v>357</v>
      </c>
      <c r="E81" s="0" t="s">
        <v>20</v>
      </c>
      <c r="H81" s="0" t="s">
        <v>21</v>
      </c>
      <c r="I81" s="2" t="s">
        <v>22</v>
      </c>
      <c r="J81" s="2" t="s">
        <v>23</v>
      </c>
      <c r="K81" s="0" t="s">
        <v>302</v>
      </c>
      <c r="L81" s="0" t="s">
        <v>31</v>
      </c>
      <c r="M81" s="0" t="s">
        <v>303</v>
      </c>
      <c r="N81" s="0" t="s">
        <v>358</v>
      </c>
      <c r="O81" s="0" t="n">
        <v>1</v>
      </c>
      <c r="P81" s="0" t="s">
        <v>359</v>
      </c>
      <c r="Q81" s="3"/>
      <c r="S81" s="2" t="s">
        <v>29</v>
      </c>
    </row>
    <row r="82" customFormat="false" ht="15" hidden="false" customHeight="false" outlineLevel="0" collapsed="false">
      <c r="A82" s="0" t="n">
        <v>81</v>
      </c>
      <c r="B82" s="0" t="s">
        <v>360</v>
      </c>
      <c r="C82" s="0" t="s">
        <v>361</v>
      </c>
      <c r="D82" s="0" t="s">
        <v>362</v>
      </c>
      <c r="E82" s="0" t="s">
        <v>20</v>
      </c>
      <c r="F82" s="0" t="s">
        <v>363</v>
      </c>
      <c r="H82" s="0" t="s">
        <v>21</v>
      </c>
      <c r="I82" s="2" t="s">
        <v>22</v>
      </c>
      <c r="J82" s="2" t="s">
        <v>23</v>
      </c>
      <c r="K82" s="0" t="s">
        <v>364</v>
      </c>
      <c r="L82" s="0" t="s">
        <v>365</v>
      </c>
      <c r="M82" s="0" t="s">
        <v>366</v>
      </c>
      <c r="N82" s="0" t="s">
        <v>367</v>
      </c>
      <c r="O82" s="0" t="n">
        <v>4</v>
      </c>
      <c r="P82" s="0" t="s">
        <v>368</v>
      </c>
      <c r="Q82" s="3" t="s">
        <v>369</v>
      </c>
      <c r="R82" s="2" t="s">
        <v>370</v>
      </c>
      <c r="S82" s="2" t="s">
        <v>45</v>
      </c>
    </row>
    <row r="83" customFormat="false" ht="15" hidden="false" customHeight="false" outlineLevel="0" collapsed="false">
      <c r="A83" s="0" t="n">
        <v>82</v>
      </c>
      <c r="B83" s="0" t="s">
        <v>371</v>
      </c>
      <c r="C83" s="0" t="s">
        <v>372</v>
      </c>
      <c r="D83" s="0" t="s">
        <v>373</v>
      </c>
      <c r="E83" s="0" t="s">
        <v>20</v>
      </c>
      <c r="F83" s="0" t="s">
        <v>374</v>
      </c>
      <c r="H83" s="0" t="s">
        <v>21</v>
      </c>
      <c r="I83" s="2" t="s">
        <v>22</v>
      </c>
      <c r="J83" s="2" t="s">
        <v>23</v>
      </c>
      <c r="K83" s="0" t="s">
        <v>364</v>
      </c>
      <c r="L83" s="0" t="s">
        <v>375</v>
      </c>
      <c r="M83" s="0" t="s">
        <v>366</v>
      </c>
      <c r="N83" s="0" t="s">
        <v>376</v>
      </c>
      <c r="O83" s="0" t="n">
        <v>1</v>
      </c>
      <c r="P83" s="0" t="s">
        <v>377</v>
      </c>
      <c r="Q83" s="3" t="s">
        <v>378</v>
      </c>
      <c r="R83" s="2" t="s">
        <v>379</v>
      </c>
      <c r="S83" s="2" t="s">
        <v>45</v>
      </c>
    </row>
    <row r="84" customFormat="false" ht="15" hidden="false" customHeight="false" outlineLevel="0" collapsed="false">
      <c r="A84" s="0" t="n">
        <v>83</v>
      </c>
      <c r="B84" s="0" t="s">
        <v>380</v>
      </c>
      <c r="D84" s="0" t="s">
        <v>381</v>
      </c>
      <c r="E84" s="0" t="s">
        <v>20</v>
      </c>
      <c r="F84" s="0" t="s">
        <v>382</v>
      </c>
      <c r="H84" s="0" t="s">
        <v>21</v>
      </c>
      <c r="I84" s="2" t="s">
        <v>22</v>
      </c>
      <c r="J84" s="2" t="s">
        <v>23</v>
      </c>
      <c r="K84" s="0" t="s">
        <v>383</v>
      </c>
      <c r="L84" s="0" t="s">
        <v>384</v>
      </c>
      <c r="M84" s="0" t="s">
        <v>385</v>
      </c>
      <c r="N84" s="0" t="s">
        <v>386</v>
      </c>
      <c r="O84" s="0" t="n">
        <v>1</v>
      </c>
      <c r="P84" s="0" t="s">
        <v>387</v>
      </c>
      <c r="Q84" s="3" t="s">
        <v>388</v>
      </c>
      <c r="R84" s="2" t="s">
        <v>389</v>
      </c>
      <c r="S84" s="2" t="s">
        <v>45</v>
      </c>
    </row>
    <row r="85" customFormat="false" ht="15" hidden="false" customHeight="false" outlineLevel="0" collapsed="false">
      <c r="A85" s="0" t="n">
        <v>84</v>
      </c>
      <c r="D85" s="0" t="s">
        <v>390</v>
      </c>
      <c r="E85" s="0" t="s">
        <v>20</v>
      </c>
      <c r="H85" s="0" t="s">
        <v>21</v>
      </c>
      <c r="I85" s="2" t="s">
        <v>22</v>
      </c>
      <c r="J85" s="2" t="s">
        <v>391</v>
      </c>
      <c r="K85" s="0" t="s">
        <v>392</v>
      </c>
      <c r="L85" s="0" t="s">
        <v>25</v>
      </c>
      <c r="M85" s="0" t="s">
        <v>393</v>
      </c>
      <c r="N85" s="0" t="s">
        <v>394</v>
      </c>
      <c r="O85" s="0" t="n">
        <v>3</v>
      </c>
      <c r="P85" s="0" t="s">
        <v>395</v>
      </c>
      <c r="Q85" s="3"/>
      <c r="S85" s="2" t="s">
        <v>29</v>
      </c>
    </row>
    <row r="86" customFormat="false" ht="15" hidden="false" customHeight="false" outlineLevel="0" collapsed="false">
      <c r="A86" s="0" t="n">
        <v>85</v>
      </c>
      <c r="D86" s="0" t="s">
        <v>396</v>
      </c>
      <c r="E86" s="0" t="s">
        <v>20</v>
      </c>
      <c r="F86" s="0" t="s">
        <v>397</v>
      </c>
      <c r="H86" s="0" t="s">
        <v>21</v>
      </c>
      <c r="I86" s="2" t="s">
        <v>22</v>
      </c>
      <c r="J86" s="2" t="s">
        <v>391</v>
      </c>
      <c r="K86" s="0" t="s">
        <v>392</v>
      </c>
      <c r="L86" s="0" t="s">
        <v>398</v>
      </c>
      <c r="M86" s="0" t="s">
        <v>393</v>
      </c>
      <c r="N86" s="0" t="s">
        <v>399</v>
      </c>
      <c r="O86" s="0" t="n">
        <v>3</v>
      </c>
      <c r="P86" s="0" t="s">
        <v>400</v>
      </c>
      <c r="Q86" s="3" t="s">
        <v>401</v>
      </c>
      <c r="R86" s="2" t="s">
        <v>402</v>
      </c>
      <c r="S86" s="2" t="s">
        <v>45</v>
      </c>
    </row>
    <row r="87" customFormat="false" ht="15" hidden="false" customHeight="false" outlineLevel="0" collapsed="false">
      <c r="A87" s="0" t="n">
        <v>86</v>
      </c>
      <c r="D87" s="0" t="s">
        <v>403</v>
      </c>
      <c r="E87" s="0" t="s">
        <v>20</v>
      </c>
      <c r="F87" s="0" t="s">
        <v>404</v>
      </c>
      <c r="H87" s="0" t="s">
        <v>21</v>
      </c>
      <c r="I87" s="2" t="s">
        <v>22</v>
      </c>
      <c r="J87" s="2" t="s">
        <v>391</v>
      </c>
      <c r="K87" s="0" t="s">
        <v>392</v>
      </c>
      <c r="L87" s="0" t="s">
        <v>405</v>
      </c>
      <c r="M87" s="0" t="s">
        <v>393</v>
      </c>
      <c r="N87" s="0" t="s">
        <v>406</v>
      </c>
      <c r="O87" s="0" t="n">
        <v>2</v>
      </c>
      <c r="P87" s="0" t="s">
        <v>407</v>
      </c>
      <c r="Q87" s="3" t="s">
        <v>408</v>
      </c>
      <c r="R87" s="2" t="s">
        <v>409</v>
      </c>
      <c r="S87" s="2" t="s">
        <v>45</v>
      </c>
    </row>
    <row r="88" customFormat="false" ht="15" hidden="false" customHeight="false" outlineLevel="0" collapsed="false">
      <c r="A88" s="0" t="n">
        <v>87</v>
      </c>
      <c r="D88" s="0" t="s">
        <v>410</v>
      </c>
      <c r="E88" s="0" t="s">
        <v>20</v>
      </c>
      <c r="H88" s="0" t="s">
        <v>21</v>
      </c>
      <c r="I88" s="2" t="s">
        <v>22</v>
      </c>
      <c r="J88" s="2" t="s">
        <v>391</v>
      </c>
      <c r="K88" s="0" t="s">
        <v>392</v>
      </c>
      <c r="L88" s="0" t="s">
        <v>25</v>
      </c>
      <c r="M88" s="0" t="s">
        <v>393</v>
      </c>
      <c r="N88" s="0" t="s">
        <v>411</v>
      </c>
      <c r="O88" s="0" t="n">
        <v>2</v>
      </c>
      <c r="P88" s="0" t="s">
        <v>412</v>
      </c>
      <c r="Q88" s="3"/>
      <c r="S88" s="2" t="s">
        <v>29</v>
      </c>
    </row>
    <row r="89" customFormat="false" ht="15" hidden="false" customHeight="false" outlineLevel="0" collapsed="false">
      <c r="A89" s="0" t="n">
        <v>88</v>
      </c>
      <c r="D89" s="0" t="s">
        <v>413</v>
      </c>
      <c r="E89" s="0" t="s">
        <v>20</v>
      </c>
      <c r="H89" s="0" t="s">
        <v>21</v>
      </c>
      <c r="I89" s="2" t="s">
        <v>22</v>
      </c>
      <c r="J89" s="2" t="s">
        <v>391</v>
      </c>
      <c r="K89" s="0" t="s">
        <v>392</v>
      </c>
      <c r="L89" s="0" t="s">
        <v>25</v>
      </c>
      <c r="M89" s="0" t="s">
        <v>393</v>
      </c>
      <c r="N89" s="0" t="s">
        <v>414</v>
      </c>
      <c r="O89" s="0" t="n">
        <v>2</v>
      </c>
      <c r="P89" s="0" t="s">
        <v>415</v>
      </c>
      <c r="Q89" s="3"/>
      <c r="S89" s="2" t="s">
        <v>29</v>
      </c>
    </row>
    <row r="90" customFormat="false" ht="15" hidden="false" customHeight="false" outlineLevel="0" collapsed="false">
      <c r="A90" s="0" t="n">
        <v>89</v>
      </c>
      <c r="D90" s="0" t="s">
        <v>416</v>
      </c>
      <c r="E90" s="0" t="s">
        <v>20</v>
      </c>
      <c r="H90" s="0" t="s">
        <v>21</v>
      </c>
      <c r="I90" s="2" t="s">
        <v>22</v>
      </c>
      <c r="J90" s="2" t="s">
        <v>391</v>
      </c>
      <c r="K90" s="0" t="s">
        <v>392</v>
      </c>
      <c r="L90" s="0" t="s">
        <v>25</v>
      </c>
      <c r="M90" s="0" t="s">
        <v>393</v>
      </c>
      <c r="N90" s="0" t="s">
        <v>417</v>
      </c>
      <c r="O90" s="0" t="n">
        <v>2</v>
      </c>
      <c r="P90" s="0" t="s">
        <v>418</v>
      </c>
      <c r="Q90" s="3"/>
      <c r="S90" s="2" t="s">
        <v>29</v>
      </c>
    </row>
    <row r="91" customFormat="false" ht="15" hidden="false" customHeight="false" outlineLevel="0" collapsed="false">
      <c r="A91" s="0" t="n">
        <v>90</v>
      </c>
      <c r="D91" s="0" t="s">
        <v>419</v>
      </c>
      <c r="E91" s="0" t="s">
        <v>20</v>
      </c>
      <c r="H91" s="0" t="s">
        <v>21</v>
      </c>
      <c r="I91" s="2" t="s">
        <v>22</v>
      </c>
      <c r="J91" s="2" t="s">
        <v>391</v>
      </c>
      <c r="K91" s="0" t="s">
        <v>392</v>
      </c>
      <c r="L91" s="0" t="s">
        <v>25</v>
      </c>
      <c r="M91" s="0" t="s">
        <v>393</v>
      </c>
      <c r="N91" s="0" t="s">
        <v>420</v>
      </c>
      <c r="O91" s="0" t="n">
        <v>2</v>
      </c>
      <c r="Q91" s="3"/>
      <c r="S91" s="2" t="s">
        <v>29</v>
      </c>
    </row>
    <row r="92" customFormat="false" ht="15" hidden="false" customHeight="false" outlineLevel="0" collapsed="false">
      <c r="A92" s="0" t="n">
        <v>91</v>
      </c>
      <c r="D92" s="0" t="s">
        <v>421</v>
      </c>
      <c r="E92" s="0" t="s">
        <v>20</v>
      </c>
      <c r="F92" s="0" t="s">
        <v>422</v>
      </c>
      <c r="H92" s="0" t="s">
        <v>21</v>
      </c>
      <c r="I92" s="2" t="s">
        <v>22</v>
      </c>
      <c r="J92" s="2" t="s">
        <v>391</v>
      </c>
      <c r="K92" s="0" t="s">
        <v>392</v>
      </c>
      <c r="L92" s="0" t="s">
        <v>423</v>
      </c>
      <c r="M92" s="0" t="s">
        <v>393</v>
      </c>
      <c r="N92" s="0" t="s">
        <v>424</v>
      </c>
      <c r="O92" s="0" t="n">
        <v>1</v>
      </c>
      <c r="P92" s="0" t="s">
        <v>425</v>
      </c>
      <c r="Q92" s="3" t="s">
        <v>426</v>
      </c>
      <c r="R92" s="2" t="s">
        <v>427</v>
      </c>
      <c r="S92" s="2" t="s">
        <v>45</v>
      </c>
    </row>
    <row r="93" customFormat="false" ht="15" hidden="false" customHeight="false" outlineLevel="0" collapsed="false">
      <c r="A93" s="0" t="n">
        <v>92</v>
      </c>
      <c r="D93" s="0" t="s">
        <v>428</v>
      </c>
      <c r="E93" s="0" t="s">
        <v>20</v>
      </c>
      <c r="H93" s="0" t="s">
        <v>21</v>
      </c>
      <c r="I93" s="2" t="s">
        <v>22</v>
      </c>
      <c r="J93" s="2" t="s">
        <v>391</v>
      </c>
      <c r="K93" s="0" t="s">
        <v>392</v>
      </c>
      <c r="L93" s="0" t="s">
        <v>31</v>
      </c>
      <c r="M93" s="0" t="s">
        <v>393</v>
      </c>
      <c r="N93" s="0" t="s">
        <v>429</v>
      </c>
      <c r="O93" s="0" t="n">
        <v>1</v>
      </c>
      <c r="Q93" s="3"/>
      <c r="S93" s="2" t="s">
        <v>29</v>
      </c>
    </row>
    <row r="94" customFormat="false" ht="15" hidden="false" customHeight="false" outlineLevel="0" collapsed="false">
      <c r="A94" s="0" t="n">
        <v>93</v>
      </c>
      <c r="D94" s="0" t="s">
        <v>430</v>
      </c>
      <c r="E94" s="0" t="s">
        <v>20</v>
      </c>
      <c r="H94" s="0" t="s">
        <v>21</v>
      </c>
      <c r="I94" s="2" t="s">
        <v>22</v>
      </c>
      <c r="J94" s="2" t="s">
        <v>391</v>
      </c>
      <c r="K94" s="0" t="s">
        <v>392</v>
      </c>
      <c r="L94" s="0" t="s">
        <v>31</v>
      </c>
      <c r="M94" s="0" t="s">
        <v>393</v>
      </c>
      <c r="N94" s="0" t="s">
        <v>431</v>
      </c>
      <c r="O94" s="0" t="n">
        <v>1</v>
      </c>
      <c r="P94" s="0" t="s">
        <v>432</v>
      </c>
      <c r="Q94" s="3"/>
      <c r="S94" s="2" t="s">
        <v>29</v>
      </c>
    </row>
    <row r="95" customFormat="false" ht="15" hidden="false" customHeight="false" outlineLevel="0" collapsed="false">
      <c r="A95" s="0" t="n">
        <v>94</v>
      </c>
      <c r="D95" s="0" t="s">
        <v>433</v>
      </c>
      <c r="E95" s="0" t="s">
        <v>20</v>
      </c>
      <c r="H95" s="0" t="s">
        <v>21</v>
      </c>
      <c r="I95" s="2" t="s">
        <v>22</v>
      </c>
      <c r="J95" s="2" t="s">
        <v>391</v>
      </c>
      <c r="K95" s="0" t="s">
        <v>392</v>
      </c>
      <c r="L95" s="0" t="s">
        <v>31</v>
      </c>
      <c r="M95" s="0" t="s">
        <v>393</v>
      </c>
      <c r="N95" s="0" t="s">
        <v>434</v>
      </c>
      <c r="O95" s="0" t="n">
        <v>1</v>
      </c>
      <c r="P95" s="0" t="s">
        <v>435</v>
      </c>
      <c r="Q95" s="3"/>
      <c r="S95" s="2" t="s">
        <v>29</v>
      </c>
    </row>
    <row r="96" customFormat="false" ht="15" hidden="false" customHeight="false" outlineLevel="0" collapsed="false">
      <c r="A96" s="0" t="n">
        <v>95</v>
      </c>
      <c r="D96" s="0" t="s">
        <v>436</v>
      </c>
      <c r="E96" s="0" t="s">
        <v>437</v>
      </c>
      <c r="H96" s="0" t="s">
        <v>21</v>
      </c>
      <c r="I96" s="2" t="s">
        <v>22</v>
      </c>
      <c r="J96" s="2" t="s">
        <v>391</v>
      </c>
      <c r="K96" s="0" t="s">
        <v>392</v>
      </c>
      <c r="L96" s="0" t="s">
        <v>31</v>
      </c>
      <c r="M96" s="0" t="s">
        <v>393</v>
      </c>
      <c r="N96" s="0" t="s">
        <v>438</v>
      </c>
      <c r="O96" s="0" t="n">
        <v>1</v>
      </c>
      <c r="P96" s="0" t="s">
        <v>439</v>
      </c>
      <c r="Q96" s="3"/>
      <c r="S96" s="2" t="s">
        <v>29</v>
      </c>
    </row>
    <row r="97" customFormat="false" ht="15" hidden="false" customHeight="false" outlineLevel="0" collapsed="false">
      <c r="A97" s="0" t="n">
        <v>96</v>
      </c>
      <c r="D97" s="0" t="s">
        <v>440</v>
      </c>
      <c r="E97" s="0" t="s">
        <v>20</v>
      </c>
      <c r="F97" s="0" t="s">
        <v>441</v>
      </c>
      <c r="H97" s="0" t="s">
        <v>21</v>
      </c>
      <c r="I97" s="2" t="s">
        <v>22</v>
      </c>
      <c r="J97" s="2" t="s">
        <v>391</v>
      </c>
      <c r="K97" s="0" t="s">
        <v>364</v>
      </c>
      <c r="L97" s="0" t="s">
        <v>442</v>
      </c>
      <c r="M97" s="0" t="s">
        <v>366</v>
      </c>
      <c r="N97" s="0" t="s">
        <v>443</v>
      </c>
      <c r="O97" s="0" t="n">
        <v>6</v>
      </c>
      <c r="P97" s="0" t="s">
        <v>444</v>
      </c>
      <c r="Q97" s="3" t="s">
        <v>445</v>
      </c>
      <c r="R97" s="2" t="s">
        <v>446</v>
      </c>
      <c r="S97" s="2" t="s">
        <v>45</v>
      </c>
    </row>
    <row r="98" customFormat="false" ht="15" hidden="false" customHeight="false" outlineLevel="0" collapsed="false">
      <c r="A98" s="0" t="n">
        <v>97</v>
      </c>
      <c r="D98" s="0" t="s">
        <v>447</v>
      </c>
      <c r="E98" s="0" t="s">
        <v>63</v>
      </c>
      <c r="H98" s="0" t="s">
        <v>21</v>
      </c>
      <c r="I98" s="2" t="s">
        <v>22</v>
      </c>
      <c r="J98" s="2" t="s">
        <v>391</v>
      </c>
      <c r="K98" s="0" t="s">
        <v>364</v>
      </c>
      <c r="L98" s="0" t="s">
        <v>64</v>
      </c>
      <c r="M98" s="0" t="s">
        <v>366</v>
      </c>
      <c r="N98" s="0" t="s">
        <v>448</v>
      </c>
      <c r="O98" s="0" t="n">
        <v>2</v>
      </c>
      <c r="P98" s="0" t="s">
        <v>449</v>
      </c>
      <c r="Q98" s="3"/>
      <c r="S98" s="2" t="s">
        <v>29</v>
      </c>
    </row>
    <row r="99" customFormat="false" ht="15" hidden="false" customHeight="false" outlineLevel="0" collapsed="false">
      <c r="A99" s="0" t="n">
        <v>98</v>
      </c>
      <c r="D99" s="0" t="s">
        <v>450</v>
      </c>
      <c r="E99" s="0" t="s">
        <v>20</v>
      </c>
      <c r="F99" s="0" t="s">
        <v>451</v>
      </c>
      <c r="H99" s="0" t="s">
        <v>21</v>
      </c>
      <c r="I99" s="2" t="s">
        <v>22</v>
      </c>
      <c r="J99" s="2" t="s">
        <v>391</v>
      </c>
      <c r="K99" s="0" t="s">
        <v>364</v>
      </c>
      <c r="L99" s="0" t="s">
        <v>452</v>
      </c>
      <c r="M99" s="0" t="s">
        <v>366</v>
      </c>
      <c r="N99" s="0" t="s">
        <v>453</v>
      </c>
      <c r="O99" s="0" t="n">
        <v>2</v>
      </c>
      <c r="P99" s="0" t="s">
        <v>454</v>
      </c>
      <c r="Q99" s="3" t="s">
        <v>455</v>
      </c>
      <c r="R99" s="2" t="s">
        <v>456</v>
      </c>
      <c r="S99" s="2" t="s">
        <v>45</v>
      </c>
    </row>
    <row r="100" customFormat="false" ht="15" hidden="false" customHeight="false" outlineLevel="0" collapsed="false">
      <c r="A100" s="0" t="n">
        <v>99</v>
      </c>
      <c r="D100" s="0" t="s">
        <v>457</v>
      </c>
      <c r="E100" s="0" t="s">
        <v>20</v>
      </c>
      <c r="F100" s="0" t="s">
        <v>458</v>
      </c>
      <c r="H100" s="0" t="s">
        <v>21</v>
      </c>
      <c r="I100" s="2" t="s">
        <v>22</v>
      </c>
      <c r="J100" s="2" t="s">
        <v>391</v>
      </c>
      <c r="K100" s="0" t="s">
        <v>364</v>
      </c>
      <c r="L100" s="0" t="s">
        <v>459</v>
      </c>
      <c r="M100" s="0" t="s">
        <v>366</v>
      </c>
      <c r="N100" s="0" t="s">
        <v>460</v>
      </c>
      <c r="O100" s="0" t="n">
        <v>2</v>
      </c>
      <c r="P100" s="0" t="s">
        <v>461</v>
      </c>
      <c r="Q100" s="3" t="s">
        <v>462</v>
      </c>
      <c r="R100" s="2" t="s">
        <v>463</v>
      </c>
      <c r="S100" s="2" t="s">
        <v>45</v>
      </c>
    </row>
    <row r="101" customFormat="false" ht="15" hidden="false" customHeight="false" outlineLevel="0" collapsed="false">
      <c r="A101" s="0" t="n">
        <v>100</v>
      </c>
      <c r="D101" s="0" t="s">
        <v>464</v>
      </c>
      <c r="E101" s="0" t="s">
        <v>20</v>
      </c>
      <c r="H101" s="0" t="s">
        <v>21</v>
      </c>
      <c r="I101" s="2" t="s">
        <v>22</v>
      </c>
      <c r="J101" s="2" t="s">
        <v>391</v>
      </c>
      <c r="K101" s="0" t="s">
        <v>364</v>
      </c>
      <c r="L101" s="0" t="s">
        <v>25</v>
      </c>
      <c r="M101" s="0" t="s">
        <v>366</v>
      </c>
      <c r="N101" s="0" t="s">
        <v>465</v>
      </c>
      <c r="O101" s="0" t="n">
        <v>2</v>
      </c>
      <c r="P101" s="0" t="s">
        <v>466</v>
      </c>
      <c r="Q101" s="3"/>
      <c r="S101" s="2" t="s">
        <v>29</v>
      </c>
    </row>
    <row r="102" customFormat="false" ht="15" hidden="false" customHeight="false" outlineLevel="0" collapsed="false">
      <c r="A102" s="0" t="n">
        <v>101</v>
      </c>
      <c r="D102" s="0" t="s">
        <v>467</v>
      </c>
      <c r="E102" s="0" t="s">
        <v>20</v>
      </c>
      <c r="F102" s="0" t="s">
        <v>468</v>
      </c>
      <c r="H102" s="0" t="s">
        <v>21</v>
      </c>
      <c r="I102" s="2" t="s">
        <v>22</v>
      </c>
      <c r="J102" s="2" t="s">
        <v>391</v>
      </c>
      <c r="K102" s="0" t="s">
        <v>364</v>
      </c>
      <c r="L102" s="0" t="s">
        <v>469</v>
      </c>
      <c r="M102" s="0" t="s">
        <v>366</v>
      </c>
      <c r="N102" s="0" t="s">
        <v>470</v>
      </c>
      <c r="O102" s="0" t="n">
        <v>2</v>
      </c>
      <c r="P102" s="0" t="s">
        <v>471</v>
      </c>
      <c r="Q102" s="3" t="s">
        <v>472</v>
      </c>
      <c r="R102" s="2" t="s">
        <v>473</v>
      </c>
      <c r="S102" s="2" t="s">
        <v>45</v>
      </c>
    </row>
    <row r="103" customFormat="false" ht="15" hidden="false" customHeight="false" outlineLevel="0" collapsed="false">
      <c r="A103" s="0" t="n">
        <v>102</v>
      </c>
      <c r="D103" s="0" t="s">
        <v>474</v>
      </c>
      <c r="E103" s="0" t="s">
        <v>20</v>
      </c>
      <c r="F103" s="0" t="s">
        <v>475</v>
      </c>
      <c r="H103" s="0" t="s">
        <v>21</v>
      </c>
      <c r="I103" s="2" t="s">
        <v>22</v>
      </c>
      <c r="J103" s="2" t="s">
        <v>391</v>
      </c>
      <c r="K103" s="0" t="s">
        <v>364</v>
      </c>
      <c r="L103" s="0" t="s">
        <v>476</v>
      </c>
      <c r="M103" s="0" t="s">
        <v>366</v>
      </c>
      <c r="N103" s="0" t="s">
        <v>477</v>
      </c>
      <c r="O103" s="0" t="n">
        <v>2</v>
      </c>
      <c r="P103" s="0" t="s">
        <v>478</v>
      </c>
      <c r="Q103" s="3" t="s">
        <v>479</v>
      </c>
      <c r="R103" s="2" t="s">
        <v>480</v>
      </c>
      <c r="S103" s="2" t="s">
        <v>45</v>
      </c>
    </row>
    <row r="104" customFormat="false" ht="15" hidden="false" customHeight="false" outlineLevel="0" collapsed="false">
      <c r="A104" s="0" t="n">
        <v>103</v>
      </c>
      <c r="D104" s="0" t="s">
        <v>481</v>
      </c>
      <c r="E104" s="0" t="s">
        <v>20</v>
      </c>
      <c r="F104" s="0" t="s">
        <v>482</v>
      </c>
      <c r="H104" s="0" t="s">
        <v>21</v>
      </c>
      <c r="I104" s="2" t="s">
        <v>22</v>
      </c>
      <c r="J104" s="2" t="s">
        <v>391</v>
      </c>
      <c r="K104" s="0" t="s">
        <v>364</v>
      </c>
      <c r="L104" s="0" t="s">
        <v>483</v>
      </c>
      <c r="M104" s="0" t="s">
        <v>366</v>
      </c>
      <c r="N104" s="0" t="s">
        <v>484</v>
      </c>
      <c r="O104" s="0" t="n">
        <v>2</v>
      </c>
      <c r="P104" s="0" t="s">
        <v>485</v>
      </c>
      <c r="Q104" s="3" t="s">
        <v>486</v>
      </c>
      <c r="R104" s="2" t="s">
        <v>487</v>
      </c>
      <c r="S104" s="2" t="s">
        <v>45</v>
      </c>
    </row>
    <row r="105" customFormat="false" ht="15" hidden="false" customHeight="false" outlineLevel="0" collapsed="false">
      <c r="A105" s="0" t="n">
        <v>104</v>
      </c>
      <c r="D105" s="0" t="s">
        <v>488</v>
      </c>
      <c r="E105" s="0" t="s">
        <v>20</v>
      </c>
      <c r="H105" s="0" t="s">
        <v>21</v>
      </c>
      <c r="I105" s="2" t="s">
        <v>22</v>
      </c>
      <c r="J105" s="2" t="s">
        <v>391</v>
      </c>
      <c r="K105" s="0" t="s">
        <v>364</v>
      </c>
      <c r="L105" s="0" t="s">
        <v>31</v>
      </c>
      <c r="M105" s="0" t="s">
        <v>366</v>
      </c>
      <c r="N105" s="0" t="s">
        <v>489</v>
      </c>
      <c r="O105" s="0" t="n">
        <v>1</v>
      </c>
      <c r="P105" s="0" t="s">
        <v>490</v>
      </c>
      <c r="Q105" s="3"/>
      <c r="S105" s="2" t="s">
        <v>29</v>
      </c>
    </row>
    <row r="106" customFormat="false" ht="15" hidden="false" customHeight="false" outlineLevel="0" collapsed="false">
      <c r="A106" s="0" t="n">
        <v>105</v>
      </c>
      <c r="D106" s="0" t="s">
        <v>491</v>
      </c>
      <c r="E106" s="0" t="s">
        <v>492</v>
      </c>
      <c r="H106" s="0" t="s">
        <v>21</v>
      </c>
      <c r="I106" s="2" t="s">
        <v>22</v>
      </c>
      <c r="J106" s="2" t="s">
        <v>391</v>
      </c>
      <c r="K106" s="0" t="s">
        <v>364</v>
      </c>
      <c r="L106" s="0" t="s">
        <v>31</v>
      </c>
      <c r="M106" s="0" t="s">
        <v>366</v>
      </c>
      <c r="N106" s="0" t="s">
        <v>493</v>
      </c>
      <c r="O106" s="0" t="n">
        <v>1</v>
      </c>
      <c r="P106" s="0" t="s">
        <v>494</v>
      </c>
      <c r="Q106" s="3"/>
      <c r="S106" s="2" t="s">
        <v>29</v>
      </c>
    </row>
    <row r="107" customFormat="false" ht="15" hidden="false" customHeight="false" outlineLevel="0" collapsed="false">
      <c r="A107" s="0" t="n">
        <v>106</v>
      </c>
      <c r="D107" s="0" t="s">
        <v>495</v>
      </c>
      <c r="E107" s="0" t="s">
        <v>20</v>
      </c>
      <c r="F107" s="0" t="s">
        <v>496</v>
      </c>
      <c r="H107" s="0" t="s">
        <v>21</v>
      </c>
      <c r="I107" s="2" t="s">
        <v>22</v>
      </c>
      <c r="J107" s="2" t="s">
        <v>391</v>
      </c>
      <c r="K107" s="0" t="s">
        <v>364</v>
      </c>
      <c r="L107" s="0" t="s">
        <v>497</v>
      </c>
      <c r="M107" s="0" t="s">
        <v>366</v>
      </c>
      <c r="N107" s="0" t="s">
        <v>498</v>
      </c>
      <c r="O107" s="0" t="n">
        <v>1</v>
      </c>
      <c r="P107" s="0" t="s">
        <v>499</v>
      </c>
      <c r="Q107" s="3" t="s">
        <v>500</v>
      </c>
      <c r="R107" s="2" t="s">
        <v>501</v>
      </c>
      <c r="S107" s="2" t="s">
        <v>45</v>
      </c>
    </row>
    <row r="108" customFormat="false" ht="15" hidden="false" customHeight="false" outlineLevel="0" collapsed="false">
      <c r="A108" s="0" t="n">
        <v>107</v>
      </c>
      <c r="D108" s="0" t="s">
        <v>502</v>
      </c>
      <c r="E108" s="0" t="s">
        <v>20</v>
      </c>
      <c r="F108" s="0" t="s">
        <v>503</v>
      </c>
      <c r="H108" s="0" t="s">
        <v>21</v>
      </c>
      <c r="I108" s="2" t="s">
        <v>22</v>
      </c>
      <c r="J108" s="2" t="s">
        <v>391</v>
      </c>
      <c r="K108" s="0" t="s">
        <v>364</v>
      </c>
      <c r="L108" s="0" t="s">
        <v>504</v>
      </c>
      <c r="M108" s="0" t="s">
        <v>366</v>
      </c>
      <c r="N108" s="0" t="s">
        <v>505</v>
      </c>
      <c r="O108" s="0" t="n">
        <v>1</v>
      </c>
      <c r="P108" s="0" t="s">
        <v>506</v>
      </c>
      <c r="Q108" s="3" t="s">
        <v>507</v>
      </c>
      <c r="R108" s="2" t="s">
        <v>508</v>
      </c>
      <c r="S108" s="2" t="s">
        <v>45</v>
      </c>
    </row>
    <row r="109" customFormat="false" ht="15" hidden="false" customHeight="false" outlineLevel="0" collapsed="false">
      <c r="A109" s="0" t="n">
        <v>108</v>
      </c>
      <c r="D109" s="0" t="s">
        <v>509</v>
      </c>
      <c r="E109" s="0" t="s">
        <v>20</v>
      </c>
      <c r="H109" s="0" t="s">
        <v>21</v>
      </c>
      <c r="I109" s="2" t="s">
        <v>22</v>
      </c>
      <c r="J109" s="2" t="s">
        <v>391</v>
      </c>
      <c r="K109" s="0" t="s">
        <v>364</v>
      </c>
      <c r="L109" s="0" t="s">
        <v>31</v>
      </c>
      <c r="M109" s="0" t="s">
        <v>366</v>
      </c>
      <c r="N109" s="0" t="s">
        <v>510</v>
      </c>
      <c r="O109" s="0" t="n">
        <v>1</v>
      </c>
      <c r="P109" s="0" t="s">
        <v>511</v>
      </c>
      <c r="Q109" s="3"/>
      <c r="S109" s="2" t="s">
        <v>29</v>
      </c>
    </row>
    <row r="110" customFormat="false" ht="15" hidden="false" customHeight="false" outlineLevel="0" collapsed="false">
      <c r="A110" s="0" t="n">
        <v>109</v>
      </c>
      <c r="D110" s="0" t="s">
        <v>512</v>
      </c>
      <c r="E110" s="0" t="s">
        <v>20</v>
      </c>
      <c r="F110" s="0" t="s">
        <v>513</v>
      </c>
      <c r="H110" s="0" t="s">
        <v>21</v>
      </c>
      <c r="I110" s="2" t="s">
        <v>22</v>
      </c>
      <c r="J110" s="2" t="s">
        <v>391</v>
      </c>
      <c r="K110" s="0" t="s">
        <v>364</v>
      </c>
      <c r="L110" s="0" t="s">
        <v>514</v>
      </c>
      <c r="M110" s="0" t="s">
        <v>366</v>
      </c>
      <c r="N110" s="0" t="s">
        <v>515</v>
      </c>
      <c r="O110" s="0" t="n">
        <v>1</v>
      </c>
      <c r="P110" s="0" t="s">
        <v>516</v>
      </c>
      <c r="Q110" s="3" t="s">
        <v>517</v>
      </c>
      <c r="R110" s="2" t="s">
        <v>518</v>
      </c>
      <c r="S110" s="2" t="s">
        <v>45</v>
      </c>
    </row>
    <row r="111" customFormat="false" ht="15" hidden="false" customHeight="false" outlineLevel="0" collapsed="false">
      <c r="A111" s="0" t="n">
        <v>110</v>
      </c>
      <c r="D111" s="0" t="s">
        <v>519</v>
      </c>
      <c r="E111" s="0" t="s">
        <v>20</v>
      </c>
      <c r="F111" s="0" t="s">
        <v>520</v>
      </c>
      <c r="H111" s="0" t="s">
        <v>21</v>
      </c>
      <c r="I111" s="2" t="s">
        <v>22</v>
      </c>
      <c r="J111" s="2" t="s">
        <v>391</v>
      </c>
      <c r="K111" s="0" t="s">
        <v>364</v>
      </c>
      <c r="L111" s="0" t="s">
        <v>521</v>
      </c>
      <c r="M111" s="0" t="s">
        <v>366</v>
      </c>
      <c r="N111" s="0" t="s">
        <v>522</v>
      </c>
      <c r="O111" s="0" t="n">
        <v>1</v>
      </c>
      <c r="P111" s="0" t="s">
        <v>523</v>
      </c>
      <c r="Q111" s="3" t="s">
        <v>524</v>
      </c>
      <c r="R111" s="2" t="s">
        <v>525</v>
      </c>
      <c r="S111" s="2" t="s">
        <v>45</v>
      </c>
    </row>
    <row r="112" customFormat="false" ht="15" hidden="false" customHeight="false" outlineLevel="0" collapsed="false">
      <c r="A112" s="0" t="n">
        <v>111</v>
      </c>
      <c r="D112" s="0" t="s">
        <v>526</v>
      </c>
      <c r="E112" s="0" t="s">
        <v>20</v>
      </c>
      <c r="H112" s="0" t="s">
        <v>21</v>
      </c>
      <c r="I112" s="2" t="s">
        <v>22</v>
      </c>
      <c r="J112" s="2" t="s">
        <v>391</v>
      </c>
      <c r="K112" s="0" t="s">
        <v>364</v>
      </c>
      <c r="L112" s="0" t="s">
        <v>31</v>
      </c>
      <c r="M112" s="0" t="s">
        <v>366</v>
      </c>
      <c r="N112" s="0" t="s">
        <v>527</v>
      </c>
      <c r="O112" s="0" t="n">
        <v>1</v>
      </c>
      <c r="P112" s="0" t="s">
        <v>528</v>
      </c>
      <c r="Q112" s="3"/>
      <c r="S112" s="2" t="s">
        <v>29</v>
      </c>
    </row>
    <row r="113" customFormat="false" ht="15" hidden="false" customHeight="false" outlineLevel="0" collapsed="false">
      <c r="A113" s="0" t="n">
        <v>112</v>
      </c>
      <c r="D113" s="0" t="s">
        <v>529</v>
      </c>
      <c r="E113" s="0" t="s">
        <v>226</v>
      </c>
      <c r="H113" s="0" t="s">
        <v>21</v>
      </c>
      <c r="I113" s="2" t="s">
        <v>22</v>
      </c>
      <c r="J113" s="2" t="s">
        <v>391</v>
      </c>
      <c r="K113" s="0" t="s">
        <v>364</v>
      </c>
      <c r="L113" s="0" t="s">
        <v>100</v>
      </c>
      <c r="M113" s="0" t="s">
        <v>366</v>
      </c>
      <c r="N113" s="0" t="s">
        <v>530</v>
      </c>
      <c r="O113" s="0" t="n">
        <v>1</v>
      </c>
      <c r="P113" s="0" t="s">
        <v>531</v>
      </c>
      <c r="Q113" s="3"/>
      <c r="S113" s="2" t="s">
        <v>29</v>
      </c>
    </row>
    <row r="114" customFormat="false" ht="15" hidden="false" customHeight="false" outlineLevel="0" collapsed="false">
      <c r="A114" s="0" t="n">
        <v>113</v>
      </c>
      <c r="D114" s="0" t="s">
        <v>532</v>
      </c>
      <c r="E114" s="0" t="s">
        <v>20</v>
      </c>
      <c r="F114" s="0" t="s">
        <v>533</v>
      </c>
      <c r="H114" s="0" t="s">
        <v>21</v>
      </c>
      <c r="I114" s="2" t="s">
        <v>22</v>
      </c>
      <c r="J114" s="2" t="s">
        <v>391</v>
      </c>
      <c r="K114" s="0" t="s">
        <v>364</v>
      </c>
      <c r="L114" s="0" t="s">
        <v>534</v>
      </c>
      <c r="M114" s="0" t="s">
        <v>366</v>
      </c>
      <c r="N114" s="0" t="s">
        <v>535</v>
      </c>
      <c r="O114" s="0" t="n">
        <v>1</v>
      </c>
      <c r="P114" s="0" t="s">
        <v>536</v>
      </c>
      <c r="Q114" s="3" t="s">
        <v>537</v>
      </c>
      <c r="R114" s="2" t="s">
        <v>538</v>
      </c>
      <c r="S114" s="2" t="s">
        <v>45</v>
      </c>
    </row>
    <row r="115" customFormat="false" ht="15" hidden="false" customHeight="false" outlineLevel="0" collapsed="false">
      <c r="A115" s="0" t="n">
        <v>114</v>
      </c>
      <c r="D115" s="0" t="s">
        <v>539</v>
      </c>
      <c r="E115" s="0" t="s">
        <v>492</v>
      </c>
      <c r="H115" s="0" t="s">
        <v>21</v>
      </c>
      <c r="I115" s="2" t="s">
        <v>22</v>
      </c>
      <c r="J115" s="2" t="s">
        <v>391</v>
      </c>
      <c r="K115" s="0" t="s">
        <v>364</v>
      </c>
      <c r="L115" s="0" t="s">
        <v>31</v>
      </c>
      <c r="M115" s="0" t="s">
        <v>366</v>
      </c>
      <c r="N115" s="0" t="s">
        <v>540</v>
      </c>
      <c r="O115" s="0" t="n">
        <v>1</v>
      </c>
      <c r="P115" s="0" t="s">
        <v>541</v>
      </c>
      <c r="Q115" s="3"/>
      <c r="S115" s="2" t="s">
        <v>29</v>
      </c>
    </row>
    <row r="116" customFormat="false" ht="15" hidden="false" customHeight="false" outlineLevel="0" collapsed="false">
      <c r="A116" s="0" t="n">
        <v>115</v>
      </c>
      <c r="D116" s="0" t="s">
        <v>542</v>
      </c>
      <c r="E116" s="0" t="s">
        <v>20</v>
      </c>
      <c r="H116" s="0" t="s">
        <v>21</v>
      </c>
      <c r="I116" s="2" t="s">
        <v>22</v>
      </c>
      <c r="J116" s="2" t="s">
        <v>391</v>
      </c>
      <c r="K116" s="0" t="s">
        <v>364</v>
      </c>
      <c r="L116" s="0" t="s">
        <v>31</v>
      </c>
      <c r="M116" s="0" t="s">
        <v>366</v>
      </c>
      <c r="N116" s="0" t="s">
        <v>543</v>
      </c>
      <c r="O116" s="0" t="n">
        <v>1</v>
      </c>
      <c r="P116" s="0" t="s">
        <v>544</v>
      </c>
      <c r="Q116" s="3"/>
      <c r="S116" s="2" t="s">
        <v>29</v>
      </c>
    </row>
    <row r="117" customFormat="false" ht="15" hidden="false" customHeight="false" outlineLevel="0" collapsed="false">
      <c r="A117" s="0" t="n">
        <v>116</v>
      </c>
      <c r="D117" s="0" t="s">
        <v>545</v>
      </c>
      <c r="E117" s="0" t="s">
        <v>20</v>
      </c>
      <c r="F117" s="0" t="s">
        <v>546</v>
      </c>
      <c r="H117" s="0" t="s">
        <v>21</v>
      </c>
      <c r="I117" s="2" t="s">
        <v>22</v>
      </c>
      <c r="J117" s="2" t="s">
        <v>391</v>
      </c>
      <c r="K117" s="0" t="s">
        <v>383</v>
      </c>
      <c r="L117" s="0" t="s">
        <v>547</v>
      </c>
      <c r="M117" s="0" t="s">
        <v>385</v>
      </c>
      <c r="N117" s="0" t="s">
        <v>548</v>
      </c>
      <c r="O117" s="0" t="n">
        <v>1</v>
      </c>
      <c r="P117" s="0" t="s">
        <v>549</v>
      </c>
      <c r="Q117" s="3" t="s">
        <v>550</v>
      </c>
      <c r="R117" s="2" t="s">
        <v>551</v>
      </c>
      <c r="S117" s="2" t="s">
        <v>45</v>
      </c>
    </row>
    <row r="118" customFormat="false" ht="15" hidden="false" customHeight="false" outlineLevel="0" collapsed="false">
      <c r="A118" s="0" t="n">
        <v>117</v>
      </c>
      <c r="D118" s="0" t="s">
        <v>552</v>
      </c>
      <c r="E118" s="0" t="s">
        <v>20</v>
      </c>
      <c r="H118" s="0" t="s">
        <v>21</v>
      </c>
      <c r="I118" s="2" t="s">
        <v>22</v>
      </c>
      <c r="J118" s="2" t="s">
        <v>391</v>
      </c>
      <c r="K118" s="0" t="s">
        <v>383</v>
      </c>
      <c r="L118" s="0" t="s">
        <v>31</v>
      </c>
      <c r="M118" s="0" t="s">
        <v>385</v>
      </c>
      <c r="N118" s="0" t="s">
        <v>553</v>
      </c>
      <c r="O118" s="0" t="n">
        <v>1</v>
      </c>
      <c r="P118" s="0" t="s">
        <v>554</v>
      </c>
      <c r="Q118" s="3"/>
      <c r="S118" s="2" t="s">
        <v>29</v>
      </c>
    </row>
    <row r="119" customFormat="false" ht="15" hidden="false" customHeight="false" outlineLevel="0" collapsed="false">
      <c r="A119" s="0" t="n">
        <v>118</v>
      </c>
      <c r="D119" s="0" t="s">
        <v>555</v>
      </c>
      <c r="E119" s="0" t="s">
        <v>20</v>
      </c>
      <c r="H119" s="0" t="s">
        <v>21</v>
      </c>
      <c r="I119" s="2" t="s">
        <v>22</v>
      </c>
      <c r="J119" s="2" t="s">
        <v>391</v>
      </c>
      <c r="K119" s="0" t="s">
        <v>383</v>
      </c>
      <c r="L119" s="0" t="s">
        <v>31</v>
      </c>
      <c r="M119" s="0" t="s">
        <v>385</v>
      </c>
      <c r="N119" s="0" t="s">
        <v>556</v>
      </c>
      <c r="O119" s="0" t="n">
        <v>1</v>
      </c>
      <c r="P119" s="0" t="s">
        <v>557</v>
      </c>
      <c r="Q119" s="3"/>
      <c r="S119" s="2" t="s">
        <v>29</v>
      </c>
    </row>
    <row r="120" customFormat="false" ht="15" hidden="false" customHeight="false" outlineLevel="0" collapsed="false">
      <c r="A120" s="0" t="n">
        <v>119</v>
      </c>
      <c r="D120" s="0" t="s">
        <v>558</v>
      </c>
      <c r="E120" s="0" t="s">
        <v>20</v>
      </c>
      <c r="F120" s="0" t="s">
        <v>559</v>
      </c>
      <c r="H120" s="0" t="s">
        <v>21</v>
      </c>
      <c r="I120" s="2" t="s">
        <v>22</v>
      </c>
      <c r="J120" s="2" t="s">
        <v>391</v>
      </c>
      <c r="K120" s="0" t="s">
        <v>383</v>
      </c>
      <c r="L120" s="0" t="s">
        <v>560</v>
      </c>
      <c r="M120" s="0" t="s">
        <v>385</v>
      </c>
      <c r="N120" s="0" t="s">
        <v>561</v>
      </c>
      <c r="O120" s="0" t="n">
        <v>1</v>
      </c>
      <c r="P120" s="0" t="s">
        <v>562</v>
      </c>
      <c r="Q120" s="3" t="s">
        <v>563</v>
      </c>
      <c r="R120" s="2" t="s">
        <v>564</v>
      </c>
      <c r="S120" s="2" t="s">
        <v>45</v>
      </c>
    </row>
    <row r="121" customFormat="false" ht="15" hidden="false" customHeight="false" outlineLevel="0" collapsed="false">
      <c r="A121" s="0" t="n">
        <v>120</v>
      </c>
      <c r="D121" s="0" t="s">
        <v>565</v>
      </c>
      <c r="E121" s="0" t="s">
        <v>20</v>
      </c>
      <c r="F121" s="0" t="s">
        <v>566</v>
      </c>
      <c r="H121" s="0" t="s">
        <v>21</v>
      </c>
      <c r="I121" s="2" t="s">
        <v>22</v>
      </c>
      <c r="J121" s="2" t="s">
        <v>391</v>
      </c>
      <c r="K121" s="0" t="s">
        <v>383</v>
      </c>
      <c r="L121" s="0" t="s">
        <v>567</v>
      </c>
      <c r="M121" s="0" t="s">
        <v>385</v>
      </c>
      <c r="N121" s="0" t="s">
        <v>568</v>
      </c>
      <c r="O121" s="0" t="n">
        <v>1</v>
      </c>
      <c r="P121" s="0" t="s">
        <v>569</v>
      </c>
      <c r="Q121" s="3" t="s">
        <v>570</v>
      </c>
      <c r="R121" s="2" t="s">
        <v>571</v>
      </c>
      <c r="S121" s="2" t="s">
        <v>45</v>
      </c>
    </row>
    <row r="122" customFormat="false" ht="15" hidden="false" customHeight="false" outlineLevel="0" collapsed="false">
      <c r="A122" s="0" t="n">
        <v>121</v>
      </c>
      <c r="D122" s="0" t="s">
        <v>572</v>
      </c>
      <c r="E122" s="0" t="s">
        <v>20</v>
      </c>
      <c r="F122" s="0" t="s">
        <v>573</v>
      </c>
      <c r="H122" s="0" t="s">
        <v>21</v>
      </c>
      <c r="I122" s="2" t="s">
        <v>22</v>
      </c>
      <c r="J122" s="2" t="s">
        <v>391</v>
      </c>
      <c r="K122" s="0" t="s">
        <v>383</v>
      </c>
      <c r="L122" s="0" t="s">
        <v>574</v>
      </c>
      <c r="M122" s="0" t="s">
        <v>385</v>
      </c>
      <c r="N122" s="0" t="s">
        <v>575</v>
      </c>
      <c r="O122" s="0" t="n">
        <v>1</v>
      </c>
      <c r="P122" s="0" t="s">
        <v>576</v>
      </c>
      <c r="Q122" s="3" t="s">
        <v>577</v>
      </c>
      <c r="R122" s="2" t="s">
        <v>578</v>
      </c>
      <c r="S122" s="2" t="s">
        <v>45</v>
      </c>
    </row>
    <row r="123" customFormat="false" ht="15" hidden="false" customHeight="false" outlineLevel="0" collapsed="false">
      <c r="A123" s="0" t="n">
        <v>122</v>
      </c>
      <c r="B123" s="0" t="s">
        <v>579</v>
      </c>
      <c r="D123" s="0" t="s">
        <v>580</v>
      </c>
      <c r="E123" s="0" t="s">
        <v>20</v>
      </c>
      <c r="F123" s="0" t="s">
        <v>581</v>
      </c>
      <c r="H123" s="0" t="s">
        <v>21</v>
      </c>
      <c r="I123" s="2" t="s">
        <v>22</v>
      </c>
      <c r="J123" s="2" t="s">
        <v>391</v>
      </c>
      <c r="K123" s="0" t="s">
        <v>383</v>
      </c>
      <c r="L123" s="0" t="s">
        <v>582</v>
      </c>
      <c r="M123" s="0" t="s">
        <v>385</v>
      </c>
      <c r="N123" s="0" t="s">
        <v>583</v>
      </c>
      <c r="O123" s="0" t="n">
        <v>1</v>
      </c>
      <c r="P123" s="0" t="s">
        <v>584</v>
      </c>
      <c r="Q123" s="3" t="s">
        <v>585</v>
      </c>
      <c r="R123" s="2" t="s">
        <v>586</v>
      </c>
      <c r="S123" s="2" t="s">
        <v>45</v>
      </c>
    </row>
    <row r="124" customFormat="false" ht="15" hidden="false" customHeight="false" outlineLevel="0" collapsed="false">
      <c r="A124" s="0" t="n">
        <v>123</v>
      </c>
      <c r="D124" s="0" t="s">
        <v>587</v>
      </c>
      <c r="E124" s="0" t="s">
        <v>20</v>
      </c>
      <c r="H124" s="0" t="s">
        <v>21</v>
      </c>
      <c r="I124" s="2" t="s">
        <v>22</v>
      </c>
      <c r="J124" s="2" t="s">
        <v>391</v>
      </c>
      <c r="K124" s="0" t="s">
        <v>383</v>
      </c>
      <c r="L124" s="0" t="s">
        <v>31</v>
      </c>
      <c r="M124" s="0" t="s">
        <v>385</v>
      </c>
      <c r="N124" s="0" t="s">
        <v>588</v>
      </c>
      <c r="O124" s="0" t="n">
        <v>1</v>
      </c>
      <c r="P124" s="0" t="s">
        <v>589</v>
      </c>
      <c r="Q124" s="3"/>
      <c r="S124" s="2" t="s">
        <v>29</v>
      </c>
    </row>
    <row r="125" customFormat="false" ht="15" hidden="false" customHeight="false" outlineLevel="0" collapsed="false">
      <c r="A125" s="0" t="n">
        <v>124</v>
      </c>
      <c r="D125" s="0" t="s">
        <v>590</v>
      </c>
      <c r="E125" s="0" t="s">
        <v>20</v>
      </c>
      <c r="F125" s="0" t="s">
        <v>591</v>
      </c>
      <c r="H125" s="0" t="s">
        <v>21</v>
      </c>
      <c r="I125" s="2" t="s">
        <v>22</v>
      </c>
      <c r="J125" s="2" t="s">
        <v>391</v>
      </c>
      <c r="K125" s="0" t="s">
        <v>383</v>
      </c>
      <c r="L125" s="0" t="s">
        <v>592</v>
      </c>
      <c r="M125" s="0" t="s">
        <v>385</v>
      </c>
      <c r="N125" s="0" t="s">
        <v>593</v>
      </c>
      <c r="O125" s="0" t="n">
        <v>1</v>
      </c>
      <c r="P125" s="0" t="s">
        <v>594</v>
      </c>
      <c r="Q125" s="3" t="s">
        <v>595</v>
      </c>
      <c r="R125" s="2" t="s">
        <v>596</v>
      </c>
      <c r="S125" s="2" t="s">
        <v>45</v>
      </c>
    </row>
    <row r="126" customFormat="false" ht="15" hidden="false" customHeight="false" outlineLevel="0" collapsed="false">
      <c r="A126" s="0" t="n">
        <v>125</v>
      </c>
      <c r="D126" s="0" t="s">
        <v>597</v>
      </c>
      <c r="E126" s="0" t="s">
        <v>20</v>
      </c>
      <c r="H126" s="0" t="s">
        <v>21</v>
      </c>
      <c r="I126" s="2" t="s">
        <v>22</v>
      </c>
      <c r="J126" s="2" t="s">
        <v>391</v>
      </c>
      <c r="K126" s="0" t="s">
        <v>383</v>
      </c>
      <c r="L126" s="0" t="s">
        <v>31</v>
      </c>
      <c r="M126" s="0" t="s">
        <v>385</v>
      </c>
      <c r="N126" s="0" t="s">
        <v>598</v>
      </c>
      <c r="O126" s="0" t="n">
        <v>1</v>
      </c>
      <c r="P126" s="0" t="s">
        <v>599</v>
      </c>
      <c r="Q126" s="3"/>
      <c r="S126" s="2" t="s">
        <v>29</v>
      </c>
    </row>
    <row r="127" customFormat="false" ht="15" hidden="false" customHeight="false" outlineLevel="0" collapsed="false">
      <c r="A127" s="0" t="n">
        <v>126</v>
      </c>
      <c r="D127" s="0" t="s">
        <v>600</v>
      </c>
      <c r="E127" s="0" t="s">
        <v>20</v>
      </c>
      <c r="H127" s="0" t="s">
        <v>21</v>
      </c>
      <c r="I127" s="2" t="s">
        <v>22</v>
      </c>
      <c r="J127" s="2" t="s">
        <v>391</v>
      </c>
      <c r="K127" s="0" t="s">
        <v>383</v>
      </c>
      <c r="L127" s="0" t="s">
        <v>601</v>
      </c>
      <c r="M127" s="0" t="s">
        <v>385</v>
      </c>
      <c r="N127" s="0" t="s">
        <v>602</v>
      </c>
      <c r="O127" s="0" t="n">
        <v>1</v>
      </c>
      <c r="P127" s="0" t="s">
        <v>603</v>
      </c>
      <c r="Q127" s="3" t="s">
        <v>604</v>
      </c>
      <c r="R127" s="2" t="s">
        <v>605</v>
      </c>
      <c r="S127" s="2" t="s">
        <v>45</v>
      </c>
    </row>
    <row r="128" customFormat="false" ht="15" hidden="false" customHeight="false" outlineLevel="0" collapsed="false">
      <c r="A128" s="0" t="n">
        <v>127</v>
      </c>
      <c r="D128" s="0" t="s">
        <v>606</v>
      </c>
      <c r="E128" s="0" t="s">
        <v>20</v>
      </c>
      <c r="H128" s="0" t="s">
        <v>21</v>
      </c>
      <c r="I128" s="2" t="s">
        <v>22</v>
      </c>
      <c r="J128" s="2" t="s">
        <v>391</v>
      </c>
      <c r="K128" s="0" t="s">
        <v>607</v>
      </c>
      <c r="L128" s="0" t="s">
        <v>31</v>
      </c>
      <c r="M128" s="0" t="s">
        <v>608</v>
      </c>
      <c r="N128" s="0" t="s">
        <v>609</v>
      </c>
      <c r="O128" s="0" t="n">
        <v>1</v>
      </c>
      <c r="P128" s="0" t="s">
        <v>610</v>
      </c>
      <c r="Q128" s="3"/>
      <c r="S128" s="2" t="s">
        <v>29</v>
      </c>
    </row>
    <row r="129" customFormat="false" ht="15" hidden="false" customHeight="false" outlineLevel="0" collapsed="false">
      <c r="A129" s="0" t="n">
        <v>128</v>
      </c>
      <c r="D129" s="0" t="s">
        <v>611</v>
      </c>
      <c r="E129" s="0" t="s">
        <v>267</v>
      </c>
      <c r="H129" s="0" t="s">
        <v>21</v>
      </c>
      <c r="I129" s="2" t="s">
        <v>22</v>
      </c>
      <c r="J129" s="2" t="s">
        <v>391</v>
      </c>
      <c r="K129" s="0" t="s">
        <v>612</v>
      </c>
      <c r="L129" s="0" t="s">
        <v>25</v>
      </c>
      <c r="M129" s="0" t="s">
        <v>613</v>
      </c>
      <c r="N129" s="0" t="s">
        <v>614</v>
      </c>
      <c r="O129" s="0" t="n">
        <v>10</v>
      </c>
      <c r="Q129" s="3"/>
      <c r="S129" s="2" t="s">
        <v>29</v>
      </c>
    </row>
    <row r="130" customFormat="false" ht="15" hidden="false" customHeight="false" outlineLevel="0" collapsed="false">
      <c r="A130" s="0" t="n">
        <v>129</v>
      </c>
      <c r="D130" s="0" t="s">
        <v>615</v>
      </c>
      <c r="E130" s="0" t="s">
        <v>616</v>
      </c>
      <c r="H130" s="0" t="s">
        <v>21</v>
      </c>
      <c r="I130" s="2" t="s">
        <v>22</v>
      </c>
      <c r="J130" s="2" t="s">
        <v>391</v>
      </c>
      <c r="K130" s="0" t="s">
        <v>612</v>
      </c>
      <c r="L130" s="0" t="s">
        <v>25</v>
      </c>
      <c r="M130" s="0" t="s">
        <v>613</v>
      </c>
      <c r="N130" s="0" t="s">
        <v>617</v>
      </c>
      <c r="O130" s="0" t="n">
        <v>3</v>
      </c>
      <c r="P130" s="0" t="s">
        <v>618</v>
      </c>
      <c r="Q130" s="3"/>
      <c r="S130" s="2" t="s">
        <v>29</v>
      </c>
    </row>
    <row r="131" customFormat="false" ht="15" hidden="false" customHeight="false" outlineLevel="0" collapsed="false">
      <c r="A131" s="0" t="n">
        <v>130</v>
      </c>
      <c r="D131" s="0" t="s">
        <v>619</v>
      </c>
      <c r="E131" s="0" t="s">
        <v>20</v>
      </c>
      <c r="H131" s="0" t="s">
        <v>21</v>
      </c>
      <c r="I131" s="2" t="s">
        <v>22</v>
      </c>
      <c r="J131" s="2" t="s">
        <v>391</v>
      </c>
      <c r="K131" s="0" t="s">
        <v>612</v>
      </c>
      <c r="L131" s="0" t="s">
        <v>25</v>
      </c>
      <c r="M131" s="0" t="s">
        <v>613</v>
      </c>
      <c r="N131" s="0" t="s">
        <v>620</v>
      </c>
      <c r="O131" s="0" t="n">
        <v>3</v>
      </c>
      <c r="P131" s="0" t="s">
        <v>621</v>
      </c>
      <c r="Q131" s="3"/>
      <c r="S131" s="2" t="s">
        <v>29</v>
      </c>
    </row>
    <row r="132" customFormat="false" ht="15" hidden="false" customHeight="false" outlineLevel="0" collapsed="false">
      <c r="A132" s="0" t="n">
        <v>131</v>
      </c>
      <c r="D132" s="0" t="s">
        <v>622</v>
      </c>
      <c r="E132" s="0" t="s">
        <v>20</v>
      </c>
      <c r="H132" s="0" t="s">
        <v>21</v>
      </c>
      <c r="I132" s="2" t="s">
        <v>22</v>
      </c>
      <c r="J132" s="2" t="s">
        <v>391</v>
      </c>
      <c r="K132" s="0" t="s">
        <v>612</v>
      </c>
      <c r="L132" s="0" t="s">
        <v>25</v>
      </c>
      <c r="M132" s="0" t="s">
        <v>613</v>
      </c>
      <c r="N132" s="0" t="s">
        <v>623</v>
      </c>
      <c r="O132" s="0" t="n">
        <v>2</v>
      </c>
      <c r="P132" s="0" t="s">
        <v>624</v>
      </c>
      <c r="Q132" s="3"/>
      <c r="S132" s="2" t="s">
        <v>29</v>
      </c>
    </row>
    <row r="133" customFormat="false" ht="15" hidden="false" customHeight="false" outlineLevel="0" collapsed="false">
      <c r="A133" s="0" t="n">
        <v>132</v>
      </c>
      <c r="D133" s="0" t="s">
        <v>625</v>
      </c>
      <c r="E133" s="0" t="s">
        <v>20</v>
      </c>
      <c r="H133" s="0" t="s">
        <v>21</v>
      </c>
      <c r="I133" s="2" t="s">
        <v>22</v>
      </c>
      <c r="J133" s="2" t="s">
        <v>391</v>
      </c>
      <c r="K133" s="0" t="s">
        <v>612</v>
      </c>
      <c r="L133" s="0" t="s">
        <v>31</v>
      </c>
      <c r="M133" s="0" t="s">
        <v>613</v>
      </c>
      <c r="N133" s="0" t="s">
        <v>626</v>
      </c>
      <c r="O133" s="0" t="n">
        <v>1</v>
      </c>
      <c r="P133" s="0" t="s">
        <v>627</v>
      </c>
      <c r="Q133" s="3"/>
      <c r="S133" s="2" t="s">
        <v>29</v>
      </c>
    </row>
    <row r="134" customFormat="false" ht="15" hidden="false" customHeight="false" outlineLevel="0" collapsed="false">
      <c r="A134" s="0" t="n">
        <v>133</v>
      </c>
      <c r="D134" s="0" t="s">
        <v>628</v>
      </c>
      <c r="E134" s="0" t="s">
        <v>20</v>
      </c>
      <c r="H134" s="0" t="s">
        <v>21</v>
      </c>
      <c r="I134" s="2" t="s">
        <v>22</v>
      </c>
      <c r="J134" s="2" t="s">
        <v>391</v>
      </c>
      <c r="K134" s="0" t="s">
        <v>612</v>
      </c>
      <c r="L134" s="0" t="s">
        <v>31</v>
      </c>
      <c r="M134" s="0" t="s">
        <v>613</v>
      </c>
      <c r="N134" s="0" t="s">
        <v>629</v>
      </c>
      <c r="O134" s="0" t="n">
        <v>1</v>
      </c>
      <c r="P134" s="0" t="s">
        <v>630</v>
      </c>
      <c r="Q134" s="3"/>
      <c r="S134" s="2" t="s">
        <v>29</v>
      </c>
    </row>
    <row r="135" customFormat="false" ht="15" hidden="false" customHeight="false" outlineLevel="0" collapsed="false">
      <c r="A135" s="0" t="n">
        <v>134</v>
      </c>
      <c r="D135" s="0" t="s">
        <v>631</v>
      </c>
      <c r="E135" s="0" t="s">
        <v>20</v>
      </c>
      <c r="H135" s="0" t="s">
        <v>21</v>
      </c>
      <c r="I135" s="2" t="s">
        <v>22</v>
      </c>
      <c r="J135" s="2" t="s">
        <v>391</v>
      </c>
      <c r="K135" s="0" t="s">
        <v>612</v>
      </c>
      <c r="L135" s="0" t="s">
        <v>31</v>
      </c>
      <c r="M135" s="0" t="s">
        <v>613</v>
      </c>
      <c r="N135" s="0" t="s">
        <v>632</v>
      </c>
      <c r="O135" s="0" t="n">
        <v>1</v>
      </c>
      <c r="P135" s="0" t="s">
        <v>633</v>
      </c>
      <c r="Q135" s="3"/>
      <c r="S135" s="2" t="s">
        <v>29</v>
      </c>
    </row>
    <row r="136" customFormat="false" ht="15" hidden="false" customHeight="false" outlineLevel="0" collapsed="false">
      <c r="A136" s="0" t="n">
        <v>135</v>
      </c>
      <c r="D136" s="0" t="s">
        <v>634</v>
      </c>
      <c r="E136" s="0" t="s">
        <v>492</v>
      </c>
      <c r="H136" s="0" t="s">
        <v>21</v>
      </c>
      <c r="I136" s="2" t="s">
        <v>22</v>
      </c>
      <c r="J136" s="2" t="s">
        <v>635</v>
      </c>
      <c r="K136" s="0" t="s">
        <v>636</v>
      </c>
      <c r="L136" s="0" t="s">
        <v>25</v>
      </c>
      <c r="M136" s="0" t="s">
        <v>637</v>
      </c>
      <c r="N136" s="0" t="s">
        <v>638</v>
      </c>
      <c r="O136" s="0" t="n">
        <v>6</v>
      </c>
      <c r="Q136" s="3"/>
      <c r="S136" s="2" t="s">
        <v>29</v>
      </c>
    </row>
    <row r="137" customFormat="false" ht="15" hidden="false" customHeight="false" outlineLevel="0" collapsed="false">
      <c r="A137" s="0" t="n">
        <v>136</v>
      </c>
      <c r="D137" s="0" t="s">
        <v>639</v>
      </c>
      <c r="E137" s="0" t="s">
        <v>492</v>
      </c>
      <c r="H137" s="0" t="s">
        <v>21</v>
      </c>
      <c r="I137" s="2" t="s">
        <v>22</v>
      </c>
      <c r="J137" s="2" t="s">
        <v>635</v>
      </c>
      <c r="K137" s="0" t="s">
        <v>636</v>
      </c>
      <c r="L137" s="0" t="s">
        <v>25</v>
      </c>
      <c r="M137" s="0" t="s">
        <v>637</v>
      </c>
      <c r="N137" s="0" t="s">
        <v>640</v>
      </c>
      <c r="O137" s="0" t="n">
        <v>5</v>
      </c>
      <c r="P137" s="0" t="s">
        <v>641</v>
      </c>
      <c r="Q137" s="3"/>
      <c r="S137" s="2" t="s">
        <v>29</v>
      </c>
    </row>
    <row r="138" customFormat="false" ht="15" hidden="false" customHeight="false" outlineLevel="0" collapsed="false">
      <c r="A138" s="0" t="n">
        <v>137</v>
      </c>
      <c r="D138" s="0" t="s">
        <v>642</v>
      </c>
      <c r="E138" s="0" t="s">
        <v>20</v>
      </c>
      <c r="H138" s="0" t="s">
        <v>21</v>
      </c>
      <c r="I138" s="2" t="s">
        <v>22</v>
      </c>
      <c r="J138" s="2" t="s">
        <v>635</v>
      </c>
      <c r="K138" s="0" t="s">
        <v>636</v>
      </c>
      <c r="L138" s="0" t="s">
        <v>25</v>
      </c>
      <c r="M138" s="0" t="s">
        <v>637</v>
      </c>
      <c r="N138" s="0" t="s">
        <v>643</v>
      </c>
      <c r="O138" s="0" t="n">
        <v>5</v>
      </c>
      <c r="P138" s="0" t="s">
        <v>644</v>
      </c>
      <c r="Q138" s="3"/>
      <c r="S138" s="2" t="s">
        <v>29</v>
      </c>
    </row>
    <row r="139" customFormat="false" ht="15" hidden="false" customHeight="false" outlineLevel="0" collapsed="false">
      <c r="A139" s="0" t="n">
        <v>138</v>
      </c>
      <c r="D139" s="0" t="s">
        <v>645</v>
      </c>
      <c r="E139" s="0" t="s">
        <v>20</v>
      </c>
      <c r="H139" s="0" t="s">
        <v>21</v>
      </c>
      <c r="I139" s="2" t="s">
        <v>22</v>
      </c>
      <c r="J139" s="2" t="s">
        <v>635</v>
      </c>
      <c r="K139" s="0" t="s">
        <v>636</v>
      </c>
      <c r="L139" s="0" t="s">
        <v>25</v>
      </c>
      <c r="M139" s="0" t="s">
        <v>637</v>
      </c>
      <c r="N139" s="0" t="s">
        <v>646</v>
      </c>
      <c r="O139" s="0" t="n">
        <v>4</v>
      </c>
      <c r="P139" s="0" t="s">
        <v>647</v>
      </c>
      <c r="Q139" s="3"/>
      <c r="S139" s="2" t="s">
        <v>29</v>
      </c>
    </row>
    <row r="140" customFormat="false" ht="15" hidden="false" customHeight="false" outlineLevel="0" collapsed="false">
      <c r="A140" s="0" t="n">
        <v>139</v>
      </c>
      <c r="D140" s="0" t="s">
        <v>648</v>
      </c>
      <c r="E140" s="0" t="s">
        <v>492</v>
      </c>
      <c r="H140" s="0" t="s">
        <v>21</v>
      </c>
      <c r="I140" s="2" t="s">
        <v>22</v>
      </c>
      <c r="J140" s="2" t="s">
        <v>635</v>
      </c>
      <c r="K140" s="0" t="s">
        <v>636</v>
      </c>
      <c r="L140" s="0" t="s">
        <v>25</v>
      </c>
      <c r="M140" s="0" t="s">
        <v>637</v>
      </c>
      <c r="N140" s="0" t="s">
        <v>649</v>
      </c>
      <c r="O140" s="0" t="n">
        <v>4</v>
      </c>
      <c r="Q140" s="3"/>
      <c r="S140" s="2" t="s">
        <v>29</v>
      </c>
    </row>
    <row r="141" customFormat="false" ht="15" hidden="false" customHeight="false" outlineLevel="0" collapsed="false">
      <c r="A141" s="0" t="n">
        <v>140</v>
      </c>
      <c r="D141" s="0" t="s">
        <v>650</v>
      </c>
      <c r="E141" s="0" t="s">
        <v>651</v>
      </c>
      <c r="H141" s="0" t="s">
        <v>21</v>
      </c>
      <c r="I141" s="2" t="s">
        <v>22</v>
      </c>
      <c r="J141" s="2" t="s">
        <v>635</v>
      </c>
      <c r="K141" s="0" t="s">
        <v>636</v>
      </c>
      <c r="L141" s="0" t="s">
        <v>25</v>
      </c>
      <c r="M141" s="0" t="s">
        <v>637</v>
      </c>
      <c r="N141" s="0" t="s">
        <v>652</v>
      </c>
      <c r="O141" s="0" t="n">
        <v>4</v>
      </c>
      <c r="P141" s="0" t="s">
        <v>653</v>
      </c>
      <c r="Q141" s="3"/>
      <c r="S141" s="2" t="s">
        <v>29</v>
      </c>
    </row>
    <row r="142" customFormat="false" ht="15" hidden="false" customHeight="false" outlineLevel="0" collapsed="false">
      <c r="A142" s="0" t="n">
        <v>141</v>
      </c>
      <c r="D142" s="0" t="s">
        <v>654</v>
      </c>
      <c r="E142" s="0" t="s">
        <v>492</v>
      </c>
      <c r="H142" s="0" t="s">
        <v>21</v>
      </c>
      <c r="I142" s="2" t="s">
        <v>22</v>
      </c>
      <c r="J142" s="2" t="s">
        <v>635</v>
      </c>
      <c r="K142" s="0" t="s">
        <v>636</v>
      </c>
      <c r="L142" s="0" t="s">
        <v>25</v>
      </c>
      <c r="M142" s="0" t="s">
        <v>637</v>
      </c>
      <c r="N142" s="0" t="s">
        <v>655</v>
      </c>
      <c r="O142" s="0" t="n">
        <v>4</v>
      </c>
      <c r="P142" s="0" t="s">
        <v>656</v>
      </c>
      <c r="Q142" s="3"/>
      <c r="S142" s="2" t="s">
        <v>29</v>
      </c>
    </row>
    <row r="143" customFormat="false" ht="15" hidden="false" customHeight="false" outlineLevel="0" collapsed="false">
      <c r="A143" s="0" t="n">
        <v>142</v>
      </c>
      <c r="D143" s="0" t="s">
        <v>657</v>
      </c>
      <c r="E143" s="0" t="s">
        <v>20</v>
      </c>
      <c r="H143" s="0" t="s">
        <v>21</v>
      </c>
      <c r="I143" s="2" t="s">
        <v>22</v>
      </c>
      <c r="J143" s="2" t="s">
        <v>635</v>
      </c>
      <c r="K143" s="0" t="s">
        <v>636</v>
      </c>
      <c r="L143" s="0" t="s">
        <v>25</v>
      </c>
      <c r="M143" s="0" t="s">
        <v>637</v>
      </c>
      <c r="N143" s="0" t="s">
        <v>658</v>
      </c>
      <c r="O143" s="0" t="n">
        <v>4</v>
      </c>
      <c r="P143" s="0" t="s">
        <v>659</v>
      </c>
      <c r="Q143" s="3"/>
      <c r="S143" s="2" t="s">
        <v>29</v>
      </c>
    </row>
    <row r="144" customFormat="false" ht="15" hidden="false" customHeight="false" outlineLevel="0" collapsed="false">
      <c r="A144" s="0" t="n">
        <v>143</v>
      </c>
      <c r="D144" s="0" t="s">
        <v>660</v>
      </c>
      <c r="E144" s="0" t="s">
        <v>20</v>
      </c>
      <c r="H144" s="0" t="s">
        <v>21</v>
      </c>
      <c r="I144" s="2" t="s">
        <v>22</v>
      </c>
      <c r="J144" s="2" t="s">
        <v>635</v>
      </c>
      <c r="K144" s="0" t="s">
        <v>636</v>
      </c>
      <c r="L144" s="0" t="s">
        <v>25</v>
      </c>
      <c r="M144" s="0" t="s">
        <v>637</v>
      </c>
      <c r="N144" s="0" t="s">
        <v>661</v>
      </c>
      <c r="O144" s="0" t="n">
        <v>4</v>
      </c>
      <c r="P144" s="0" t="s">
        <v>662</v>
      </c>
      <c r="Q144" s="3"/>
      <c r="S144" s="2" t="s">
        <v>29</v>
      </c>
    </row>
    <row r="145" customFormat="false" ht="15" hidden="false" customHeight="false" outlineLevel="0" collapsed="false">
      <c r="A145" s="0" t="n">
        <v>144</v>
      </c>
      <c r="D145" s="0" t="s">
        <v>663</v>
      </c>
      <c r="E145" s="0" t="s">
        <v>20</v>
      </c>
      <c r="H145" s="0" t="s">
        <v>21</v>
      </c>
      <c r="I145" s="2" t="s">
        <v>22</v>
      </c>
      <c r="J145" s="2" t="s">
        <v>635</v>
      </c>
      <c r="K145" s="0" t="s">
        <v>636</v>
      </c>
      <c r="L145" s="0" t="s">
        <v>25</v>
      </c>
      <c r="M145" s="0" t="s">
        <v>637</v>
      </c>
      <c r="N145" s="0" t="s">
        <v>664</v>
      </c>
      <c r="O145" s="0" t="n">
        <v>4</v>
      </c>
      <c r="P145" s="0" t="s">
        <v>665</v>
      </c>
      <c r="Q145" s="3"/>
      <c r="S145" s="2" t="s">
        <v>29</v>
      </c>
    </row>
    <row r="146" customFormat="false" ht="15" hidden="false" customHeight="false" outlineLevel="0" collapsed="false">
      <c r="A146" s="0" t="n">
        <v>145</v>
      </c>
      <c r="D146" s="0" t="s">
        <v>666</v>
      </c>
      <c r="E146" s="0" t="s">
        <v>99</v>
      </c>
      <c r="H146" s="0" t="s">
        <v>21</v>
      </c>
      <c r="I146" s="2" t="s">
        <v>22</v>
      </c>
      <c r="J146" s="2" t="s">
        <v>635</v>
      </c>
      <c r="K146" s="0" t="s">
        <v>636</v>
      </c>
      <c r="L146" s="0" t="s">
        <v>64</v>
      </c>
      <c r="M146" s="0" t="s">
        <v>637</v>
      </c>
      <c r="N146" s="0" t="s">
        <v>667</v>
      </c>
      <c r="O146" s="0" t="n">
        <v>4</v>
      </c>
      <c r="P146" s="0" t="s">
        <v>668</v>
      </c>
      <c r="Q146" s="3"/>
      <c r="S146" s="2" t="s">
        <v>29</v>
      </c>
    </row>
    <row r="147" customFormat="false" ht="15" hidden="false" customHeight="false" outlineLevel="0" collapsed="false">
      <c r="A147" s="0" t="n">
        <v>146</v>
      </c>
      <c r="D147" s="0" t="s">
        <v>669</v>
      </c>
      <c r="E147" s="0" t="s">
        <v>20</v>
      </c>
      <c r="H147" s="0" t="s">
        <v>21</v>
      </c>
      <c r="I147" s="2" t="s">
        <v>22</v>
      </c>
      <c r="J147" s="2" t="s">
        <v>635</v>
      </c>
      <c r="K147" s="0" t="s">
        <v>636</v>
      </c>
      <c r="L147" s="0" t="s">
        <v>25</v>
      </c>
      <c r="M147" s="0" t="s">
        <v>637</v>
      </c>
      <c r="N147" s="0" t="s">
        <v>670</v>
      </c>
      <c r="O147" s="0" t="n">
        <v>4</v>
      </c>
      <c r="P147" s="0" t="s">
        <v>671</v>
      </c>
      <c r="Q147" s="3"/>
      <c r="S147" s="2" t="s">
        <v>29</v>
      </c>
    </row>
    <row r="148" customFormat="false" ht="15" hidden="false" customHeight="false" outlineLevel="0" collapsed="false">
      <c r="A148" s="0" t="n">
        <v>147</v>
      </c>
      <c r="D148" s="0" t="s">
        <v>672</v>
      </c>
      <c r="E148" s="0" t="s">
        <v>20</v>
      </c>
      <c r="F148" s="0" t="s">
        <v>673</v>
      </c>
      <c r="H148" s="0" t="s">
        <v>21</v>
      </c>
      <c r="I148" s="2" t="s">
        <v>22</v>
      </c>
      <c r="J148" s="2" t="s">
        <v>635</v>
      </c>
      <c r="K148" s="0" t="s">
        <v>636</v>
      </c>
      <c r="L148" s="0" t="s">
        <v>674</v>
      </c>
      <c r="M148" s="0" t="s">
        <v>637</v>
      </c>
      <c r="N148" s="0" t="s">
        <v>675</v>
      </c>
      <c r="O148" s="0" t="n">
        <v>3</v>
      </c>
      <c r="P148" s="0" t="s">
        <v>676</v>
      </c>
      <c r="Q148" s="3" t="s">
        <v>677</v>
      </c>
      <c r="R148" s="2" t="s">
        <v>678</v>
      </c>
      <c r="S148" s="2" t="s">
        <v>45</v>
      </c>
    </row>
    <row r="149" customFormat="false" ht="15" hidden="false" customHeight="false" outlineLevel="0" collapsed="false">
      <c r="A149" s="0" t="n">
        <v>148</v>
      </c>
      <c r="D149" s="0" t="s">
        <v>679</v>
      </c>
      <c r="E149" s="0" t="s">
        <v>492</v>
      </c>
      <c r="H149" s="0" t="s">
        <v>21</v>
      </c>
      <c r="I149" s="2" t="s">
        <v>22</v>
      </c>
      <c r="J149" s="2" t="s">
        <v>635</v>
      </c>
      <c r="K149" s="0" t="s">
        <v>636</v>
      </c>
      <c r="L149" s="0" t="s">
        <v>25</v>
      </c>
      <c r="M149" s="0" t="s">
        <v>637</v>
      </c>
      <c r="N149" s="0" t="s">
        <v>680</v>
      </c>
      <c r="O149" s="0" t="n">
        <v>3</v>
      </c>
      <c r="P149" s="0" t="s">
        <v>681</v>
      </c>
      <c r="Q149" s="3"/>
      <c r="S149" s="2" t="s">
        <v>29</v>
      </c>
    </row>
    <row r="150" customFormat="false" ht="15" hidden="false" customHeight="false" outlineLevel="0" collapsed="false">
      <c r="A150" s="0" t="n">
        <v>149</v>
      </c>
      <c r="D150" s="0" t="s">
        <v>682</v>
      </c>
      <c r="E150" s="0" t="s">
        <v>20</v>
      </c>
      <c r="H150" s="0" t="s">
        <v>21</v>
      </c>
      <c r="I150" s="2" t="s">
        <v>22</v>
      </c>
      <c r="J150" s="2" t="s">
        <v>635</v>
      </c>
      <c r="K150" s="0" t="s">
        <v>636</v>
      </c>
      <c r="L150" s="0" t="s">
        <v>25</v>
      </c>
      <c r="M150" s="0" t="s">
        <v>637</v>
      </c>
      <c r="N150" s="0" t="s">
        <v>683</v>
      </c>
      <c r="O150" s="0" t="n">
        <v>3</v>
      </c>
      <c r="P150" s="0" t="s">
        <v>684</v>
      </c>
      <c r="Q150" s="3"/>
      <c r="S150" s="2" t="s">
        <v>29</v>
      </c>
    </row>
    <row r="151" customFormat="false" ht="15" hidden="false" customHeight="false" outlineLevel="0" collapsed="false">
      <c r="A151" s="0" t="n">
        <v>150</v>
      </c>
      <c r="D151" s="0" t="s">
        <v>685</v>
      </c>
      <c r="E151" s="0" t="s">
        <v>20</v>
      </c>
      <c r="H151" s="0" t="s">
        <v>21</v>
      </c>
      <c r="I151" s="2" t="s">
        <v>22</v>
      </c>
      <c r="J151" s="2" t="s">
        <v>635</v>
      </c>
      <c r="K151" s="0" t="s">
        <v>636</v>
      </c>
      <c r="L151" s="0" t="s">
        <v>25</v>
      </c>
      <c r="M151" s="0" t="s">
        <v>637</v>
      </c>
      <c r="N151" s="0" t="s">
        <v>686</v>
      </c>
      <c r="O151" s="0" t="n">
        <v>3</v>
      </c>
      <c r="P151" s="0" t="s">
        <v>687</v>
      </c>
      <c r="Q151" s="3"/>
      <c r="S151" s="2" t="s">
        <v>29</v>
      </c>
    </row>
    <row r="152" customFormat="false" ht="15" hidden="false" customHeight="false" outlineLevel="0" collapsed="false">
      <c r="A152" s="0" t="n">
        <v>151</v>
      </c>
      <c r="D152" s="0" t="s">
        <v>688</v>
      </c>
      <c r="E152" s="0" t="s">
        <v>20</v>
      </c>
      <c r="H152" s="0" t="s">
        <v>21</v>
      </c>
      <c r="I152" s="2" t="s">
        <v>22</v>
      </c>
      <c r="J152" s="2" t="s">
        <v>635</v>
      </c>
      <c r="K152" s="0" t="s">
        <v>636</v>
      </c>
      <c r="L152" s="0" t="s">
        <v>25</v>
      </c>
      <c r="M152" s="0" t="s">
        <v>637</v>
      </c>
      <c r="N152" s="0" t="s">
        <v>689</v>
      </c>
      <c r="O152" s="0" t="n">
        <v>3</v>
      </c>
      <c r="P152" s="0" t="s">
        <v>690</v>
      </c>
      <c r="Q152" s="3"/>
      <c r="S152" s="2" t="s">
        <v>29</v>
      </c>
    </row>
    <row r="153" customFormat="false" ht="15" hidden="false" customHeight="false" outlineLevel="0" collapsed="false">
      <c r="A153" s="0" t="n">
        <v>152</v>
      </c>
      <c r="D153" s="0" t="s">
        <v>691</v>
      </c>
      <c r="E153" s="0" t="s">
        <v>63</v>
      </c>
      <c r="H153" s="0" t="s">
        <v>21</v>
      </c>
      <c r="I153" s="2" t="s">
        <v>22</v>
      </c>
      <c r="J153" s="2" t="s">
        <v>635</v>
      </c>
      <c r="K153" s="0" t="s">
        <v>636</v>
      </c>
      <c r="L153" s="0" t="s">
        <v>64</v>
      </c>
      <c r="M153" s="0" t="s">
        <v>637</v>
      </c>
      <c r="N153" s="0" t="s">
        <v>692</v>
      </c>
      <c r="O153" s="0" t="n">
        <v>2</v>
      </c>
      <c r="P153" s="0" t="s">
        <v>693</v>
      </c>
      <c r="Q153" s="3"/>
      <c r="S153" s="2" t="s">
        <v>29</v>
      </c>
    </row>
    <row r="154" customFormat="false" ht="15" hidden="false" customHeight="false" outlineLevel="0" collapsed="false">
      <c r="A154" s="0" t="n">
        <v>153</v>
      </c>
      <c r="D154" s="0" t="s">
        <v>694</v>
      </c>
      <c r="E154" s="0" t="s">
        <v>20</v>
      </c>
      <c r="F154" s="0" t="s">
        <v>695</v>
      </c>
      <c r="H154" s="0" t="s">
        <v>21</v>
      </c>
      <c r="I154" s="2" t="s">
        <v>22</v>
      </c>
      <c r="J154" s="2" t="s">
        <v>635</v>
      </c>
      <c r="K154" s="0" t="s">
        <v>636</v>
      </c>
      <c r="L154" s="0" t="s">
        <v>696</v>
      </c>
      <c r="M154" s="0" t="s">
        <v>637</v>
      </c>
      <c r="N154" s="0" t="s">
        <v>697</v>
      </c>
      <c r="O154" s="0" t="n">
        <v>2</v>
      </c>
      <c r="P154" s="0" t="s">
        <v>698</v>
      </c>
      <c r="Q154" s="3" t="s">
        <v>699</v>
      </c>
      <c r="R154" s="2" t="s">
        <v>700</v>
      </c>
      <c r="S154" s="2" t="s">
        <v>45</v>
      </c>
    </row>
    <row r="155" customFormat="false" ht="15" hidden="false" customHeight="false" outlineLevel="0" collapsed="false">
      <c r="A155" s="0" t="n">
        <v>154</v>
      </c>
      <c r="D155" s="0" t="s">
        <v>701</v>
      </c>
      <c r="E155" s="0" t="s">
        <v>20</v>
      </c>
      <c r="H155" s="0" t="s">
        <v>21</v>
      </c>
      <c r="I155" s="2" t="s">
        <v>22</v>
      </c>
      <c r="J155" s="2" t="s">
        <v>635</v>
      </c>
      <c r="K155" s="0" t="s">
        <v>636</v>
      </c>
      <c r="L155" s="0" t="s">
        <v>25</v>
      </c>
      <c r="M155" s="0" t="s">
        <v>637</v>
      </c>
      <c r="N155" s="0" t="s">
        <v>702</v>
      </c>
      <c r="O155" s="0" t="n">
        <v>2</v>
      </c>
      <c r="P155" s="0" t="s">
        <v>703</v>
      </c>
      <c r="Q155" s="3"/>
      <c r="S155" s="2" t="s">
        <v>29</v>
      </c>
    </row>
    <row r="156" customFormat="false" ht="15" hidden="false" customHeight="false" outlineLevel="0" collapsed="false">
      <c r="A156" s="0" t="n">
        <v>155</v>
      </c>
      <c r="D156" s="0" t="s">
        <v>704</v>
      </c>
      <c r="E156" s="0" t="s">
        <v>20</v>
      </c>
      <c r="H156" s="0" t="s">
        <v>21</v>
      </c>
      <c r="I156" s="2" t="s">
        <v>22</v>
      </c>
      <c r="J156" s="2" t="s">
        <v>635</v>
      </c>
      <c r="K156" s="0" t="s">
        <v>636</v>
      </c>
      <c r="L156" s="0" t="s">
        <v>25</v>
      </c>
      <c r="M156" s="0" t="s">
        <v>637</v>
      </c>
      <c r="N156" s="0" t="s">
        <v>705</v>
      </c>
      <c r="O156" s="0" t="n">
        <v>2</v>
      </c>
      <c r="P156" s="0" t="s">
        <v>706</v>
      </c>
      <c r="Q156" s="3"/>
      <c r="S156" s="2" t="s">
        <v>29</v>
      </c>
    </row>
    <row r="157" customFormat="false" ht="15" hidden="false" customHeight="false" outlineLevel="0" collapsed="false">
      <c r="A157" s="0" t="n">
        <v>156</v>
      </c>
      <c r="D157" s="0" t="s">
        <v>707</v>
      </c>
      <c r="E157" s="0" t="s">
        <v>492</v>
      </c>
      <c r="H157" s="0" t="s">
        <v>21</v>
      </c>
      <c r="I157" s="2" t="s">
        <v>22</v>
      </c>
      <c r="J157" s="2" t="s">
        <v>635</v>
      </c>
      <c r="K157" s="0" t="s">
        <v>636</v>
      </c>
      <c r="L157" s="0" t="s">
        <v>25</v>
      </c>
      <c r="M157" s="0" t="s">
        <v>637</v>
      </c>
      <c r="N157" s="0" t="s">
        <v>708</v>
      </c>
      <c r="O157" s="0" t="n">
        <v>2</v>
      </c>
      <c r="P157" s="0" t="s">
        <v>709</v>
      </c>
      <c r="Q157" s="3"/>
      <c r="S157" s="2" t="s">
        <v>29</v>
      </c>
    </row>
    <row r="158" customFormat="false" ht="15" hidden="false" customHeight="false" outlineLevel="0" collapsed="false">
      <c r="A158" s="0" t="n">
        <v>157</v>
      </c>
      <c r="D158" s="0" t="s">
        <v>710</v>
      </c>
      <c r="E158" s="0" t="s">
        <v>492</v>
      </c>
      <c r="H158" s="0" t="s">
        <v>21</v>
      </c>
      <c r="I158" s="2" t="s">
        <v>22</v>
      </c>
      <c r="J158" s="2" t="s">
        <v>635</v>
      </c>
      <c r="K158" s="0" t="s">
        <v>636</v>
      </c>
      <c r="L158" s="0" t="s">
        <v>25</v>
      </c>
      <c r="M158" s="0" t="s">
        <v>637</v>
      </c>
      <c r="N158" s="0" t="s">
        <v>711</v>
      </c>
      <c r="O158" s="0" t="n">
        <v>2</v>
      </c>
      <c r="P158" s="0" t="s">
        <v>712</v>
      </c>
      <c r="Q158" s="3"/>
      <c r="S158" s="2" t="s">
        <v>29</v>
      </c>
    </row>
    <row r="159" customFormat="false" ht="15" hidden="false" customHeight="false" outlineLevel="0" collapsed="false">
      <c r="A159" s="0" t="n">
        <v>158</v>
      </c>
      <c r="D159" s="0" t="s">
        <v>713</v>
      </c>
      <c r="E159" s="0" t="s">
        <v>20</v>
      </c>
      <c r="H159" s="0" t="s">
        <v>21</v>
      </c>
      <c r="I159" s="2" t="s">
        <v>22</v>
      </c>
      <c r="J159" s="2" t="s">
        <v>635</v>
      </c>
      <c r="K159" s="0" t="s">
        <v>636</v>
      </c>
      <c r="L159" s="0" t="s">
        <v>25</v>
      </c>
      <c r="M159" s="0" t="s">
        <v>637</v>
      </c>
      <c r="N159" s="0" t="s">
        <v>714</v>
      </c>
      <c r="O159" s="0" t="n">
        <v>2</v>
      </c>
      <c r="P159" s="0" t="s">
        <v>715</v>
      </c>
      <c r="Q159" s="3"/>
      <c r="S159" s="2" t="s">
        <v>29</v>
      </c>
    </row>
    <row r="160" customFormat="false" ht="15" hidden="false" customHeight="false" outlineLevel="0" collapsed="false">
      <c r="A160" s="0" t="n">
        <v>159</v>
      </c>
      <c r="D160" s="0" t="s">
        <v>716</v>
      </c>
      <c r="E160" s="0" t="s">
        <v>20</v>
      </c>
      <c r="H160" s="0" t="s">
        <v>21</v>
      </c>
      <c r="I160" s="2" t="s">
        <v>22</v>
      </c>
      <c r="J160" s="2" t="s">
        <v>635</v>
      </c>
      <c r="K160" s="0" t="s">
        <v>636</v>
      </c>
      <c r="L160" s="0" t="s">
        <v>25</v>
      </c>
      <c r="M160" s="0" t="s">
        <v>637</v>
      </c>
      <c r="N160" s="0" t="s">
        <v>717</v>
      </c>
      <c r="O160" s="0" t="n">
        <v>2</v>
      </c>
      <c r="P160" s="0" t="s">
        <v>718</v>
      </c>
      <c r="Q160" s="3"/>
      <c r="S160" s="2" t="s">
        <v>29</v>
      </c>
    </row>
    <row r="161" customFormat="false" ht="15" hidden="false" customHeight="false" outlineLevel="0" collapsed="false">
      <c r="A161" s="0" t="n">
        <v>160</v>
      </c>
      <c r="D161" s="0" t="s">
        <v>719</v>
      </c>
      <c r="E161" s="0" t="s">
        <v>20</v>
      </c>
      <c r="H161" s="0" t="s">
        <v>21</v>
      </c>
      <c r="I161" s="2" t="s">
        <v>22</v>
      </c>
      <c r="J161" s="2" t="s">
        <v>635</v>
      </c>
      <c r="K161" s="0" t="s">
        <v>636</v>
      </c>
      <c r="L161" s="0" t="s">
        <v>25</v>
      </c>
      <c r="M161" s="0" t="s">
        <v>637</v>
      </c>
      <c r="N161" s="0" t="s">
        <v>720</v>
      </c>
      <c r="O161" s="0" t="n">
        <v>2</v>
      </c>
      <c r="P161" s="0" t="s">
        <v>721</v>
      </c>
      <c r="Q161" s="3"/>
      <c r="S161" s="2" t="s">
        <v>29</v>
      </c>
    </row>
    <row r="162" customFormat="false" ht="15" hidden="false" customHeight="false" outlineLevel="0" collapsed="false">
      <c r="A162" s="0" t="n">
        <v>161</v>
      </c>
      <c r="D162" s="0" t="s">
        <v>722</v>
      </c>
      <c r="E162" s="0" t="s">
        <v>20</v>
      </c>
      <c r="H162" s="0" t="s">
        <v>21</v>
      </c>
      <c r="I162" s="2" t="s">
        <v>22</v>
      </c>
      <c r="J162" s="2" t="s">
        <v>635</v>
      </c>
      <c r="K162" s="0" t="s">
        <v>636</v>
      </c>
      <c r="L162" s="0" t="s">
        <v>25</v>
      </c>
      <c r="M162" s="0" t="s">
        <v>637</v>
      </c>
      <c r="N162" s="0" t="s">
        <v>723</v>
      </c>
      <c r="O162" s="0" t="n">
        <v>2</v>
      </c>
      <c r="P162" s="0" t="s">
        <v>724</v>
      </c>
      <c r="Q162" s="3"/>
      <c r="S162" s="2" t="s">
        <v>29</v>
      </c>
    </row>
    <row r="163" customFormat="false" ht="15" hidden="false" customHeight="false" outlineLevel="0" collapsed="false">
      <c r="A163" s="0" t="n">
        <v>162</v>
      </c>
      <c r="D163" s="0" t="s">
        <v>725</v>
      </c>
      <c r="E163" s="0" t="s">
        <v>20</v>
      </c>
      <c r="H163" s="0" t="s">
        <v>21</v>
      </c>
      <c r="I163" s="2" t="s">
        <v>22</v>
      </c>
      <c r="J163" s="2" t="s">
        <v>635</v>
      </c>
      <c r="K163" s="0" t="s">
        <v>636</v>
      </c>
      <c r="L163" s="0" t="s">
        <v>25</v>
      </c>
      <c r="M163" s="0" t="s">
        <v>637</v>
      </c>
      <c r="N163" s="0" t="s">
        <v>726</v>
      </c>
      <c r="O163" s="0" t="n">
        <v>2</v>
      </c>
      <c r="P163" s="0" t="s">
        <v>727</v>
      </c>
      <c r="Q163" s="3"/>
      <c r="S163" s="2" t="s">
        <v>29</v>
      </c>
    </row>
    <row r="164" customFormat="false" ht="15" hidden="false" customHeight="false" outlineLevel="0" collapsed="false">
      <c r="A164" s="0" t="n">
        <v>163</v>
      </c>
      <c r="D164" s="0" t="s">
        <v>728</v>
      </c>
      <c r="E164" s="0" t="s">
        <v>20</v>
      </c>
      <c r="H164" s="0" t="s">
        <v>21</v>
      </c>
      <c r="I164" s="2" t="s">
        <v>22</v>
      </c>
      <c r="J164" s="2" t="s">
        <v>635</v>
      </c>
      <c r="K164" s="0" t="s">
        <v>636</v>
      </c>
      <c r="L164" s="0" t="s">
        <v>25</v>
      </c>
      <c r="M164" s="0" t="s">
        <v>637</v>
      </c>
      <c r="N164" s="0" t="s">
        <v>729</v>
      </c>
      <c r="O164" s="0" t="n">
        <v>2</v>
      </c>
      <c r="P164" s="0" t="s">
        <v>730</v>
      </c>
      <c r="Q164" s="3"/>
      <c r="S164" s="2" t="s">
        <v>29</v>
      </c>
    </row>
    <row r="165" customFormat="false" ht="15" hidden="false" customHeight="false" outlineLevel="0" collapsed="false">
      <c r="A165" s="0" t="n">
        <v>164</v>
      </c>
      <c r="D165" s="0" t="s">
        <v>731</v>
      </c>
      <c r="E165" s="0" t="s">
        <v>20</v>
      </c>
      <c r="H165" s="0" t="s">
        <v>21</v>
      </c>
      <c r="I165" s="2" t="s">
        <v>22</v>
      </c>
      <c r="J165" s="2" t="s">
        <v>635</v>
      </c>
      <c r="K165" s="0" t="s">
        <v>636</v>
      </c>
      <c r="L165" s="0" t="s">
        <v>25</v>
      </c>
      <c r="M165" s="0" t="s">
        <v>637</v>
      </c>
      <c r="N165" s="0" t="s">
        <v>732</v>
      </c>
      <c r="O165" s="0" t="n">
        <v>2</v>
      </c>
      <c r="P165" s="0" t="s">
        <v>733</v>
      </c>
      <c r="Q165" s="3"/>
      <c r="S165" s="2" t="s">
        <v>29</v>
      </c>
    </row>
    <row r="166" customFormat="false" ht="15" hidden="false" customHeight="false" outlineLevel="0" collapsed="false">
      <c r="A166" s="0" t="n">
        <v>165</v>
      </c>
      <c r="D166" s="0" t="s">
        <v>734</v>
      </c>
      <c r="E166" s="0" t="s">
        <v>20</v>
      </c>
      <c r="H166" s="0" t="s">
        <v>21</v>
      </c>
      <c r="I166" s="2" t="s">
        <v>22</v>
      </c>
      <c r="J166" s="2" t="s">
        <v>635</v>
      </c>
      <c r="K166" s="0" t="s">
        <v>636</v>
      </c>
      <c r="L166" s="0" t="s">
        <v>25</v>
      </c>
      <c r="M166" s="0" t="s">
        <v>637</v>
      </c>
      <c r="N166" s="0" t="s">
        <v>735</v>
      </c>
      <c r="O166" s="0" t="n">
        <v>2</v>
      </c>
      <c r="P166" s="0" t="s">
        <v>736</v>
      </c>
      <c r="Q166" s="3"/>
      <c r="S166" s="2" t="s">
        <v>29</v>
      </c>
    </row>
    <row r="167" customFormat="false" ht="15" hidden="false" customHeight="false" outlineLevel="0" collapsed="false">
      <c r="A167" s="0" t="n">
        <v>166</v>
      </c>
      <c r="D167" s="0" t="s">
        <v>737</v>
      </c>
      <c r="E167" s="0" t="s">
        <v>20</v>
      </c>
      <c r="H167" s="0" t="s">
        <v>21</v>
      </c>
      <c r="I167" s="2" t="s">
        <v>22</v>
      </c>
      <c r="J167" s="2" t="s">
        <v>635</v>
      </c>
      <c r="K167" s="0" t="s">
        <v>636</v>
      </c>
      <c r="L167" s="0" t="s">
        <v>25</v>
      </c>
      <c r="M167" s="0" t="s">
        <v>637</v>
      </c>
      <c r="N167" s="0" t="s">
        <v>738</v>
      </c>
      <c r="O167" s="0" t="n">
        <v>2</v>
      </c>
      <c r="P167" s="0" t="s">
        <v>739</v>
      </c>
      <c r="Q167" s="3"/>
      <c r="S167" s="2" t="s">
        <v>29</v>
      </c>
    </row>
    <row r="168" customFormat="false" ht="15" hidden="false" customHeight="false" outlineLevel="0" collapsed="false">
      <c r="A168" s="0" t="n">
        <v>167</v>
      </c>
      <c r="D168" s="0" t="s">
        <v>740</v>
      </c>
      <c r="E168" s="0" t="s">
        <v>20</v>
      </c>
      <c r="H168" s="0" t="s">
        <v>21</v>
      </c>
      <c r="I168" s="2" t="s">
        <v>22</v>
      </c>
      <c r="J168" s="2" t="s">
        <v>635</v>
      </c>
      <c r="K168" s="0" t="s">
        <v>636</v>
      </c>
      <c r="L168" s="0" t="s">
        <v>25</v>
      </c>
      <c r="M168" s="0" t="s">
        <v>637</v>
      </c>
      <c r="N168" s="0" t="s">
        <v>741</v>
      </c>
      <c r="O168" s="0" t="n">
        <v>2</v>
      </c>
      <c r="P168" s="0" t="s">
        <v>742</v>
      </c>
      <c r="Q168" s="3"/>
      <c r="S168" s="2" t="s">
        <v>29</v>
      </c>
    </row>
    <row r="169" customFormat="false" ht="15" hidden="false" customHeight="false" outlineLevel="0" collapsed="false">
      <c r="A169" s="0" t="n">
        <v>168</v>
      </c>
      <c r="D169" s="0" t="s">
        <v>743</v>
      </c>
      <c r="E169" s="0" t="s">
        <v>20</v>
      </c>
      <c r="F169" s="0" t="s">
        <v>744</v>
      </c>
      <c r="H169" s="0" t="s">
        <v>21</v>
      </c>
      <c r="I169" s="2" t="s">
        <v>22</v>
      </c>
      <c r="J169" s="2" t="s">
        <v>635</v>
      </c>
      <c r="K169" s="0" t="s">
        <v>636</v>
      </c>
      <c r="L169" s="0" t="s">
        <v>745</v>
      </c>
      <c r="M169" s="0" t="s">
        <v>637</v>
      </c>
      <c r="N169" s="0" t="s">
        <v>746</v>
      </c>
      <c r="O169" s="0" t="n">
        <v>2</v>
      </c>
      <c r="P169" s="0" t="s">
        <v>747</v>
      </c>
      <c r="Q169" s="3" t="s">
        <v>748</v>
      </c>
      <c r="R169" s="2" t="s">
        <v>749</v>
      </c>
      <c r="S169" s="2" t="s">
        <v>45</v>
      </c>
    </row>
    <row r="170" customFormat="false" ht="15" hidden="false" customHeight="false" outlineLevel="0" collapsed="false">
      <c r="A170" s="0" t="n">
        <v>169</v>
      </c>
      <c r="D170" s="0" t="s">
        <v>750</v>
      </c>
      <c r="E170" s="0" t="s">
        <v>20</v>
      </c>
      <c r="H170" s="0" t="s">
        <v>21</v>
      </c>
      <c r="I170" s="2" t="s">
        <v>22</v>
      </c>
      <c r="J170" s="2" t="s">
        <v>635</v>
      </c>
      <c r="K170" s="0" t="s">
        <v>636</v>
      </c>
      <c r="L170" s="0" t="s">
        <v>25</v>
      </c>
      <c r="M170" s="0" t="s">
        <v>637</v>
      </c>
      <c r="N170" s="0" t="s">
        <v>751</v>
      </c>
      <c r="O170" s="0" t="n">
        <v>2</v>
      </c>
      <c r="P170" s="0" t="s">
        <v>752</v>
      </c>
      <c r="Q170" s="3"/>
      <c r="S170" s="2" t="s">
        <v>29</v>
      </c>
    </row>
    <row r="171" customFormat="false" ht="15" hidden="false" customHeight="false" outlineLevel="0" collapsed="false">
      <c r="A171" s="0" t="n">
        <v>170</v>
      </c>
      <c r="D171" s="0" t="s">
        <v>753</v>
      </c>
      <c r="E171" s="0" t="s">
        <v>236</v>
      </c>
      <c r="H171" s="0" t="s">
        <v>21</v>
      </c>
      <c r="I171" s="2" t="s">
        <v>22</v>
      </c>
      <c r="J171" s="2" t="s">
        <v>635</v>
      </c>
      <c r="K171" s="0" t="s">
        <v>636</v>
      </c>
      <c r="L171" s="0" t="s">
        <v>25</v>
      </c>
      <c r="M171" s="0" t="s">
        <v>637</v>
      </c>
      <c r="N171" s="0" t="s">
        <v>754</v>
      </c>
      <c r="O171" s="0" t="n">
        <v>2</v>
      </c>
      <c r="P171" s="0" t="s">
        <v>755</v>
      </c>
      <c r="Q171" s="3"/>
      <c r="S171" s="2" t="s">
        <v>29</v>
      </c>
    </row>
    <row r="172" customFormat="false" ht="15" hidden="false" customHeight="false" outlineLevel="0" collapsed="false">
      <c r="A172" s="0" t="n">
        <v>171</v>
      </c>
      <c r="D172" s="0" t="s">
        <v>756</v>
      </c>
      <c r="E172" s="0" t="s">
        <v>20</v>
      </c>
      <c r="H172" s="0" t="s">
        <v>21</v>
      </c>
      <c r="I172" s="2" t="s">
        <v>22</v>
      </c>
      <c r="J172" s="2" t="s">
        <v>635</v>
      </c>
      <c r="K172" s="0" t="s">
        <v>636</v>
      </c>
      <c r="L172" s="0" t="s">
        <v>25</v>
      </c>
      <c r="M172" s="0" t="s">
        <v>637</v>
      </c>
      <c r="N172" s="0" t="s">
        <v>757</v>
      </c>
      <c r="O172" s="0" t="n">
        <v>2</v>
      </c>
      <c r="P172" s="0" t="s">
        <v>758</v>
      </c>
      <c r="Q172" s="3"/>
      <c r="S172" s="2" t="s">
        <v>29</v>
      </c>
    </row>
    <row r="173" customFormat="false" ht="15" hidden="false" customHeight="false" outlineLevel="0" collapsed="false">
      <c r="A173" s="0" t="n">
        <v>172</v>
      </c>
      <c r="D173" s="0" t="s">
        <v>759</v>
      </c>
      <c r="E173" s="0" t="s">
        <v>20</v>
      </c>
      <c r="H173" s="0" t="s">
        <v>21</v>
      </c>
      <c r="I173" s="2" t="s">
        <v>22</v>
      </c>
      <c r="J173" s="2" t="s">
        <v>635</v>
      </c>
      <c r="K173" s="0" t="s">
        <v>636</v>
      </c>
      <c r="L173" s="0" t="s">
        <v>25</v>
      </c>
      <c r="M173" s="0" t="s">
        <v>637</v>
      </c>
      <c r="N173" s="0" t="s">
        <v>760</v>
      </c>
      <c r="O173" s="0" t="n">
        <v>2</v>
      </c>
      <c r="P173" s="0" t="s">
        <v>761</v>
      </c>
      <c r="Q173" s="3"/>
      <c r="S173" s="2" t="s">
        <v>29</v>
      </c>
    </row>
    <row r="174" customFormat="false" ht="15" hidden="false" customHeight="false" outlineLevel="0" collapsed="false">
      <c r="A174" s="0" t="n">
        <v>173</v>
      </c>
      <c r="D174" s="0" t="s">
        <v>762</v>
      </c>
      <c r="E174" s="0" t="s">
        <v>20</v>
      </c>
      <c r="F174" s="0" t="s">
        <v>763</v>
      </c>
      <c r="H174" s="0" t="s">
        <v>21</v>
      </c>
      <c r="I174" s="2" t="s">
        <v>22</v>
      </c>
      <c r="J174" s="2" t="s">
        <v>635</v>
      </c>
      <c r="K174" s="0" t="s">
        <v>636</v>
      </c>
      <c r="L174" s="0" t="s">
        <v>764</v>
      </c>
      <c r="M174" s="0" t="s">
        <v>637</v>
      </c>
      <c r="N174" s="0" t="s">
        <v>765</v>
      </c>
      <c r="O174" s="0" t="n">
        <v>2</v>
      </c>
      <c r="P174" s="0" t="s">
        <v>766</v>
      </c>
      <c r="Q174" s="3" t="s">
        <v>767</v>
      </c>
      <c r="R174" s="2" t="s">
        <v>768</v>
      </c>
      <c r="S174" s="2" t="s">
        <v>45</v>
      </c>
    </row>
    <row r="175" customFormat="false" ht="15" hidden="false" customHeight="false" outlineLevel="0" collapsed="false">
      <c r="A175" s="0" t="n">
        <v>174</v>
      </c>
      <c r="D175" s="0" t="s">
        <v>769</v>
      </c>
      <c r="E175" s="0" t="s">
        <v>20</v>
      </c>
      <c r="H175" s="0" t="s">
        <v>21</v>
      </c>
      <c r="I175" s="2" t="s">
        <v>22</v>
      </c>
      <c r="J175" s="2" t="s">
        <v>635</v>
      </c>
      <c r="K175" s="0" t="s">
        <v>636</v>
      </c>
      <c r="L175" s="0" t="s">
        <v>25</v>
      </c>
      <c r="M175" s="0" t="s">
        <v>637</v>
      </c>
      <c r="N175" s="0" t="s">
        <v>770</v>
      </c>
      <c r="O175" s="0" t="n">
        <v>2</v>
      </c>
      <c r="P175" s="0" t="s">
        <v>771</v>
      </c>
      <c r="Q175" s="3"/>
      <c r="S175" s="2" t="s">
        <v>29</v>
      </c>
    </row>
    <row r="176" customFormat="false" ht="15" hidden="false" customHeight="false" outlineLevel="0" collapsed="false">
      <c r="A176" s="0" t="n">
        <v>175</v>
      </c>
      <c r="D176" s="0" t="s">
        <v>772</v>
      </c>
      <c r="E176" s="0" t="s">
        <v>20</v>
      </c>
      <c r="H176" s="0" t="s">
        <v>21</v>
      </c>
      <c r="I176" s="2" t="s">
        <v>22</v>
      </c>
      <c r="J176" s="2" t="s">
        <v>635</v>
      </c>
      <c r="K176" s="0" t="s">
        <v>636</v>
      </c>
      <c r="L176" s="0" t="s">
        <v>25</v>
      </c>
      <c r="M176" s="0" t="s">
        <v>637</v>
      </c>
      <c r="N176" s="0" t="s">
        <v>773</v>
      </c>
      <c r="O176" s="0" t="n">
        <v>2</v>
      </c>
      <c r="P176" s="0" t="s">
        <v>774</v>
      </c>
      <c r="Q176" s="3"/>
      <c r="S176" s="2" t="s">
        <v>29</v>
      </c>
    </row>
    <row r="177" customFormat="false" ht="15" hidden="false" customHeight="false" outlineLevel="0" collapsed="false">
      <c r="A177" s="0" t="n">
        <v>176</v>
      </c>
      <c r="D177" s="0" t="s">
        <v>775</v>
      </c>
      <c r="E177" s="0" t="s">
        <v>20</v>
      </c>
      <c r="H177" s="0" t="s">
        <v>21</v>
      </c>
      <c r="I177" s="2" t="s">
        <v>22</v>
      </c>
      <c r="J177" s="2" t="s">
        <v>635</v>
      </c>
      <c r="K177" s="0" t="s">
        <v>636</v>
      </c>
      <c r="L177" s="0" t="s">
        <v>25</v>
      </c>
      <c r="M177" s="0" t="s">
        <v>637</v>
      </c>
      <c r="N177" s="0" t="s">
        <v>776</v>
      </c>
      <c r="O177" s="0" t="n">
        <v>2</v>
      </c>
      <c r="P177" s="0" t="s">
        <v>777</v>
      </c>
      <c r="Q177" s="3"/>
      <c r="S177" s="2" t="s">
        <v>29</v>
      </c>
    </row>
    <row r="178" customFormat="false" ht="15" hidden="false" customHeight="false" outlineLevel="0" collapsed="false">
      <c r="A178" s="0" t="n">
        <v>177</v>
      </c>
      <c r="D178" s="0" t="s">
        <v>778</v>
      </c>
      <c r="E178" s="0" t="s">
        <v>20</v>
      </c>
      <c r="H178" s="0" t="s">
        <v>21</v>
      </c>
      <c r="I178" s="2" t="s">
        <v>22</v>
      </c>
      <c r="J178" s="2" t="s">
        <v>635</v>
      </c>
      <c r="K178" s="0" t="s">
        <v>636</v>
      </c>
      <c r="L178" s="0" t="s">
        <v>25</v>
      </c>
      <c r="M178" s="0" t="s">
        <v>637</v>
      </c>
      <c r="N178" s="0" t="s">
        <v>779</v>
      </c>
      <c r="O178" s="0" t="n">
        <v>2</v>
      </c>
      <c r="P178" s="0" t="s">
        <v>780</v>
      </c>
      <c r="Q178" s="3"/>
      <c r="S178" s="2" t="s">
        <v>29</v>
      </c>
    </row>
    <row r="179" customFormat="false" ht="15" hidden="false" customHeight="false" outlineLevel="0" collapsed="false">
      <c r="A179" s="0" t="n">
        <v>178</v>
      </c>
      <c r="D179" s="0" t="s">
        <v>781</v>
      </c>
      <c r="E179" s="0" t="s">
        <v>20</v>
      </c>
      <c r="H179" s="0" t="s">
        <v>21</v>
      </c>
      <c r="I179" s="2" t="s">
        <v>22</v>
      </c>
      <c r="J179" s="2" t="s">
        <v>635</v>
      </c>
      <c r="K179" s="0" t="s">
        <v>636</v>
      </c>
      <c r="L179" s="0" t="s">
        <v>25</v>
      </c>
      <c r="M179" s="0" t="s">
        <v>637</v>
      </c>
      <c r="N179" s="0" t="s">
        <v>782</v>
      </c>
      <c r="O179" s="0" t="n">
        <v>2</v>
      </c>
      <c r="P179" s="0" t="s">
        <v>783</v>
      </c>
      <c r="Q179" s="3"/>
      <c r="S179" s="2" t="s">
        <v>29</v>
      </c>
    </row>
    <row r="180" customFormat="false" ht="15" hidden="false" customHeight="false" outlineLevel="0" collapsed="false">
      <c r="A180" s="0" t="n">
        <v>179</v>
      </c>
      <c r="D180" s="0" t="s">
        <v>784</v>
      </c>
      <c r="E180" s="0" t="s">
        <v>20</v>
      </c>
      <c r="H180" s="0" t="s">
        <v>21</v>
      </c>
      <c r="I180" s="2" t="s">
        <v>22</v>
      </c>
      <c r="J180" s="2" t="s">
        <v>635</v>
      </c>
      <c r="K180" s="0" t="s">
        <v>636</v>
      </c>
      <c r="L180" s="0" t="s">
        <v>25</v>
      </c>
      <c r="M180" s="0" t="s">
        <v>637</v>
      </c>
      <c r="N180" s="0" t="s">
        <v>785</v>
      </c>
      <c r="O180" s="0" t="n">
        <v>2</v>
      </c>
      <c r="P180" s="0" t="s">
        <v>786</v>
      </c>
      <c r="Q180" s="3"/>
      <c r="S180" s="2" t="s">
        <v>29</v>
      </c>
    </row>
    <row r="181" customFormat="false" ht="15" hidden="false" customHeight="false" outlineLevel="0" collapsed="false">
      <c r="A181" s="0" t="n">
        <v>180</v>
      </c>
      <c r="D181" s="0" t="s">
        <v>787</v>
      </c>
      <c r="E181" s="0" t="s">
        <v>20</v>
      </c>
      <c r="H181" s="0" t="s">
        <v>21</v>
      </c>
      <c r="I181" s="2" t="s">
        <v>22</v>
      </c>
      <c r="J181" s="2" t="s">
        <v>635</v>
      </c>
      <c r="K181" s="0" t="s">
        <v>636</v>
      </c>
      <c r="L181" s="0" t="s">
        <v>25</v>
      </c>
      <c r="M181" s="0" t="s">
        <v>637</v>
      </c>
      <c r="N181" s="0" t="s">
        <v>788</v>
      </c>
      <c r="O181" s="0" t="n">
        <v>2</v>
      </c>
      <c r="P181" s="0" t="s">
        <v>789</v>
      </c>
      <c r="Q181" s="3"/>
      <c r="S181" s="2" t="s">
        <v>29</v>
      </c>
    </row>
    <row r="182" customFormat="false" ht="15" hidden="false" customHeight="false" outlineLevel="0" collapsed="false">
      <c r="A182" s="0" t="n">
        <v>181</v>
      </c>
      <c r="D182" s="0" t="s">
        <v>790</v>
      </c>
      <c r="E182" s="0" t="s">
        <v>20</v>
      </c>
      <c r="H182" s="0" t="s">
        <v>21</v>
      </c>
      <c r="I182" s="2" t="s">
        <v>22</v>
      </c>
      <c r="J182" s="2" t="s">
        <v>635</v>
      </c>
      <c r="K182" s="0" t="s">
        <v>636</v>
      </c>
      <c r="L182" s="0" t="s">
        <v>25</v>
      </c>
      <c r="M182" s="0" t="s">
        <v>637</v>
      </c>
      <c r="N182" s="0" t="s">
        <v>791</v>
      </c>
      <c r="O182" s="0" t="n">
        <v>2</v>
      </c>
      <c r="P182" s="0" t="s">
        <v>792</v>
      </c>
      <c r="Q182" s="3"/>
      <c r="S182" s="2" t="s">
        <v>29</v>
      </c>
    </row>
    <row r="183" customFormat="false" ht="15" hidden="false" customHeight="false" outlineLevel="0" collapsed="false">
      <c r="A183" s="0" t="n">
        <v>182</v>
      </c>
      <c r="D183" s="0" t="s">
        <v>793</v>
      </c>
      <c r="E183" s="0" t="s">
        <v>20</v>
      </c>
      <c r="H183" s="0" t="s">
        <v>21</v>
      </c>
      <c r="I183" s="2" t="s">
        <v>22</v>
      </c>
      <c r="J183" s="2" t="s">
        <v>635</v>
      </c>
      <c r="K183" s="0" t="s">
        <v>636</v>
      </c>
      <c r="L183" s="0" t="s">
        <v>25</v>
      </c>
      <c r="M183" s="0" t="s">
        <v>637</v>
      </c>
      <c r="N183" s="0" t="s">
        <v>794</v>
      </c>
      <c r="O183" s="0" t="n">
        <v>2</v>
      </c>
      <c r="P183" s="0" t="s">
        <v>795</v>
      </c>
      <c r="Q183" s="3"/>
      <c r="S183" s="2" t="s">
        <v>29</v>
      </c>
    </row>
    <row r="184" customFormat="false" ht="15" hidden="false" customHeight="false" outlineLevel="0" collapsed="false">
      <c r="A184" s="0" t="n">
        <v>183</v>
      </c>
      <c r="D184" s="0" t="s">
        <v>796</v>
      </c>
      <c r="E184" s="0" t="s">
        <v>20</v>
      </c>
      <c r="F184" s="0" t="s">
        <v>797</v>
      </c>
      <c r="H184" s="0" t="s">
        <v>21</v>
      </c>
      <c r="I184" s="2" t="s">
        <v>22</v>
      </c>
      <c r="J184" s="2" t="s">
        <v>635</v>
      </c>
      <c r="K184" s="0" t="s">
        <v>636</v>
      </c>
      <c r="L184" s="0" t="s">
        <v>798</v>
      </c>
      <c r="M184" s="0" t="s">
        <v>637</v>
      </c>
      <c r="N184" s="0" t="s">
        <v>799</v>
      </c>
      <c r="O184" s="0" t="n">
        <v>2</v>
      </c>
      <c r="P184" s="0" t="s">
        <v>800</v>
      </c>
      <c r="Q184" s="3" t="s">
        <v>801</v>
      </c>
      <c r="R184" s="2" t="s">
        <v>802</v>
      </c>
      <c r="S184" s="2" t="s">
        <v>45</v>
      </c>
    </row>
    <row r="185" customFormat="false" ht="15" hidden="false" customHeight="false" outlineLevel="0" collapsed="false">
      <c r="A185" s="0" t="n">
        <v>184</v>
      </c>
      <c r="D185" s="0" t="s">
        <v>803</v>
      </c>
      <c r="E185" s="0" t="s">
        <v>20</v>
      </c>
      <c r="F185" s="0" t="s">
        <v>804</v>
      </c>
      <c r="H185" s="0" t="s">
        <v>21</v>
      </c>
      <c r="I185" s="2" t="s">
        <v>22</v>
      </c>
      <c r="J185" s="2" t="s">
        <v>635</v>
      </c>
      <c r="K185" s="0" t="s">
        <v>636</v>
      </c>
      <c r="L185" s="0" t="s">
        <v>805</v>
      </c>
      <c r="M185" s="0" t="s">
        <v>637</v>
      </c>
      <c r="N185" s="0" t="s">
        <v>806</v>
      </c>
      <c r="O185" s="0" t="n">
        <v>2</v>
      </c>
      <c r="P185" s="0" t="s">
        <v>807</v>
      </c>
      <c r="Q185" s="3" t="s">
        <v>808</v>
      </c>
      <c r="R185" s="2" t="s">
        <v>809</v>
      </c>
      <c r="S185" s="2" t="s">
        <v>45</v>
      </c>
    </row>
    <row r="186" customFormat="false" ht="15" hidden="false" customHeight="false" outlineLevel="0" collapsed="false">
      <c r="A186" s="0" t="n">
        <v>185</v>
      </c>
      <c r="D186" s="0" t="s">
        <v>810</v>
      </c>
      <c r="E186" s="0" t="s">
        <v>20</v>
      </c>
      <c r="F186" s="0" t="s">
        <v>811</v>
      </c>
      <c r="H186" s="0" t="s">
        <v>21</v>
      </c>
      <c r="I186" s="2" t="s">
        <v>22</v>
      </c>
      <c r="J186" s="2" t="s">
        <v>635</v>
      </c>
      <c r="K186" s="0" t="s">
        <v>636</v>
      </c>
      <c r="L186" s="0" t="s">
        <v>812</v>
      </c>
      <c r="M186" s="0" t="s">
        <v>637</v>
      </c>
      <c r="N186" s="0" t="s">
        <v>813</v>
      </c>
      <c r="O186" s="0" t="n">
        <v>2</v>
      </c>
      <c r="P186" s="0" t="s">
        <v>814</v>
      </c>
      <c r="Q186" s="3" t="s">
        <v>815</v>
      </c>
      <c r="R186" s="2" t="s">
        <v>816</v>
      </c>
      <c r="S186" s="2" t="s">
        <v>45</v>
      </c>
    </row>
    <row r="187" customFormat="false" ht="15" hidden="false" customHeight="false" outlineLevel="0" collapsed="false">
      <c r="A187" s="0" t="n">
        <v>186</v>
      </c>
      <c r="D187" s="0" t="s">
        <v>817</v>
      </c>
      <c r="E187" s="0" t="s">
        <v>20</v>
      </c>
      <c r="H187" s="0" t="s">
        <v>21</v>
      </c>
      <c r="I187" s="2" t="s">
        <v>22</v>
      </c>
      <c r="J187" s="2" t="s">
        <v>635</v>
      </c>
      <c r="K187" s="0" t="s">
        <v>636</v>
      </c>
      <c r="L187" s="0" t="s">
        <v>25</v>
      </c>
      <c r="M187" s="0" t="s">
        <v>637</v>
      </c>
      <c r="N187" s="0" t="s">
        <v>818</v>
      </c>
      <c r="O187" s="0" t="n">
        <v>2</v>
      </c>
      <c r="P187" s="0" t="s">
        <v>819</v>
      </c>
      <c r="Q187" s="3"/>
      <c r="S187" s="2" t="s">
        <v>29</v>
      </c>
    </row>
    <row r="188" customFormat="false" ht="15" hidden="false" customHeight="false" outlineLevel="0" collapsed="false">
      <c r="A188" s="0" t="n">
        <v>187</v>
      </c>
      <c r="D188" s="0" t="s">
        <v>820</v>
      </c>
      <c r="E188" s="0" t="s">
        <v>20</v>
      </c>
      <c r="H188" s="0" t="s">
        <v>21</v>
      </c>
      <c r="I188" s="2" t="s">
        <v>22</v>
      </c>
      <c r="J188" s="2" t="s">
        <v>635</v>
      </c>
      <c r="K188" s="0" t="s">
        <v>636</v>
      </c>
      <c r="L188" s="0" t="s">
        <v>25</v>
      </c>
      <c r="M188" s="0" t="s">
        <v>637</v>
      </c>
      <c r="N188" s="0" t="s">
        <v>821</v>
      </c>
      <c r="O188" s="0" t="n">
        <v>2</v>
      </c>
      <c r="P188" s="0" t="s">
        <v>822</v>
      </c>
      <c r="Q188" s="3"/>
      <c r="S188" s="2" t="s">
        <v>29</v>
      </c>
    </row>
    <row r="189" customFormat="false" ht="15" hidden="false" customHeight="false" outlineLevel="0" collapsed="false">
      <c r="A189" s="0" t="n">
        <v>188</v>
      </c>
      <c r="D189" s="0" t="s">
        <v>823</v>
      </c>
      <c r="E189" s="0" t="s">
        <v>20</v>
      </c>
      <c r="H189" s="0" t="s">
        <v>21</v>
      </c>
      <c r="I189" s="2" t="s">
        <v>22</v>
      </c>
      <c r="J189" s="2" t="s">
        <v>635</v>
      </c>
      <c r="K189" s="0" t="s">
        <v>636</v>
      </c>
      <c r="L189" s="0" t="s">
        <v>25</v>
      </c>
      <c r="M189" s="0" t="s">
        <v>637</v>
      </c>
      <c r="N189" s="0" t="s">
        <v>824</v>
      </c>
      <c r="O189" s="0" t="n">
        <v>2</v>
      </c>
      <c r="P189" s="0" t="s">
        <v>825</v>
      </c>
      <c r="Q189" s="3"/>
      <c r="S189" s="2" t="s">
        <v>29</v>
      </c>
    </row>
    <row r="190" customFormat="false" ht="15" hidden="false" customHeight="false" outlineLevel="0" collapsed="false">
      <c r="A190" s="0" t="n">
        <v>189</v>
      </c>
      <c r="D190" s="0" t="s">
        <v>826</v>
      </c>
      <c r="E190" s="0" t="s">
        <v>20</v>
      </c>
      <c r="H190" s="0" t="s">
        <v>21</v>
      </c>
      <c r="I190" s="2" t="s">
        <v>22</v>
      </c>
      <c r="J190" s="2" t="s">
        <v>635</v>
      </c>
      <c r="K190" s="0" t="s">
        <v>636</v>
      </c>
      <c r="L190" s="0" t="s">
        <v>25</v>
      </c>
      <c r="M190" s="0" t="s">
        <v>637</v>
      </c>
      <c r="N190" s="0" t="s">
        <v>827</v>
      </c>
      <c r="O190" s="0" t="n">
        <v>2</v>
      </c>
      <c r="P190" s="0" t="s">
        <v>828</v>
      </c>
      <c r="Q190" s="3"/>
      <c r="S190" s="2" t="s">
        <v>29</v>
      </c>
    </row>
    <row r="191" customFormat="false" ht="15" hidden="false" customHeight="false" outlineLevel="0" collapsed="false">
      <c r="A191" s="0" t="n">
        <v>190</v>
      </c>
      <c r="D191" s="0" t="s">
        <v>829</v>
      </c>
      <c r="E191" s="0" t="s">
        <v>20</v>
      </c>
      <c r="H191" s="0" t="s">
        <v>21</v>
      </c>
      <c r="I191" s="2" t="s">
        <v>22</v>
      </c>
      <c r="J191" s="2" t="s">
        <v>635</v>
      </c>
      <c r="K191" s="0" t="s">
        <v>636</v>
      </c>
      <c r="L191" s="0" t="s">
        <v>25</v>
      </c>
      <c r="M191" s="0" t="s">
        <v>637</v>
      </c>
      <c r="N191" s="0" t="s">
        <v>830</v>
      </c>
      <c r="O191" s="0" t="n">
        <v>2</v>
      </c>
      <c r="P191" s="0" t="s">
        <v>831</v>
      </c>
      <c r="Q191" s="3"/>
      <c r="S191" s="2" t="s">
        <v>29</v>
      </c>
    </row>
    <row r="192" customFormat="false" ht="15" hidden="false" customHeight="false" outlineLevel="0" collapsed="false">
      <c r="A192" s="0" t="n">
        <v>191</v>
      </c>
      <c r="D192" s="0" t="s">
        <v>832</v>
      </c>
      <c r="E192" s="0" t="s">
        <v>20</v>
      </c>
      <c r="H192" s="0" t="s">
        <v>21</v>
      </c>
      <c r="I192" s="2" t="s">
        <v>22</v>
      </c>
      <c r="J192" s="2" t="s">
        <v>635</v>
      </c>
      <c r="K192" s="0" t="s">
        <v>636</v>
      </c>
      <c r="L192" s="0" t="s">
        <v>25</v>
      </c>
      <c r="M192" s="0" t="s">
        <v>637</v>
      </c>
      <c r="N192" s="0" t="s">
        <v>833</v>
      </c>
      <c r="O192" s="0" t="n">
        <v>2</v>
      </c>
      <c r="P192" s="0" t="s">
        <v>834</v>
      </c>
      <c r="Q192" s="3"/>
      <c r="S192" s="2" t="s">
        <v>29</v>
      </c>
    </row>
    <row r="193" customFormat="false" ht="15" hidden="false" customHeight="false" outlineLevel="0" collapsed="false">
      <c r="A193" s="0" t="n">
        <v>192</v>
      </c>
      <c r="D193" s="0" t="s">
        <v>835</v>
      </c>
      <c r="E193" s="0" t="s">
        <v>20</v>
      </c>
      <c r="H193" s="0" t="s">
        <v>21</v>
      </c>
      <c r="I193" s="2" t="s">
        <v>22</v>
      </c>
      <c r="J193" s="2" t="s">
        <v>635</v>
      </c>
      <c r="K193" s="0" t="s">
        <v>636</v>
      </c>
      <c r="L193" s="0" t="s">
        <v>25</v>
      </c>
      <c r="M193" s="0" t="s">
        <v>637</v>
      </c>
      <c r="N193" s="0" t="s">
        <v>836</v>
      </c>
      <c r="O193" s="0" t="n">
        <v>2</v>
      </c>
      <c r="P193" s="0" t="s">
        <v>837</v>
      </c>
      <c r="Q193" s="3"/>
      <c r="S193" s="2" t="s">
        <v>29</v>
      </c>
    </row>
    <row r="194" customFormat="false" ht="15" hidden="false" customHeight="false" outlineLevel="0" collapsed="false">
      <c r="A194" s="0" t="n">
        <v>193</v>
      </c>
      <c r="D194" s="0" t="s">
        <v>838</v>
      </c>
      <c r="E194" s="0" t="s">
        <v>20</v>
      </c>
      <c r="H194" s="0" t="s">
        <v>21</v>
      </c>
      <c r="I194" s="2" t="s">
        <v>22</v>
      </c>
      <c r="J194" s="2" t="s">
        <v>635</v>
      </c>
      <c r="K194" s="0" t="s">
        <v>636</v>
      </c>
      <c r="L194" s="0" t="s">
        <v>25</v>
      </c>
      <c r="M194" s="0" t="s">
        <v>637</v>
      </c>
      <c r="N194" s="0" t="s">
        <v>839</v>
      </c>
      <c r="O194" s="0" t="n">
        <v>2</v>
      </c>
      <c r="P194" s="0" t="s">
        <v>840</v>
      </c>
      <c r="Q194" s="3"/>
      <c r="S194" s="2" t="s">
        <v>29</v>
      </c>
    </row>
    <row r="195" customFormat="false" ht="15" hidden="false" customHeight="false" outlineLevel="0" collapsed="false">
      <c r="A195" s="0" t="n">
        <v>194</v>
      </c>
      <c r="D195" s="0" t="s">
        <v>841</v>
      </c>
      <c r="E195" s="0" t="s">
        <v>20</v>
      </c>
      <c r="H195" s="0" t="s">
        <v>21</v>
      </c>
      <c r="I195" s="2" t="s">
        <v>22</v>
      </c>
      <c r="J195" s="2" t="s">
        <v>635</v>
      </c>
      <c r="K195" s="0" t="s">
        <v>636</v>
      </c>
      <c r="L195" s="0" t="s">
        <v>25</v>
      </c>
      <c r="M195" s="0" t="s">
        <v>637</v>
      </c>
      <c r="N195" s="0" t="s">
        <v>842</v>
      </c>
      <c r="O195" s="0" t="n">
        <v>2</v>
      </c>
      <c r="P195" s="0" t="s">
        <v>843</v>
      </c>
      <c r="Q195" s="3"/>
      <c r="S195" s="2" t="s">
        <v>29</v>
      </c>
    </row>
    <row r="196" customFormat="false" ht="15" hidden="false" customHeight="false" outlineLevel="0" collapsed="false">
      <c r="A196" s="0" t="n">
        <v>195</v>
      </c>
      <c r="D196" s="0" t="s">
        <v>844</v>
      </c>
      <c r="E196" s="0" t="s">
        <v>492</v>
      </c>
      <c r="H196" s="0" t="s">
        <v>21</v>
      </c>
      <c r="I196" s="2" t="s">
        <v>22</v>
      </c>
      <c r="J196" s="2" t="s">
        <v>635</v>
      </c>
      <c r="K196" s="0" t="s">
        <v>636</v>
      </c>
      <c r="L196" s="0" t="s">
        <v>25</v>
      </c>
      <c r="M196" s="0" t="s">
        <v>637</v>
      </c>
      <c r="N196" s="0" t="s">
        <v>845</v>
      </c>
      <c r="O196" s="0" t="n">
        <v>2</v>
      </c>
      <c r="P196" s="0" t="s">
        <v>846</v>
      </c>
      <c r="Q196" s="3"/>
      <c r="S196" s="2" t="s">
        <v>29</v>
      </c>
    </row>
    <row r="197" customFormat="false" ht="15" hidden="false" customHeight="false" outlineLevel="0" collapsed="false">
      <c r="A197" s="0" t="n">
        <v>196</v>
      </c>
      <c r="D197" s="0" t="s">
        <v>847</v>
      </c>
      <c r="E197" s="0" t="s">
        <v>492</v>
      </c>
      <c r="H197" s="0" t="s">
        <v>21</v>
      </c>
      <c r="I197" s="2" t="s">
        <v>22</v>
      </c>
      <c r="J197" s="2" t="s">
        <v>635</v>
      </c>
      <c r="K197" s="0" t="s">
        <v>636</v>
      </c>
      <c r="L197" s="0" t="s">
        <v>25</v>
      </c>
      <c r="M197" s="0" t="s">
        <v>637</v>
      </c>
      <c r="N197" s="0" t="s">
        <v>848</v>
      </c>
      <c r="O197" s="0" t="n">
        <v>2</v>
      </c>
      <c r="P197" s="0" t="s">
        <v>849</v>
      </c>
      <c r="Q197" s="3"/>
      <c r="S197" s="2" t="s">
        <v>29</v>
      </c>
    </row>
    <row r="198" customFormat="false" ht="15" hidden="false" customHeight="false" outlineLevel="0" collapsed="false">
      <c r="A198" s="0" t="n">
        <v>197</v>
      </c>
      <c r="D198" s="0" t="s">
        <v>850</v>
      </c>
      <c r="E198" s="0" t="s">
        <v>492</v>
      </c>
      <c r="H198" s="0" t="s">
        <v>21</v>
      </c>
      <c r="I198" s="2" t="s">
        <v>22</v>
      </c>
      <c r="J198" s="2" t="s">
        <v>635</v>
      </c>
      <c r="K198" s="0" t="s">
        <v>636</v>
      </c>
      <c r="L198" s="0" t="s">
        <v>25</v>
      </c>
      <c r="M198" s="0" t="s">
        <v>637</v>
      </c>
      <c r="N198" s="0" t="s">
        <v>851</v>
      </c>
      <c r="O198" s="0" t="n">
        <v>2</v>
      </c>
      <c r="P198" s="0" t="s">
        <v>852</v>
      </c>
      <c r="Q198" s="3"/>
      <c r="S198" s="2" t="s">
        <v>29</v>
      </c>
    </row>
    <row r="199" customFormat="false" ht="15" hidden="false" customHeight="false" outlineLevel="0" collapsed="false">
      <c r="A199" s="0" t="n">
        <v>198</v>
      </c>
      <c r="D199" s="0" t="s">
        <v>853</v>
      </c>
      <c r="E199" s="0" t="s">
        <v>492</v>
      </c>
      <c r="H199" s="0" t="s">
        <v>21</v>
      </c>
      <c r="I199" s="2" t="s">
        <v>22</v>
      </c>
      <c r="J199" s="2" t="s">
        <v>635</v>
      </c>
      <c r="K199" s="0" t="s">
        <v>636</v>
      </c>
      <c r="L199" s="0" t="s">
        <v>25</v>
      </c>
      <c r="M199" s="0" t="s">
        <v>637</v>
      </c>
      <c r="N199" s="0" t="s">
        <v>854</v>
      </c>
      <c r="O199" s="0" t="n">
        <v>2</v>
      </c>
      <c r="P199" s="0" t="s">
        <v>855</v>
      </c>
      <c r="Q199" s="3"/>
      <c r="S199" s="2" t="s">
        <v>29</v>
      </c>
    </row>
    <row r="200" customFormat="false" ht="15" hidden="false" customHeight="false" outlineLevel="0" collapsed="false">
      <c r="A200" s="0" t="n">
        <v>199</v>
      </c>
      <c r="D200" s="0" t="s">
        <v>856</v>
      </c>
      <c r="E200" s="0" t="s">
        <v>20</v>
      </c>
      <c r="H200" s="0" t="s">
        <v>21</v>
      </c>
      <c r="I200" s="2" t="s">
        <v>22</v>
      </c>
      <c r="J200" s="2" t="s">
        <v>635</v>
      </c>
      <c r="K200" s="0" t="s">
        <v>636</v>
      </c>
      <c r="L200" s="0" t="s">
        <v>25</v>
      </c>
      <c r="M200" s="0" t="s">
        <v>637</v>
      </c>
      <c r="N200" s="0" t="s">
        <v>857</v>
      </c>
      <c r="O200" s="0" t="n">
        <v>2</v>
      </c>
      <c r="P200" s="0" t="s">
        <v>858</v>
      </c>
      <c r="Q200" s="3"/>
      <c r="S200" s="2" t="s">
        <v>29</v>
      </c>
    </row>
    <row r="201" customFormat="false" ht="15" hidden="false" customHeight="false" outlineLevel="0" collapsed="false">
      <c r="A201" s="0" t="n">
        <v>200</v>
      </c>
      <c r="D201" s="0" t="s">
        <v>859</v>
      </c>
      <c r="E201" s="0" t="s">
        <v>20</v>
      </c>
      <c r="H201" s="0" t="s">
        <v>21</v>
      </c>
      <c r="I201" s="2" t="s">
        <v>22</v>
      </c>
      <c r="J201" s="2" t="s">
        <v>635</v>
      </c>
      <c r="K201" s="0" t="s">
        <v>636</v>
      </c>
      <c r="L201" s="0" t="s">
        <v>25</v>
      </c>
      <c r="M201" s="0" t="s">
        <v>637</v>
      </c>
      <c r="N201" s="0" t="s">
        <v>860</v>
      </c>
      <c r="O201" s="0" t="n">
        <v>2</v>
      </c>
      <c r="P201" s="0" t="s">
        <v>861</v>
      </c>
      <c r="Q201" s="3"/>
      <c r="S201" s="2" t="s">
        <v>29</v>
      </c>
    </row>
    <row r="202" customFormat="false" ht="15" hidden="false" customHeight="false" outlineLevel="0" collapsed="false">
      <c r="A202" s="0" t="n">
        <v>201</v>
      </c>
      <c r="D202" s="0" t="s">
        <v>862</v>
      </c>
      <c r="E202" s="0" t="s">
        <v>20</v>
      </c>
      <c r="H202" s="0" t="s">
        <v>21</v>
      </c>
      <c r="I202" s="2" t="s">
        <v>22</v>
      </c>
      <c r="J202" s="2" t="s">
        <v>635</v>
      </c>
      <c r="K202" s="0" t="s">
        <v>636</v>
      </c>
      <c r="L202" s="0" t="s">
        <v>25</v>
      </c>
      <c r="M202" s="0" t="s">
        <v>637</v>
      </c>
      <c r="N202" s="0" t="s">
        <v>863</v>
      </c>
      <c r="O202" s="0" t="n">
        <v>2</v>
      </c>
      <c r="P202" s="0" t="s">
        <v>864</v>
      </c>
      <c r="Q202" s="3"/>
      <c r="S202" s="2" t="s">
        <v>29</v>
      </c>
    </row>
    <row r="203" customFormat="false" ht="15" hidden="false" customHeight="false" outlineLevel="0" collapsed="false">
      <c r="A203" s="0" t="n">
        <v>202</v>
      </c>
      <c r="D203" s="0" t="s">
        <v>865</v>
      </c>
      <c r="E203" s="0" t="s">
        <v>20</v>
      </c>
      <c r="H203" s="0" t="s">
        <v>21</v>
      </c>
      <c r="I203" s="2" t="s">
        <v>22</v>
      </c>
      <c r="J203" s="2" t="s">
        <v>635</v>
      </c>
      <c r="K203" s="0" t="s">
        <v>636</v>
      </c>
      <c r="L203" s="0" t="s">
        <v>25</v>
      </c>
      <c r="M203" s="0" t="s">
        <v>637</v>
      </c>
      <c r="N203" s="0" t="s">
        <v>866</v>
      </c>
      <c r="O203" s="0" t="n">
        <v>2</v>
      </c>
      <c r="P203" s="0" t="s">
        <v>867</v>
      </c>
      <c r="Q203" s="3"/>
      <c r="S203" s="2" t="s">
        <v>29</v>
      </c>
    </row>
    <row r="204" customFormat="false" ht="15" hidden="false" customHeight="false" outlineLevel="0" collapsed="false">
      <c r="A204" s="0" t="n">
        <v>203</v>
      </c>
      <c r="D204" s="0" t="s">
        <v>868</v>
      </c>
      <c r="E204" s="0" t="s">
        <v>20</v>
      </c>
      <c r="H204" s="0" t="s">
        <v>21</v>
      </c>
      <c r="I204" s="2" t="s">
        <v>22</v>
      </c>
      <c r="J204" s="2" t="s">
        <v>635</v>
      </c>
      <c r="K204" s="0" t="s">
        <v>636</v>
      </c>
      <c r="L204" s="0" t="s">
        <v>25</v>
      </c>
      <c r="M204" s="0" t="s">
        <v>637</v>
      </c>
      <c r="N204" s="0" t="s">
        <v>869</v>
      </c>
      <c r="O204" s="0" t="n">
        <v>2</v>
      </c>
      <c r="P204" s="0" t="s">
        <v>870</v>
      </c>
      <c r="Q204" s="3"/>
      <c r="S204" s="2" t="s">
        <v>29</v>
      </c>
    </row>
    <row r="205" customFormat="false" ht="15" hidden="false" customHeight="false" outlineLevel="0" collapsed="false">
      <c r="A205" s="0" t="n">
        <v>204</v>
      </c>
      <c r="D205" s="0" t="s">
        <v>871</v>
      </c>
      <c r="E205" s="0" t="s">
        <v>63</v>
      </c>
      <c r="H205" s="0" t="s">
        <v>21</v>
      </c>
      <c r="I205" s="2" t="s">
        <v>22</v>
      </c>
      <c r="J205" s="2" t="s">
        <v>635</v>
      </c>
      <c r="K205" s="0" t="s">
        <v>636</v>
      </c>
      <c r="L205" s="0" t="s">
        <v>64</v>
      </c>
      <c r="M205" s="0" t="s">
        <v>637</v>
      </c>
      <c r="N205" s="0" t="s">
        <v>872</v>
      </c>
      <c r="O205" s="0" t="n">
        <v>2</v>
      </c>
      <c r="P205" s="0" t="s">
        <v>873</v>
      </c>
      <c r="Q205" s="3"/>
      <c r="S205" s="2" t="s">
        <v>29</v>
      </c>
    </row>
    <row r="206" customFormat="false" ht="15" hidden="false" customHeight="false" outlineLevel="0" collapsed="false">
      <c r="A206" s="0" t="n">
        <v>205</v>
      </c>
      <c r="D206" s="0" t="s">
        <v>874</v>
      </c>
      <c r="E206" s="0" t="s">
        <v>20</v>
      </c>
      <c r="H206" s="0" t="s">
        <v>21</v>
      </c>
      <c r="I206" s="2" t="s">
        <v>22</v>
      </c>
      <c r="J206" s="2" t="s">
        <v>635</v>
      </c>
      <c r="K206" s="0" t="s">
        <v>636</v>
      </c>
      <c r="L206" s="0" t="s">
        <v>25</v>
      </c>
      <c r="M206" s="0" t="s">
        <v>637</v>
      </c>
      <c r="N206" s="0" t="s">
        <v>875</v>
      </c>
      <c r="O206" s="0" t="n">
        <v>2</v>
      </c>
      <c r="P206" s="0" t="s">
        <v>876</v>
      </c>
      <c r="Q206" s="3"/>
      <c r="S206" s="2" t="s">
        <v>29</v>
      </c>
    </row>
    <row r="207" customFormat="false" ht="15" hidden="false" customHeight="false" outlineLevel="0" collapsed="false">
      <c r="A207" s="0" t="n">
        <v>206</v>
      </c>
      <c r="D207" s="0" t="s">
        <v>877</v>
      </c>
      <c r="E207" s="0" t="s">
        <v>63</v>
      </c>
      <c r="F207" s="0" t="s">
        <v>878</v>
      </c>
      <c r="H207" s="0" t="s">
        <v>21</v>
      </c>
      <c r="I207" s="2" t="s">
        <v>22</v>
      </c>
      <c r="J207" s="2" t="s">
        <v>635</v>
      </c>
      <c r="K207" s="0" t="s">
        <v>636</v>
      </c>
      <c r="L207" s="0" t="s">
        <v>879</v>
      </c>
      <c r="M207" s="0" t="s">
        <v>637</v>
      </c>
      <c r="N207" s="0" t="s">
        <v>880</v>
      </c>
      <c r="O207" s="0" t="n">
        <v>2</v>
      </c>
      <c r="P207" s="0" t="s">
        <v>881</v>
      </c>
      <c r="Q207" s="3" t="s">
        <v>882</v>
      </c>
      <c r="R207" s="2" t="s">
        <v>883</v>
      </c>
      <c r="S207" s="2" t="s">
        <v>45</v>
      </c>
    </row>
    <row r="208" customFormat="false" ht="15" hidden="false" customHeight="false" outlineLevel="0" collapsed="false">
      <c r="A208" s="0" t="n">
        <v>207</v>
      </c>
      <c r="D208" s="0" t="s">
        <v>884</v>
      </c>
      <c r="E208" s="0" t="s">
        <v>20</v>
      </c>
      <c r="H208" s="0" t="s">
        <v>21</v>
      </c>
      <c r="I208" s="2" t="s">
        <v>22</v>
      </c>
      <c r="J208" s="2" t="s">
        <v>635</v>
      </c>
      <c r="K208" s="0" t="s">
        <v>636</v>
      </c>
      <c r="L208" s="0" t="s">
        <v>25</v>
      </c>
      <c r="M208" s="0" t="s">
        <v>637</v>
      </c>
      <c r="N208" s="0" t="s">
        <v>885</v>
      </c>
      <c r="O208" s="0" t="n">
        <v>2</v>
      </c>
      <c r="P208" s="0" t="s">
        <v>886</v>
      </c>
      <c r="Q208" s="3"/>
      <c r="S208" s="2" t="s">
        <v>29</v>
      </c>
    </row>
    <row r="209" customFormat="false" ht="15" hidden="false" customHeight="false" outlineLevel="0" collapsed="false">
      <c r="A209" s="0" t="n">
        <v>208</v>
      </c>
      <c r="D209" s="0" t="s">
        <v>887</v>
      </c>
      <c r="E209" s="0" t="s">
        <v>20</v>
      </c>
      <c r="F209" s="0" t="s">
        <v>888</v>
      </c>
      <c r="H209" s="0" t="s">
        <v>21</v>
      </c>
      <c r="I209" s="2" t="s">
        <v>22</v>
      </c>
      <c r="J209" s="2" t="s">
        <v>635</v>
      </c>
      <c r="K209" s="0" t="s">
        <v>636</v>
      </c>
      <c r="L209" s="0" t="s">
        <v>889</v>
      </c>
      <c r="M209" s="0" t="s">
        <v>637</v>
      </c>
      <c r="N209" s="0" t="s">
        <v>890</v>
      </c>
      <c r="O209" s="0" t="n">
        <v>2</v>
      </c>
      <c r="P209" s="0" t="s">
        <v>891</v>
      </c>
      <c r="Q209" s="3" t="s">
        <v>892</v>
      </c>
      <c r="R209" s="2" t="s">
        <v>893</v>
      </c>
      <c r="S209" s="2" t="s">
        <v>45</v>
      </c>
    </row>
    <row r="210" customFormat="false" ht="15" hidden="false" customHeight="false" outlineLevel="0" collapsed="false">
      <c r="A210" s="0" t="n">
        <v>209</v>
      </c>
      <c r="D210" s="0" t="s">
        <v>894</v>
      </c>
      <c r="E210" s="0" t="s">
        <v>20</v>
      </c>
      <c r="F210" s="0" t="s">
        <v>895</v>
      </c>
      <c r="H210" s="0" t="s">
        <v>21</v>
      </c>
      <c r="I210" s="2" t="s">
        <v>22</v>
      </c>
      <c r="J210" s="2" t="s">
        <v>635</v>
      </c>
      <c r="K210" s="0" t="s">
        <v>636</v>
      </c>
      <c r="L210" s="0" t="s">
        <v>896</v>
      </c>
      <c r="M210" s="0" t="s">
        <v>637</v>
      </c>
      <c r="N210" s="0" t="s">
        <v>897</v>
      </c>
      <c r="O210" s="0" t="n">
        <v>2</v>
      </c>
      <c r="P210" s="0" t="s">
        <v>898</v>
      </c>
      <c r="Q210" s="3" t="s">
        <v>899</v>
      </c>
      <c r="R210" s="2" t="s">
        <v>900</v>
      </c>
      <c r="S210" s="2" t="s">
        <v>45</v>
      </c>
    </row>
    <row r="211" customFormat="false" ht="15" hidden="false" customHeight="false" outlineLevel="0" collapsed="false">
      <c r="A211" s="0" t="n">
        <v>210</v>
      </c>
      <c r="D211" s="0" t="s">
        <v>901</v>
      </c>
      <c r="E211" s="0" t="s">
        <v>20</v>
      </c>
      <c r="H211" s="0" t="s">
        <v>21</v>
      </c>
      <c r="I211" s="2" t="s">
        <v>22</v>
      </c>
      <c r="J211" s="2" t="s">
        <v>635</v>
      </c>
      <c r="K211" s="0" t="s">
        <v>636</v>
      </c>
      <c r="L211" s="0" t="s">
        <v>25</v>
      </c>
      <c r="M211" s="0" t="s">
        <v>637</v>
      </c>
      <c r="N211" s="0" t="s">
        <v>902</v>
      </c>
      <c r="O211" s="0" t="n">
        <v>2</v>
      </c>
      <c r="P211" s="0" t="s">
        <v>903</v>
      </c>
      <c r="Q211" s="3"/>
      <c r="S211" s="2" t="s">
        <v>29</v>
      </c>
    </row>
    <row r="212" customFormat="false" ht="15" hidden="false" customHeight="false" outlineLevel="0" collapsed="false">
      <c r="A212" s="0" t="n">
        <v>211</v>
      </c>
      <c r="D212" s="0" t="s">
        <v>904</v>
      </c>
      <c r="E212" s="0" t="s">
        <v>20</v>
      </c>
      <c r="H212" s="0" t="s">
        <v>21</v>
      </c>
      <c r="I212" s="2" t="s">
        <v>22</v>
      </c>
      <c r="J212" s="2" t="s">
        <v>635</v>
      </c>
      <c r="K212" s="0" t="s">
        <v>636</v>
      </c>
      <c r="L212" s="0" t="s">
        <v>25</v>
      </c>
      <c r="M212" s="0" t="s">
        <v>637</v>
      </c>
      <c r="N212" s="0" t="s">
        <v>905</v>
      </c>
      <c r="O212" s="0" t="n">
        <v>2</v>
      </c>
      <c r="P212" s="0" t="s">
        <v>906</v>
      </c>
      <c r="Q212" s="3"/>
      <c r="S212" s="2" t="s">
        <v>29</v>
      </c>
    </row>
    <row r="213" customFormat="false" ht="15" hidden="false" customHeight="false" outlineLevel="0" collapsed="false">
      <c r="A213" s="0" t="n">
        <v>212</v>
      </c>
      <c r="D213" s="0" t="s">
        <v>907</v>
      </c>
      <c r="E213" s="0" t="s">
        <v>20</v>
      </c>
      <c r="H213" s="0" t="s">
        <v>21</v>
      </c>
      <c r="I213" s="2" t="s">
        <v>22</v>
      </c>
      <c r="J213" s="2" t="s">
        <v>635</v>
      </c>
      <c r="K213" s="0" t="s">
        <v>636</v>
      </c>
      <c r="L213" s="0" t="s">
        <v>25</v>
      </c>
      <c r="M213" s="0" t="s">
        <v>637</v>
      </c>
      <c r="N213" s="0" t="s">
        <v>908</v>
      </c>
      <c r="O213" s="0" t="n">
        <v>2</v>
      </c>
      <c r="P213" s="0" t="s">
        <v>909</v>
      </c>
      <c r="Q213" s="3"/>
      <c r="S213" s="2" t="s">
        <v>29</v>
      </c>
    </row>
    <row r="214" customFormat="false" ht="15" hidden="false" customHeight="false" outlineLevel="0" collapsed="false">
      <c r="A214" s="0" t="n">
        <v>213</v>
      </c>
      <c r="D214" s="0" t="s">
        <v>910</v>
      </c>
      <c r="E214" s="0" t="s">
        <v>20</v>
      </c>
      <c r="H214" s="0" t="s">
        <v>21</v>
      </c>
      <c r="I214" s="2" t="s">
        <v>22</v>
      </c>
      <c r="J214" s="2" t="s">
        <v>635</v>
      </c>
      <c r="K214" s="0" t="s">
        <v>636</v>
      </c>
      <c r="L214" s="0" t="s">
        <v>25</v>
      </c>
      <c r="M214" s="0" t="s">
        <v>637</v>
      </c>
      <c r="N214" s="0" t="s">
        <v>911</v>
      </c>
      <c r="O214" s="0" t="n">
        <v>2</v>
      </c>
      <c r="P214" s="0" t="s">
        <v>912</v>
      </c>
      <c r="Q214" s="3"/>
      <c r="S214" s="2" t="s">
        <v>29</v>
      </c>
    </row>
    <row r="215" customFormat="false" ht="15" hidden="false" customHeight="false" outlineLevel="0" collapsed="false">
      <c r="A215" s="0" t="n">
        <v>214</v>
      </c>
      <c r="D215" s="0" t="s">
        <v>913</v>
      </c>
      <c r="E215" s="0" t="s">
        <v>492</v>
      </c>
      <c r="H215" s="0" t="s">
        <v>21</v>
      </c>
      <c r="I215" s="2" t="s">
        <v>22</v>
      </c>
      <c r="J215" s="2" t="s">
        <v>635</v>
      </c>
      <c r="K215" s="0" t="s">
        <v>636</v>
      </c>
      <c r="L215" s="0" t="s">
        <v>25</v>
      </c>
      <c r="M215" s="0" t="s">
        <v>637</v>
      </c>
      <c r="N215" s="0" t="s">
        <v>914</v>
      </c>
      <c r="O215" s="0" t="n">
        <v>2</v>
      </c>
      <c r="P215" s="0" t="s">
        <v>915</v>
      </c>
      <c r="Q215" s="3"/>
      <c r="S215" s="2" t="s">
        <v>29</v>
      </c>
    </row>
    <row r="216" customFormat="false" ht="15" hidden="false" customHeight="false" outlineLevel="0" collapsed="false">
      <c r="A216" s="0" t="n">
        <v>215</v>
      </c>
      <c r="D216" s="0" t="s">
        <v>916</v>
      </c>
      <c r="E216" s="0" t="s">
        <v>20</v>
      </c>
      <c r="H216" s="0" t="s">
        <v>21</v>
      </c>
      <c r="I216" s="2" t="s">
        <v>22</v>
      </c>
      <c r="J216" s="2" t="s">
        <v>635</v>
      </c>
      <c r="K216" s="0" t="s">
        <v>636</v>
      </c>
      <c r="L216" s="0" t="s">
        <v>25</v>
      </c>
      <c r="M216" s="0" t="s">
        <v>637</v>
      </c>
      <c r="N216" s="0" t="s">
        <v>917</v>
      </c>
      <c r="O216" s="0" t="n">
        <v>2</v>
      </c>
      <c r="P216" s="0" t="s">
        <v>918</v>
      </c>
      <c r="Q216" s="3"/>
      <c r="S216" s="2" t="s">
        <v>29</v>
      </c>
    </row>
    <row r="217" customFormat="false" ht="15" hidden="false" customHeight="false" outlineLevel="0" collapsed="false">
      <c r="A217" s="0" t="n">
        <v>216</v>
      </c>
      <c r="D217" s="0" t="s">
        <v>919</v>
      </c>
      <c r="E217" s="0" t="s">
        <v>20</v>
      </c>
      <c r="H217" s="0" t="s">
        <v>21</v>
      </c>
      <c r="I217" s="2" t="s">
        <v>22</v>
      </c>
      <c r="J217" s="2" t="s">
        <v>635</v>
      </c>
      <c r="K217" s="0" t="s">
        <v>636</v>
      </c>
      <c r="L217" s="0" t="s">
        <v>25</v>
      </c>
      <c r="M217" s="0" t="s">
        <v>637</v>
      </c>
      <c r="N217" s="0" t="s">
        <v>920</v>
      </c>
      <c r="O217" s="0" t="n">
        <v>2</v>
      </c>
      <c r="P217" s="0" t="s">
        <v>921</v>
      </c>
      <c r="Q217" s="3"/>
      <c r="S217" s="2" t="s">
        <v>29</v>
      </c>
    </row>
    <row r="218" customFormat="false" ht="15" hidden="false" customHeight="false" outlineLevel="0" collapsed="false">
      <c r="A218" s="0" t="n">
        <v>217</v>
      </c>
      <c r="D218" s="0" t="s">
        <v>922</v>
      </c>
      <c r="E218" s="0" t="s">
        <v>20</v>
      </c>
      <c r="H218" s="0" t="s">
        <v>21</v>
      </c>
      <c r="I218" s="2" t="s">
        <v>22</v>
      </c>
      <c r="J218" s="2" t="s">
        <v>635</v>
      </c>
      <c r="K218" s="0" t="s">
        <v>636</v>
      </c>
      <c r="L218" s="0" t="s">
        <v>25</v>
      </c>
      <c r="M218" s="0" t="s">
        <v>637</v>
      </c>
      <c r="N218" s="0" t="s">
        <v>923</v>
      </c>
      <c r="O218" s="0" t="n">
        <v>2</v>
      </c>
      <c r="Q218" s="3"/>
      <c r="S218" s="2" t="s">
        <v>29</v>
      </c>
    </row>
    <row r="219" customFormat="false" ht="15" hidden="false" customHeight="false" outlineLevel="0" collapsed="false">
      <c r="A219" s="0" t="n">
        <v>218</v>
      </c>
      <c r="D219" s="0" t="s">
        <v>924</v>
      </c>
      <c r="E219" s="0" t="s">
        <v>925</v>
      </c>
      <c r="H219" s="0" t="s">
        <v>21</v>
      </c>
      <c r="I219" s="2" t="s">
        <v>22</v>
      </c>
      <c r="J219" s="2" t="s">
        <v>635</v>
      </c>
      <c r="K219" s="0" t="s">
        <v>636</v>
      </c>
      <c r="L219" s="0" t="s">
        <v>25</v>
      </c>
      <c r="M219" s="0" t="s">
        <v>637</v>
      </c>
      <c r="N219" s="0" t="s">
        <v>926</v>
      </c>
      <c r="O219" s="0" t="n">
        <v>2</v>
      </c>
      <c r="Q219" s="3"/>
      <c r="S219" s="2" t="s">
        <v>29</v>
      </c>
    </row>
    <row r="220" customFormat="false" ht="15" hidden="false" customHeight="false" outlineLevel="0" collapsed="false">
      <c r="A220" s="0" t="n">
        <v>219</v>
      </c>
      <c r="D220" s="0" t="s">
        <v>927</v>
      </c>
      <c r="E220" s="0" t="s">
        <v>20</v>
      </c>
      <c r="H220" s="0" t="s">
        <v>21</v>
      </c>
      <c r="I220" s="2" t="s">
        <v>22</v>
      </c>
      <c r="J220" s="2" t="s">
        <v>635</v>
      </c>
      <c r="K220" s="0" t="s">
        <v>636</v>
      </c>
      <c r="L220" s="0" t="s">
        <v>25</v>
      </c>
      <c r="M220" s="0" t="s">
        <v>637</v>
      </c>
      <c r="N220" s="0" t="s">
        <v>928</v>
      </c>
      <c r="O220" s="0" t="n">
        <v>2</v>
      </c>
      <c r="P220" s="0" t="s">
        <v>929</v>
      </c>
      <c r="Q220" s="3"/>
      <c r="S220" s="2" t="s">
        <v>29</v>
      </c>
    </row>
    <row r="221" customFormat="false" ht="15" hidden="false" customHeight="false" outlineLevel="0" collapsed="false">
      <c r="A221" s="0" t="n">
        <v>220</v>
      </c>
      <c r="D221" s="0" t="s">
        <v>930</v>
      </c>
      <c r="E221" s="0" t="s">
        <v>20</v>
      </c>
      <c r="H221" s="0" t="s">
        <v>21</v>
      </c>
      <c r="I221" s="2" t="s">
        <v>22</v>
      </c>
      <c r="J221" s="2" t="s">
        <v>635</v>
      </c>
      <c r="K221" s="0" t="s">
        <v>636</v>
      </c>
      <c r="L221" s="0" t="s">
        <v>25</v>
      </c>
      <c r="M221" s="0" t="s">
        <v>637</v>
      </c>
      <c r="N221" s="0" t="s">
        <v>931</v>
      </c>
      <c r="O221" s="0" t="n">
        <v>2</v>
      </c>
      <c r="P221" s="0" t="s">
        <v>932</v>
      </c>
      <c r="Q221" s="3"/>
      <c r="S221" s="2" t="s">
        <v>29</v>
      </c>
    </row>
    <row r="222" customFormat="false" ht="15" hidden="false" customHeight="false" outlineLevel="0" collapsed="false">
      <c r="A222" s="0" t="n">
        <v>221</v>
      </c>
      <c r="D222" s="0" t="s">
        <v>933</v>
      </c>
      <c r="E222" s="0" t="s">
        <v>492</v>
      </c>
      <c r="H222" s="0" t="s">
        <v>21</v>
      </c>
      <c r="I222" s="2" t="s">
        <v>22</v>
      </c>
      <c r="J222" s="2" t="s">
        <v>635</v>
      </c>
      <c r="K222" s="0" t="s">
        <v>636</v>
      </c>
      <c r="L222" s="0" t="s">
        <v>25</v>
      </c>
      <c r="M222" s="0" t="s">
        <v>637</v>
      </c>
      <c r="N222" s="0" t="s">
        <v>934</v>
      </c>
      <c r="O222" s="0" t="n">
        <v>2</v>
      </c>
      <c r="P222" s="0" t="s">
        <v>935</v>
      </c>
      <c r="Q222" s="3"/>
      <c r="S222" s="2" t="s">
        <v>29</v>
      </c>
    </row>
    <row r="223" customFormat="false" ht="15" hidden="false" customHeight="false" outlineLevel="0" collapsed="false">
      <c r="A223" s="0" t="n">
        <v>222</v>
      </c>
      <c r="D223" s="0" t="s">
        <v>936</v>
      </c>
      <c r="E223" s="0" t="s">
        <v>20</v>
      </c>
      <c r="H223" s="0" t="s">
        <v>21</v>
      </c>
      <c r="I223" s="2" t="s">
        <v>22</v>
      </c>
      <c r="J223" s="2" t="s">
        <v>635</v>
      </c>
      <c r="K223" s="0" t="s">
        <v>636</v>
      </c>
      <c r="L223" s="0" t="s">
        <v>25</v>
      </c>
      <c r="M223" s="0" t="s">
        <v>637</v>
      </c>
      <c r="N223" s="0" t="s">
        <v>937</v>
      </c>
      <c r="O223" s="0" t="n">
        <v>2</v>
      </c>
      <c r="P223" s="0" t="s">
        <v>938</v>
      </c>
      <c r="Q223" s="3"/>
      <c r="S223" s="2" t="s">
        <v>29</v>
      </c>
    </row>
    <row r="224" customFormat="false" ht="15" hidden="false" customHeight="false" outlineLevel="0" collapsed="false">
      <c r="A224" s="0" t="n">
        <v>223</v>
      </c>
      <c r="D224" s="0" t="s">
        <v>939</v>
      </c>
      <c r="E224" s="0" t="s">
        <v>20</v>
      </c>
      <c r="H224" s="0" t="s">
        <v>21</v>
      </c>
      <c r="I224" s="2" t="s">
        <v>22</v>
      </c>
      <c r="J224" s="2" t="s">
        <v>635</v>
      </c>
      <c r="K224" s="0" t="s">
        <v>636</v>
      </c>
      <c r="L224" s="0" t="s">
        <v>25</v>
      </c>
      <c r="M224" s="0" t="s">
        <v>637</v>
      </c>
      <c r="N224" s="0" t="s">
        <v>940</v>
      </c>
      <c r="O224" s="0" t="n">
        <v>2</v>
      </c>
      <c r="P224" s="0" t="s">
        <v>941</v>
      </c>
      <c r="Q224" s="3"/>
      <c r="S224" s="2" t="s">
        <v>29</v>
      </c>
    </row>
    <row r="225" customFormat="false" ht="15" hidden="false" customHeight="false" outlineLevel="0" collapsed="false">
      <c r="A225" s="0" t="n">
        <v>224</v>
      </c>
      <c r="D225" s="0" t="s">
        <v>942</v>
      </c>
      <c r="E225" s="0" t="s">
        <v>20</v>
      </c>
      <c r="H225" s="0" t="s">
        <v>21</v>
      </c>
      <c r="I225" s="2" t="s">
        <v>22</v>
      </c>
      <c r="J225" s="2" t="s">
        <v>635</v>
      </c>
      <c r="K225" s="0" t="s">
        <v>636</v>
      </c>
      <c r="L225" s="0" t="s">
        <v>25</v>
      </c>
      <c r="M225" s="0" t="s">
        <v>637</v>
      </c>
      <c r="N225" s="0" t="s">
        <v>943</v>
      </c>
      <c r="O225" s="0" t="n">
        <v>2</v>
      </c>
      <c r="P225" s="0" t="s">
        <v>944</v>
      </c>
      <c r="Q225" s="3"/>
      <c r="S225" s="2" t="s">
        <v>29</v>
      </c>
    </row>
    <row r="226" customFormat="false" ht="15" hidden="false" customHeight="false" outlineLevel="0" collapsed="false">
      <c r="A226" s="0" t="n">
        <v>225</v>
      </c>
      <c r="D226" s="0" t="s">
        <v>945</v>
      </c>
      <c r="E226" s="0" t="s">
        <v>63</v>
      </c>
      <c r="H226" s="0" t="s">
        <v>21</v>
      </c>
      <c r="I226" s="2" t="s">
        <v>22</v>
      </c>
      <c r="J226" s="2" t="s">
        <v>635</v>
      </c>
      <c r="K226" s="0" t="s">
        <v>636</v>
      </c>
      <c r="L226" s="0" t="s">
        <v>64</v>
      </c>
      <c r="M226" s="0" t="s">
        <v>637</v>
      </c>
      <c r="N226" s="0" t="s">
        <v>946</v>
      </c>
      <c r="O226" s="0" t="n">
        <v>2</v>
      </c>
      <c r="P226" s="0" t="s">
        <v>947</v>
      </c>
      <c r="Q226" s="3"/>
      <c r="S226" s="2" t="s">
        <v>29</v>
      </c>
    </row>
    <row r="227" customFormat="false" ht="15" hidden="false" customHeight="false" outlineLevel="0" collapsed="false">
      <c r="A227" s="0" t="n">
        <v>226</v>
      </c>
      <c r="D227" s="0" t="s">
        <v>948</v>
      </c>
      <c r="E227" s="0" t="s">
        <v>651</v>
      </c>
      <c r="H227" s="0" t="s">
        <v>21</v>
      </c>
      <c r="I227" s="2" t="s">
        <v>22</v>
      </c>
      <c r="J227" s="2" t="s">
        <v>635</v>
      </c>
      <c r="K227" s="0" t="s">
        <v>636</v>
      </c>
      <c r="L227" s="0" t="s">
        <v>25</v>
      </c>
      <c r="M227" s="0" t="s">
        <v>637</v>
      </c>
      <c r="N227" s="0" t="s">
        <v>949</v>
      </c>
      <c r="O227" s="0" t="n">
        <v>2</v>
      </c>
      <c r="P227" s="0" t="s">
        <v>950</v>
      </c>
      <c r="Q227" s="3"/>
      <c r="S227" s="2" t="s">
        <v>29</v>
      </c>
    </row>
    <row r="228" customFormat="false" ht="15" hidden="false" customHeight="false" outlineLevel="0" collapsed="false">
      <c r="A228" s="0" t="n">
        <v>227</v>
      </c>
      <c r="D228" s="0" t="s">
        <v>951</v>
      </c>
      <c r="E228" s="0" t="s">
        <v>20</v>
      </c>
      <c r="H228" s="0" t="s">
        <v>21</v>
      </c>
      <c r="I228" s="2" t="s">
        <v>22</v>
      </c>
      <c r="J228" s="2" t="s">
        <v>635</v>
      </c>
      <c r="K228" s="0" t="s">
        <v>636</v>
      </c>
      <c r="L228" s="0" t="s">
        <v>25</v>
      </c>
      <c r="M228" s="0" t="s">
        <v>637</v>
      </c>
      <c r="N228" s="0" t="s">
        <v>952</v>
      </c>
      <c r="O228" s="0" t="n">
        <v>2</v>
      </c>
      <c r="P228" s="0" t="s">
        <v>953</v>
      </c>
      <c r="Q228" s="3"/>
      <c r="S228" s="2" t="s">
        <v>29</v>
      </c>
    </row>
    <row r="229" customFormat="false" ht="15" hidden="false" customHeight="false" outlineLevel="0" collapsed="false">
      <c r="A229" s="0" t="n">
        <v>228</v>
      </c>
      <c r="D229" s="0" t="s">
        <v>954</v>
      </c>
      <c r="E229" s="0" t="s">
        <v>20</v>
      </c>
      <c r="H229" s="0" t="s">
        <v>21</v>
      </c>
      <c r="I229" s="2" t="s">
        <v>22</v>
      </c>
      <c r="J229" s="2" t="s">
        <v>635</v>
      </c>
      <c r="K229" s="0" t="s">
        <v>636</v>
      </c>
      <c r="L229" s="0" t="s">
        <v>25</v>
      </c>
      <c r="M229" s="0" t="s">
        <v>637</v>
      </c>
      <c r="N229" s="0" t="s">
        <v>955</v>
      </c>
      <c r="O229" s="0" t="n">
        <v>2</v>
      </c>
      <c r="P229" s="0" t="s">
        <v>956</v>
      </c>
      <c r="Q229" s="3"/>
      <c r="S229" s="2" t="s">
        <v>29</v>
      </c>
    </row>
    <row r="230" customFormat="false" ht="15" hidden="false" customHeight="false" outlineLevel="0" collapsed="false">
      <c r="A230" s="0" t="n">
        <v>229</v>
      </c>
      <c r="D230" s="0" t="s">
        <v>957</v>
      </c>
      <c r="E230" s="0" t="s">
        <v>20</v>
      </c>
      <c r="H230" s="0" t="s">
        <v>21</v>
      </c>
      <c r="I230" s="2" t="s">
        <v>22</v>
      </c>
      <c r="J230" s="2" t="s">
        <v>635</v>
      </c>
      <c r="K230" s="0" t="s">
        <v>636</v>
      </c>
      <c r="L230" s="0" t="s">
        <v>25</v>
      </c>
      <c r="M230" s="0" t="s">
        <v>637</v>
      </c>
      <c r="N230" s="0" t="s">
        <v>958</v>
      </c>
      <c r="O230" s="0" t="n">
        <v>2</v>
      </c>
      <c r="P230" s="0" t="s">
        <v>959</v>
      </c>
      <c r="Q230" s="3"/>
      <c r="S230" s="2" t="s">
        <v>29</v>
      </c>
    </row>
    <row r="231" customFormat="false" ht="15" hidden="false" customHeight="false" outlineLevel="0" collapsed="false">
      <c r="A231" s="0" t="n">
        <v>230</v>
      </c>
      <c r="D231" s="0" t="s">
        <v>960</v>
      </c>
      <c r="E231" s="0" t="s">
        <v>20</v>
      </c>
      <c r="H231" s="0" t="s">
        <v>21</v>
      </c>
      <c r="I231" s="2" t="s">
        <v>22</v>
      </c>
      <c r="J231" s="2" t="s">
        <v>635</v>
      </c>
      <c r="K231" s="0" t="s">
        <v>636</v>
      </c>
      <c r="L231" s="0" t="s">
        <v>25</v>
      </c>
      <c r="M231" s="0" t="s">
        <v>637</v>
      </c>
      <c r="N231" s="0" t="s">
        <v>961</v>
      </c>
      <c r="O231" s="0" t="n">
        <v>2</v>
      </c>
      <c r="P231" s="0" t="s">
        <v>962</v>
      </c>
      <c r="Q231" s="3"/>
      <c r="S231" s="2" t="s">
        <v>29</v>
      </c>
    </row>
    <row r="232" customFormat="false" ht="15" hidden="false" customHeight="false" outlineLevel="0" collapsed="false">
      <c r="A232" s="0" t="n">
        <v>231</v>
      </c>
      <c r="D232" s="0" t="s">
        <v>963</v>
      </c>
      <c r="E232" s="0" t="s">
        <v>20</v>
      </c>
      <c r="H232" s="0" t="s">
        <v>21</v>
      </c>
      <c r="I232" s="2" t="s">
        <v>22</v>
      </c>
      <c r="J232" s="2" t="s">
        <v>635</v>
      </c>
      <c r="K232" s="0" t="s">
        <v>636</v>
      </c>
      <c r="L232" s="0" t="s">
        <v>25</v>
      </c>
      <c r="M232" s="0" t="s">
        <v>637</v>
      </c>
      <c r="N232" s="0" t="s">
        <v>964</v>
      </c>
      <c r="O232" s="0" t="n">
        <v>2</v>
      </c>
      <c r="P232" s="0" t="s">
        <v>965</v>
      </c>
      <c r="Q232" s="3"/>
      <c r="S232" s="2" t="s">
        <v>29</v>
      </c>
    </row>
    <row r="233" customFormat="false" ht="15" hidden="false" customHeight="false" outlineLevel="0" collapsed="false">
      <c r="A233" s="0" t="n">
        <v>232</v>
      </c>
      <c r="D233" s="0" t="s">
        <v>966</v>
      </c>
      <c r="E233" s="0" t="s">
        <v>20</v>
      </c>
      <c r="H233" s="0" t="s">
        <v>21</v>
      </c>
      <c r="I233" s="2" t="s">
        <v>22</v>
      </c>
      <c r="J233" s="2" t="s">
        <v>635</v>
      </c>
      <c r="K233" s="0" t="s">
        <v>636</v>
      </c>
      <c r="L233" s="0" t="s">
        <v>25</v>
      </c>
      <c r="M233" s="0" t="s">
        <v>637</v>
      </c>
      <c r="N233" s="0" t="s">
        <v>967</v>
      </c>
      <c r="O233" s="0" t="n">
        <v>2</v>
      </c>
      <c r="P233" s="0" t="s">
        <v>968</v>
      </c>
      <c r="Q233" s="3"/>
      <c r="S233" s="2" t="s">
        <v>29</v>
      </c>
    </row>
    <row r="234" customFormat="false" ht="15" hidden="false" customHeight="false" outlineLevel="0" collapsed="false">
      <c r="A234" s="0" t="n">
        <v>233</v>
      </c>
      <c r="D234" s="0" t="s">
        <v>969</v>
      </c>
      <c r="E234" s="0" t="s">
        <v>492</v>
      </c>
      <c r="H234" s="0" t="s">
        <v>21</v>
      </c>
      <c r="I234" s="2" t="s">
        <v>22</v>
      </c>
      <c r="J234" s="2" t="s">
        <v>635</v>
      </c>
      <c r="K234" s="0" t="s">
        <v>636</v>
      </c>
      <c r="L234" s="0" t="s">
        <v>25</v>
      </c>
      <c r="M234" s="0" t="s">
        <v>637</v>
      </c>
      <c r="N234" s="0" t="s">
        <v>970</v>
      </c>
      <c r="O234" s="0" t="n">
        <v>2</v>
      </c>
      <c r="P234" s="0" t="s">
        <v>971</v>
      </c>
      <c r="Q234" s="3"/>
      <c r="S234" s="2" t="s">
        <v>29</v>
      </c>
    </row>
    <row r="235" customFormat="false" ht="15" hidden="false" customHeight="false" outlineLevel="0" collapsed="false">
      <c r="A235" s="0" t="n">
        <v>234</v>
      </c>
      <c r="D235" s="0" t="s">
        <v>972</v>
      </c>
      <c r="E235" s="0" t="s">
        <v>492</v>
      </c>
      <c r="H235" s="0" t="s">
        <v>21</v>
      </c>
      <c r="I235" s="2" t="s">
        <v>22</v>
      </c>
      <c r="J235" s="2" t="s">
        <v>635</v>
      </c>
      <c r="K235" s="0" t="s">
        <v>636</v>
      </c>
      <c r="L235" s="0" t="s">
        <v>25</v>
      </c>
      <c r="M235" s="0" t="s">
        <v>637</v>
      </c>
      <c r="N235" s="0" t="s">
        <v>973</v>
      </c>
      <c r="O235" s="0" t="n">
        <v>2</v>
      </c>
      <c r="P235" s="0" t="s">
        <v>974</v>
      </c>
      <c r="Q235" s="3"/>
      <c r="S235" s="2" t="s">
        <v>29</v>
      </c>
    </row>
    <row r="236" customFormat="false" ht="15" hidden="false" customHeight="false" outlineLevel="0" collapsed="false">
      <c r="A236" s="0" t="n">
        <v>235</v>
      </c>
      <c r="D236" s="0" t="s">
        <v>975</v>
      </c>
      <c r="E236" s="0" t="s">
        <v>20</v>
      </c>
      <c r="H236" s="0" t="s">
        <v>21</v>
      </c>
      <c r="I236" s="2" t="s">
        <v>22</v>
      </c>
      <c r="J236" s="2" t="s">
        <v>635</v>
      </c>
      <c r="K236" s="0" t="s">
        <v>636</v>
      </c>
      <c r="L236" s="0" t="s">
        <v>25</v>
      </c>
      <c r="M236" s="0" t="s">
        <v>637</v>
      </c>
      <c r="N236" s="0" t="s">
        <v>976</v>
      </c>
      <c r="O236" s="0" t="n">
        <v>2</v>
      </c>
      <c r="P236" s="0" t="s">
        <v>977</v>
      </c>
      <c r="Q236" s="3"/>
      <c r="S236" s="2" t="s">
        <v>29</v>
      </c>
    </row>
    <row r="237" customFormat="false" ht="15" hidden="false" customHeight="false" outlineLevel="0" collapsed="false">
      <c r="A237" s="0" t="n">
        <v>236</v>
      </c>
      <c r="D237" s="0" t="s">
        <v>978</v>
      </c>
      <c r="E237" s="0" t="s">
        <v>20</v>
      </c>
      <c r="H237" s="0" t="s">
        <v>21</v>
      </c>
      <c r="I237" s="2" t="s">
        <v>22</v>
      </c>
      <c r="J237" s="2" t="s">
        <v>635</v>
      </c>
      <c r="K237" s="0" t="s">
        <v>636</v>
      </c>
      <c r="L237" s="0" t="s">
        <v>25</v>
      </c>
      <c r="M237" s="0" t="s">
        <v>637</v>
      </c>
      <c r="N237" s="0" t="s">
        <v>979</v>
      </c>
      <c r="O237" s="0" t="n">
        <v>2</v>
      </c>
      <c r="P237" s="0" t="s">
        <v>980</v>
      </c>
      <c r="Q237" s="3"/>
      <c r="S237" s="2" t="s">
        <v>29</v>
      </c>
    </row>
    <row r="238" customFormat="false" ht="15" hidden="false" customHeight="false" outlineLevel="0" collapsed="false">
      <c r="A238" s="0" t="n">
        <v>237</v>
      </c>
      <c r="D238" s="0" t="s">
        <v>981</v>
      </c>
      <c r="E238" s="0" t="s">
        <v>20</v>
      </c>
      <c r="H238" s="0" t="s">
        <v>21</v>
      </c>
      <c r="I238" s="2" t="s">
        <v>22</v>
      </c>
      <c r="J238" s="2" t="s">
        <v>635</v>
      </c>
      <c r="K238" s="0" t="s">
        <v>636</v>
      </c>
      <c r="L238" s="0" t="s">
        <v>25</v>
      </c>
      <c r="M238" s="0" t="s">
        <v>637</v>
      </c>
      <c r="N238" s="0" t="s">
        <v>982</v>
      </c>
      <c r="O238" s="0" t="n">
        <v>2</v>
      </c>
      <c r="P238" s="0" t="s">
        <v>983</v>
      </c>
      <c r="Q238" s="3"/>
      <c r="S238" s="2" t="s">
        <v>29</v>
      </c>
    </row>
    <row r="239" customFormat="false" ht="15" hidden="false" customHeight="false" outlineLevel="0" collapsed="false">
      <c r="A239" s="0" t="n">
        <v>238</v>
      </c>
      <c r="D239" s="0" t="s">
        <v>984</v>
      </c>
      <c r="E239" s="0" t="s">
        <v>20</v>
      </c>
      <c r="H239" s="0" t="s">
        <v>21</v>
      </c>
      <c r="I239" s="2" t="s">
        <v>22</v>
      </c>
      <c r="J239" s="2" t="s">
        <v>635</v>
      </c>
      <c r="K239" s="0" t="s">
        <v>636</v>
      </c>
      <c r="L239" s="0" t="s">
        <v>25</v>
      </c>
      <c r="M239" s="0" t="s">
        <v>637</v>
      </c>
      <c r="N239" s="0" t="s">
        <v>985</v>
      </c>
      <c r="O239" s="0" t="n">
        <v>2</v>
      </c>
      <c r="P239" s="0" t="s">
        <v>986</v>
      </c>
      <c r="Q239" s="3"/>
      <c r="S239" s="2" t="s">
        <v>29</v>
      </c>
    </row>
    <row r="240" customFormat="false" ht="15" hidden="false" customHeight="false" outlineLevel="0" collapsed="false">
      <c r="A240" s="0" t="n">
        <v>239</v>
      </c>
      <c r="D240" s="0" t="s">
        <v>987</v>
      </c>
      <c r="E240" s="0" t="s">
        <v>20</v>
      </c>
      <c r="H240" s="0" t="s">
        <v>21</v>
      </c>
      <c r="I240" s="2" t="s">
        <v>22</v>
      </c>
      <c r="J240" s="2" t="s">
        <v>635</v>
      </c>
      <c r="K240" s="0" t="s">
        <v>636</v>
      </c>
      <c r="L240" s="0" t="s">
        <v>25</v>
      </c>
      <c r="M240" s="0" t="s">
        <v>637</v>
      </c>
      <c r="N240" s="0" t="s">
        <v>988</v>
      </c>
      <c r="O240" s="0" t="n">
        <v>2</v>
      </c>
      <c r="P240" s="0" t="s">
        <v>989</v>
      </c>
      <c r="Q240" s="3"/>
      <c r="S240" s="2" t="s">
        <v>29</v>
      </c>
    </row>
    <row r="241" customFormat="false" ht="15" hidden="false" customHeight="false" outlineLevel="0" collapsed="false">
      <c r="A241" s="0" t="n">
        <v>240</v>
      </c>
      <c r="D241" s="0" t="s">
        <v>990</v>
      </c>
      <c r="E241" s="0" t="s">
        <v>20</v>
      </c>
      <c r="H241" s="0" t="s">
        <v>21</v>
      </c>
      <c r="I241" s="2" t="s">
        <v>22</v>
      </c>
      <c r="J241" s="2" t="s">
        <v>635</v>
      </c>
      <c r="K241" s="0" t="s">
        <v>636</v>
      </c>
      <c r="L241" s="0" t="s">
        <v>25</v>
      </c>
      <c r="M241" s="0" t="s">
        <v>637</v>
      </c>
      <c r="N241" s="0" t="s">
        <v>991</v>
      </c>
      <c r="O241" s="0" t="n">
        <v>2</v>
      </c>
      <c r="P241" s="0" t="s">
        <v>992</v>
      </c>
      <c r="Q241" s="3"/>
      <c r="S241" s="2" t="s">
        <v>29</v>
      </c>
    </row>
    <row r="242" customFormat="false" ht="15" hidden="false" customHeight="false" outlineLevel="0" collapsed="false">
      <c r="A242" s="0" t="n">
        <v>241</v>
      </c>
      <c r="D242" s="0" t="s">
        <v>993</v>
      </c>
      <c r="E242" s="0" t="s">
        <v>99</v>
      </c>
      <c r="H242" s="0" t="s">
        <v>21</v>
      </c>
      <c r="I242" s="2" t="s">
        <v>22</v>
      </c>
      <c r="J242" s="2" t="s">
        <v>635</v>
      </c>
      <c r="K242" s="0" t="s">
        <v>636</v>
      </c>
      <c r="L242" s="0" t="s">
        <v>64</v>
      </c>
      <c r="M242" s="0" t="s">
        <v>637</v>
      </c>
      <c r="N242" s="0" t="s">
        <v>994</v>
      </c>
      <c r="O242" s="0" t="n">
        <v>2</v>
      </c>
      <c r="P242" s="0" t="s">
        <v>995</v>
      </c>
      <c r="Q242" s="3"/>
      <c r="S242" s="2" t="s">
        <v>29</v>
      </c>
    </row>
    <row r="243" customFormat="false" ht="15" hidden="false" customHeight="false" outlineLevel="0" collapsed="false">
      <c r="A243" s="0" t="n">
        <v>242</v>
      </c>
      <c r="D243" s="0" t="s">
        <v>996</v>
      </c>
      <c r="E243" s="0" t="s">
        <v>20</v>
      </c>
      <c r="H243" s="0" t="s">
        <v>21</v>
      </c>
      <c r="I243" s="2" t="s">
        <v>22</v>
      </c>
      <c r="J243" s="2" t="s">
        <v>635</v>
      </c>
      <c r="K243" s="0" t="s">
        <v>636</v>
      </c>
      <c r="L243" s="0" t="s">
        <v>25</v>
      </c>
      <c r="M243" s="0" t="s">
        <v>637</v>
      </c>
      <c r="N243" s="0" t="s">
        <v>997</v>
      </c>
      <c r="O243" s="0" t="n">
        <v>2</v>
      </c>
      <c r="P243" s="0" t="s">
        <v>998</v>
      </c>
      <c r="Q243" s="3"/>
      <c r="S243" s="2" t="s">
        <v>29</v>
      </c>
    </row>
    <row r="244" customFormat="false" ht="15" hidden="false" customHeight="false" outlineLevel="0" collapsed="false">
      <c r="A244" s="0" t="n">
        <v>243</v>
      </c>
      <c r="D244" s="0" t="s">
        <v>999</v>
      </c>
      <c r="E244" s="0" t="s">
        <v>20</v>
      </c>
      <c r="H244" s="0" t="s">
        <v>21</v>
      </c>
      <c r="I244" s="2" t="s">
        <v>22</v>
      </c>
      <c r="J244" s="2" t="s">
        <v>635</v>
      </c>
      <c r="K244" s="0" t="s">
        <v>636</v>
      </c>
      <c r="L244" s="0" t="s">
        <v>25</v>
      </c>
      <c r="M244" s="0" t="s">
        <v>637</v>
      </c>
      <c r="N244" s="0" t="s">
        <v>1000</v>
      </c>
      <c r="O244" s="0" t="n">
        <v>2</v>
      </c>
      <c r="Q244" s="3"/>
      <c r="S244" s="2" t="s">
        <v>29</v>
      </c>
    </row>
    <row r="245" customFormat="false" ht="15" hidden="false" customHeight="false" outlineLevel="0" collapsed="false">
      <c r="A245" s="0" t="n">
        <v>244</v>
      </c>
      <c r="D245" s="0" t="s">
        <v>1001</v>
      </c>
      <c r="E245" s="0" t="s">
        <v>20</v>
      </c>
      <c r="H245" s="0" t="s">
        <v>21</v>
      </c>
      <c r="I245" s="2" t="s">
        <v>22</v>
      </c>
      <c r="J245" s="2" t="s">
        <v>635</v>
      </c>
      <c r="K245" s="0" t="s">
        <v>636</v>
      </c>
      <c r="L245" s="0" t="s">
        <v>25</v>
      </c>
      <c r="M245" s="0" t="s">
        <v>637</v>
      </c>
      <c r="N245" s="0" t="s">
        <v>1002</v>
      </c>
      <c r="O245" s="0" t="n">
        <v>2</v>
      </c>
      <c r="P245" s="0" t="s">
        <v>1003</v>
      </c>
      <c r="Q245" s="3"/>
      <c r="S245" s="2" t="s">
        <v>29</v>
      </c>
    </row>
    <row r="246" customFormat="false" ht="15" hidden="false" customHeight="false" outlineLevel="0" collapsed="false">
      <c r="A246" s="0" t="n">
        <v>245</v>
      </c>
      <c r="D246" s="0" t="s">
        <v>1004</v>
      </c>
      <c r="E246" s="0" t="s">
        <v>63</v>
      </c>
      <c r="H246" s="0" t="s">
        <v>21</v>
      </c>
      <c r="I246" s="2" t="s">
        <v>22</v>
      </c>
      <c r="J246" s="2" t="s">
        <v>635</v>
      </c>
      <c r="K246" s="0" t="s">
        <v>636</v>
      </c>
      <c r="L246" s="0" t="s">
        <v>64</v>
      </c>
      <c r="M246" s="0" t="s">
        <v>637</v>
      </c>
      <c r="N246" s="0" t="s">
        <v>1005</v>
      </c>
      <c r="O246" s="0" t="n">
        <v>2</v>
      </c>
      <c r="P246" s="0" t="s">
        <v>1006</v>
      </c>
      <c r="Q246" s="3"/>
      <c r="S246" s="2" t="s">
        <v>29</v>
      </c>
    </row>
    <row r="247" customFormat="false" ht="15" hidden="false" customHeight="false" outlineLevel="0" collapsed="false">
      <c r="A247" s="0" t="n">
        <v>246</v>
      </c>
      <c r="D247" s="0" t="s">
        <v>1007</v>
      </c>
      <c r="E247" s="0" t="s">
        <v>20</v>
      </c>
      <c r="H247" s="0" t="s">
        <v>21</v>
      </c>
      <c r="I247" s="2" t="s">
        <v>22</v>
      </c>
      <c r="J247" s="2" t="s">
        <v>635</v>
      </c>
      <c r="K247" s="0" t="s">
        <v>636</v>
      </c>
      <c r="L247" s="0" t="s">
        <v>25</v>
      </c>
      <c r="M247" s="0" t="s">
        <v>637</v>
      </c>
      <c r="N247" s="0" t="s">
        <v>1008</v>
      </c>
      <c r="O247" s="0" t="n">
        <v>2</v>
      </c>
      <c r="P247" s="0" t="s">
        <v>1009</v>
      </c>
      <c r="Q247" s="3"/>
      <c r="S247" s="2" t="s">
        <v>29</v>
      </c>
    </row>
    <row r="248" customFormat="false" ht="15" hidden="false" customHeight="false" outlineLevel="0" collapsed="false">
      <c r="A248" s="0" t="n">
        <v>247</v>
      </c>
      <c r="D248" s="0" t="s">
        <v>1010</v>
      </c>
      <c r="E248" s="0" t="s">
        <v>20</v>
      </c>
      <c r="H248" s="0" t="s">
        <v>21</v>
      </c>
      <c r="I248" s="2" t="s">
        <v>22</v>
      </c>
      <c r="J248" s="2" t="s">
        <v>635</v>
      </c>
      <c r="K248" s="0" t="s">
        <v>636</v>
      </c>
      <c r="L248" s="0" t="s">
        <v>25</v>
      </c>
      <c r="M248" s="0" t="s">
        <v>637</v>
      </c>
      <c r="N248" s="0" t="s">
        <v>1011</v>
      </c>
      <c r="O248" s="0" t="n">
        <v>2</v>
      </c>
      <c r="P248" s="0" t="s">
        <v>1012</v>
      </c>
      <c r="Q248" s="3"/>
      <c r="S248" s="2" t="s">
        <v>29</v>
      </c>
    </row>
    <row r="249" customFormat="false" ht="15" hidden="false" customHeight="false" outlineLevel="0" collapsed="false">
      <c r="A249" s="0" t="n">
        <v>248</v>
      </c>
      <c r="D249" s="0" t="s">
        <v>1013</v>
      </c>
      <c r="E249" s="0" t="s">
        <v>492</v>
      </c>
      <c r="H249" s="0" t="s">
        <v>21</v>
      </c>
      <c r="I249" s="2" t="s">
        <v>22</v>
      </c>
      <c r="J249" s="2" t="s">
        <v>635</v>
      </c>
      <c r="K249" s="0" t="s">
        <v>636</v>
      </c>
      <c r="L249" s="0" t="s">
        <v>25</v>
      </c>
      <c r="M249" s="0" t="s">
        <v>637</v>
      </c>
      <c r="N249" s="0" t="s">
        <v>1014</v>
      </c>
      <c r="O249" s="0" t="n">
        <v>2</v>
      </c>
      <c r="P249" s="0" t="s">
        <v>1015</v>
      </c>
      <c r="Q249" s="3"/>
      <c r="S249" s="2" t="s">
        <v>29</v>
      </c>
    </row>
    <row r="250" customFormat="false" ht="15" hidden="false" customHeight="false" outlineLevel="0" collapsed="false">
      <c r="A250" s="0" t="n">
        <v>249</v>
      </c>
      <c r="D250" s="0" t="s">
        <v>1016</v>
      </c>
      <c r="E250" s="0" t="s">
        <v>20</v>
      </c>
      <c r="H250" s="0" t="s">
        <v>21</v>
      </c>
      <c r="I250" s="2" t="s">
        <v>22</v>
      </c>
      <c r="J250" s="2" t="s">
        <v>635</v>
      </c>
      <c r="K250" s="0" t="s">
        <v>636</v>
      </c>
      <c r="L250" s="0" t="s">
        <v>25</v>
      </c>
      <c r="M250" s="0" t="s">
        <v>637</v>
      </c>
      <c r="N250" s="0" t="s">
        <v>1017</v>
      </c>
      <c r="O250" s="0" t="n">
        <v>2</v>
      </c>
      <c r="P250" s="0" t="s">
        <v>1018</v>
      </c>
      <c r="Q250" s="3"/>
      <c r="S250" s="2" t="s">
        <v>29</v>
      </c>
    </row>
    <row r="251" customFormat="false" ht="15" hidden="false" customHeight="false" outlineLevel="0" collapsed="false">
      <c r="A251" s="0" t="n">
        <v>250</v>
      </c>
      <c r="D251" s="0" t="s">
        <v>1019</v>
      </c>
      <c r="E251" s="0" t="s">
        <v>20</v>
      </c>
      <c r="H251" s="0" t="s">
        <v>21</v>
      </c>
      <c r="I251" s="2" t="s">
        <v>22</v>
      </c>
      <c r="J251" s="2" t="s">
        <v>635</v>
      </c>
      <c r="K251" s="0" t="s">
        <v>636</v>
      </c>
      <c r="L251" s="0" t="s">
        <v>25</v>
      </c>
      <c r="M251" s="0" t="s">
        <v>637</v>
      </c>
      <c r="N251" s="0" t="s">
        <v>1020</v>
      </c>
      <c r="O251" s="0" t="n">
        <v>2</v>
      </c>
      <c r="P251" s="0" t="s">
        <v>1021</v>
      </c>
      <c r="Q251" s="3"/>
      <c r="S251" s="2" t="s">
        <v>29</v>
      </c>
    </row>
    <row r="252" customFormat="false" ht="15" hidden="false" customHeight="false" outlineLevel="0" collapsed="false">
      <c r="A252" s="0" t="n">
        <v>251</v>
      </c>
      <c r="D252" s="0" t="s">
        <v>1022</v>
      </c>
      <c r="E252" s="0" t="s">
        <v>492</v>
      </c>
      <c r="H252" s="0" t="s">
        <v>21</v>
      </c>
      <c r="I252" s="2" t="s">
        <v>22</v>
      </c>
      <c r="J252" s="2" t="s">
        <v>635</v>
      </c>
      <c r="K252" s="0" t="s">
        <v>636</v>
      </c>
      <c r="L252" s="0" t="s">
        <v>25</v>
      </c>
      <c r="M252" s="0" t="s">
        <v>637</v>
      </c>
      <c r="N252" s="0" t="s">
        <v>1023</v>
      </c>
      <c r="O252" s="0" t="n">
        <v>2</v>
      </c>
      <c r="P252" s="0" t="s">
        <v>1024</v>
      </c>
      <c r="Q252" s="3"/>
      <c r="S252" s="2" t="s">
        <v>29</v>
      </c>
    </row>
    <row r="253" customFormat="false" ht="15" hidden="false" customHeight="false" outlineLevel="0" collapsed="false">
      <c r="A253" s="0" t="n">
        <v>252</v>
      </c>
      <c r="D253" s="0" t="s">
        <v>1025</v>
      </c>
      <c r="E253" s="0" t="s">
        <v>20</v>
      </c>
      <c r="H253" s="0" t="s">
        <v>21</v>
      </c>
      <c r="I253" s="2" t="s">
        <v>22</v>
      </c>
      <c r="J253" s="2" t="s">
        <v>635</v>
      </c>
      <c r="K253" s="0" t="s">
        <v>636</v>
      </c>
      <c r="L253" s="0" t="s">
        <v>25</v>
      </c>
      <c r="M253" s="0" t="s">
        <v>637</v>
      </c>
      <c r="N253" s="0" t="s">
        <v>1026</v>
      </c>
      <c r="O253" s="0" t="n">
        <v>2</v>
      </c>
      <c r="P253" s="0" t="s">
        <v>1027</v>
      </c>
      <c r="Q253" s="3"/>
      <c r="S253" s="2" t="s">
        <v>29</v>
      </c>
    </row>
    <row r="254" customFormat="false" ht="15" hidden="false" customHeight="false" outlineLevel="0" collapsed="false">
      <c r="A254" s="0" t="n">
        <v>253</v>
      </c>
      <c r="D254" s="0" t="s">
        <v>1028</v>
      </c>
      <c r="E254" s="0" t="s">
        <v>20</v>
      </c>
      <c r="H254" s="0" t="s">
        <v>21</v>
      </c>
      <c r="I254" s="2" t="s">
        <v>22</v>
      </c>
      <c r="J254" s="2" t="s">
        <v>635</v>
      </c>
      <c r="K254" s="0" t="s">
        <v>636</v>
      </c>
      <c r="L254" s="0" t="s">
        <v>25</v>
      </c>
      <c r="M254" s="0" t="s">
        <v>637</v>
      </c>
      <c r="N254" s="0" t="s">
        <v>1029</v>
      </c>
      <c r="O254" s="0" t="n">
        <v>2</v>
      </c>
      <c r="P254" s="0" t="s">
        <v>1030</v>
      </c>
      <c r="Q254" s="3"/>
      <c r="S254" s="2" t="s">
        <v>29</v>
      </c>
    </row>
    <row r="255" customFormat="false" ht="15" hidden="false" customHeight="false" outlineLevel="0" collapsed="false">
      <c r="A255" s="0" t="n">
        <v>254</v>
      </c>
      <c r="D255" s="0" t="s">
        <v>1031</v>
      </c>
      <c r="E255" s="0" t="s">
        <v>20</v>
      </c>
      <c r="H255" s="0" t="s">
        <v>21</v>
      </c>
      <c r="I255" s="2" t="s">
        <v>22</v>
      </c>
      <c r="J255" s="2" t="s">
        <v>635</v>
      </c>
      <c r="K255" s="0" t="s">
        <v>636</v>
      </c>
      <c r="L255" s="0" t="s">
        <v>25</v>
      </c>
      <c r="M255" s="0" t="s">
        <v>637</v>
      </c>
      <c r="N255" s="0" t="s">
        <v>1032</v>
      </c>
      <c r="O255" s="0" t="n">
        <v>2</v>
      </c>
      <c r="P255" s="0" t="s">
        <v>1033</v>
      </c>
      <c r="Q255" s="3"/>
      <c r="S255" s="2" t="s">
        <v>29</v>
      </c>
    </row>
    <row r="256" customFormat="false" ht="15" hidden="false" customHeight="false" outlineLevel="0" collapsed="false">
      <c r="A256" s="0" t="n">
        <v>255</v>
      </c>
      <c r="D256" s="0" t="s">
        <v>1034</v>
      </c>
      <c r="E256" s="0" t="s">
        <v>20</v>
      </c>
      <c r="H256" s="0" t="s">
        <v>21</v>
      </c>
      <c r="I256" s="2" t="s">
        <v>22</v>
      </c>
      <c r="J256" s="2" t="s">
        <v>635</v>
      </c>
      <c r="K256" s="0" t="s">
        <v>636</v>
      </c>
      <c r="L256" s="0" t="s">
        <v>25</v>
      </c>
      <c r="M256" s="0" t="s">
        <v>637</v>
      </c>
      <c r="N256" s="0" t="s">
        <v>1035</v>
      </c>
      <c r="O256" s="0" t="n">
        <v>2</v>
      </c>
      <c r="P256" s="0" t="s">
        <v>1036</v>
      </c>
      <c r="Q256" s="3"/>
      <c r="S256" s="2" t="s">
        <v>29</v>
      </c>
    </row>
    <row r="257" customFormat="false" ht="15" hidden="false" customHeight="false" outlineLevel="0" collapsed="false">
      <c r="A257" s="0" t="n">
        <v>256</v>
      </c>
      <c r="D257" s="0" t="s">
        <v>1037</v>
      </c>
      <c r="E257" s="0" t="s">
        <v>20</v>
      </c>
      <c r="H257" s="0" t="s">
        <v>21</v>
      </c>
      <c r="I257" s="2" t="s">
        <v>22</v>
      </c>
      <c r="J257" s="2" t="s">
        <v>635</v>
      </c>
      <c r="K257" s="0" t="s">
        <v>636</v>
      </c>
      <c r="L257" s="0" t="s">
        <v>25</v>
      </c>
      <c r="M257" s="0" t="s">
        <v>637</v>
      </c>
      <c r="N257" s="0" t="s">
        <v>1038</v>
      </c>
      <c r="O257" s="0" t="n">
        <v>2</v>
      </c>
      <c r="P257" s="0" t="s">
        <v>1039</v>
      </c>
      <c r="Q257" s="3"/>
      <c r="S257" s="2" t="s">
        <v>29</v>
      </c>
    </row>
    <row r="258" customFormat="false" ht="15" hidden="false" customHeight="false" outlineLevel="0" collapsed="false">
      <c r="A258" s="0" t="n">
        <v>257</v>
      </c>
      <c r="D258" s="0" t="s">
        <v>1040</v>
      </c>
      <c r="E258" s="0" t="s">
        <v>20</v>
      </c>
      <c r="H258" s="0" t="s">
        <v>21</v>
      </c>
      <c r="I258" s="2" t="s">
        <v>22</v>
      </c>
      <c r="J258" s="2" t="s">
        <v>635</v>
      </c>
      <c r="K258" s="0" t="s">
        <v>636</v>
      </c>
      <c r="L258" s="0" t="s">
        <v>25</v>
      </c>
      <c r="M258" s="0" t="s">
        <v>637</v>
      </c>
      <c r="N258" s="0" t="s">
        <v>1041</v>
      </c>
      <c r="O258" s="0" t="n">
        <v>2</v>
      </c>
      <c r="P258" s="0" t="s">
        <v>1042</v>
      </c>
      <c r="Q258" s="3"/>
      <c r="S258" s="2" t="s">
        <v>29</v>
      </c>
    </row>
    <row r="259" customFormat="false" ht="15" hidden="false" customHeight="false" outlineLevel="0" collapsed="false">
      <c r="A259" s="0" t="n">
        <v>258</v>
      </c>
      <c r="D259" s="0" t="s">
        <v>1043</v>
      </c>
      <c r="E259" s="0" t="s">
        <v>492</v>
      </c>
      <c r="H259" s="0" t="s">
        <v>21</v>
      </c>
      <c r="I259" s="2" t="s">
        <v>22</v>
      </c>
      <c r="J259" s="2" t="s">
        <v>635</v>
      </c>
      <c r="K259" s="0" t="s">
        <v>636</v>
      </c>
      <c r="L259" s="0" t="s">
        <v>25</v>
      </c>
      <c r="M259" s="0" t="s">
        <v>637</v>
      </c>
      <c r="N259" s="0" t="s">
        <v>1044</v>
      </c>
      <c r="O259" s="0" t="n">
        <v>2</v>
      </c>
      <c r="P259" s="0" t="s">
        <v>1045</v>
      </c>
      <c r="Q259" s="3"/>
      <c r="S259" s="2" t="s">
        <v>29</v>
      </c>
    </row>
    <row r="260" customFormat="false" ht="15" hidden="false" customHeight="false" outlineLevel="0" collapsed="false">
      <c r="A260" s="0" t="n">
        <v>259</v>
      </c>
      <c r="D260" s="0" t="s">
        <v>1046</v>
      </c>
      <c r="E260" s="0" t="s">
        <v>492</v>
      </c>
      <c r="H260" s="0" t="s">
        <v>21</v>
      </c>
      <c r="I260" s="2" t="s">
        <v>22</v>
      </c>
      <c r="J260" s="2" t="s">
        <v>635</v>
      </c>
      <c r="K260" s="0" t="s">
        <v>636</v>
      </c>
      <c r="L260" s="0" t="s">
        <v>25</v>
      </c>
      <c r="M260" s="0" t="s">
        <v>637</v>
      </c>
      <c r="N260" s="0" t="s">
        <v>1047</v>
      </c>
      <c r="O260" s="0" t="n">
        <v>2</v>
      </c>
      <c r="P260" s="0" t="s">
        <v>1048</v>
      </c>
      <c r="Q260" s="3"/>
      <c r="S260" s="2" t="s">
        <v>29</v>
      </c>
    </row>
    <row r="261" customFormat="false" ht="15" hidden="false" customHeight="false" outlineLevel="0" collapsed="false">
      <c r="A261" s="0" t="n">
        <v>260</v>
      </c>
      <c r="D261" s="0" t="s">
        <v>1049</v>
      </c>
      <c r="E261" s="0" t="s">
        <v>925</v>
      </c>
      <c r="H261" s="0" t="s">
        <v>21</v>
      </c>
      <c r="I261" s="2" t="s">
        <v>22</v>
      </c>
      <c r="J261" s="2" t="s">
        <v>635</v>
      </c>
      <c r="K261" s="0" t="s">
        <v>636</v>
      </c>
      <c r="L261" s="0" t="s">
        <v>25</v>
      </c>
      <c r="M261" s="0" t="s">
        <v>637</v>
      </c>
      <c r="N261" s="0" t="s">
        <v>1050</v>
      </c>
      <c r="O261" s="0" t="n">
        <v>2</v>
      </c>
      <c r="P261" s="0" t="s">
        <v>1051</v>
      </c>
      <c r="Q261" s="3"/>
      <c r="S261" s="2" t="s">
        <v>29</v>
      </c>
    </row>
    <row r="262" customFormat="false" ht="15" hidden="false" customHeight="false" outlineLevel="0" collapsed="false">
      <c r="A262" s="0" t="n">
        <v>261</v>
      </c>
      <c r="D262" s="0" t="s">
        <v>1052</v>
      </c>
      <c r="E262" s="0" t="s">
        <v>63</v>
      </c>
      <c r="H262" s="0" t="s">
        <v>21</v>
      </c>
      <c r="I262" s="2" t="s">
        <v>22</v>
      </c>
      <c r="J262" s="2" t="s">
        <v>635</v>
      </c>
      <c r="K262" s="0" t="s">
        <v>636</v>
      </c>
      <c r="L262" s="0" t="s">
        <v>64</v>
      </c>
      <c r="M262" s="0" t="s">
        <v>637</v>
      </c>
      <c r="N262" s="0" t="s">
        <v>1053</v>
      </c>
      <c r="O262" s="0" t="n">
        <v>2</v>
      </c>
      <c r="P262" s="0" t="s">
        <v>1054</v>
      </c>
      <c r="Q262" s="3"/>
      <c r="S262" s="2" t="s">
        <v>29</v>
      </c>
    </row>
    <row r="263" customFormat="false" ht="15" hidden="false" customHeight="false" outlineLevel="0" collapsed="false">
      <c r="A263" s="0" t="n">
        <v>262</v>
      </c>
      <c r="D263" s="0" t="s">
        <v>1055</v>
      </c>
      <c r="E263" s="0" t="s">
        <v>99</v>
      </c>
      <c r="H263" s="0" t="s">
        <v>21</v>
      </c>
      <c r="I263" s="2" t="s">
        <v>22</v>
      </c>
      <c r="J263" s="2" t="s">
        <v>635</v>
      </c>
      <c r="K263" s="0" t="s">
        <v>636</v>
      </c>
      <c r="L263" s="0" t="s">
        <v>64</v>
      </c>
      <c r="M263" s="0" t="s">
        <v>637</v>
      </c>
      <c r="N263" s="0" t="s">
        <v>1056</v>
      </c>
      <c r="O263" s="0" t="n">
        <v>2</v>
      </c>
      <c r="P263" s="0" t="s">
        <v>1057</v>
      </c>
      <c r="Q263" s="3"/>
      <c r="S263" s="2" t="s">
        <v>29</v>
      </c>
    </row>
    <row r="264" customFormat="false" ht="15" hidden="false" customHeight="false" outlineLevel="0" collapsed="false">
      <c r="A264" s="0" t="n">
        <v>263</v>
      </c>
      <c r="D264" s="0" t="s">
        <v>1058</v>
      </c>
      <c r="E264" s="0" t="s">
        <v>20</v>
      </c>
      <c r="H264" s="0" t="s">
        <v>21</v>
      </c>
      <c r="I264" s="2" t="s">
        <v>22</v>
      </c>
      <c r="J264" s="2" t="s">
        <v>635</v>
      </c>
      <c r="K264" s="0" t="s">
        <v>636</v>
      </c>
      <c r="L264" s="0" t="s">
        <v>25</v>
      </c>
      <c r="M264" s="0" t="s">
        <v>637</v>
      </c>
      <c r="N264" s="0" t="s">
        <v>1059</v>
      </c>
      <c r="O264" s="0" t="n">
        <v>2</v>
      </c>
      <c r="P264" s="0" t="s">
        <v>1060</v>
      </c>
      <c r="Q264" s="3"/>
      <c r="S264" s="2" t="s">
        <v>29</v>
      </c>
    </row>
    <row r="265" customFormat="false" ht="15" hidden="false" customHeight="false" outlineLevel="0" collapsed="false">
      <c r="A265" s="0" t="n">
        <v>264</v>
      </c>
      <c r="D265" s="0" t="s">
        <v>1061</v>
      </c>
      <c r="E265" s="0" t="s">
        <v>20</v>
      </c>
      <c r="H265" s="0" t="s">
        <v>21</v>
      </c>
      <c r="I265" s="2" t="s">
        <v>22</v>
      </c>
      <c r="J265" s="2" t="s">
        <v>635</v>
      </c>
      <c r="K265" s="0" t="s">
        <v>636</v>
      </c>
      <c r="L265" s="0" t="s">
        <v>25</v>
      </c>
      <c r="M265" s="0" t="s">
        <v>637</v>
      </c>
      <c r="N265" s="0" t="s">
        <v>1062</v>
      </c>
      <c r="O265" s="0" t="n">
        <v>2</v>
      </c>
      <c r="P265" s="0" t="s">
        <v>1063</v>
      </c>
      <c r="Q265" s="3"/>
      <c r="S265" s="2" t="s">
        <v>29</v>
      </c>
    </row>
    <row r="266" customFormat="false" ht="15" hidden="false" customHeight="false" outlineLevel="0" collapsed="false">
      <c r="A266" s="0" t="n">
        <v>265</v>
      </c>
      <c r="D266" s="0" t="s">
        <v>1064</v>
      </c>
      <c r="E266" s="0" t="s">
        <v>20</v>
      </c>
      <c r="H266" s="0" t="s">
        <v>21</v>
      </c>
      <c r="I266" s="2" t="s">
        <v>22</v>
      </c>
      <c r="J266" s="2" t="s">
        <v>635</v>
      </c>
      <c r="K266" s="0" t="s">
        <v>636</v>
      </c>
      <c r="L266" s="0" t="s">
        <v>1065</v>
      </c>
      <c r="M266" s="0" t="s">
        <v>637</v>
      </c>
      <c r="N266" s="0" t="s">
        <v>1066</v>
      </c>
      <c r="O266" s="0" t="n">
        <v>2</v>
      </c>
      <c r="P266" s="0" t="s">
        <v>1067</v>
      </c>
      <c r="Q266" s="3" t="s">
        <v>1068</v>
      </c>
      <c r="R266" s="2" t="s">
        <v>1069</v>
      </c>
      <c r="S266" s="2" t="s">
        <v>45</v>
      </c>
    </row>
    <row r="267" customFormat="false" ht="15" hidden="false" customHeight="false" outlineLevel="0" collapsed="false">
      <c r="A267" s="0" t="n">
        <v>266</v>
      </c>
      <c r="D267" s="0" t="s">
        <v>1070</v>
      </c>
      <c r="E267" s="0" t="s">
        <v>20</v>
      </c>
      <c r="H267" s="0" t="s">
        <v>21</v>
      </c>
      <c r="I267" s="2" t="s">
        <v>22</v>
      </c>
      <c r="J267" s="2" t="s">
        <v>635</v>
      </c>
      <c r="K267" s="0" t="s">
        <v>636</v>
      </c>
      <c r="L267" s="0" t="s">
        <v>25</v>
      </c>
      <c r="M267" s="0" t="s">
        <v>637</v>
      </c>
      <c r="N267" s="0" t="s">
        <v>1071</v>
      </c>
      <c r="O267" s="0" t="n">
        <v>2</v>
      </c>
      <c r="P267" s="0" t="s">
        <v>1072</v>
      </c>
      <c r="Q267" s="3"/>
      <c r="S267" s="2" t="s">
        <v>29</v>
      </c>
    </row>
    <row r="268" customFormat="false" ht="15" hidden="false" customHeight="false" outlineLevel="0" collapsed="false">
      <c r="A268" s="0" t="n">
        <v>267</v>
      </c>
      <c r="D268" s="0" t="s">
        <v>1073</v>
      </c>
      <c r="E268" s="0" t="s">
        <v>63</v>
      </c>
      <c r="H268" s="0" t="s">
        <v>21</v>
      </c>
      <c r="I268" s="2" t="s">
        <v>22</v>
      </c>
      <c r="J268" s="2" t="s">
        <v>635</v>
      </c>
      <c r="K268" s="0" t="s">
        <v>636</v>
      </c>
      <c r="L268" s="0" t="s">
        <v>64</v>
      </c>
      <c r="M268" s="0" t="s">
        <v>637</v>
      </c>
      <c r="N268" s="0" t="s">
        <v>1074</v>
      </c>
      <c r="O268" s="0" t="n">
        <v>2</v>
      </c>
      <c r="P268" s="0" t="s">
        <v>1075</v>
      </c>
      <c r="Q268" s="3"/>
      <c r="S268" s="2" t="s">
        <v>29</v>
      </c>
    </row>
    <row r="269" customFormat="false" ht="15" hidden="false" customHeight="false" outlineLevel="0" collapsed="false">
      <c r="A269" s="0" t="n">
        <v>268</v>
      </c>
      <c r="D269" s="0" t="s">
        <v>1076</v>
      </c>
      <c r="E269" s="0" t="s">
        <v>20</v>
      </c>
      <c r="H269" s="0" t="s">
        <v>21</v>
      </c>
      <c r="I269" s="2" t="s">
        <v>22</v>
      </c>
      <c r="J269" s="2" t="s">
        <v>635</v>
      </c>
      <c r="K269" s="0" t="s">
        <v>636</v>
      </c>
      <c r="L269" s="0" t="s">
        <v>25</v>
      </c>
      <c r="M269" s="0" t="s">
        <v>637</v>
      </c>
      <c r="N269" s="0" t="s">
        <v>1077</v>
      </c>
      <c r="O269" s="0" t="n">
        <v>2</v>
      </c>
      <c r="P269" s="0" t="s">
        <v>1078</v>
      </c>
      <c r="Q269" s="3"/>
      <c r="S269" s="2" t="s">
        <v>29</v>
      </c>
    </row>
    <row r="270" customFormat="false" ht="15" hidden="false" customHeight="false" outlineLevel="0" collapsed="false">
      <c r="A270" s="0" t="n">
        <v>269</v>
      </c>
      <c r="D270" s="0" t="s">
        <v>1079</v>
      </c>
      <c r="E270" s="0" t="s">
        <v>20</v>
      </c>
      <c r="H270" s="0" t="s">
        <v>21</v>
      </c>
      <c r="I270" s="2" t="s">
        <v>22</v>
      </c>
      <c r="J270" s="2" t="s">
        <v>635</v>
      </c>
      <c r="K270" s="0" t="s">
        <v>636</v>
      </c>
      <c r="L270" s="0" t="s">
        <v>25</v>
      </c>
      <c r="M270" s="0" t="s">
        <v>637</v>
      </c>
      <c r="N270" s="0" t="s">
        <v>1080</v>
      </c>
      <c r="O270" s="0" t="n">
        <v>2</v>
      </c>
      <c r="P270" s="0" t="s">
        <v>1081</v>
      </c>
      <c r="Q270" s="3"/>
      <c r="S270" s="2" t="s">
        <v>29</v>
      </c>
    </row>
    <row r="271" customFormat="false" ht="15" hidden="false" customHeight="false" outlineLevel="0" collapsed="false">
      <c r="A271" s="0" t="n">
        <v>270</v>
      </c>
      <c r="D271" s="0" t="s">
        <v>1082</v>
      </c>
      <c r="E271" s="0" t="s">
        <v>63</v>
      </c>
      <c r="H271" s="0" t="s">
        <v>21</v>
      </c>
      <c r="I271" s="2" t="s">
        <v>22</v>
      </c>
      <c r="J271" s="2" t="s">
        <v>635</v>
      </c>
      <c r="K271" s="0" t="s">
        <v>636</v>
      </c>
      <c r="L271" s="0" t="s">
        <v>64</v>
      </c>
      <c r="M271" s="0" t="s">
        <v>637</v>
      </c>
      <c r="N271" s="0" t="s">
        <v>1083</v>
      </c>
      <c r="O271" s="0" t="n">
        <v>2</v>
      </c>
      <c r="P271" s="0" t="s">
        <v>1084</v>
      </c>
      <c r="Q271" s="3"/>
      <c r="S271" s="2" t="s">
        <v>29</v>
      </c>
    </row>
    <row r="272" customFormat="false" ht="15" hidden="false" customHeight="false" outlineLevel="0" collapsed="false">
      <c r="A272" s="0" t="n">
        <v>271</v>
      </c>
      <c r="D272" s="0" t="s">
        <v>1085</v>
      </c>
      <c r="E272" s="0" t="s">
        <v>492</v>
      </c>
      <c r="H272" s="0" t="s">
        <v>21</v>
      </c>
      <c r="I272" s="2" t="s">
        <v>22</v>
      </c>
      <c r="J272" s="2" t="s">
        <v>635</v>
      </c>
      <c r="K272" s="0" t="s">
        <v>636</v>
      </c>
      <c r="L272" s="0" t="s">
        <v>25</v>
      </c>
      <c r="M272" s="0" t="s">
        <v>637</v>
      </c>
      <c r="N272" s="0" t="s">
        <v>1086</v>
      </c>
      <c r="O272" s="0" t="n">
        <v>2</v>
      </c>
      <c r="P272" s="0" t="s">
        <v>1087</v>
      </c>
      <c r="Q272" s="3"/>
      <c r="S272" s="2" t="s">
        <v>29</v>
      </c>
    </row>
    <row r="273" customFormat="false" ht="15" hidden="false" customHeight="false" outlineLevel="0" collapsed="false">
      <c r="A273" s="0" t="n">
        <v>272</v>
      </c>
      <c r="D273" s="0" t="s">
        <v>1088</v>
      </c>
      <c r="E273" s="0" t="s">
        <v>492</v>
      </c>
      <c r="H273" s="0" t="s">
        <v>21</v>
      </c>
      <c r="I273" s="2" t="s">
        <v>22</v>
      </c>
      <c r="J273" s="2" t="s">
        <v>635</v>
      </c>
      <c r="K273" s="0" t="s">
        <v>636</v>
      </c>
      <c r="L273" s="0" t="s">
        <v>25</v>
      </c>
      <c r="M273" s="0" t="s">
        <v>637</v>
      </c>
      <c r="N273" s="0" t="s">
        <v>1089</v>
      </c>
      <c r="O273" s="0" t="n">
        <v>2</v>
      </c>
      <c r="P273" s="0" t="s">
        <v>1090</v>
      </c>
      <c r="Q273" s="3"/>
      <c r="S273" s="2" t="s">
        <v>29</v>
      </c>
    </row>
    <row r="274" customFormat="false" ht="15" hidden="false" customHeight="false" outlineLevel="0" collapsed="false">
      <c r="A274" s="0" t="n">
        <v>273</v>
      </c>
      <c r="D274" s="0" t="s">
        <v>1091</v>
      </c>
      <c r="E274" s="0" t="s">
        <v>226</v>
      </c>
      <c r="H274" s="0" t="s">
        <v>21</v>
      </c>
      <c r="I274" s="2" t="s">
        <v>22</v>
      </c>
      <c r="J274" s="2" t="s">
        <v>635</v>
      </c>
      <c r="K274" s="0" t="s">
        <v>636</v>
      </c>
      <c r="L274" s="0" t="s">
        <v>64</v>
      </c>
      <c r="M274" s="0" t="s">
        <v>637</v>
      </c>
      <c r="N274" s="0" t="s">
        <v>1092</v>
      </c>
      <c r="O274" s="0" t="n">
        <v>2</v>
      </c>
      <c r="P274" s="0" t="s">
        <v>1093</v>
      </c>
      <c r="Q274" s="3"/>
      <c r="S274" s="2" t="s">
        <v>29</v>
      </c>
    </row>
    <row r="275" customFormat="false" ht="15" hidden="false" customHeight="false" outlineLevel="0" collapsed="false">
      <c r="A275" s="0" t="n">
        <v>274</v>
      </c>
      <c r="D275" s="0" t="s">
        <v>1094</v>
      </c>
      <c r="E275" s="0" t="s">
        <v>20</v>
      </c>
      <c r="H275" s="0" t="s">
        <v>21</v>
      </c>
      <c r="I275" s="2" t="s">
        <v>22</v>
      </c>
      <c r="J275" s="2" t="s">
        <v>635</v>
      </c>
      <c r="K275" s="0" t="s">
        <v>636</v>
      </c>
      <c r="L275" s="0" t="s">
        <v>25</v>
      </c>
      <c r="M275" s="0" t="s">
        <v>637</v>
      </c>
      <c r="N275" s="0" t="s">
        <v>1095</v>
      </c>
      <c r="O275" s="0" t="n">
        <v>2</v>
      </c>
      <c r="P275" s="0" t="s">
        <v>1096</v>
      </c>
      <c r="Q275" s="3"/>
      <c r="S275" s="2" t="s">
        <v>29</v>
      </c>
    </row>
    <row r="276" customFormat="false" ht="15" hidden="false" customHeight="false" outlineLevel="0" collapsed="false">
      <c r="A276" s="0" t="n">
        <v>275</v>
      </c>
      <c r="D276" s="0" t="s">
        <v>1097</v>
      </c>
      <c r="E276" s="0" t="s">
        <v>492</v>
      </c>
      <c r="H276" s="0" t="s">
        <v>21</v>
      </c>
      <c r="I276" s="2" t="s">
        <v>22</v>
      </c>
      <c r="J276" s="2" t="s">
        <v>635</v>
      </c>
      <c r="K276" s="0" t="s">
        <v>636</v>
      </c>
      <c r="L276" s="0" t="s">
        <v>25</v>
      </c>
      <c r="M276" s="0" t="s">
        <v>637</v>
      </c>
      <c r="N276" s="0" t="s">
        <v>1098</v>
      </c>
      <c r="O276" s="0" t="n">
        <v>2</v>
      </c>
      <c r="P276" s="0" t="s">
        <v>1099</v>
      </c>
      <c r="Q276" s="3"/>
      <c r="S276" s="2" t="s">
        <v>29</v>
      </c>
    </row>
    <row r="277" customFormat="false" ht="15" hidden="false" customHeight="false" outlineLevel="0" collapsed="false">
      <c r="A277" s="0" t="n">
        <v>276</v>
      </c>
      <c r="D277" s="0" t="s">
        <v>1100</v>
      </c>
      <c r="E277" s="0" t="s">
        <v>20</v>
      </c>
      <c r="H277" s="0" t="s">
        <v>21</v>
      </c>
      <c r="I277" s="2" t="s">
        <v>22</v>
      </c>
      <c r="J277" s="2" t="s">
        <v>635</v>
      </c>
      <c r="K277" s="0" t="s">
        <v>636</v>
      </c>
      <c r="L277" s="0" t="s">
        <v>25</v>
      </c>
      <c r="M277" s="0" t="s">
        <v>637</v>
      </c>
      <c r="N277" s="0" t="s">
        <v>1101</v>
      </c>
      <c r="O277" s="0" t="n">
        <v>2</v>
      </c>
      <c r="P277" s="0" t="s">
        <v>1102</v>
      </c>
      <c r="Q277" s="3"/>
      <c r="S277" s="2" t="s">
        <v>29</v>
      </c>
    </row>
    <row r="278" customFormat="false" ht="15" hidden="false" customHeight="false" outlineLevel="0" collapsed="false">
      <c r="A278" s="0" t="n">
        <v>277</v>
      </c>
      <c r="D278" s="0" t="s">
        <v>1103</v>
      </c>
      <c r="E278" s="0" t="s">
        <v>20</v>
      </c>
      <c r="H278" s="0" t="s">
        <v>21</v>
      </c>
      <c r="I278" s="2" t="s">
        <v>22</v>
      </c>
      <c r="J278" s="2" t="s">
        <v>635</v>
      </c>
      <c r="K278" s="0" t="s">
        <v>636</v>
      </c>
      <c r="L278" s="0" t="s">
        <v>31</v>
      </c>
      <c r="M278" s="0" t="s">
        <v>637</v>
      </c>
      <c r="N278" s="0" t="s">
        <v>1104</v>
      </c>
      <c r="O278" s="0" t="n">
        <v>1</v>
      </c>
      <c r="P278" s="0" t="s">
        <v>1105</v>
      </c>
      <c r="Q278" s="3"/>
      <c r="S278" s="2" t="s">
        <v>29</v>
      </c>
    </row>
    <row r="279" customFormat="false" ht="15" hidden="false" customHeight="false" outlineLevel="0" collapsed="false">
      <c r="A279" s="0" t="n">
        <v>278</v>
      </c>
      <c r="D279" s="0" t="s">
        <v>1106</v>
      </c>
      <c r="E279" s="0" t="s">
        <v>20</v>
      </c>
      <c r="H279" s="0" t="s">
        <v>21</v>
      </c>
      <c r="I279" s="2" t="s">
        <v>22</v>
      </c>
      <c r="J279" s="2" t="s">
        <v>635</v>
      </c>
      <c r="K279" s="0" t="s">
        <v>636</v>
      </c>
      <c r="L279" s="0" t="s">
        <v>31</v>
      </c>
      <c r="M279" s="0" t="s">
        <v>637</v>
      </c>
      <c r="N279" s="0" t="s">
        <v>1107</v>
      </c>
      <c r="O279" s="0" t="n">
        <v>1</v>
      </c>
      <c r="P279" s="0" t="s">
        <v>1108</v>
      </c>
      <c r="Q279" s="3"/>
      <c r="S279" s="2" t="s">
        <v>29</v>
      </c>
    </row>
    <row r="280" customFormat="false" ht="15" hidden="false" customHeight="false" outlineLevel="0" collapsed="false">
      <c r="A280" s="0" t="n">
        <v>279</v>
      </c>
      <c r="D280" s="0" t="s">
        <v>1109</v>
      </c>
      <c r="E280" s="0" t="s">
        <v>492</v>
      </c>
      <c r="H280" s="0" t="s">
        <v>21</v>
      </c>
      <c r="I280" s="2" t="s">
        <v>22</v>
      </c>
      <c r="J280" s="2" t="s">
        <v>635</v>
      </c>
      <c r="K280" s="0" t="s">
        <v>636</v>
      </c>
      <c r="L280" s="0" t="s">
        <v>31</v>
      </c>
      <c r="M280" s="0" t="s">
        <v>637</v>
      </c>
      <c r="N280" s="0" t="s">
        <v>1110</v>
      </c>
      <c r="O280" s="0" t="n">
        <v>1</v>
      </c>
      <c r="P280" s="0" t="s">
        <v>1111</v>
      </c>
      <c r="Q280" s="3"/>
      <c r="S280" s="2" t="s">
        <v>29</v>
      </c>
    </row>
    <row r="281" customFormat="false" ht="15" hidden="false" customHeight="false" outlineLevel="0" collapsed="false">
      <c r="A281" s="0" t="n">
        <v>280</v>
      </c>
      <c r="D281" s="0" t="s">
        <v>1112</v>
      </c>
      <c r="E281" s="0" t="s">
        <v>20</v>
      </c>
      <c r="H281" s="0" t="s">
        <v>21</v>
      </c>
      <c r="I281" s="2" t="s">
        <v>22</v>
      </c>
      <c r="J281" s="2" t="s">
        <v>635</v>
      </c>
      <c r="K281" s="0" t="s">
        <v>636</v>
      </c>
      <c r="L281" s="0" t="s">
        <v>31</v>
      </c>
      <c r="M281" s="0" t="s">
        <v>637</v>
      </c>
      <c r="N281" s="0" t="s">
        <v>1113</v>
      </c>
      <c r="O281" s="0" t="n">
        <v>1</v>
      </c>
      <c r="P281" s="0" t="s">
        <v>1114</v>
      </c>
      <c r="Q281" s="3"/>
      <c r="S281" s="2" t="s">
        <v>29</v>
      </c>
    </row>
    <row r="282" customFormat="false" ht="15" hidden="false" customHeight="false" outlineLevel="0" collapsed="false">
      <c r="A282" s="0" t="n">
        <v>281</v>
      </c>
      <c r="D282" s="0" t="s">
        <v>1115</v>
      </c>
      <c r="E282" s="0" t="s">
        <v>20</v>
      </c>
      <c r="H282" s="0" t="s">
        <v>21</v>
      </c>
      <c r="I282" s="2" t="s">
        <v>22</v>
      </c>
      <c r="J282" s="2" t="s">
        <v>635</v>
      </c>
      <c r="K282" s="0" t="s">
        <v>636</v>
      </c>
      <c r="L282" s="0" t="s">
        <v>31</v>
      </c>
      <c r="M282" s="0" t="s">
        <v>637</v>
      </c>
      <c r="N282" s="0" t="s">
        <v>1116</v>
      </c>
      <c r="O282" s="0" t="n">
        <v>1</v>
      </c>
      <c r="P282" s="0" t="s">
        <v>1117</v>
      </c>
      <c r="Q282" s="3"/>
      <c r="S282" s="2" t="s">
        <v>29</v>
      </c>
    </row>
    <row r="283" customFormat="false" ht="15" hidden="false" customHeight="false" outlineLevel="0" collapsed="false">
      <c r="A283" s="0" t="n">
        <v>282</v>
      </c>
      <c r="D283" s="0" t="s">
        <v>1118</v>
      </c>
      <c r="E283" s="0" t="s">
        <v>20</v>
      </c>
      <c r="H283" s="0" t="s">
        <v>21</v>
      </c>
      <c r="I283" s="2" t="s">
        <v>22</v>
      </c>
      <c r="J283" s="2" t="s">
        <v>635</v>
      </c>
      <c r="K283" s="0" t="s">
        <v>636</v>
      </c>
      <c r="L283" s="0" t="s">
        <v>31</v>
      </c>
      <c r="M283" s="0" t="s">
        <v>637</v>
      </c>
      <c r="N283" s="0" t="s">
        <v>1119</v>
      </c>
      <c r="O283" s="0" t="n">
        <v>1</v>
      </c>
      <c r="P283" s="0" t="s">
        <v>1120</v>
      </c>
      <c r="Q283" s="3"/>
      <c r="S283" s="2" t="s">
        <v>29</v>
      </c>
    </row>
    <row r="284" customFormat="false" ht="15" hidden="false" customHeight="false" outlineLevel="0" collapsed="false">
      <c r="A284" s="0" t="n">
        <v>283</v>
      </c>
      <c r="D284" s="0" t="s">
        <v>1121</v>
      </c>
      <c r="E284" s="0" t="s">
        <v>20</v>
      </c>
      <c r="H284" s="0" t="s">
        <v>21</v>
      </c>
      <c r="I284" s="2" t="s">
        <v>22</v>
      </c>
      <c r="J284" s="2" t="s">
        <v>635</v>
      </c>
      <c r="K284" s="0" t="s">
        <v>636</v>
      </c>
      <c r="L284" s="0" t="s">
        <v>31</v>
      </c>
      <c r="M284" s="0" t="s">
        <v>637</v>
      </c>
      <c r="N284" s="0" t="s">
        <v>1122</v>
      </c>
      <c r="O284" s="0" t="n">
        <v>1</v>
      </c>
      <c r="P284" s="0" t="s">
        <v>1123</v>
      </c>
      <c r="Q284" s="3"/>
      <c r="S284" s="2" t="s">
        <v>29</v>
      </c>
    </row>
    <row r="285" customFormat="false" ht="15" hidden="false" customHeight="false" outlineLevel="0" collapsed="false">
      <c r="A285" s="0" t="n">
        <v>284</v>
      </c>
      <c r="D285" s="0" t="s">
        <v>1124</v>
      </c>
      <c r="E285" s="0" t="s">
        <v>20</v>
      </c>
      <c r="H285" s="0" t="s">
        <v>21</v>
      </c>
      <c r="I285" s="2" t="s">
        <v>22</v>
      </c>
      <c r="J285" s="2" t="s">
        <v>635</v>
      </c>
      <c r="K285" s="0" t="s">
        <v>636</v>
      </c>
      <c r="L285" s="0" t="s">
        <v>31</v>
      </c>
      <c r="M285" s="0" t="s">
        <v>637</v>
      </c>
      <c r="N285" s="0" t="s">
        <v>1125</v>
      </c>
      <c r="O285" s="0" t="n">
        <v>1</v>
      </c>
      <c r="P285" s="0" t="s">
        <v>1126</v>
      </c>
      <c r="Q285" s="3"/>
      <c r="S285" s="2" t="s">
        <v>29</v>
      </c>
    </row>
    <row r="286" customFormat="false" ht="15" hidden="false" customHeight="false" outlineLevel="0" collapsed="false">
      <c r="A286" s="0" t="n">
        <v>285</v>
      </c>
      <c r="D286" s="0" t="s">
        <v>1127</v>
      </c>
      <c r="E286" s="0" t="s">
        <v>20</v>
      </c>
      <c r="H286" s="0" t="s">
        <v>21</v>
      </c>
      <c r="I286" s="2" t="s">
        <v>22</v>
      </c>
      <c r="J286" s="2" t="s">
        <v>635</v>
      </c>
      <c r="K286" s="0" t="s">
        <v>636</v>
      </c>
      <c r="L286" s="0" t="s">
        <v>31</v>
      </c>
      <c r="M286" s="0" t="s">
        <v>637</v>
      </c>
      <c r="N286" s="0" t="s">
        <v>1128</v>
      </c>
      <c r="O286" s="0" t="n">
        <v>1</v>
      </c>
      <c r="P286" s="0" t="s">
        <v>1129</v>
      </c>
      <c r="Q286" s="3"/>
      <c r="S286" s="2" t="s">
        <v>29</v>
      </c>
    </row>
    <row r="287" customFormat="false" ht="15" hidden="false" customHeight="false" outlineLevel="0" collapsed="false">
      <c r="A287" s="0" t="n">
        <v>286</v>
      </c>
      <c r="D287" s="0" t="s">
        <v>1130</v>
      </c>
      <c r="E287" s="0" t="s">
        <v>20</v>
      </c>
      <c r="H287" s="0" t="s">
        <v>21</v>
      </c>
      <c r="I287" s="2" t="s">
        <v>22</v>
      </c>
      <c r="J287" s="2" t="s">
        <v>635</v>
      </c>
      <c r="K287" s="0" t="s">
        <v>636</v>
      </c>
      <c r="L287" s="0" t="s">
        <v>31</v>
      </c>
      <c r="M287" s="0" t="s">
        <v>637</v>
      </c>
      <c r="N287" s="0" t="s">
        <v>1131</v>
      </c>
      <c r="O287" s="0" t="n">
        <v>1</v>
      </c>
      <c r="P287" s="0" t="s">
        <v>1132</v>
      </c>
      <c r="Q287" s="3"/>
      <c r="S287" s="2" t="s">
        <v>29</v>
      </c>
    </row>
    <row r="288" customFormat="false" ht="15" hidden="false" customHeight="false" outlineLevel="0" collapsed="false">
      <c r="A288" s="0" t="n">
        <v>287</v>
      </c>
      <c r="D288" s="0" t="s">
        <v>1133</v>
      </c>
      <c r="E288" s="0" t="s">
        <v>20</v>
      </c>
      <c r="H288" s="0" t="s">
        <v>21</v>
      </c>
      <c r="I288" s="2" t="s">
        <v>22</v>
      </c>
      <c r="J288" s="2" t="s">
        <v>635</v>
      </c>
      <c r="K288" s="0" t="s">
        <v>636</v>
      </c>
      <c r="L288" s="0" t="s">
        <v>31</v>
      </c>
      <c r="M288" s="0" t="s">
        <v>637</v>
      </c>
      <c r="N288" s="0" t="s">
        <v>1134</v>
      </c>
      <c r="O288" s="0" t="n">
        <v>1</v>
      </c>
      <c r="P288" s="0" t="s">
        <v>1135</v>
      </c>
      <c r="Q288" s="3"/>
      <c r="S288" s="2" t="s">
        <v>29</v>
      </c>
    </row>
    <row r="289" customFormat="false" ht="15" hidden="false" customHeight="false" outlineLevel="0" collapsed="false">
      <c r="A289" s="0" t="n">
        <v>288</v>
      </c>
      <c r="D289" s="0" t="s">
        <v>1136</v>
      </c>
      <c r="E289" s="0" t="s">
        <v>20</v>
      </c>
      <c r="H289" s="0" t="s">
        <v>21</v>
      </c>
      <c r="I289" s="2" t="s">
        <v>22</v>
      </c>
      <c r="J289" s="2" t="s">
        <v>635</v>
      </c>
      <c r="K289" s="0" t="s">
        <v>636</v>
      </c>
      <c r="L289" s="0" t="s">
        <v>31</v>
      </c>
      <c r="M289" s="0" t="s">
        <v>637</v>
      </c>
      <c r="N289" s="0" t="s">
        <v>1137</v>
      </c>
      <c r="O289" s="0" t="n">
        <v>1</v>
      </c>
      <c r="P289" s="0" t="s">
        <v>1138</v>
      </c>
      <c r="Q289" s="3"/>
      <c r="S289" s="2" t="s">
        <v>29</v>
      </c>
    </row>
    <row r="290" customFormat="false" ht="15" hidden="false" customHeight="false" outlineLevel="0" collapsed="false">
      <c r="A290" s="0" t="n">
        <v>289</v>
      </c>
      <c r="D290" s="0" t="s">
        <v>1139</v>
      </c>
      <c r="E290" s="0" t="s">
        <v>20</v>
      </c>
      <c r="H290" s="0" t="s">
        <v>21</v>
      </c>
      <c r="I290" s="2" t="s">
        <v>22</v>
      </c>
      <c r="J290" s="2" t="s">
        <v>635</v>
      </c>
      <c r="K290" s="0" t="s">
        <v>636</v>
      </c>
      <c r="L290" s="0" t="s">
        <v>31</v>
      </c>
      <c r="M290" s="0" t="s">
        <v>637</v>
      </c>
      <c r="N290" s="0" t="s">
        <v>1140</v>
      </c>
      <c r="O290" s="0" t="n">
        <v>1</v>
      </c>
      <c r="P290" s="0" t="s">
        <v>1141</v>
      </c>
      <c r="Q290" s="3"/>
      <c r="S290" s="2" t="s">
        <v>29</v>
      </c>
    </row>
    <row r="291" customFormat="false" ht="15" hidden="false" customHeight="false" outlineLevel="0" collapsed="false">
      <c r="A291" s="0" t="n">
        <v>290</v>
      </c>
      <c r="D291" s="0" t="s">
        <v>1142</v>
      </c>
      <c r="E291" s="0" t="s">
        <v>99</v>
      </c>
      <c r="H291" s="0" t="s">
        <v>21</v>
      </c>
      <c r="I291" s="2" t="s">
        <v>22</v>
      </c>
      <c r="J291" s="2" t="s">
        <v>635</v>
      </c>
      <c r="K291" s="0" t="s">
        <v>636</v>
      </c>
      <c r="L291" s="0" t="s">
        <v>100</v>
      </c>
      <c r="M291" s="0" t="s">
        <v>637</v>
      </c>
      <c r="N291" s="0" t="s">
        <v>1143</v>
      </c>
      <c r="O291" s="0" t="n">
        <v>1</v>
      </c>
      <c r="P291" s="0" t="s">
        <v>1144</v>
      </c>
      <c r="Q291" s="3"/>
      <c r="S291" s="2" t="s">
        <v>29</v>
      </c>
    </row>
    <row r="292" customFormat="false" ht="15" hidden="false" customHeight="false" outlineLevel="0" collapsed="false">
      <c r="A292" s="0" t="n">
        <v>291</v>
      </c>
      <c r="D292" s="0" t="s">
        <v>1145</v>
      </c>
      <c r="E292" s="0" t="s">
        <v>492</v>
      </c>
      <c r="H292" s="0" t="s">
        <v>21</v>
      </c>
      <c r="I292" s="2" t="s">
        <v>22</v>
      </c>
      <c r="J292" s="2" t="s">
        <v>635</v>
      </c>
      <c r="K292" s="0" t="s">
        <v>636</v>
      </c>
      <c r="L292" s="0" t="s">
        <v>31</v>
      </c>
      <c r="M292" s="0" t="s">
        <v>637</v>
      </c>
      <c r="N292" s="0" t="s">
        <v>1146</v>
      </c>
      <c r="O292" s="0" t="n">
        <v>1</v>
      </c>
      <c r="P292" s="0" t="s">
        <v>1147</v>
      </c>
      <c r="Q292" s="3"/>
      <c r="S292" s="2" t="s">
        <v>29</v>
      </c>
    </row>
    <row r="293" customFormat="false" ht="15" hidden="false" customHeight="false" outlineLevel="0" collapsed="false">
      <c r="A293" s="0" t="n">
        <v>292</v>
      </c>
      <c r="D293" s="0" t="s">
        <v>1148</v>
      </c>
      <c r="E293" s="0" t="s">
        <v>20</v>
      </c>
      <c r="H293" s="0" t="s">
        <v>21</v>
      </c>
      <c r="I293" s="2" t="s">
        <v>22</v>
      </c>
      <c r="J293" s="2" t="s">
        <v>635</v>
      </c>
      <c r="K293" s="0" t="s">
        <v>636</v>
      </c>
      <c r="L293" s="0" t="s">
        <v>31</v>
      </c>
      <c r="M293" s="0" t="s">
        <v>637</v>
      </c>
      <c r="N293" s="0" t="s">
        <v>1149</v>
      </c>
      <c r="O293" s="0" t="n">
        <v>1</v>
      </c>
      <c r="P293" s="0" t="s">
        <v>1150</v>
      </c>
      <c r="Q293" s="3"/>
      <c r="S293" s="2" t="s">
        <v>29</v>
      </c>
    </row>
    <row r="294" customFormat="false" ht="15" hidden="false" customHeight="false" outlineLevel="0" collapsed="false">
      <c r="A294" s="0" t="n">
        <v>293</v>
      </c>
      <c r="D294" s="0" t="s">
        <v>1151</v>
      </c>
      <c r="E294" s="0" t="s">
        <v>99</v>
      </c>
      <c r="H294" s="0" t="s">
        <v>21</v>
      </c>
      <c r="I294" s="2" t="s">
        <v>22</v>
      </c>
      <c r="J294" s="2" t="s">
        <v>635</v>
      </c>
      <c r="K294" s="0" t="s">
        <v>636</v>
      </c>
      <c r="L294" s="0" t="s">
        <v>100</v>
      </c>
      <c r="M294" s="0" t="s">
        <v>637</v>
      </c>
      <c r="N294" s="0" t="s">
        <v>1152</v>
      </c>
      <c r="O294" s="0" t="n">
        <v>1</v>
      </c>
      <c r="P294" s="0" t="s">
        <v>1153</v>
      </c>
      <c r="Q294" s="3"/>
      <c r="S294" s="2" t="s">
        <v>29</v>
      </c>
    </row>
    <row r="295" customFormat="false" ht="15" hidden="false" customHeight="false" outlineLevel="0" collapsed="false">
      <c r="A295" s="0" t="n">
        <v>294</v>
      </c>
      <c r="D295" s="0" t="s">
        <v>1154</v>
      </c>
      <c r="E295" s="0" t="s">
        <v>63</v>
      </c>
      <c r="H295" s="0" t="s">
        <v>21</v>
      </c>
      <c r="I295" s="2" t="s">
        <v>22</v>
      </c>
      <c r="J295" s="2" t="s">
        <v>635</v>
      </c>
      <c r="K295" s="0" t="s">
        <v>636</v>
      </c>
      <c r="L295" s="0" t="s">
        <v>100</v>
      </c>
      <c r="M295" s="0" t="s">
        <v>637</v>
      </c>
      <c r="N295" s="0" t="s">
        <v>1155</v>
      </c>
      <c r="O295" s="0" t="n">
        <v>1</v>
      </c>
      <c r="P295" s="0" t="s">
        <v>1156</v>
      </c>
      <c r="Q295" s="3"/>
      <c r="S295" s="2" t="s">
        <v>29</v>
      </c>
    </row>
    <row r="296" customFormat="false" ht="15" hidden="false" customHeight="false" outlineLevel="0" collapsed="false">
      <c r="A296" s="0" t="n">
        <v>295</v>
      </c>
      <c r="D296" s="0" t="s">
        <v>1157</v>
      </c>
      <c r="E296" s="0" t="s">
        <v>20</v>
      </c>
      <c r="H296" s="0" t="s">
        <v>21</v>
      </c>
      <c r="I296" s="2" t="s">
        <v>22</v>
      </c>
      <c r="J296" s="2" t="s">
        <v>635</v>
      </c>
      <c r="K296" s="0" t="s">
        <v>636</v>
      </c>
      <c r="L296" s="0" t="s">
        <v>31</v>
      </c>
      <c r="M296" s="0" t="s">
        <v>637</v>
      </c>
      <c r="N296" s="0" t="s">
        <v>1158</v>
      </c>
      <c r="O296" s="0" t="n">
        <v>1</v>
      </c>
      <c r="P296" s="0" t="s">
        <v>1159</v>
      </c>
      <c r="Q296" s="3"/>
      <c r="S296" s="2" t="s">
        <v>29</v>
      </c>
    </row>
    <row r="297" customFormat="false" ht="15" hidden="false" customHeight="false" outlineLevel="0" collapsed="false">
      <c r="A297" s="0" t="n">
        <v>296</v>
      </c>
      <c r="D297" s="0" t="s">
        <v>1160</v>
      </c>
      <c r="E297" s="0" t="s">
        <v>20</v>
      </c>
      <c r="H297" s="0" t="s">
        <v>21</v>
      </c>
      <c r="I297" s="2" t="s">
        <v>22</v>
      </c>
      <c r="J297" s="2" t="s">
        <v>635</v>
      </c>
      <c r="K297" s="0" t="s">
        <v>636</v>
      </c>
      <c r="L297" s="0" t="s">
        <v>31</v>
      </c>
      <c r="M297" s="0" t="s">
        <v>637</v>
      </c>
      <c r="N297" s="0" t="s">
        <v>1161</v>
      </c>
      <c r="O297" s="0" t="n">
        <v>1</v>
      </c>
      <c r="P297" s="0" t="s">
        <v>665</v>
      </c>
      <c r="Q297" s="3"/>
      <c r="S297" s="2" t="s">
        <v>29</v>
      </c>
    </row>
    <row r="298" customFormat="false" ht="15" hidden="false" customHeight="false" outlineLevel="0" collapsed="false">
      <c r="A298" s="0" t="n">
        <v>297</v>
      </c>
      <c r="D298" s="0" t="s">
        <v>1162</v>
      </c>
      <c r="E298" s="0" t="s">
        <v>20</v>
      </c>
      <c r="H298" s="0" t="s">
        <v>21</v>
      </c>
      <c r="I298" s="2" t="s">
        <v>22</v>
      </c>
      <c r="J298" s="2" t="s">
        <v>635</v>
      </c>
      <c r="K298" s="0" t="s">
        <v>636</v>
      </c>
      <c r="L298" s="0" t="s">
        <v>31</v>
      </c>
      <c r="M298" s="0" t="s">
        <v>637</v>
      </c>
      <c r="N298" s="0" t="s">
        <v>1163</v>
      </c>
      <c r="O298" s="0" t="n">
        <v>1</v>
      </c>
      <c r="P298" s="0" t="s">
        <v>1164</v>
      </c>
      <c r="Q298" s="3"/>
      <c r="S298" s="2" t="s">
        <v>29</v>
      </c>
    </row>
    <row r="299" customFormat="false" ht="15" hidden="false" customHeight="false" outlineLevel="0" collapsed="false">
      <c r="A299" s="0" t="n">
        <v>298</v>
      </c>
      <c r="D299" s="0" t="s">
        <v>1165</v>
      </c>
      <c r="E299" s="0" t="s">
        <v>20</v>
      </c>
      <c r="H299" s="0" t="s">
        <v>21</v>
      </c>
      <c r="I299" s="2" t="s">
        <v>22</v>
      </c>
      <c r="J299" s="2" t="s">
        <v>635</v>
      </c>
      <c r="K299" s="0" t="s">
        <v>636</v>
      </c>
      <c r="L299" s="0" t="s">
        <v>31</v>
      </c>
      <c r="M299" s="0" t="s">
        <v>637</v>
      </c>
      <c r="N299" s="0" t="s">
        <v>1166</v>
      </c>
      <c r="O299" s="0" t="n">
        <v>1</v>
      </c>
      <c r="P299" s="0" t="s">
        <v>1167</v>
      </c>
      <c r="Q299" s="3"/>
      <c r="S299" s="2" t="s">
        <v>29</v>
      </c>
    </row>
    <row r="300" customFormat="false" ht="15" hidden="false" customHeight="false" outlineLevel="0" collapsed="false">
      <c r="A300" s="0" t="n">
        <v>299</v>
      </c>
      <c r="D300" s="0" t="s">
        <v>1168</v>
      </c>
      <c r="E300" s="0" t="s">
        <v>20</v>
      </c>
      <c r="H300" s="0" t="s">
        <v>21</v>
      </c>
      <c r="I300" s="2" t="s">
        <v>22</v>
      </c>
      <c r="J300" s="2" t="s">
        <v>635</v>
      </c>
      <c r="K300" s="0" t="s">
        <v>636</v>
      </c>
      <c r="L300" s="0" t="s">
        <v>31</v>
      </c>
      <c r="M300" s="0" t="s">
        <v>637</v>
      </c>
      <c r="N300" s="0" t="s">
        <v>1169</v>
      </c>
      <c r="O300" s="0" t="n">
        <v>1</v>
      </c>
      <c r="P300" s="0" t="s">
        <v>1170</v>
      </c>
      <c r="Q300" s="3"/>
      <c r="S300" s="2" t="s">
        <v>29</v>
      </c>
    </row>
    <row r="301" customFormat="false" ht="15" hidden="false" customHeight="false" outlineLevel="0" collapsed="false">
      <c r="A301" s="0" t="n">
        <v>300</v>
      </c>
      <c r="D301" s="0" t="s">
        <v>1171</v>
      </c>
      <c r="E301" s="0" t="s">
        <v>20</v>
      </c>
      <c r="H301" s="0" t="s">
        <v>21</v>
      </c>
      <c r="I301" s="2" t="s">
        <v>22</v>
      </c>
      <c r="J301" s="2" t="s">
        <v>635</v>
      </c>
      <c r="K301" s="0" t="s">
        <v>636</v>
      </c>
      <c r="L301" s="0" t="s">
        <v>31</v>
      </c>
      <c r="M301" s="0" t="s">
        <v>637</v>
      </c>
      <c r="N301" s="0" t="s">
        <v>1172</v>
      </c>
      <c r="O301" s="0" t="n">
        <v>1</v>
      </c>
      <c r="P301" s="0" t="s">
        <v>1173</v>
      </c>
      <c r="Q301" s="3"/>
      <c r="S301" s="2" t="s">
        <v>29</v>
      </c>
    </row>
    <row r="302" customFormat="false" ht="15" hidden="false" customHeight="false" outlineLevel="0" collapsed="false">
      <c r="A302" s="0" t="n">
        <v>301</v>
      </c>
      <c r="D302" s="0" t="s">
        <v>1174</v>
      </c>
      <c r="E302" s="0" t="s">
        <v>20</v>
      </c>
      <c r="H302" s="0" t="s">
        <v>21</v>
      </c>
      <c r="I302" s="2" t="s">
        <v>22</v>
      </c>
      <c r="J302" s="2" t="s">
        <v>635</v>
      </c>
      <c r="K302" s="0" t="s">
        <v>636</v>
      </c>
      <c r="L302" s="0" t="s">
        <v>31</v>
      </c>
      <c r="M302" s="0" t="s">
        <v>637</v>
      </c>
      <c r="N302" s="0" t="s">
        <v>1175</v>
      </c>
      <c r="O302" s="0" t="n">
        <v>1</v>
      </c>
      <c r="P302" s="0" t="s">
        <v>1176</v>
      </c>
      <c r="Q302" s="3"/>
      <c r="S302" s="2" t="s">
        <v>29</v>
      </c>
    </row>
    <row r="303" customFormat="false" ht="15" hidden="false" customHeight="false" outlineLevel="0" collapsed="false">
      <c r="A303" s="0" t="n">
        <v>302</v>
      </c>
      <c r="D303" s="0" t="s">
        <v>1177</v>
      </c>
      <c r="E303" s="0" t="s">
        <v>492</v>
      </c>
      <c r="H303" s="0" t="s">
        <v>21</v>
      </c>
      <c r="I303" s="2" t="s">
        <v>22</v>
      </c>
      <c r="J303" s="2" t="s">
        <v>635</v>
      </c>
      <c r="K303" s="0" t="s">
        <v>636</v>
      </c>
      <c r="L303" s="0" t="s">
        <v>31</v>
      </c>
      <c r="M303" s="0" t="s">
        <v>637</v>
      </c>
      <c r="N303" s="0" t="s">
        <v>1178</v>
      </c>
      <c r="O303" s="0" t="n">
        <v>1</v>
      </c>
      <c r="P303" s="0" t="s">
        <v>1179</v>
      </c>
      <c r="Q303" s="3"/>
      <c r="S303" s="2" t="s">
        <v>29</v>
      </c>
    </row>
    <row r="304" customFormat="false" ht="15" hidden="false" customHeight="false" outlineLevel="0" collapsed="false">
      <c r="A304" s="0" t="n">
        <v>303</v>
      </c>
      <c r="D304" s="0" t="s">
        <v>1180</v>
      </c>
      <c r="E304" s="0" t="s">
        <v>492</v>
      </c>
      <c r="H304" s="0" t="s">
        <v>21</v>
      </c>
      <c r="I304" s="2" t="s">
        <v>22</v>
      </c>
      <c r="J304" s="2" t="s">
        <v>635</v>
      </c>
      <c r="K304" s="0" t="s">
        <v>636</v>
      </c>
      <c r="L304" s="0" t="s">
        <v>31</v>
      </c>
      <c r="M304" s="0" t="s">
        <v>637</v>
      </c>
      <c r="N304" s="0" t="s">
        <v>1181</v>
      </c>
      <c r="O304" s="0" t="n">
        <v>1</v>
      </c>
      <c r="P304" s="0" t="s">
        <v>1182</v>
      </c>
      <c r="Q304" s="3"/>
      <c r="S304" s="2" t="s">
        <v>29</v>
      </c>
    </row>
    <row r="305" customFormat="false" ht="15" hidden="false" customHeight="false" outlineLevel="0" collapsed="false">
      <c r="A305" s="0" t="n">
        <v>304</v>
      </c>
      <c r="D305" s="0" t="s">
        <v>1183</v>
      </c>
      <c r="E305" s="0" t="s">
        <v>492</v>
      </c>
      <c r="H305" s="0" t="s">
        <v>21</v>
      </c>
      <c r="I305" s="2" t="s">
        <v>22</v>
      </c>
      <c r="J305" s="2" t="s">
        <v>635</v>
      </c>
      <c r="K305" s="0" t="s">
        <v>636</v>
      </c>
      <c r="L305" s="0" t="s">
        <v>31</v>
      </c>
      <c r="M305" s="0" t="s">
        <v>637</v>
      </c>
      <c r="N305" s="0" t="s">
        <v>1184</v>
      </c>
      <c r="O305" s="0" t="n">
        <v>1</v>
      </c>
      <c r="P305" s="0" t="s">
        <v>1185</v>
      </c>
      <c r="Q305" s="3"/>
      <c r="S305" s="2" t="s">
        <v>29</v>
      </c>
    </row>
    <row r="306" customFormat="false" ht="15" hidden="false" customHeight="false" outlineLevel="0" collapsed="false">
      <c r="A306" s="0" t="n">
        <v>305</v>
      </c>
      <c r="D306" s="0" t="s">
        <v>1186</v>
      </c>
      <c r="E306" s="0" t="s">
        <v>492</v>
      </c>
      <c r="H306" s="0" t="s">
        <v>21</v>
      </c>
      <c r="I306" s="2" t="s">
        <v>22</v>
      </c>
      <c r="J306" s="2" t="s">
        <v>635</v>
      </c>
      <c r="K306" s="0" t="s">
        <v>636</v>
      </c>
      <c r="L306" s="0" t="s">
        <v>31</v>
      </c>
      <c r="M306" s="0" t="s">
        <v>637</v>
      </c>
      <c r="N306" s="0" t="s">
        <v>1187</v>
      </c>
      <c r="O306" s="0" t="n">
        <v>1</v>
      </c>
      <c r="P306" s="0" t="s">
        <v>1188</v>
      </c>
      <c r="Q306" s="3"/>
      <c r="S306" s="2" t="s">
        <v>29</v>
      </c>
    </row>
    <row r="307" customFormat="false" ht="15" hidden="false" customHeight="false" outlineLevel="0" collapsed="false">
      <c r="A307" s="0" t="n">
        <v>306</v>
      </c>
      <c r="D307" s="0" t="s">
        <v>1189</v>
      </c>
      <c r="E307" s="0" t="s">
        <v>20</v>
      </c>
      <c r="H307" s="0" t="s">
        <v>21</v>
      </c>
      <c r="I307" s="2" t="s">
        <v>22</v>
      </c>
      <c r="J307" s="2" t="s">
        <v>635</v>
      </c>
      <c r="K307" s="0" t="s">
        <v>636</v>
      </c>
      <c r="L307" s="0" t="s">
        <v>31</v>
      </c>
      <c r="M307" s="0" t="s">
        <v>637</v>
      </c>
      <c r="N307" s="0" t="s">
        <v>1190</v>
      </c>
      <c r="O307" s="0" t="n">
        <v>1</v>
      </c>
      <c r="P307" s="0" t="s">
        <v>1191</v>
      </c>
      <c r="Q307" s="3"/>
      <c r="S307" s="2" t="s">
        <v>29</v>
      </c>
    </row>
    <row r="308" customFormat="false" ht="15" hidden="false" customHeight="false" outlineLevel="0" collapsed="false">
      <c r="A308" s="0" t="n">
        <v>307</v>
      </c>
      <c r="D308" s="0" t="s">
        <v>1192</v>
      </c>
      <c r="E308" s="0" t="s">
        <v>492</v>
      </c>
      <c r="H308" s="0" t="s">
        <v>21</v>
      </c>
      <c r="I308" s="2" t="s">
        <v>22</v>
      </c>
      <c r="J308" s="2" t="s">
        <v>635</v>
      </c>
      <c r="K308" s="0" t="s">
        <v>636</v>
      </c>
      <c r="L308" s="0" t="s">
        <v>31</v>
      </c>
      <c r="M308" s="0" t="s">
        <v>637</v>
      </c>
      <c r="N308" s="0" t="s">
        <v>1193</v>
      </c>
      <c r="O308" s="0" t="n">
        <v>1</v>
      </c>
      <c r="P308" s="0" t="s">
        <v>1194</v>
      </c>
      <c r="Q308" s="3"/>
      <c r="S308" s="2" t="s">
        <v>29</v>
      </c>
    </row>
    <row r="309" customFormat="false" ht="15" hidden="false" customHeight="false" outlineLevel="0" collapsed="false">
      <c r="A309" s="0" t="n">
        <v>308</v>
      </c>
      <c r="D309" s="0" t="s">
        <v>1195</v>
      </c>
      <c r="E309" s="0" t="s">
        <v>492</v>
      </c>
      <c r="H309" s="0" t="s">
        <v>21</v>
      </c>
      <c r="I309" s="2" t="s">
        <v>22</v>
      </c>
      <c r="J309" s="2" t="s">
        <v>635</v>
      </c>
      <c r="K309" s="0" t="s">
        <v>636</v>
      </c>
      <c r="L309" s="0" t="s">
        <v>31</v>
      </c>
      <c r="M309" s="0" t="s">
        <v>637</v>
      </c>
      <c r="N309" s="0" t="s">
        <v>1196</v>
      </c>
      <c r="O309" s="0" t="n">
        <v>1</v>
      </c>
      <c r="P309" s="0" t="s">
        <v>1197</v>
      </c>
      <c r="Q309" s="3"/>
      <c r="S309" s="2" t="s">
        <v>29</v>
      </c>
    </row>
    <row r="310" customFormat="false" ht="15" hidden="false" customHeight="false" outlineLevel="0" collapsed="false">
      <c r="A310" s="0" t="n">
        <v>309</v>
      </c>
      <c r="D310" s="0" t="s">
        <v>1198</v>
      </c>
      <c r="E310" s="0" t="s">
        <v>20</v>
      </c>
      <c r="H310" s="0" t="s">
        <v>21</v>
      </c>
      <c r="I310" s="2" t="s">
        <v>22</v>
      </c>
      <c r="J310" s="2" t="s">
        <v>635</v>
      </c>
      <c r="K310" s="0" t="s">
        <v>636</v>
      </c>
      <c r="L310" s="0" t="s">
        <v>31</v>
      </c>
      <c r="M310" s="0" t="s">
        <v>637</v>
      </c>
      <c r="N310" s="0" t="s">
        <v>1199</v>
      </c>
      <c r="O310" s="0" t="n">
        <v>1</v>
      </c>
      <c r="P310" s="0" t="s">
        <v>1200</v>
      </c>
      <c r="Q310" s="3"/>
      <c r="S310" s="2" t="s">
        <v>29</v>
      </c>
    </row>
    <row r="311" customFormat="false" ht="15" hidden="false" customHeight="false" outlineLevel="0" collapsed="false">
      <c r="A311" s="0" t="n">
        <v>310</v>
      </c>
      <c r="D311" s="0" t="s">
        <v>1201</v>
      </c>
      <c r="E311" s="0" t="s">
        <v>20</v>
      </c>
      <c r="H311" s="0" t="s">
        <v>21</v>
      </c>
      <c r="I311" s="2" t="s">
        <v>22</v>
      </c>
      <c r="J311" s="2" t="s">
        <v>635</v>
      </c>
      <c r="K311" s="0" t="s">
        <v>636</v>
      </c>
      <c r="L311" s="0" t="s">
        <v>31</v>
      </c>
      <c r="M311" s="0" t="s">
        <v>637</v>
      </c>
      <c r="N311" s="0" t="s">
        <v>1202</v>
      </c>
      <c r="O311" s="0" t="n">
        <v>1</v>
      </c>
      <c r="P311" s="0" t="s">
        <v>1203</v>
      </c>
      <c r="Q311" s="3"/>
      <c r="S311" s="2" t="s">
        <v>29</v>
      </c>
    </row>
    <row r="312" customFormat="false" ht="15" hidden="false" customHeight="false" outlineLevel="0" collapsed="false">
      <c r="A312" s="0" t="n">
        <v>311</v>
      </c>
      <c r="D312" s="0" t="s">
        <v>1204</v>
      </c>
      <c r="E312" s="0" t="s">
        <v>20</v>
      </c>
      <c r="H312" s="0" t="s">
        <v>21</v>
      </c>
      <c r="I312" s="2" t="s">
        <v>22</v>
      </c>
      <c r="J312" s="2" t="s">
        <v>635</v>
      </c>
      <c r="K312" s="0" t="s">
        <v>636</v>
      </c>
      <c r="L312" s="0" t="s">
        <v>31</v>
      </c>
      <c r="M312" s="0" t="s">
        <v>637</v>
      </c>
      <c r="N312" s="0" t="s">
        <v>1205</v>
      </c>
      <c r="O312" s="0" t="n">
        <v>1</v>
      </c>
      <c r="P312" s="0" t="s">
        <v>1206</v>
      </c>
      <c r="Q312" s="3"/>
      <c r="S312" s="2" t="s">
        <v>29</v>
      </c>
    </row>
    <row r="313" customFormat="false" ht="15" hidden="false" customHeight="false" outlineLevel="0" collapsed="false">
      <c r="A313" s="0" t="n">
        <v>312</v>
      </c>
      <c r="D313" s="0" t="s">
        <v>1207</v>
      </c>
      <c r="E313" s="0" t="s">
        <v>20</v>
      </c>
      <c r="H313" s="0" t="s">
        <v>21</v>
      </c>
      <c r="I313" s="2" t="s">
        <v>22</v>
      </c>
      <c r="J313" s="2" t="s">
        <v>635</v>
      </c>
      <c r="K313" s="0" t="s">
        <v>636</v>
      </c>
      <c r="L313" s="0" t="s">
        <v>31</v>
      </c>
      <c r="M313" s="0" t="s">
        <v>637</v>
      </c>
      <c r="N313" s="0" t="s">
        <v>1208</v>
      </c>
      <c r="O313" s="0" t="n">
        <v>1</v>
      </c>
      <c r="P313" s="0" t="s">
        <v>1209</v>
      </c>
      <c r="Q313" s="3"/>
      <c r="S313" s="2" t="s">
        <v>29</v>
      </c>
    </row>
    <row r="314" customFormat="false" ht="15" hidden="false" customHeight="false" outlineLevel="0" collapsed="false">
      <c r="A314" s="0" t="n">
        <v>313</v>
      </c>
      <c r="D314" s="0" t="s">
        <v>1210</v>
      </c>
      <c r="E314" s="0" t="s">
        <v>226</v>
      </c>
      <c r="H314" s="0" t="s">
        <v>21</v>
      </c>
      <c r="I314" s="2" t="s">
        <v>22</v>
      </c>
      <c r="J314" s="2" t="s">
        <v>635</v>
      </c>
      <c r="K314" s="0" t="s">
        <v>636</v>
      </c>
      <c r="L314" s="0" t="s">
        <v>100</v>
      </c>
      <c r="M314" s="0" t="s">
        <v>637</v>
      </c>
      <c r="N314" s="0" t="s">
        <v>1211</v>
      </c>
      <c r="O314" s="0" t="n">
        <v>1</v>
      </c>
      <c r="P314" s="0" t="s">
        <v>1212</v>
      </c>
      <c r="Q314" s="3"/>
      <c r="S314" s="2" t="s">
        <v>29</v>
      </c>
    </row>
    <row r="315" customFormat="false" ht="15" hidden="false" customHeight="false" outlineLevel="0" collapsed="false">
      <c r="A315" s="0" t="n">
        <v>314</v>
      </c>
      <c r="D315" s="0" t="s">
        <v>1213</v>
      </c>
      <c r="E315" s="0" t="s">
        <v>99</v>
      </c>
      <c r="H315" s="0" t="s">
        <v>21</v>
      </c>
      <c r="I315" s="2" t="s">
        <v>22</v>
      </c>
      <c r="J315" s="2" t="s">
        <v>635</v>
      </c>
      <c r="K315" s="0" t="s">
        <v>636</v>
      </c>
      <c r="L315" s="0" t="s">
        <v>100</v>
      </c>
      <c r="M315" s="0" t="s">
        <v>637</v>
      </c>
      <c r="N315" s="0" t="s">
        <v>1214</v>
      </c>
      <c r="O315" s="0" t="n">
        <v>1</v>
      </c>
      <c r="P315" s="0" t="s">
        <v>1215</v>
      </c>
      <c r="Q315" s="3"/>
      <c r="S315" s="2" t="s">
        <v>29</v>
      </c>
    </row>
    <row r="316" customFormat="false" ht="15" hidden="false" customHeight="false" outlineLevel="0" collapsed="false">
      <c r="A316" s="0" t="n">
        <v>315</v>
      </c>
      <c r="D316" s="0" t="s">
        <v>1216</v>
      </c>
      <c r="E316" s="0" t="s">
        <v>492</v>
      </c>
      <c r="H316" s="0" t="s">
        <v>21</v>
      </c>
      <c r="I316" s="2" t="s">
        <v>22</v>
      </c>
      <c r="J316" s="2" t="s">
        <v>635</v>
      </c>
      <c r="K316" s="0" t="s">
        <v>636</v>
      </c>
      <c r="L316" s="0" t="s">
        <v>31</v>
      </c>
      <c r="M316" s="0" t="s">
        <v>637</v>
      </c>
      <c r="N316" s="0" t="s">
        <v>1217</v>
      </c>
      <c r="O316" s="0" t="n">
        <v>1</v>
      </c>
      <c r="P316" s="0" t="s">
        <v>1218</v>
      </c>
      <c r="Q316" s="3"/>
      <c r="S316" s="2" t="s">
        <v>29</v>
      </c>
    </row>
    <row r="317" customFormat="false" ht="15" hidden="false" customHeight="false" outlineLevel="0" collapsed="false">
      <c r="A317" s="0" t="n">
        <v>316</v>
      </c>
      <c r="D317" s="0" t="s">
        <v>1219</v>
      </c>
      <c r="E317" s="0" t="s">
        <v>20</v>
      </c>
      <c r="H317" s="0" t="s">
        <v>21</v>
      </c>
      <c r="I317" s="2" t="s">
        <v>22</v>
      </c>
      <c r="J317" s="2" t="s">
        <v>635</v>
      </c>
      <c r="K317" s="0" t="s">
        <v>636</v>
      </c>
      <c r="L317" s="0" t="s">
        <v>31</v>
      </c>
      <c r="M317" s="0" t="s">
        <v>637</v>
      </c>
      <c r="N317" s="0" t="s">
        <v>1220</v>
      </c>
      <c r="O317" s="0" t="n">
        <v>1</v>
      </c>
      <c r="P317" s="0" t="s">
        <v>1221</v>
      </c>
      <c r="Q317" s="3"/>
      <c r="S317" s="2" t="s">
        <v>29</v>
      </c>
    </row>
    <row r="318" customFormat="false" ht="15" hidden="false" customHeight="false" outlineLevel="0" collapsed="false">
      <c r="A318" s="0" t="n">
        <v>317</v>
      </c>
      <c r="D318" s="0" t="s">
        <v>1222</v>
      </c>
      <c r="E318" s="0" t="s">
        <v>20</v>
      </c>
      <c r="H318" s="0" t="s">
        <v>21</v>
      </c>
      <c r="I318" s="2" t="s">
        <v>22</v>
      </c>
      <c r="J318" s="2" t="s">
        <v>635</v>
      </c>
      <c r="K318" s="0" t="s">
        <v>636</v>
      </c>
      <c r="L318" s="0" t="s">
        <v>31</v>
      </c>
      <c r="M318" s="0" t="s">
        <v>637</v>
      </c>
      <c r="N318" s="0" t="s">
        <v>1223</v>
      </c>
      <c r="O318" s="0" t="n">
        <v>1</v>
      </c>
      <c r="P318" s="0" t="s">
        <v>1224</v>
      </c>
      <c r="Q318" s="3"/>
      <c r="S318" s="2" t="s">
        <v>29</v>
      </c>
    </row>
    <row r="319" customFormat="false" ht="15" hidden="false" customHeight="false" outlineLevel="0" collapsed="false">
      <c r="A319" s="0" t="n">
        <v>318</v>
      </c>
      <c r="D319" s="0" t="s">
        <v>1225</v>
      </c>
      <c r="E319" s="0" t="s">
        <v>63</v>
      </c>
      <c r="H319" s="0" t="s">
        <v>21</v>
      </c>
      <c r="I319" s="2" t="s">
        <v>22</v>
      </c>
      <c r="J319" s="2" t="s">
        <v>635</v>
      </c>
      <c r="K319" s="0" t="s">
        <v>636</v>
      </c>
      <c r="L319" s="0" t="s">
        <v>100</v>
      </c>
      <c r="M319" s="0" t="s">
        <v>637</v>
      </c>
      <c r="N319" s="0" t="s">
        <v>1226</v>
      </c>
      <c r="O319" s="0" t="n">
        <v>1</v>
      </c>
      <c r="P319" s="0" t="s">
        <v>1227</v>
      </c>
      <c r="Q319" s="3"/>
      <c r="S319" s="2" t="s">
        <v>29</v>
      </c>
    </row>
    <row r="320" customFormat="false" ht="15" hidden="false" customHeight="false" outlineLevel="0" collapsed="false">
      <c r="A320" s="0" t="n">
        <v>319</v>
      </c>
      <c r="D320" s="0" t="s">
        <v>1228</v>
      </c>
      <c r="E320" s="0" t="s">
        <v>20</v>
      </c>
      <c r="H320" s="0" t="s">
        <v>21</v>
      </c>
      <c r="I320" s="2" t="s">
        <v>22</v>
      </c>
      <c r="J320" s="2" t="s">
        <v>635</v>
      </c>
      <c r="K320" s="0" t="s">
        <v>636</v>
      </c>
      <c r="L320" s="0" t="s">
        <v>31</v>
      </c>
      <c r="M320" s="0" t="s">
        <v>637</v>
      </c>
      <c r="N320" s="0" t="s">
        <v>1229</v>
      </c>
      <c r="O320" s="0" t="n">
        <v>1</v>
      </c>
      <c r="P320" s="0" t="s">
        <v>1230</v>
      </c>
      <c r="Q320" s="3"/>
      <c r="S320" s="2" t="s">
        <v>29</v>
      </c>
    </row>
    <row r="321" customFormat="false" ht="15" hidden="false" customHeight="false" outlineLevel="0" collapsed="false">
      <c r="A321" s="0" t="n">
        <v>320</v>
      </c>
      <c r="D321" s="0" t="s">
        <v>1231</v>
      </c>
      <c r="E321" s="0" t="s">
        <v>492</v>
      </c>
      <c r="H321" s="0" t="s">
        <v>21</v>
      </c>
      <c r="I321" s="2" t="s">
        <v>22</v>
      </c>
      <c r="J321" s="2" t="s">
        <v>635</v>
      </c>
      <c r="K321" s="0" t="s">
        <v>636</v>
      </c>
      <c r="L321" s="0" t="s">
        <v>31</v>
      </c>
      <c r="M321" s="0" t="s">
        <v>637</v>
      </c>
      <c r="N321" s="0" t="s">
        <v>1232</v>
      </c>
      <c r="O321" s="0" t="n">
        <v>1</v>
      </c>
      <c r="P321" s="0" t="s">
        <v>1233</v>
      </c>
      <c r="Q321" s="3"/>
      <c r="S321" s="2" t="s">
        <v>29</v>
      </c>
    </row>
    <row r="322" customFormat="false" ht="15" hidden="false" customHeight="false" outlineLevel="0" collapsed="false">
      <c r="A322" s="0" t="n">
        <v>321</v>
      </c>
      <c r="D322" s="0" t="s">
        <v>1234</v>
      </c>
      <c r="E322" s="0" t="s">
        <v>492</v>
      </c>
      <c r="H322" s="0" t="s">
        <v>21</v>
      </c>
      <c r="I322" s="2" t="s">
        <v>22</v>
      </c>
      <c r="J322" s="2" t="s">
        <v>635</v>
      </c>
      <c r="K322" s="0" t="s">
        <v>636</v>
      </c>
      <c r="L322" s="0" t="s">
        <v>31</v>
      </c>
      <c r="M322" s="0" t="s">
        <v>637</v>
      </c>
      <c r="N322" s="0" t="s">
        <v>1235</v>
      </c>
      <c r="O322" s="0" t="n">
        <v>1</v>
      </c>
      <c r="P322" s="0" t="s">
        <v>1236</v>
      </c>
      <c r="Q322" s="3"/>
      <c r="S322" s="2" t="s">
        <v>29</v>
      </c>
    </row>
    <row r="323" customFormat="false" ht="15" hidden="false" customHeight="false" outlineLevel="0" collapsed="false">
      <c r="A323" s="0" t="n">
        <v>322</v>
      </c>
      <c r="D323" s="0" t="s">
        <v>1237</v>
      </c>
      <c r="E323" s="0" t="s">
        <v>20</v>
      </c>
      <c r="H323" s="0" t="s">
        <v>21</v>
      </c>
      <c r="I323" s="2" t="s">
        <v>22</v>
      </c>
      <c r="J323" s="2" t="s">
        <v>635</v>
      </c>
      <c r="K323" s="0" t="s">
        <v>636</v>
      </c>
      <c r="L323" s="0" t="s">
        <v>31</v>
      </c>
      <c r="M323" s="0" t="s">
        <v>637</v>
      </c>
      <c r="N323" s="0" t="s">
        <v>1238</v>
      </c>
      <c r="O323" s="0" t="n">
        <v>1</v>
      </c>
      <c r="P323" s="0" t="s">
        <v>1239</v>
      </c>
      <c r="Q323" s="3"/>
      <c r="S323" s="2" t="s">
        <v>29</v>
      </c>
    </row>
    <row r="324" customFormat="false" ht="15" hidden="false" customHeight="false" outlineLevel="0" collapsed="false">
      <c r="A324" s="0" t="n">
        <v>323</v>
      </c>
      <c r="D324" s="0" t="s">
        <v>1240</v>
      </c>
      <c r="E324" s="0" t="s">
        <v>20</v>
      </c>
      <c r="H324" s="0" t="s">
        <v>21</v>
      </c>
      <c r="I324" s="2" t="s">
        <v>22</v>
      </c>
      <c r="J324" s="2" t="s">
        <v>635</v>
      </c>
      <c r="K324" s="0" t="s">
        <v>636</v>
      </c>
      <c r="L324" s="0" t="s">
        <v>31</v>
      </c>
      <c r="M324" s="0" t="s">
        <v>637</v>
      </c>
      <c r="N324" s="0" t="s">
        <v>1241</v>
      </c>
      <c r="O324" s="0" t="n">
        <v>1</v>
      </c>
      <c r="P324" s="0" t="s">
        <v>1242</v>
      </c>
      <c r="Q324" s="3"/>
      <c r="S324" s="2" t="s">
        <v>29</v>
      </c>
    </row>
    <row r="325" customFormat="false" ht="15" hidden="false" customHeight="false" outlineLevel="0" collapsed="false">
      <c r="A325" s="0" t="n">
        <v>324</v>
      </c>
      <c r="D325" s="0" t="s">
        <v>1243</v>
      </c>
      <c r="E325" s="0" t="s">
        <v>63</v>
      </c>
      <c r="H325" s="0" t="s">
        <v>21</v>
      </c>
      <c r="I325" s="2" t="s">
        <v>22</v>
      </c>
      <c r="J325" s="2" t="s">
        <v>635</v>
      </c>
      <c r="K325" s="0" t="s">
        <v>636</v>
      </c>
      <c r="L325" s="0" t="s">
        <v>100</v>
      </c>
      <c r="M325" s="0" t="s">
        <v>637</v>
      </c>
      <c r="N325" s="0" t="s">
        <v>1244</v>
      </c>
      <c r="O325" s="0" t="n">
        <v>1</v>
      </c>
      <c r="P325" s="0" t="s">
        <v>1245</v>
      </c>
      <c r="Q325" s="3"/>
      <c r="S325" s="2" t="s">
        <v>29</v>
      </c>
    </row>
    <row r="326" customFormat="false" ht="15" hidden="false" customHeight="false" outlineLevel="0" collapsed="false">
      <c r="A326" s="0" t="n">
        <v>325</v>
      </c>
      <c r="D326" s="0" t="s">
        <v>1246</v>
      </c>
      <c r="E326" s="0" t="s">
        <v>63</v>
      </c>
      <c r="H326" s="0" t="s">
        <v>21</v>
      </c>
      <c r="I326" s="2" t="s">
        <v>22</v>
      </c>
      <c r="J326" s="2" t="s">
        <v>635</v>
      </c>
      <c r="K326" s="0" t="s">
        <v>636</v>
      </c>
      <c r="L326" s="0" t="s">
        <v>100</v>
      </c>
      <c r="M326" s="0" t="s">
        <v>637</v>
      </c>
      <c r="N326" s="0" t="s">
        <v>1247</v>
      </c>
      <c r="O326" s="0" t="n">
        <v>1</v>
      </c>
      <c r="P326" s="0" t="s">
        <v>1248</v>
      </c>
      <c r="Q326" s="3"/>
      <c r="S326" s="2" t="s">
        <v>29</v>
      </c>
    </row>
    <row r="327" customFormat="false" ht="15" hidden="false" customHeight="false" outlineLevel="0" collapsed="false">
      <c r="A327" s="0" t="n">
        <v>326</v>
      </c>
      <c r="D327" s="0" t="s">
        <v>1249</v>
      </c>
      <c r="E327" s="0" t="s">
        <v>492</v>
      </c>
      <c r="H327" s="0" t="s">
        <v>21</v>
      </c>
      <c r="I327" s="2" t="s">
        <v>22</v>
      </c>
      <c r="J327" s="2" t="s">
        <v>635</v>
      </c>
      <c r="K327" s="0" t="s">
        <v>636</v>
      </c>
      <c r="L327" s="0" t="s">
        <v>31</v>
      </c>
      <c r="M327" s="0" t="s">
        <v>637</v>
      </c>
      <c r="N327" s="0" t="s">
        <v>1250</v>
      </c>
      <c r="O327" s="0" t="n">
        <v>1</v>
      </c>
      <c r="P327" s="0" t="s">
        <v>1251</v>
      </c>
      <c r="Q327" s="3"/>
      <c r="S327" s="2" t="s">
        <v>29</v>
      </c>
    </row>
    <row r="328" customFormat="false" ht="15" hidden="false" customHeight="false" outlineLevel="0" collapsed="false">
      <c r="A328" s="0" t="n">
        <v>327</v>
      </c>
      <c r="D328" s="0" t="s">
        <v>1252</v>
      </c>
      <c r="E328" s="0" t="s">
        <v>99</v>
      </c>
      <c r="H328" s="0" t="s">
        <v>21</v>
      </c>
      <c r="I328" s="2" t="s">
        <v>22</v>
      </c>
      <c r="J328" s="2" t="s">
        <v>635</v>
      </c>
      <c r="K328" s="0" t="s">
        <v>636</v>
      </c>
      <c r="L328" s="0" t="s">
        <v>100</v>
      </c>
      <c r="M328" s="0" t="s">
        <v>637</v>
      </c>
      <c r="N328" s="0" t="s">
        <v>1253</v>
      </c>
      <c r="O328" s="0" t="n">
        <v>1</v>
      </c>
      <c r="P328" s="0" t="s">
        <v>1254</v>
      </c>
      <c r="Q328" s="3"/>
      <c r="S328" s="2" t="s">
        <v>29</v>
      </c>
    </row>
    <row r="329" customFormat="false" ht="15" hidden="false" customHeight="false" outlineLevel="0" collapsed="false">
      <c r="A329" s="0" t="n">
        <v>328</v>
      </c>
      <c r="D329" s="0" t="s">
        <v>1255</v>
      </c>
      <c r="E329" s="0" t="s">
        <v>492</v>
      </c>
      <c r="H329" s="0" t="s">
        <v>21</v>
      </c>
      <c r="I329" s="2" t="s">
        <v>22</v>
      </c>
      <c r="J329" s="2" t="s">
        <v>635</v>
      </c>
      <c r="K329" s="0" t="s">
        <v>636</v>
      </c>
      <c r="L329" s="0" t="s">
        <v>31</v>
      </c>
      <c r="M329" s="0" t="s">
        <v>637</v>
      </c>
      <c r="N329" s="0" t="s">
        <v>1256</v>
      </c>
      <c r="O329" s="0" t="n">
        <v>1</v>
      </c>
      <c r="P329" s="0" t="s">
        <v>1257</v>
      </c>
      <c r="Q329" s="3"/>
      <c r="S329" s="2" t="s">
        <v>29</v>
      </c>
    </row>
    <row r="330" customFormat="false" ht="15" hidden="false" customHeight="false" outlineLevel="0" collapsed="false">
      <c r="A330" s="0" t="n">
        <v>329</v>
      </c>
      <c r="D330" s="0" t="s">
        <v>1258</v>
      </c>
      <c r="E330" s="0" t="s">
        <v>492</v>
      </c>
      <c r="H330" s="0" t="s">
        <v>21</v>
      </c>
      <c r="I330" s="2" t="s">
        <v>22</v>
      </c>
      <c r="J330" s="2" t="s">
        <v>635</v>
      </c>
      <c r="K330" s="0" t="s">
        <v>636</v>
      </c>
      <c r="L330" s="0" t="s">
        <v>31</v>
      </c>
      <c r="M330" s="0" t="s">
        <v>637</v>
      </c>
      <c r="N330" s="0" t="s">
        <v>1259</v>
      </c>
      <c r="O330" s="0" t="n">
        <v>1</v>
      </c>
      <c r="P330" s="0" t="s">
        <v>1260</v>
      </c>
      <c r="Q330" s="3"/>
      <c r="S330" s="2" t="s">
        <v>29</v>
      </c>
    </row>
    <row r="331" customFormat="false" ht="15" hidden="false" customHeight="false" outlineLevel="0" collapsed="false">
      <c r="A331" s="0" t="n">
        <v>330</v>
      </c>
      <c r="D331" s="0" t="s">
        <v>1261</v>
      </c>
      <c r="E331" s="0" t="s">
        <v>492</v>
      </c>
      <c r="H331" s="0" t="s">
        <v>21</v>
      </c>
      <c r="I331" s="2" t="s">
        <v>22</v>
      </c>
      <c r="J331" s="2" t="s">
        <v>635</v>
      </c>
      <c r="K331" s="0" t="s">
        <v>636</v>
      </c>
      <c r="L331" s="0" t="s">
        <v>31</v>
      </c>
      <c r="M331" s="0" t="s">
        <v>637</v>
      </c>
      <c r="N331" s="0" t="s">
        <v>1262</v>
      </c>
      <c r="O331" s="0" t="n">
        <v>1</v>
      </c>
      <c r="P331" s="0" t="s">
        <v>1263</v>
      </c>
      <c r="Q331" s="3"/>
      <c r="S331" s="2" t="s">
        <v>29</v>
      </c>
    </row>
    <row r="332" customFormat="false" ht="15" hidden="false" customHeight="false" outlineLevel="0" collapsed="false">
      <c r="A332" s="0" t="n">
        <v>331</v>
      </c>
      <c r="D332" s="0" t="s">
        <v>1264</v>
      </c>
      <c r="E332" s="0" t="s">
        <v>492</v>
      </c>
      <c r="H332" s="0" t="s">
        <v>21</v>
      </c>
      <c r="I332" s="2" t="s">
        <v>22</v>
      </c>
      <c r="J332" s="2" t="s">
        <v>635</v>
      </c>
      <c r="K332" s="0" t="s">
        <v>636</v>
      </c>
      <c r="L332" s="0" t="s">
        <v>31</v>
      </c>
      <c r="M332" s="0" t="s">
        <v>637</v>
      </c>
      <c r="N332" s="0" t="s">
        <v>1265</v>
      </c>
      <c r="O332" s="0" t="n">
        <v>1</v>
      </c>
      <c r="P332" s="0" t="s">
        <v>1266</v>
      </c>
      <c r="Q332" s="3"/>
      <c r="S332" s="2" t="s">
        <v>29</v>
      </c>
    </row>
    <row r="333" customFormat="false" ht="15" hidden="false" customHeight="false" outlineLevel="0" collapsed="false">
      <c r="A333" s="0" t="n">
        <v>332</v>
      </c>
      <c r="D333" s="0" t="s">
        <v>1267</v>
      </c>
      <c r="E333" s="0" t="s">
        <v>492</v>
      </c>
      <c r="H333" s="0" t="s">
        <v>21</v>
      </c>
      <c r="I333" s="2" t="s">
        <v>22</v>
      </c>
      <c r="J333" s="2" t="s">
        <v>635</v>
      </c>
      <c r="K333" s="0" t="s">
        <v>636</v>
      </c>
      <c r="L333" s="0" t="s">
        <v>31</v>
      </c>
      <c r="M333" s="0" t="s">
        <v>637</v>
      </c>
      <c r="N333" s="0" t="s">
        <v>1268</v>
      </c>
      <c r="O333" s="0" t="n">
        <v>1</v>
      </c>
      <c r="P333" s="0" t="s">
        <v>1269</v>
      </c>
      <c r="Q333" s="3"/>
      <c r="S333" s="2" t="s">
        <v>29</v>
      </c>
    </row>
    <row r="334" customFormat="false" ht="15" hidden="false" customHeight="false" outlineLevel="0" collapsed="false">
      <c r="A334" s="0" t="n">
        <v>333</v>
      </c>
      <c r="D334" s="0" t="s">
        <v>1270</v>
      </c>
      <c r="E334" s="0" t="s">
        <v>20</v>
      </c>
      <c r="H334" s="0" t="s">
        <v>21</v>
      </c>
      <c r="I334" s="2" t="s">
        <v>22</v>
      </c>
      <c r="J334" s="2" t="s">
        <v>635</v>
      </c>
      <c r="K334" s="0" t="s">
        <v>636</v>
      </c>
      <c r="L334" s="0" t="s">
        <v>31</v>
      </c>
      <c r="M334" s="0" t="s">
        <v>637</v>
      </c>
      <c r="N334" s="0" t="s">
        <v>1271</v>
      </c>
      <c r="O334" s="0" t="n">
        <v>1</v>
      </c>
      <c r="P334" s="0" t="s">
        <v>1272</v>
      </c>
      <c r="Q334" s="3"/>
      <c r="S334" s="2" t="s">
        <v>29</v>
      </c>
    </row>
    <row r="335" customFormat="false" ht="15" hidden="false" customHeight="false" outlineLevel="0" collapsed="false">
      <c r="A335" s="0" t="n">
        <v>334</v>
      </c>
      <c r="D335" s="0" t="s">
        <v>1273</v>
      </c>
      <c r="E335" s="0" t="s">
        <v>20</v>
      </c>
      <c r="H335" s="0" t="s">
        <v>21</v>
      </c>
      <c r="I335" s="2" t="s">
        <v>22</v>
      </c>
      <c r="J335" s="2" t="s">
        <v>635</v>
      </c>
      <c r="K335" s="0" t="s">
        <v>636</v>
      </c>
      <c r="L335" s="0" t="s">
        <v>31</v>
      </c>
      <c r="M335" s="0" t="s">
        <v>637</v>
      </c>
      <c r="N335" s="0" t="s">
        <v>1274</v>
      </c>
      <c r="O335" s="0" t="n">
        <v>1</v>
      </c>
      <c r="P335" s="0" t="s">
        <v>1275</v>
      </c>
      <c r="Q335" s="3"/>
      <c r="S335" s="2" t="s">
        <v>29</v>
      </c>
    </row>
    <row r="336" customFormat="false" ht="15" hidden="false" customHeight="false" outlineLevel="0" collapsed="false">
      <c r="A336" s="0" t="n">
        <v>335</v>
      </c>
      <c r="D336" s="0" t="s">
        <v>1276</v>
      </c>
      <c r="E336" s="0" t="s">
        <v>20</v>
      </c>
      <c r="H336" s="0" t="s">
        <v>21</v>
      </c>
      <c r="I336" s="2" t="s">
        <v>22</v>
      </c>
      <c r="J336" s="2" t="s">
        <v>635</v>
      </c>
      <c r="K336" s="0" t="s">
        <v>636</v>
      </c>
      <c r="L336" s="0" t="s">
        <v>31</v>
      </c>
      <c r="M336" s="0" t="s">
        <v>637</v>
      </c>
      <c r="N336" s="0" t="s">
        <v>1277</v>
      </c>
      <c r="O336" s="0" t="n">
        <v>1</v>
      </c>
      <c r="P336" s="0" t="s">
        <v>1278</v>
      </c>
      <c r="Q336" s="3"/>
      <c r="S336" s="2" t="s">
        <v>29</v>
      </c>
    </row>
    <row r="337" customFormat="false" ht="15" hidden="false" customHeight="false" outlineLevel="0" collapsed="false">
      <c r="A337" s="0" t="n">
        <v>336</v>
      </c>
      <c r="D337" s="0" t="s">
        <v>1279</v>
      </c>
      <c r="E337" s="0" t="s">
        <v>20</v>
      </c>
      <c r="H337" s="0" t="s">
        <v>21</v>
      </c>
      <c r="I337" s="2" t="s">
        <v>22</v>
      </c>
      <c r="J337" s="2" t="s">
        <v>635</v>
      </c>
      <c r="K337" s="0" t="s">
        <v>636</v>
      </c>
      <c r="L337" s="0" t="s">
        <v>31</v>
      </c>
      <c r="M337" s="0" t="s">
        <v>637</v>
      </c>
      <c r="N337" s="0" t="s">
        <v>1280</v>
      </c>
      <c r="O337" s="0" t="n">
        <v>1</v>
      </c>
      <c r="P337" s="0" t="s">
        <v>1281</v>
      </c>
      <c r="Q337" s="3"/>
      <c r="S337" s="2" t="s">
        <v>29</v>
      </c>
    </row>
    <row r="338" customFormat="false" ht="15" hidden="false" customHeight="false" outlineLevel="0" collapsed="false">
      <c r="A338" s="0" t="n">
        <v>337</v>
      </c>
      <c r="D338" s="0" t="s">
        <v>1282</v>
      </c>
      <c r="E338" s="0" t="s">
        <v>20</v>
      </c>
      <c r="H338" s="0" t="s">
        <v>21</v>
      </c>
      <c r="I338" s="2" t="s">
        <v>22</v>
      </c>
      <c r="J338" s="2" t="s">
        <v>635</v>
      </c>
      <c r="K338" s="0" t="s">
        <v>636</v>
      </c>
      <c r="L338" s="0" t="s">
        <v>31</v>
      </c>
      <c r="M338" s="0" t="s">
        <v>637</v>
      </c>
      <c r="N338" s="0" t="s">
        <v>1283</v>
      </c>
      <c r="O338" s="0" t="n">
        <v>1</v>
      </c>
      <c r="P338" s="0" t="s">
        <v>1284</v>
      </c>
      <c r="Q338" s="3"/>
      <c r="S338" s="2" t="s">
        <v>29</v>
      </c>
    </row>
    <row r="339" customFormat="false" ht="15" hidden="false" customHeight="false" outlineLevel="0" collapsed="false">
      <c r="A339" s="0" t="n">
        <v>338</v>
      </c>
      <c r="D339" s="0" t="s">
        <v>1285</v>
      </c>
      <c r="E339" s="0" t="s">
        <v>63</v>
      </c>
      <c r="F339" s="0" t="s">
        <v>1286</v>
      </c>
      <c r="H339" s="0" t="s">
        <v>21</v>
      </c>
      <c r="I339" s="2" t="s">
        <v>22</v>
      </c>
      <c r="J339" s="2" t="s">
        <v>635</v>
      </c>
      <c r="K339" s="0" t="s">
        <v>636</v>
      </c>
      <c r="L339" s="0" t="s">
        <v>1287</v>
      </c>
      <c r="M339" s="0" t="s">
        <v>637</v>
      </c>
      <c r="N339" s="0" t="s">
        <v>1288</v>
      </c>
      <c r="O339" s="0" t="n">
        <v>1</v>
      </c>
      <c r="P339" s="0" t="s">
        <v>1289</v>
      </c>
      <c r="Q339" s="3" t="s">
        <v>1290</v>
      </c>
      <c r="R339" s="2" t="s">
        <v>1291</v>
      </c>
      <c r="S339" s="2" t="s">
        <v>45</v>
      </c>
    </row>
    <row r="340" customFormat="false" ht="15" hidden="false" customHeight="false" outlineLevel="0" collapsed="false">
      <c r="A340" s="0" t="n">
        <v>339</v>
      </c>
      <c r="D340" s="0" t="s">
        <v>1292</v>
      </c>
      <c r="E340" s="0" t="s">
        <v>20</v>
      </c>
      <c r="H340" s="0" t="s">
        <v>21</v>
      </c>
      <c r="I340" s="2" t="s">
        <v>22</v>
      </c>
      <c r="J340" s="2" t="s">
        <v>635</v>
      </c>
      <c r="K340" s="0" t="s">
        <v>636</v>
      </c>
      <c r="L340" s="0" t="s">
        <v>31</v>
      </c>
      <c r="M340" s="0" t="s">
        <v>637</v>
      </c>
      <c r="N340" s="0" t="s">
        <v>1293</v>
      </c>
      <c r="O340" s="0" t="n">
        <v>1</v>
      </c>
      <c r="P340" s="0" t="s">
        <v>1294</v>
      </c>
      <c r="Q340" s="3"/>
      <c r="S340" s="2" t="s">
        <v>29</v>
      </c>
    </row>
    <row r="341" customFormat="false" ht="15" hidden="false" customHeight="false" outlineLevel="0" collapsed="false">
      <c r="A341" s="0" t="n">
        <v>340</v>
      </c>
      <c r="D341" s="0" t="s">
        <v>1295</v>
      </c>
      <c r="E341" s="0" t="s">
        <v>20</v>
      </c>
      <c r="H341" s="0" t="s">
        <v>21</v>
      </c>
      <c r="I341" s="2" t="s">
        <v>22</v>
      </c>
      <c r="J341" s="2" t="s">
        <v>635</v>
      </c>
      <c r="K341" s="0" t="s">
        <v>636</v>
      </c>
      <c r="L341" s="0" t="s">
        <v>31</v>
      </c>
      <c r="M341" s="0" t="s">
        <v>637</v>
      </c>
      <c r="N341" s="0" t="s">
        <v>1296</v>
      </c>
      <c r="O341" s="0" t="n">
        <v>1</v>
      </c>
      <c r="P341" s="0" t="s">
        <v>1297</v>
      </c>
      <c r="Q341" s="3"/>
      <c r="S341" s="2" t="s">
        <v>29</v>
      </c>
    </row>
    <row r="342" customFormat="false" ht="15" hidden="false" customHeight="false" outlineLevel="0" collapsed="false">
      <c r="A342" s="0" t="n">
        <v>341</v>
      </c>
      <c r="D342" s="0" t="s">
        <v>1298</v>
      </c>
      <c r="E342" s="0" t="s">
        <v>20</v>
      </c>
      <c r="H342" s="0" t="s">
        <v>21</v>
      </c>
      <c r="I342" s="2" t="s">
        <v>22</v>
      </c>
      <c r="J342" s="2" t="s">
        <v>635</v>
      </c>
      <c r="K342" s="0" t="s">
        <v>636</v>
      </c>
      <c r="L342" s="0" t="s">
        <v>31</v>
      </c>
      <c r="M342" s="0" t="s">
        <v>637</v>
      </c>
      <c r="N342" s="0" t="s">
        <v>1299</v>
      </c>
      <c r="O342" s="0" t="n">
        <v>1</v>
      </c>
      <c r="P342" s="0" t="s">
        <v>1300</v>
      </c>
      <c r="Q342" s="3"/>
      <c r="S342" s="2" t="s">
        <v>29</v>
      </c>
    </row>
    <row r="343" customFormat="false" ht="15" hidden="false" customHeight="false" outlineLevel="0" collapsed="false">
      <c r="A343" s="0" t="n">
        <v>342</v>
      </c>
      <c r="D343" s="0" t="s">
        <v>1301</v>
      </c>
      <c r="E343" s="0" t="s">
        <v>20</v>
      </c>
      <c r="H343" s="0" t="s">
        <v>21</v>
      </c>
      <c r="I343" s="2" t="s">
        <v>22</v>
      </c>
      <c r="J343" s="2" t="s">
        <v>635</v>
      </c>
      <c r="K343" s="0" t="s">
        <v>636</v>
      </c>
      <c r="L343" s="0" t="s">
        <v>31</v>
      </c>
      <c r="M343" s="0" t="s">
        <v>637</v>
      </c>
      <c r="N343" s="0" t="s">
        <v>1302</v>
      </c>
      <c r="O343" s="0" t="n">
        <v>1</v>
      </c>
      <c r="P343" s="0" t="s">
        <v>1303</v>
      </c>
      <c r="Q343" s="3"/>
      <c r="S343" s="2" t="s">
        <v>29</v>
      </c>
    </row>
    <row r="344" customFormat="false" ht="15" hidden="false" customHeight="false" outlineLevel="0" collapsed="false">
      <c r="A344" s="0" t="n">
        <v>343</v>
      </c>
      <c r="D344" s="0" t="s">
        <v>1304</v>
      </c>
      <c r="E344" s="0" t="s">
        <v>20</v>
      </c>
      <c r="H344" s="0" t="s">
        <v>21</v>
      </c>
      <c r="I344" s="2" t="s">
        <v>22</v>
      </c>
      <c r="J344" s="2" t="s">
        <v>635</v>
      </c>
      <c r="K344" s="0" t="s">
        <v>636</v>
      </c>
      <c r="L344" s="0" t="s">
        <v>31</v>
      </c>
      <c r="M344" s="0" t="s">
        <v>637</v>
      </c>
      <c r="N344" s="0" t="s">
        <v>1305</v>
      </c>
      <c r="O344" s="0" t="n">
        <v>1</v>
      </c>
      <c r="P344" s="0" t="s">
        <v>1306</v>
      </c>
      <c r="Q344" s="3"/>
      <c r="S344" s="2" t="s">
        <v>29</v>
      </c>
    </row>
    <row r="345" customFormat="false" ht="15" hidden="false" customHeight="false" outlineLevel="0" collapsed="false">
      <c r="A345" s="0" t="n">
        <v>344</v>
      </c>
      <c r="D345" s="0" t="s">
        <v>1307</v>
      </c>
      <c r="E345" s="0" t="s">
        <v>226</v>
      </c>
      <c r="H345" s="0" t="s">
        <v>21</v>
      </c>
      <c r="I345" s="2" t="s">
        <v>22</v>
      </c>
      <c r="J345" s="2" t="s">
        <v>635</v>
      </c>
      <c r="K345" s="0" t="s">
        <v>636</v>
      </c>
      <c r="L345" s="0" t="s">
        <v>100</v>
      </c>
      <c r="M345" s="0" t="s">
        <v>637</v>
      </c>
      <c r="N345" s="0" t="s">
        <v>1308</v>
      </c>
      <c r="O345" s="0" t="n">
        <v>1</v>
      </c>
      <c r="P345" s="0" t="s">
        <v>1309</v>
      </c>
      <c r="Q345" s="3"/>
      <c r="S345" s="2" t="s">
        <v>29</v>
      </c>
    </row>
    <row r="346" customFormat="false" ht="15" hidden="false" customHeight="false" outlineLevel="0" collapsed="false">
      <c r="A346" s="0" t="n">
        <v>345</v>
      </c>
      <c r="D346" s="0" t="s">
        <v>1310</v>
      </c>
      <c r="E346" s="0" t="s">
        <v>20</v>
      </c>
      <c r="H346" s="0" t="s">
        <v>21</v>
      </c>
      <c r="I346" s="2" t="s">
        <v>22</v>
      </c>
      <c r="J346" s="2" t="s">
        <v>635</v>
      </c>
      <c r="K346" s="0" t="s">
        <v>636</v>
      </c>
      <c r="L346" s="0" t="s">
        <v>31</v>
      </c>
      <c r="M346" s="0" t="s">
        <v>637</v>
      </c>
      <c r="N346" s="0" t="s">
        <v>1311</v>
      </c>
      <c r="O346" s="0" t="n">
        <v>1</v>
      </c>
      <c r="P346" s="0" t="s">
        <v>1312</v>
      </c>
      <c r="Q346" s="3"/>
      <c r="S346" s="2" t="s">
        <v>29</v>
      </c>
    </row>
    <row r="347" customFormat="false" ht="15" hidden="false" customHeight="false" outlineLevel="0" collapsed="false">
      <c r="A347" s="0" t="n">
        <v>346</v>
      </c>
      <c r="D347" s="0" t="s">
        <v>1313</v>
      </c>
      <c r="E347" s="0" t="s">
        <v>20</v>
      </c>
      <c r="H347" s="0" t="s">
        <v>21</v>
      </c>
      <c r="I347" s="2" t="s">
        <v>22</v>
      </c>
      <c r="J347" s="2" t="s">
        <v>635</v>
      </c>
      <c r="K347" s="0" t="s">
        <v>636</v>
      </c>
      <c r="L347" s="0" t="s">
        <v>31</v>
      </c>
      <c r="M347" s="0" t="s">
        <v>637</v>
      </c>
      <c r="N347" s="0" t="s">
        <v>1314</v>
      </c>
      <c r="O347" s="0" t="n">
        <v>1</v>
      </c>
      <c r="P347" s="0" t="s">
        <v>1315</v>
      </c>
      <c r="Q347" s="3"/>
      <c r="S347" s="2" t="s">
        <v>29</v>
      </c>
    </row>
    <row r="348" customFormat="false" ht="15" hidden="false" customHeight="false" outlineLevel="0" collapsed="false">
      <c r="A348" s="0" t="n">
        <v>347</v>
      </c>
      <c r="D348" s="0" t="s">
        <v>1316</v>
      </c>
      <c r="E348" s="0" t="s">
        <v>99</v>
      </c>
      <c r="H348" s="0" t="s">
        <v>21</v>
      </c>
      <c r="I348" s="2" t="s">
        <v>22</v>
      </c>
      <c r="J348" s="2" t="s">
        <v>635</v>
      </c>
      <c r="K348" s="0" t="s">
        <v>636</v>
      </c>
      <c r="L348" s="0" t="s">
        <v>100</v>
      </c>
      <c r="M348" s="0" t="s">
        <v>637</v>
      </c>
      <c r="N348" s="0" t="s">
        <v>1317</v>
      </c>
      <c r="O348" s="0" t="n">
        <v>1</v>
      </c>
      <c r="P348" s="0" t="s">
        <v>1318</v>
      </c>
      <c r="Q348" s="3"/>
      <c r="S348" s="2" t="s">
        <v>29</v>
      </c>
    </row>
    <row r="349" customFormat="false" ht="15" hidden="false" customHeight="false" outlineLevel="0" collapsed="false">
      <c r="A349" s="0" t="n">
        <v>348</v>
      </c>
      <c r="D349" s="0" t="s">
        <v>1319</v>
      </c>
      <c r="E349" s="0" t="s">
        <v>20</v>
      </c>
      <c r="H349" s="0" t="s">
        <v>21</v>
      </c>
      <c r="I349" s="2" t="s">
        <v>22</v>
      </c>
      <c r="J349" s="2" t="s">
        <v>635</v>
      </c>
      <c r="K349" s="0" t="s">
        <v>636</v>
      </c>
      <c r="L349" s="0" t="s">
        <v>31</v>
      </c>
      <c r="M349" s="0" t="s">
        <v>637</v>
      </c>
      <c r="N349" s="0" t="s">
        <v>1320</v>
      </c>
      <c r="O349" s="0" t="n">
        <v>1</v>
      </c>
      <c r="P349" s="0" t="s">
        <v>1321</v>
      </c>
      <c r="Q349" s="3"/>
      <c r="S349" s="2" t="s">
        <v>29</v>
      </c>
    </row>
    <row r="350" customFormat="false" ht="15" hidden="false" customHeight="false" outlineLevel="0" collapsed="false">
      <c r="A350" s="0" t="n">
        <v>349</v>
      </c>
      <c r="D350" s="0" t="s">
        <v>1322</v>
      </c>
      <c r="E350" s="0" t="s">
        <v>20</v>
      </c>
      <c r="H350" s="0" t="s">
        <v>21</v>
      </c>
      <c r="I350" s="2" t="s">
        <v>22</v>
      </c>
      <c r="J350" s="2" t="s">
        <v>635</v>
      </c>
      <c r="K350" s="0" t="s">
        <v>636</v>
      </c>
      <c r="L350" s="0" t="s">
        <v>31</v>
      </c>
      <c r="M350" s="0" t="s">
        <v>637</v>
      </c>
      <c r="N350" s="0" t="s">
        <v>1323</v>
      </c>
      <c r="O350" s="0" t="n">
        <v>1</v>
      </c>
      <c r="P350" s="0" t="s">
        <v>1324</v>
      </c>
      <c r="Q350" s="3"/>
      <c r="S350" s="2" t="s">
        <v>29</v>
      </c>
    </row>
    <row r="351" customFormat="false" ht="15" hidden="false" customHeight="false" outlineLevel="0" collapsed="false">
      <c r="A351" s="0" t="n">
        <v>350</v>
      </c>
      <c r="D351" s="0" t="s">
        <v>1325</v>
      </c>
      <c r="E351" s="0" t="s">
        <v>20</v>
      </c>
      <c r="H351" s="0" t="s">
        <v>21</v>
      </c>
      <c r="I351" s="2" t="s">
        <v>22</v>
      </c>
      <c r="J351" s="2" t="s">
        <v>635</v>
      </c>
      <c r="K351" s="0" t="s">
        <v>636</v>
      </c>
      <c r="L351" s="0" t="s">
        <v>31</v>
      </c>
      <c r="M351" s="0" t="s">
        <v>637</v>
      </c>
      <c r="N351" s="0" t="s">
        <v>1326</v>
      </c>
      <c r="O351" s="0" t="n">
        <v>1</v>
      </c>
      <c r="P351" s="0" t="s">
        <v>1327</v>
      </c>
      <c r="Q351" s="3"/>
      <c r="S351" s="2" t="s">
        <v>29</v>
      </c>
    </row>
    <row r="352" customFormat="false" ht="15" hidden="false" customHeight="false" outlineLevel="0" collapsed="false">
      <c r="A352" s="0" t="n">
        <v>351</v>
      </c>
      <c r="D352" s="0" t="s">
        <v>1328</v>
      </c>
      <c r="E352" s="0" t="s">
        <v>492</v>
      </c>
      <c r="H352" s="0" t="s">
        <v>21</v>
      </c>
      <c r="I352" s="2" t="s">
        <v>22</v>
      </c>
      <c r="J352" s="2" t="s">
        <v>635</v>
      </c>
      <c r="K352" s="0" t="s">
        <v>636</v>
      </c>
      <c r="L352" s="0" t="s">
        <v>31</v>
      </c>
      <c r="M352" s="0" t="s">
        <v>637</v>
      </c>
      <c r="N352" s="0" t="s">
        <v>1329</v>
      </c>
      <c r="O352" s="0" t="n">
        <v>1</v>
      </c>
      <c r="P352" s="0" t="s">
        <v>1330</v>
      </c>
      <c r="Q352" s="3"/>
      <c r="S352" s="2" t="s">
        <v>29</v>
      </c>
    </row>
    <row r="353" customFormat="false" ht="15" hidden="false" customHeight="false" outlineLevel="0" collapsed="false">
      <c r="A353" s="0" t="n">
        <v>352</v>
      </c>
      <c r="D353" s="0" t="s">
        <v>1331</v>
      </c>
      <c r="E353" s="0" t="s">
        <v>20</v>
      </c>
      <c r="H353" s="0" t="s">
        <v>21</v>
      </c>
      <c r="I353" s="2" t="s">
        <v>22</v>
      </c>
      <c r="J353" s="2" t="s">
        <v>635</v>
      </c>
      <c r="K353" s="0" t="s">
        <v>636</v>
      </c>
      <c r="L353" s="0" t="s">
        <v>31</v>
      </c>
      <c r="M353" s="0" t="s">
        <v>637</v>
      </c>
      <c r="N353" s="0" t="s">
        <v>1332</v>
      </c>
      <c r="O353" s="0" t="n">
        <v>1</v>
      </c>
      <c r="P353" s="0" t="s">
        <v>1333</v>
      </c>
      <c r="Q353" s="3"/>
      <c r="S353" s="2" t="s">
        <v>29</v>
      </c>
    </row>
    <row r="354" customFormat="false" ht="15" hidden="false" customHeight="false" outlineLevel="0" collapsed="false">
      <c r="A354" s="0" t="n">
        <v>353</v>
      </c>
      <c r="D354" s="0" t="s">
        <v>1334</v>
      </c>
      <c r="E354" s="0" t="s">
        <v>20</v>
      </c>
      <c r="H354" s="0" t="s">
        <v>21</v>
      </c>
      <c r="I354" s="2" t="s">
        <v>22</v>
      </c>
      <c r="J354" s="2" t="s">
        <v>635</v>
      </c>
      <c r="K354" s="0" t="s">
        <v>636</v>
      </c>
      <c r="L354" s="0" t="s">
        <v>31</v>
      </c>
      <c r="M354" s="0" t="s">
        <v>637</v>
      </c>
      <c r="N354" s="0" t="s">
        <v>1335</v>
      </c>
      <c r="O354" s="0" t="n">
        <v>1</v>
      </c>
      <c r="P354" s="0" t="s">
        <v>1336</v>
      </c>
      <c r="Q354" s="3"/>
      <c r="S354" s="2" t="s">
        <v>29</v>
      </c>
    </row>
    <row r="355" customFormat="false" ht="15" hidden="false" customHeight="false" outlineLevel="0" collapsed="false">
      <c r="A355" s="0" t="n">
        <v>354</v>
      </c>
      <c r="D355" s="0" t="s">
        <v>1337</v>
      </c>
      <c r="E355" s="0" t="s">
        <v>492</v>
      </c>
      <c r="H355" s="0" t="s">
        <v>21</v>
      </c>
      <c r="I355" s="2" t="s">
        <v>22</v>
      </c>
      <c r="J355" s="2" t="s">
        <v>635</v>
      </c>
      <c r="K355" s="0" t="s">
        <v>636</v>
      </c>
      <c r="L355" s="0" t="s">
        <v>31</v>
      </c>
      <c r="M355" s="0" t="s">
        <v>637</v>
      </c>
      <c r="N355" s="0" t="s">
        <v>1338</v>
      </c>
      <c r="O355" s="0" t="n">
        <v>1</v>
      </c>
      <c r="P355" s="0" t="s">
        <v>1339</v>
      </c>
      <c r="Q355" s="3"/>
      <c r="S355" s="2" t="s">
        <v>29</v>
      </c>
    </row>
    <row r="356" customFormat="false" ht="15" hidden="false" customHeight="false" outlineLevel="0" collapsed="false">
      <c r="A356" s="0" t="n">
        <v>355</v>
      </c>
      <c r="D356" s="0" t="s">
        <v>1340</v>
      </c>
      <c r="E356" s="0" t="s">
        <v>492</v>
      </c>
      <c r="H356" s="0" t="s">
        <v>21</v>
      </c>
      <c r="I356" s="2" t="s">
        <v>22</v>
      </c>
      <c r="J356" s="2" t="s">
        <v>635</v>
      </c>
      <c r="K356" s="0" t="s">
        <v>636</v>
      </c>
      <c r="L356" s="0" t="s">
        <v>31</v>
      </c>
      <c r="M356" s="0" t="s">
        <v>637</v>
      </c>
      <c r="N356" s="0" t="s">
        <v>1341</v>
      </c>
      <c r="O356" s="0" t="n">
        <v>1</v>
      </c>
      <c r="P356" s="0" t="s">
        <v>1342</v>
      </c>
      <c r="Q356" s="3"/>
      <c r="S356" s="2" t="s">
        <v>29</v>
      </c>
    </row>
    <row r="357" customFormat="false" ht="15" hidden="false" customHeight="false" outlineLevel="0" collapsed="false">
      <c r="A357" s="0" t="n">
        <v>356</v>
      </c>
      <c r="D357" s="0" t="s">
        <v>1343</v>
      </c>
      <c r="E357" s="0" t="s">
        <v>492</v>
      </c>
      <c r="H357" s="0" t="s">
        <v>21</v>
      </c>
      <c r="I357" s="2" t="s">
        <v>22</v>
      </c>
      <c r="J357" s="2" t="s">
        <v>635</v>
      </c>
      <c r="K357" s="0" t="s">
        <v>636</v>
      </c>
      <c r="L357" s="0" t="s">
        <v>31</v>
      </c>
      <c r="M357" s="0" t="s">
        <v>637</v>
      </c>
      <c r="N357" s="0" t="s">
        <v>1344</v>
      </c>
      <c r="O357" s="0" t="n">
        <v>1</v>
      </c>
      <c r="P357" s="0" t="s">
        <v>1345</v>
      </c>
      <c r="Q357" s="3"/>
      <c r="S357" s="2" t="s">
        <v>29</v>
      </c>
    </row>
    <row r="358" customFormat="false" ht="15" hidden="false" customHeight="false" outlineLevel="0" collapsed="false">
      <c r="A358" s="0" t="n">
        <v>357</v>
      </c>
      <c r="D358" s="0" t="s">
        <v>1346</v>
      </c>
      <c r="E358" s="0" t="s">
        <v>492</v>
      </c>
      <c r="H358" s="0" t="s">
        <v>21</v>
      </c>
      <c r="I358" s="2" t="s">
        <v>22</v>
      </c>
      <c r="J358" s="2" t="s">
        <v>635</v>
      </c>
      <c r="K358" s="0" t="s">
        <v>636</v>
      </c>
      <c r="L358" s="0" t="s">
        <v>31</v>
      </c>
      <c r="M358" s="0" t="s">
        <v>637</v>
      </c>
      <c r="N358" s="0" t="s">
        <v>1347</v>
      </c>
      <c r="O358" s="0" t="n">
        <v>1</v>
      </c>
      <c r="P358" s="0" t="s">
        <v>1348</v>
      </c>
      <c r="Q358" s="3"/>
      <c r="S358" s="2" t="s">
        <v>29</v>
      </c>
    </row>
    <row r="359" customFormat="false" ht="15" hidden="false" customHeight="false" outlineLevel="0" collapsed="false">
      <c r="A359" s="0" t="n">
        <v>358</v>
      </c>
      <c r="D359" s="0" t="s">
        <v>1349</v>
      </c>
      <c r="E359" s="0" t="s">
        <v>492</v>
      </c>
      <c r="H359" s="0" t="s">
        <v>21</v>
      </c>
      <c r="I359" s="2" t="s">
        <v>22</v>
      </c>
      <c r="J359" s="2" t="s">
        <v>635</v>
      </c>
      <c r="K359" s="0" t="s">
        <v>636</v>
      </c>
      <c r="L359" s="0" t="s">
        <v>31</v>
      </c>
      <c r="M359" s="0" t="s">
        <v>637</v>
      </c>
      <c r="N359" s="0" t="s">
        <v>1350</v>
      </c>
      <c r="O359" s="0" t="n">
        <v>1</v>
      </c>
      <c r="P359" s="0" t="s">
        <v>1351</v>
      </c>
      <c r="Q359" s="3"/>
      <c r="S359" s="2" t="s">
        <v>29</v>
      </c>
    </row>
    <row r="360" customFormat="false" ht="15" hidden="false" customHeight="false" outlineLevel="0" collapsed="false">
      <c r="A360" s="0" t="n">
        <v>359</v>
      </c>
      <c r="D360" s="0" t="s">
        <v>1352</v>
      </c>
      <c r="E360" s="0" t="s">
        <v>20</v>
      </c>
      <c r="H360" s="0" t="s">
        <v>21</v>
      </c>
      <c r="I360" s="2" t="s">
        <v>22</v>
      </c>
      <c r="J360" s="2" t="s">
        <v>635</v>
      </c>
      <c r="K360" s="0" t="s">
        <v>636</v>
      </c>
      <c r="L360" s="0" t="s">
        <v>31</v>
      </c>
      <c r="M360" s="0" t="s">
        <v>637</v>
      </c>
      <c r="N360" s="0" t="s">
        <v>1353</v>
      </c>
      <c r="O360" s="0" t="n">
        <v>1</v>
      </c>
      <c r="P360" s="0" t="s">
        <v>1354</v>
      </c>
      <c r="Q360" s="3"/>
      <c r="S360" s="2" t="s">
        <v>29</v>
      </c>
    </row>
    <row r="361" customFormat="false" ht="15" hidden="false" customHeight="false" outlineLevel="0" collapsed="false">
      <c r="A361" s="0" t="n">
        <v>360</v>
      </c>
      <c r="D361" s="0" t="s">
        <v>1355</v>
      </c>
      <c r="E361" s="0" t="s">
        <v>492</v>
      </c>
      <c r="H361" s="0" t="s">
        <v>21</v>
      </c>
      <c r="I361" s="2" t="s">
        <v>22</v>
      </c>
      <c r="J361" s="2" t="s">
        <v>635</v>
      </c>
      <c r="K361" s="0" t="s">
        <v>636</v>
      </c>
      <c r="L361" s="0" t="s">
        <v>31</v>
      </c>
      <c r="M361" s="0" t="s">
        <v>637</v>
      </c>
      <c r="N361" s="0" t="s">
        <v>1356</v>
      </c>
      <c r="O361" s="0" t="n">
        <v>1</v>
      </c>
      <c r="P361" s="0" t="s">
        <v>1357</v>
      </c>
      <c r="Q361" s="3"/>
      <c r="S361" s="2" t="s">
        <v>29</v>
      </c>
    </row>
    <row r="362" customFormat="false" ht="15" hidden="false" customHeight="false" outlineLevel="0" collapsed="false">
      <c r="A362" s="0" t="n">
        <v>361</v>
      </c>
      <c r="D362" s="0" t="s">
        <v>1358</v>
      </c>
      <c r="E362" s="0" t="s">
        <v>492</v>
      </c>
      <c r="H362" s="0" t="s">
        <v>21</v>
      </c>
      <c r="I362" s="2" t="s">
        <v>22</v>
      </c>
      <c r="J362" s="2" t="s">
        <v>635</v>
      </c>
      <c r="K362" s="0" t="s">
        <v>636</v>
      </c>
      <c r="L362" s="0" t="s">
        <v>31</v>
      </c>
      <c r="M362" s="0" t="s">
        <v>637</v>
      </c>
      <c r="N362" s="0" t="s">
        <v>1359</v>
      </c>
      <c r="O362" s="0" t="n">
        <v>1</v>
      </c>
      <c r="P362" s="0" t="s">
        <v>1360</v>
      </c>
      <c r="Q362" s="3"/>
      <c r="S362" s="2" t="s">
        <v>29</v>
      </c>
    </row>
    <row r="363" customFormat="false" ht="15" hidden="false" customHeight="false" outlineLevel="0" collapsed="false">
      <c r="A363" s="0" t="n">
        <v>362</v>
      </c>
      <c r="D363" s="0" t="s">
        <v>1361</v>
      </c>
      <c r="E363" s="0" t="s">
        <v>99</v>
      </c>
      <c r="H363" s="0" t="s">
        <v>21</v>
      </c>
      <c r="I363" s="2" t="s">
        <v>22</v>
      </c>
      <c r="J363" s="2" t="s">
        <v>635</v>
      </c>
      <c r="K363" s="0" t="s">
        <v>636</v>
      </c>
      <c r="L363" s="0" t="s">
        <v>100</v>
      </c>
      <c r="M363" s="0" t="s">
        <v>637</v>
      </c>
      <c r="N363" s="0" t="s">
        <v>1362</v>
      </c>
      <c r="O363" s="0" t="n">
        <v>1</v>
      </c>
      <c r="P363" s="0" t="s">
        <v>1363</v>
      </c>
      <c r="Q363" s="3"/>
      <c r="S363" s="2" t="s">
        <v>29</v>
      </c>
    </row>
    <row r="364" customFormat="false" ht="15" hidden="false" customHeight="false" outlineLevel="0" collapsed="false">
      <c r="A364" s="0" t="n">
        <v>363</v>
      </c>
      <c r="D364" s="0" t="s">
        <v>1364</v>
      </c>
      <c r="E364" s="0" t="s">
        <v>20</v>
      </c>
      <c r="H364" s="0" t="s">
        <v>21</v>
      </c>
      <c r="I364" s="2" t="s">
        <v>22</v>
      </c>
      <c r="J364" s="2" t="s">
        <v>635</v>
      </c>
      <c r="K364" s="0" t="s">
        <v>636</v>
      </c>
      <c r="L364" s="0" t="s">
        <v>31</v>
      </c>
      <c r="M364" s="0" t="s">
        <v>637</v>
      </c>
      <c r="N364" s="0" t="s">
        <v>1365</v>
      </c>
      <c r="O364" s="0" t="n">
        <v>1</v>
      </c>
      <c r="P364" s="0" t="s">
        <v>1366</v>
      </c>
      <c r="Q364" s="3"/>
      <c r="S364" s="2" t="s">
        <v>29</v>
      </c>
    </row>
    <row r="365" customFormat="false" ht="15" hidden="false" customHeight="false" outlineLevel="0" collapsed="false">
      <c r="A365" s="0" t="n">
        <v>364</v>
      </c>
      <c r="D365" s="0" t="s">
        <v>1367</v>
      </c>
      <c r="E365" s="0" t="s">
        <v>492</v>
      </c>
      <c r="H365" s="0" t="s">
        <v>21</v>
      </c>
      <c r="I365" s="2" t="s">
        <v>22</v>
      </c>
      <c r="J365" s="2" t="s">
        <v>635</v>
      </c>
      <c r="K365" s="0" t="s">
        <v>636</v>
      </c>
      <c r="L365" s="0" t="s">
        <v>31</v>
      </c>
      <c r="M365" s="0" t="s">
        <v>637</v>
      </c>
      <c r="N365" s="0" t="s">
        <v>1368</v>
      </c>
      <c r="O365" s="0" t="n">
        <v>1</v>
      </c>
      <c r="P365" s="0" t="s">
        <v>1369</v>
      </c>
      <c r="Q365" s="3"/>
      <c r="S365" s="2" t="s">
        <v>29</v>
      </c>
    </row>
    <row r="366" customFormat="false" ht="15" hidden="false" customHeight="false" outlineLevel="0" collapsed="false">
      <c r="A366" s="0" t="n">
        <v>365</v>
      </c>
      <c r="D366" s="0" t="s">
        <v>1370</v>
      </c>
      <c r="E366" s="0" t="s">
        <v>1371</v>
      </c>
      <c r="H366" s="0" t="s">
        <v>21</v>
      </c>
      <c r="I366" s="2" t="s">
        <v>22</v>
      </c>
      <c r="J366" s="2" t="s">
        <v>635</v>
      </c>
      <c r="K366" s="0" t="s">
        <v>636</v>
      </c>
      <c r="L366" s="0" t="s">
        <v>31</v>
      </c>
      <c r="M366" s="0" t="s">
        <v>637</v>
      </c>
      <c r="N366" s="0" t="s">
        <v>1372</v>
      </c>
      <c r="O366" s="0" t="n">
        <v>1</v>
      </c>
      <c r="P366" s="0" t="s">
        <v>1373</v>
      </c>
      <c r="Q366" s="3"/>
      <c r="S366" s="2" t="s">
        <v>29</v>
      </c>
    </row>
    <row r="367" customFormat="false" ht="15" hidden="false" customHeight="false" outlineLevel="0" collapsed="false">
      <c r="A367" s="0" t="n">
        <v>366</v>
      </c>
      <c r="D367" s="0" t="s">
        <v>1374</v>
      </c>
      <c r="E367" s="0" t="s">
        <v>20</v>
      </c>
      <c r="H367" s="0" t="s">
        <v>21</v>
      </c>
      <c r="I367" s="2" t="s">
        <v>22</v>
      </c>
      <c r="J367" s="2" t="s">
        <v>635</v>
      </c>
      <c r="K367" s="0" t="s">
        <v>636</v>
      </c>
      <c r="L367" s="0" t="s">
        <v>31</v>
      </c>
      <c r="M367" s="0" t="s">
        <v>637</v>
      </c>
      <c r="N367" s="0" t="s">
        <v>1375</v>
      </c>
      <c r="O367" s="0" t="n">
        <v>1</v>
      </c>
      <c r="P367" s="0" t="s">
        <v>1376</v>
      </c>
      <c r="Q367" s="3"/>
      <c r="S367" s="2" t="s">
        <v>29</v>
      </c>
    </row>
    <row r="368" customFormat="false" ht="15" hidden="false" customHeight="false" outlineLevel="0" collapsed="false">
      <c r="A368" s="0" t="n">
        <v>367</v>
      </c>
      <c r="D368" s="0" t="s">
        <v>1377</v>
      </c>
      <c r="E368" s="0" t="s">
        <v>20</v>
      </c>
      <c r="H368" s="0" t="s">
        <v>21</v>
      </c>
      <c r="I368" s="2" t="s">
        <v>22</v>
      </c>
      <c r="J368" s="2" t="s">
        <v>635</v>
      </c>
      <c r="K368" s="0" t="s">
        <v>636</v>
      </c>
      <c r="L368" s="0" t="s">
        <v>31</v>
      </c>
      <c r="M368" s="0" t="s">
        <v>637</v>
      </c>
      <c r="N368" s="0" t="s">
        <v>1378</v>
      </c>
      <c r="O368" s="0" t="n">
        <v>1</v>
      </c>
      <c r="P368" s="0" t="s">
        <v>1379</v>
      </c>
      <c r="Q368" s="3"/>
      <c r="S368" s="2" t="s">
        <v>29</v>
      </c>
    </row>
    <row r="369" customFormat="false" ht="15" hidden="false" customHeight="false" outlineLevel="0" collapsed="false">
      <c r="A369" s="0" t="n">
        <v>368</v>
      </c>
      <c r="D369" s="0" t="s">
        <v>1380</v>
      </c>
      <c r="E369" s="0" t="s">
        <v>99</v>
      </c>
      <c r="H369" s="0" t="s">
        <v>21</v>
      </c>
      <c r="I369" s="2" t="s">
        <v>22</v>
      </c>
      <c r="J369" s="2" t="s">
        <v>635</v>
      </c>
      <c r="K369" s="0" t="s">
        <v>636</v>
      </c>
      <c r="L369" s="0" t="s">
        <v>100</v>
      </c>
      <c r="M369" s="0" t="s">
        <v>637</v>
      </c>
      <c r="N369" s="0" t="s">
        <v>1381</v>
      </c>
      <c r="O369" s="0" t="n">
        <v>1</v>
      </c>
      <c r="P369" s="0" t="s">
        <v>1382</v>
      </c>
      <c r="Q369" s="3"/>
      <c r="S369" s="2" t="s">
        <v>29</v>
      </c>
    </row>
    <row r="370" customFormat="false" ht="15" hidden="false" customHeight="false" outlineLevel="0" collapsed="false">
      <c r="A370" s="0" t="n">
        <v>369</v>
      </c>
      <c r="D370" s="0" t="s">
        <v>1383</v>
      </c>
      <c r="E370" s="0" t="s">
        <v>99</v>
      </c>
      <c r="H370" s="0" t="s">
        <v>21</v>
      </c>
      <c r="I370" s="2" t="s">
        <v>22</v>
      </c>
      <c r="J370" s="2" t="s">
        <v>635</v>
      </c>
      <c r="K370" s="0" t="s">
        <v>636</v>
      </c>
      <c r="L370" s="0" t="s">
        <v>100</v>
      </c>
      <c r="M370" s="0" t="s">
        <v>637</v>
      </c>
      <c r="N370" s="0" t="s">
        <v>1384</v>
      </c>
      <c r="O370" s="0" t="n">
        <v>1</v>
      </c>
      <c r="P370" s="0" t="s">
        <v>1385</v>
      </c>
      <c r="Q370" s="3"/>
      <c r="S370" s="2" t="s">
        <v>29</v>
      </c>
    </row>
    <row r="371" customFormat="false" ht="15" hidden="false" customHeight="false" outlineLevel="0" collapsed="false">
      <c r="A371" s="0" t="n">
        <v>370</v>
      </c>
      <c r="D371" s="0" t="s">
        <v>1386</v>
      </c>
      <c r="E371" s="0" t="s">
        <v>99</v>
      </c>
      <c r="H371" s="0" t="s">
        <v>21</v>
      </c>
      <c r="I371" s="2" t="s">
        <v>22</v>
      </c>
      <c r="J371" s="2" t="s">
        <v>635</v>
      </c>
      <c r="K371" s="0" t="s">
        <v>636</v>
      </c>
      <c r="L371" s="0" t="s">
        <v>100</v>
      </c>
      <c r="M371" s="0" t="s">
        <v>637</v>
      </c>
      <c r="N371" s="0" t="s">
        <v>1387</v>
      </c>
      <c r="O371" s="0" t="n">
        <v>1</v>
      </c>
      <c r="P371" s="0" t="s">
        <v>1388</v>
      </c>
      <c r="Q371" s="3"/>
      <c r="S371" s="2" t="s">
        <v>29</v>
      </c>
    </row>
    <row r="372" customFormat="false" ht="15" hidden="false" customHeight="false" outlineLevel="0" collapsed="false">
      <c r="A372" s="0" t="n">
        <v>371</v>
      </c>
      <c r="D372" s="0" t="s">
        <v>1389</v>
      </c>
      <c r="E372" s="0" t="s">
        <v>99</v>
      </c>
      <c r="H372" s="0" t="s">
        <v>21</v>
      </c>
      <c r="I372" s="2" t="s">
        <v>22</v>
      </c>
      <c r="J372" s="2" t="s">
        <v>635</v>
      </c>
      <c r="K372" s="0" t="s">
        <v>636</v>
      </c>
      <c r="L372" s="0" t="s">
        <v>100</v>
      </c>
      <c r="M372" s="0" t="s">
        <v>637</v>
      </c>
      <c r="N372" s="0" t="s">
        <v>1390</v>
      </c>
      <c r="O372" s="0" t="n">
        <v>1</v>
      </c>
      <c r="P372" s="0" t="s">
        <v>1391</v>
      </c>
      <c r="Q372" s="3"/>
      <c r="S372" s="2" t="s">
        <v>29</v>
      </c>
    </row>
    <row r="373" customFormat="false" ht="15" hidden="false" customHeight="false" outlineLevel="0" collapsed="false">
      <c r="A373" s="0" t="n">
        <v>372</v>
      </c>
      <c r="D373" s="0" t="s">
        <v>1392</v>
      </c>
      <c r="E373" s="0" t="s">
        <v>20</v>
      </c>
      <c r="H373" s="0" t="s">
        <v>21</v>
      </c>
      <c r="I373" s="2" t="s">
        <v>22</v>
      </c>
      <c r="J373" s="2" t="s">
        <v>635</v>
      </c>
      <c r="K373" s="0" t="s">
        <v>636</v>
      </c>
      <c r="L373" s="0" t="s">
        <v>31</v>
      </c>
      <c r="M373" s="0" t="s">
        <v>637</v>
      </c>
      <c r="N373" s="0" t="s">
        <v>1393</v>
      </c>
      <c r="O373" s="0" t="n">
        <v>1</v>
      </c>
      <c r="P373" s="0" t="s">
        <v>1394</v>
      </c>
      <c r="Q373" s="3"/>
      <c r="S373" s="2" t="s">
        <v>29</v>
      </c>
    </row>
    <row r="374" customFormat="false" ht="15" hidden="false" customHeight="false" outlineLevel="0" collapsed="false">
      <c r="A374" s="0" t="n">
        <v>373</v>
      </c>
      <c r="D374" s="0" t="s">
        <v>1395</v>
      </c>
      <c r="E374" s="0" t="s">
        <v>20</v>
      </c>
      <c r="H374" s="0" t="s">
        <v>21</v>
      </c>
      <c r="I374" s="2" t="s">
        <v>22</v>
      </c>
      <c r="J374" s="2" t="s">
        <v>635</v>
      </c>
      <c r="K374" s="0" t="s">
        <v>636</v>
      </c>
      <c r="L374" s="0" t="s">
        <v>31</v>
      </c>
      <c r="M374" s="0" t="s">
        <v>637</v>
      </c>
      <c r="N374" s="0" t="s">
        <v>1396</v>
      </c>
      <c r="O374" s="0" t="n">
        <v>1</v>
      </c>
      <c r="P374" s="0" t="s">
        <v>1397</v>
      </c>
      <c r="Q374" s="3"/>
      <c r="S374" s="2" t="s">
        <v>29</v>
      </c>
    </row>
    <row r="375" customFormat="false" ht="15" hidden="false" customHeight="false" outlineLevel="0" collapsed="false">
      <c r="A375" s="0" t="n">
        <v>374</v>
      </c>
      <c r="D375" s="0" t="s">
        <v>1398</v>
      </c>
      <c r="E375" s="0" t="s">
        <v>20</v>
      </c>
      <c r="H375" s="0" t="s">
        <v>21</v>
      </c>
      <c r="I375" s="2" t="s">
        <v>22</v>
      </c>
      <c r="J375" s="2" t="s">
        <v>635</v>
      </c>
      <c r="K375" s="0" t="s">
        <v>636</v>
      </c>
      <c r="L375" s="0" t="s">
        <v>31</v>
      </c>
      <c r="M375" s="0" t="s">
        <v>637</v>
      </c>
      <c r="N375" s="0" t="s">
        <v>1399</v>
      </c>
      <c r="O375" s="0" t="n">
        <v>1</v>
      </c>
      <c r="P375" s="0" t="s">
        <v>1400</v>
      </c>
      <c r="Q375" s="3"/>
      <c r="S375" s="2" t="s">
        <v>29</v>
      </c>
    </row>
    <row r="376" customFormat="false" ht="15" hidden="false" customHeight="false" outlineLevel="0" collapsed="false">
      <c r="A376" s="0" t="n">
        <v>375</v>
      </c>
      <c r="D376" s="0" t="s">
        <v>1401</v>
      </c>
      <c r="E376" s="0" t="s">
        <v>20</v>
      </c>
      <c r="H376" s="0" t="s">
        <v>21</v>
      </c>
      <c r="I376" s="2" t="s">
        <v>22</v>
      </c>
      <c r="J376" s="2" t="s">
        <v>635</v>
      </c>
      <c r="K376" s="0" t="s">
        <v>636</v>
      </c>
      <c r="L376" s="0" t="s">
        <v>31</v>
      </c>
      <c r="M376" s="0" t="s">
        <v>637</v>
      </c>
      <c r="N376" s="0" t="s">
        <v>1402</v>
      </c>
      <c r="O376" s="0" t="n">
        <v>1</v>
      </c>
      <c r="P376" s="0" t="s">
        <v>1403</v>
      </c>
      <c r="Q376" s="3"/>
      <c r="S376" s="2" t="s">
        <v>29</v>
      </c>
    </row>
    <row r="377" customFormat="false" ht="15" hidden="false" customHeight="false" outlineLevel="0" collapsed="false">
      <c r="A377" s="0" t="n">
        <v>376</v>
      </c>
      <c r="D377" s="0" t="s">
        <v>1404</v>
      </c>
      <c r="E377" s="0" t="s">
        <v>20</v>
      </c>
      <c r="H377" s="0" t="s">
        <v>21</v>
      </c>
      <c r="I377" s="2" t="s">
        <v>22</v>
      </c>
      <c r="J377" s="2" t="s">
        <v>635</v>
      </c>
      <c r="K377" s="0" t="s">
        <v>636</v>
      </c>
      <c r="L377" s="0" t="s">
        <v>31</v>
      </c>
      <c r="M377" s="0" t="s">
        <v>637</v>
      </c>
      <c r="N377" s="0" t="s">
        <v>1405</v>
      </c>
      <c r="O377" s="0" t="n">
        <v>1</v>
      </c>
      <c r="P377" s="0" t="s">
        <v>1406</v>
      </c>
      <c r="Q377" s="3"/>
      <c r="S377" s="2" t="s">
        <v>29</v>
      </c>
    </row>
    <row r="378" customFormat="false" ht="15" hidden="false" customHeight="false" outlineLevel="0" collapsed="false">
      <c r="A378" s="0" t="n">
        <v>377</v>
      </c>
      <c r="D378" s="0" t="s">
        <v>1407</v>
      </c>
      <c r="E378" s="0" t="s">
        <v>1371</v>
      </c>
      <c r="H378" s="0" t="s">
        <v>21</v>
      </c>
      <c r="I378" s="2" t="s">
        <v>22</v>
      </c>
      <c r="J378" s="2" t="s">
        <v>635</v>
      </c>
      <c r="K378" s="0" t="s">
        <v>636</v>
      </c>
      <c r="L378" s="0" t="s">
        <v>31</v>
      </c>
      <c r="M378" s="0" t="s">
        <v>637</v>
      </c>
      <c r="N378" s="0" t="s">
        <v>1408</v>
      </c>
      <c r="O378" s="0" t="n">
        <v>1</v>
      </c>
      <c r="P378" s="0" t="s">
        <v>1409</v>
      </c>
      <c r="Q378" s="3"/>
      <c r="S378" s="2" t="s">
        <v>29</v>
      </c>
    </row>
    <row r="379" customFormat="false" ht="15" hidden="false" customHeight="false" outlineLevel="0" collapsed="false">
      <c r="A379" s="0" t="n">
        <v>378</v>
      </c>
      <c r="D379" s="0" t="s">
        <v>1410</v>
      </c>
      <c r="E379" s="0" t="s">
        <v>20</v>
      </c>
      <c r="H379" s="0" t="s">
        <v>21</v>
      </c>
      <c r="I379" s="2" t="s">
        <v>22</v>
      </c>
      <c r="J379" s="2" t="s">
        <v>635</v>
      </c>
      <c r="K379" s="0" t="s">
        <v>636</v>
      </c>
      <c r="L379" s="0" t="s">
        <v>31</v>
      </c>
      <c r="M379" s="0" t="s">
        <v>637</v>
      </c>
      <c r="N379" s="0" t="s">
        <v>1411</v>
      </c>
      <c r="O379" s="0" t="n">
        <v>1</v>
      </c>
      <c r="P379" s="0" t="s">
        <v>1412</v>
      </c>
      <c r="Q379" s="3"/>
      <c r="S379" s="2" t="s">
        <v>29</v>
      </c>
    </row>
    <row r="380" customFormat="false" ht="15" hidden="false" customHeight="false" outlineLevel="0" collapsed="false">
      <c r="A380" s="0" t="n">
        <v>379</v>
      </c>
      <c r="D380" s="0" t="s">
        <v>1413</v>
      </c>
      <c r="E380" s="0" t="s">
        <v>20</v>
      </c>
      <c r="H380" s="0" t="s">
        <v>21</v>
      </c>
      <c r="I380" s="2" t="s">
        <v>22</v>
      </c>
      <c r="J380" s="2" t="s">
        <v>635</v>
      </c>
      <c r="K380" s="0" t="s">
        <v>636</v>
      </c>
      <c r="L380" s="0" t="s">
        <v>31</v>
      </c>
      <c r="M380" s="0" t="s">
        <v>637</v>
      </c>
      <c r="N380" s="0" t="s">
        <v>1414</v>
      </c>
      <c r="O380" s="0" t="n">
        <v>1</v>
      </c>
      <c r="P380" s="0" t="s">
        <v>1415</v>
      </c>
      <c r="Q380" s="3"/>
      <c r="S380" s="2" t="s">
        <v>29</v>
      </c>
    </row>
    <row r="381" customFormat="false" ht="15" hidden="false" customHeight="false" outlineLevel="0" collapsed="false">
      <c r="A381" s="0" t="n">
        <v>380</v>
      </c>
      <c r="D381" s="0" t="s">
        <v>1416</v>
      </c>
      <c r="E381" s="0" t="s">
        <v>20</v>
      </c>
      <c r="H381" s="0" t="s">
        <v>21</v>
      </c>
      <c r="I381" s="2" t="s">
        <v>22</v>
      </c>
      <c r="J381" s="2" t="s">
        <v>635</v>
      </c>
      <c r="K381" s="0" t="s">
        <v>636</v>
      </c>
      <c r="L381" s="0" t="s">
        <v>31</v>
      </c>
      <c r="M381" s="0" t="s">
        <v>637</v>
      </c>
      <c r="N381" s="0" t="s">
        <v>1417</v>
      </c>
      <c r="O381" s="0" t="n">
        <v>1</v>
      </c>
      <c r="P381" s="0" t="s">
        <v>1418</v>
      </c>
      <c r="Q381" s="3"/>
      <c r="S381" s="2" t="s">
        <v>29</v>
      </c>
    </row>
    <row r="382" customFormat="false" ht="15" hidden="false" customHeight="false" outlineLevel="0" collapsed="false">
      <c r="A382" s="0" t="n">
        <v>381</v>
      </c>
      <c r="D382" s="0" t="s">
        <v>1419</v>
      </c>
      <c r="E382" s="0" t="s">
        <v>20</v>
      </c>
      <c r="H382" s="0" t="s">
        <v>21</v>
      </c>
      <c r="I382" s="2" t="s">
        <v>22</v>
      </c>
      <c r="J382" s="2" t="s">
        <v>635</v>
      </c>
      <c r="K382" s="0" t="s">
        <v>636</v>
      </c>
      <c r="L382" s="0" t="s">
        <v>31</v>
      </c>
      <c r="M382" s="0" t="s">
        <v>637</v>
      </c>
      <c r="N382" s="0" t="s">
        <v>1420</v>
      </c>
      <c r="O382" s="0" t="n">
        <v>1</v>
      </c>
      <c r="P382" s="0" t="s">
        <v>1421</v>
      </c>
      <c r="Q382" s="3"/>
      <c r="S382" s="2" t="s">
        <v>29</v>
      </c>
    </row>
    <row r="383" customFormat="false" ht="15" hidden="false" customHeight="false" outlineLevel="0" collapsed="false">
      <c r="A383" s="0" t="n">
        <v>382</v>
      </c>
      <c r="D383" s="0" t="s">
        <v>1422</v>
      </c>
      <c r="E383" s="0" t="s">
        <v>267</v>
      </c>
      <c r="H383" s="0" t="s">
        <v>21</v>
      </c>
      <c r="I383" s="2" t="s">
        <v>22</v>
      </c>
      <c r="J383" s="2" t="s">
        <v>635</v>
      </c>
      <c r="K383" s="0" t="s">
        <v>636</v>
      </c>
      <c r="L383" s="0" t="s">
        <v>31</v>
      </c>
      <c r="M383" s="0" t="s">
        <v>637</v>
      </c>
      <c r="N383" s="0" t="s">
        <v>1423</v>
      </c>
      <c r="O383" s="0" t="n">
        <v>1</v>
      </c>
      <c r="P383" s="0" t="s">
        <v>1424</v>
      </c>
      <c r="Q383" s="3"/>
      <c r="S383" s="2" t="s">
        <v>29</v>
      </c>
    </row>
    <row r="384" customFormat="false" ht="15" hidden="false" customHeight="false" outlineLevel="0" collapsed="false">
      <c r="A384" s="0" t="n">
        <v>383</v>
      </c>
      <c r="D384" s="0" t="s">
        <v>1425</v>
      </c>
      <c r="E384" s="0" t="s">
        <v>20</v>
      </c>
      <c r="H384" s="0" t="s">
        <v>21</v>
      </c>
      <c r="I384" s="2" t="s">
        <v>22</v>
      </c>
      <c r="J384" s="2" t="s">
        <v>635</v>
      </c>
      <c r="K384" s="0" t="s">
        <v>636</v>
      </c>
      <c r="L384" s="0" t="s">
        <v>31</v>
      </c>
      <c r="M384" s="0" t="s">
        <v>637</v>
      </c>
      <c r="N384" s="0" t="s">
        <v>1426</v>
      </c>
      <c r="O384" s="0" t="n">
        <v>1</v>
      </c>
      <c r="P384" s="0" t="s">
        <v>1427</v>
      </c>
      <c r="Q384" s="3"/>
      <c r="S384" s="2" t="s">
        <v>29</v>
      </c>
    </row>
    <row r="385" customFormat="false" ht="15" hidden="false" customHeight="false" outlineLevel="0" collapsed="false">
      <c r="A385" s="0" t="n">
        <v>384</v>
      </c>
      <c r="D385" s="0" t="s">
        <v>1428</v>
      </c>
      <c r="E385" s="0" t="s">
        <v>20</v>
      </c>
      <c r="H385" s="0" t="s">
        <v>21</v>
      </c>
      <c r="I385" s="2" t="s">
        <v>22</v>
      </c>
      <c r="J385" s="2" t="s">
        <v>635</v>
      </c>
      <c r="K385" s="0" t="s">
        <v>636</v>
      </c>
      <c r="L385" s="0" t="s">
        <v>31</v>
      </c>
      <c r="M385" s="0" t="s">
        <v>637</v>
      </c>
      <c r="N385" s="0" t="s">
        <v>1429</v>
      </c>
      <c r="O385" s="0" t="n">
        <v>1</v>
      </c>
      <c r="P385" s="0" t="s">
        <v>1430</v>
      </c>
      <c r="Q385" s="3"/>
      <c r="S385" s="2" t="s">
        <v>29</v>
      </c>
    </row>
    <row r="386" customFormat="false" ht="15" hidden="false" customHeight="false" outlineLevel="0" collapsed="false">
      <c r="A386" s="0" t="n">
        <v>385</v>
      </c>
      <c r="D386" s="0" t="s">
        <v>1431</v>
      </c>
      <c r="E386" s="0" t="s">
        <v>99</v>
      </c>
      <c r="H386" s="0" t="s">
        <v>21</v>
      </c>
      <c r="I386" s="2" t="s">
        <v>22</v>
      </c>
      <c r="J386" s="2" t="s">
        <v>635</v>
      </c>
      <c r="K386" s="0" t="s">
        <v>636</v>
      </c>
      <c r="L386" s="0" t="s">
        <v>100</v>
      </c>
      <c r="M386" s="0" t="s">
        <v>637</v>
      </c>
      <c r="N386" s="0" t="s">
        <v>1432</v>
      </c>
      <c r="O386" s="0" t="n">
        <v>1</v>
      </c>
      <c r="P386" s="0" t="s">
        <v>1433</v>
      </c>
      <c r="Q386" s="3"/>
      <c r="S386" s="2" t="s">
        <v>29</v>
      </c>
    </row>
    <row r="387" customFormat="false" ht="15" hidden="false" customHeight="false" outlineLevel="0" collapsed="false">
      <c r="A387" s="0" t="n">
        <v>386</v>
      </c>
      <c r="D387" s="0" t="s">
        <v>1434</v>
      </c>
      <c r="E387" s="0" t="s">
        <v>20</v>
      </c>
      <c r="H387" s="0" t="s">
        <v>21</v>
      </c>
      <c r="I387" s="2" t="s">
        <v>22</v>
      </c>
      <c r="J387" s="2" t="s">
        <v>635</v>
      </c>
      <c r="K387" s="0" t="s">
        <v>636</v>
      </c>
      <c r="L387" s="0" t="s">
        <v>31</v>
      </c>
      <c r="M387" s="0" t="s">
        <v>637</v>
      </c>
      <c r="N387" s="0" t="s">
        <v>1435</v>
      </c>
      <c r="O387" s="0" t="n">
        <v>1</v>
      </c>
      <c r="P387" s="0" t="s">
        <v>1436</v>
      </c>
      <c r="Q387" s="3"/>
      <c r="S387" s="2" t="s">
        <v>29</v>
      </c>
    </row>
    <row r="388" customFormat="false" ht="15" hidden="false" customHeight="false" outlineLevel="0" collapsed="false">
      <c r="A388" s="0" t="n">
        <v>387</v>
      </c>
      <c r="D388" s="0" t="s">
        <v>1437</v>
      </c>
      <c r="E388" s="0" t="s">
        <v>20</v>
      </c>
      <c r="H388" s="0" t="s">
        <v>21</v>
      </c>
      <c r="I388" s="2" t="s">
        <v>22</v>
      </c>
      <c r="J388" s="2" t="s">
        <v>635</v>
      </c>
      <c r="K388" s="0" t="s">
        <v>636</v>
      </c>
      <c r="L388" s="0" t="s">
        <v>31</v>
      </c>
      <c r="M388" s="0" t="s">
        <v>637</v>
      </c>
      <c r="N388" s="0" t="s">
        <v>1438</v>
      </c>
      <c r="O388" s="0" t="n">
        <v>1</v>
      </c>
      <c r="P388" s="0" t="s">
        <v>1439</v>
      </c>
      <c r="Q388" s="3"/>
      <c r="S388" s="2" t="s">
        <v>29</v>
      </c>
    </row>
    <row r="389" customFormat="false" ht="15" hidden="false" customHeight="false" outlineLevel="0" collapsed="false">
      <c r="A389" s="0" t="n">
        <v>388</v>
      </c>
      <c r="D389" s="0" t="s">
        <v>1440</v>
      </c>
      <c r="E389" s="0" t="s">
        <v>20</v>
      </c>
      <c r="H389" s="0" t="s">
        <v>21</v>
      </c>
      <c r="I389" s="2" t="s">
        <v>22</v>
      </c>
      <c r="J389" s="2" t="s">
        <v>635</v>
      </c>
      <c r="K389" s="0" t="s">
        <v>636</v>
      </c>
      <c r="L389" s="0" t="s">
        <v>31</v>
      </c>
      <c r="M389" s="0" t="s">
        <v>637</v>
      </c>
      <c r="N389" s="0" t="s">
        <v>1441</v>
      </c>
      <c r="O389" s="0" t="n">
        <v>1</v>
      </c>
      <c r="P389" s="0" t="s">
        <v>1442</v>
      </c>
      <c r="Q389" s="3"/>
      <c r="S389" s="2" t="s">
        <v>29</v>
      </c>
    </row>
    <row r="390" customFormat="false" ht="15" hidden="false" customHeight="false" outlineLevel="0" collapsed="false">
      <c r="A390" s="0" t="n">
        <v>389</v>
      </c>
      <c r="D390" s="0" t="s">
        <v>1443</v>
      </c>
      <c r="E390" s="0" t="s">
        <v>20</v>
      </c>
      <c r="H390" s="0" t="s">
        <v>21</v>
      </c>
      <c r="I390" s="2" t="s">
        <v>22</v>
      </c>
      <c r="J390" s="2" t="s">
        <v>635</v>
      </c>
      <c r="K390" s="0" t="s">
        <v>636</v>
      </c>
      <c r="L390" s="0" t="s">
        <v>31</v>
      </c>
      <c r="M390" s="0" t="s">
        <v>637</v>
      </c>
      <c r="N390" s="0" t="s">
        <v>1444</v>
      </c>
      <c r="O390" s="0" t="n">
        <v>1</v>
      </c>
      <c r="P390" s="0" t="s">
        <v>1445</v>
      </c>
      <c r="Q390" s="3"/>
      <c r="S390" s="2" t="s">
        <v>29</v>
      </c>
    </row>
    <row r="391" customFormat="false" ht="15" hidden="false" customHeight="false" outlineLevel="0" collapsed="false">
      <c r="A391" s="0" t="n">
        <v>390</v>
      </c>
      <c r="D391" s="0" t="s">
        <v>1446</v>
      </c>
      <c r="E391" s="0" t="s">
        <v>20</v>
      </c>
      <c r="H391" s="0" t="s">
        <v>21</v>
      </c>
      <c r="I391" s="2" t="s">
        <v>22</v>
      </c>
      <c r="J391" s="2" t="s">
        <v>635</v>
      </c>
      <c r="K391" s="0" t="s">
        <v>636</v>
      </c>
      <c r="L391" s="0" t="s">
        <v>31</v>
      </c>
      <c r="M391" s="0" t="s">
        <v>637</v>
      </c>
      <c r="N391" s="0" t="s">
        <v>1447</v>
      </c>
      <c r="O391" s="0" t="n">
        <v>1</v>
      </c>
      <c r="P391" s="0" t="s">
        <v>1448</v>
      </c>
      <c r="Q391" s="3"/>
      <c r="S391" s="2" t="s">
        <v>29</v>
      </c>
    </row>
    <row r="392" customFormat="false" ht="15" hidden="false" customHeight="false" outlineLevel="0" collapsed="false">
      <c r="A392" s="0" t="n">
        <v>391</v>
      </c>
      <c r="D392" s="0" t="s">
        <v>1449</v>
      </c>
      <c r="E392" s="0" t="s">
        <v>99</v>
      </c>
      <c r="H392" s="0" t="s">
        <v>21</v>
      </c>
      <c r="I392" s="2" t="s">
        <v>22</v>
      </c>
      <c r="J392" s="2" t="s">
        <v>635</v>
      </c>
      <c r="K392" s="0" t="s">
        <v>636</v>
      </c>
      <c r="L392" s="0" t="s">
        <v>100</v>
      </c>
      <c r="M392" s="0" t="s">
        <v>637</v>
      </c>
      <c r="N392" s="0" t="s">
        <v>1450</v>
      </c>
      <c r="O392" s="0" t="n">
        <v>1</v>
      </c>
      <c r="P392" s="0" t="s">
        <v>1451</v>
      </c>
      <c r="Q392" s="3"/>
      <c r="S392" s="2" t="s">
        <v>29</v>
      </c>
    </row>
    <row r="393" customFormat="false" ht="15" hidden="false" customHeight="false" outlineLevel="0" collapsed="false">
      <c r="A393" s="0" t="n">
        <v>392</v>
      </c>
      <c r="D393" s="0" t="s">
        <v>1452</v>
      </c>
      <c r="E393" s="0" t="s">
        <v>99</v>
      </c>
      <c r="H393" s="0" t="s">
        <v>21</v>
      </c>
      <c r="I393" s="2" t="s">
        <v>22</v>
      </c>
      <c r="J393" s="2" t="s">
        <v>635</v>
      </c>
      <c r="K393" s="0" t="s">
        <v>636</v>
      </c>
      <c r="L393" s="0" t="s">
        <v>100</v>
      </c>
      <c r="M393" s="0" t="s">
        <v>637</v>
      </c>
      <c r="N393" s="0" t="s">
        <v>1453</v>
      </c>
      <c r="O393" s="0" t="n">
        <v>1</v>
      </c>
      <c r="P393" s="0" t="s">
        <v>1454</v>
      </c>
      <c r="Q393" s="3"/>
      <c r="S393" s="2" t="s">
        <v>29</v>
      </c>
    </row>
    <row r="394" customFormat="false" ht="15" hidden="false" customHeight="false" outlineLevel="0" collapsed="false">
      <c r="A394" s="0" t="n">
        <v>393</v>
      </c>
      <c r="D394" s="0" t="s">
        <v>1455</v>
      </c>
      <c r="E394" s="0" t="s">
        <v>20</v>
      </c>
      <c r="H394" s="0" t="s">
        <v>21</v>
      </c>
      <c r="I394" s="2" t="s">
        <v>22</v>
      </c>
      <c r="J394" s="2" t="s">
        <v>635</v>
      </c>
      <c r="K394" s="0" t="s">
        <v>636</v>
      </c>
      <c r="L394" s="0" t="s">
        <v>31</v>
      </c>
      <c r="M394" s="0" t="s">
        <v>637</v>
      </c>
      <c r="N394" s="0" t="s">
        <v>1456</v>
      </c>
      <c r="O394" s="0" t="n">
        <v>1</v>
      </c>
      <c r="P394" s="0" t="s">
        <v>1457</v>
      </c>
      <c r="Q394" s="3"/>
      <c r="S394" s="2" t="s">
        <v>29</v>
      </c>
    </row>
    <row r="395" customFormat="false" ht="15" hidden="false" customHeight="false" outlineLevel="0" collapsed="false">
      <c r="A395" s="0" t="n">
        <v>394</v>
      </c>
      <c r="D395" s="0" t="s">
        <v>1458</v>
      </c>
      <c r="E395" s="0" t="s">
        <v>20</v>
      </c>
      <c r="H395" s="0" t="s">
        <v>21</v>
      </c>
      <c r="I395" s="2" t="s">
        <v>22</v>
      </c>
      <c r="J395" s="2" t="s">
        <v>635</v>
      </c>
      <c r="K395" s="0" t="s">
        <v>636</v>
      </c>
      <c r="L395" s="0" t="s">
        <v>31</v>
      </c>
      <c r="M395" s="0" t="s">
        <v>637</v>
      </c>
      <c r="N395" s="0" t="s">
        <v>1459</v>
      </c>
      <c r="O395" s="0" t="n">
        <v>1</v>
      </c>
      <c r="P395" s="0" t="s">
        <v>1460</v>
      </c>
      <c r="Q395" s="3"/>
      <c r="S395" s="2" t="s">
        <v>29</v>
      </c>
    </row>
    <row r="396" customFormat="false" ht="15" hidden="false" customHeight="false" outlineLevel="0" collapsed="false">
      <c r="A396" s="0" t="n">
        <v>395</v>
      </c>
      <c r="D396" s="0" t="s">
        <v>1461</v>
      </c>
      <c r="E396" s="0" t="s">
        <v>20</v>
      </c>
      <c r="H396" s="0" t="s">
        <v>21</v>
      </c>
      <c r="I396" s="2" t="s">
        <v>22</v>
      </c>
      <c r="J396" s="2" t="s">
        <v>635</v>
      </c>
      <c r="K396" s="0" t="s">
        <v>636</v>
      </c>
      <c r="L396" s="0" t="s">
        <v>31</v>
      </c>
      <c r="M396" s="0" t="s">
        <v>637</v>
      </c>
      <c r="N396" s="0" t="s">
        <v>1462</v>
      </c>
      <c r="O396" s="0" t="n">
        <v>1</v>
      </c>
      <c r="P396" s="0" t="s">
        <v>1463</v>
      </c>
      <c r="Q396" s="3"/>
      <c r="S396" s="2" t="s">
        <v>29</v>
      </c>
    </row>
    <row r="397" customFormat="false" ht="15" hidden="false" customHeight="false" outlineLevel="0" collapsed="false">
      <c r="A397" s="0" t="n">
        <v>396</v>
      </c>
      <c r="D397" s="0" t="s">
        <v>1464</v>
      </c>
      <c r="E397" s="0" t="s">
        <v>20</v>
      </c>
      <c r="H397" s="0" t="s">
        <v>21</v>
      </c>
      <c r="I397" s="2" t="s">
        <v>22</v>
      </c>
      <c r="J397" s="2" t="s">
        <v>635</v>
      </c>
      <c r="K397" s="0" t="s">
        <v>636</v>
      </c>
      <c r="L397" s="0" t="s">
        <v>31</v>
      </c>
      <c r="M397" s="0" t="s">
        <v>637</v>
      </c>
      <c r="N397" s="0" t="s">
        <v>1465</v>
      </c>
      <c r="O397" s="0" t="n">
        <v>1</v>
      </c>
      <c r="P397" s="0" t="s">
        <v>1466</v>
      </c>
      <c r="Q397" s="3"/>
      <c r="S397" s="2" t="s">
        <v>29</v>
      </c>
    </row>
    <row r="398" customFormat="false" ht="15" hidden="false" customHeight="false" outlineLevel="0" collapsed="false">
      <c r="A398" s="0" t="n">
        <v>397</v>
      </c>
      <c r="D398" s="0" t="s">
        <v>1467</v>
      </c>
      <c r="E398" s="0" t="s">
        <v>63</v>
      </c>
      <c r="H398" s="0" t="s">
        <v>21</v>
      </c>
      <c r="I398" s="2" t="s">
        <v>22</v>
      </c>
      <c r="J398" s="2" t="s">
        <v>635</v>
      </c>
      <c r="K398" s="0" t="s">
        <v>636</v>
      </c>
      <c r="L398" s="0" t="s">
        <v>100</v>
      </c>
      <c r="M398" s="0" t="s">
        <v>637</v>
      </c>
      <c r="N398" s="0" t="s">
        <v>1468</v>
      </c>
      <c r="O398" s="0" t="n">
        <v>1</v>
      </c>
      <c r="Q398" s="3"/>
      <c r="S398" s="2" t="s">
        <v>29</v>
      </c>
    </row>
    <row r="399" customFormat="false" ht="15" hidden="false" customHeight="false" outlineLevel="0" collapsed="false">
      <c r="A399" s="0" t="n">
        <v>398</v>
      </c>
      <c r="D399" s="0" t="s">
        <v>1469</v>
      </c>
      <c r="E399" s="0" t="s">
        <v>20</v>
      </c>
      <c r="H399" s="0" t="s">
        <v>21</v>
      </c>
      <c r="I399" s="2" t="s">
        <v>22</v>
      </c>
      <c r="J399" s="2" t="s">
        <v>635</v>
      </c>
      <c r="K399" s="0" t="s">
        <v>636</v>
      </c>
      <c r="L399" s="0" t="s">
        <v>31</v>
      </c>
      <c r="M399" s="0" t="s">
        <v>637</v>
      </c>
      <c r="N399" s="0" t="s">
        <v>1470</v>
      </c>
      <c r="O399" s="0" t="n">
        <v>1</v>
      </c>
      <c r="P399" s="0" t="s">
        <v>1471</v>
      </c>
      <c r="Q399" s="3"/>
      <c r="S399" s="2" t="s">
        <v>29</v>
      </c>
    </row>
    <row r="400" customFormat="false" ht="15" hidden="false" customHeight="false" outlineLevel="0" collapsed="false">
      <c r="A400" s="0" t="n">
        <v>399</v>
      </c>
      <c r="D400" s="0" t="s">
        <v>1472</v>
      </c>
      <c r="E400" s="0" t="s">
        <v>20</v>
      </c>
      <c r="H400" s="0" t="s">
        <v>21</v>
      </c>
      <c r="I400" s="2" t="s">
        <v>22</v>
      </c>
      <c r="J400" s="2" t="s">
        <v>635</v>
      </c>
      <c r="K400" s="0" t="s">
        <v>636</v>
      </c>
      <c r="L400" s="0" t="s">
        <v>31</v>
      </c>
      <c r="M400" s="0" t="s">
        <v>637</v>
      </c>
      <c r="N400" s="0" t="s">
        <v>1473</v>
      </c>
      <c r="O400" s="0" t="n">
        <v>1</v>
      </c>
      <c r="P400" s="0" t="s">
        <v>1474</v>
      </c>
      <c r="Q400" s="3"/>
      <c r="S400" s="2" t="s">
        <v>29</v>
      </c>
    </row>
    <row r="401" customFormat="false" ht="15" hidden="false" customHeight="false" outlineLevel="0" collapsed="false">
      <c r="A401" s="0" t="n">
        <v>400</v>
      </c>
      <c r="D401" s="0" t="s">
        <v>1475</v>
      </c>
      <c r="E401" s="0" t="s">
        <v>20</v>
      </c>
      <c r="H401" s="0" t="s">
        <v>21</v>
      </c>
      <c r="I401" s="2" t="s">
        <v>22</v>
      </c>
      <c r="J401" s="2" t="s">
        <v>635</v>
      </c>
      <c r="K401" s="0" t="s">
        <v>636</v>
      </c>
      <c r="L401" s="0" t="s">
        <v>31</v>
      </c>
      <c r="M401" s="0" t="s">
        <v>637</v>
      </c>
      <c r="N401" s="0" t="s">
        <v>1476</v>
      </c>
      <c r="O401" s="0" t="n">
        <v>1</v>
      </c>
      <c r="P401" s="0" t="s">
        <v>1477</v>
      </c>
      <c r="Q401" s="3"/>
      <c r="S401" s="2" t="s">
        <v>29</v>
      </c>
    </row>
    <row r="402" customFormat="false" ht="15" hidden="false" customHeight="false" outlineLevel="0" collapsed="false">
      <c r="A402" s="0" t="n">
        <v>401</v>
      </c>
      <c r="D402" s="0" t="s">
        <v>1478</v>
      </c>
      <c r="E402" s="0" t="s">
        <v>20</v>
      </c>
      <c r="H402" s="0" t="s">
        <v>21</v>
      </c>
      <c r="I402" s="2" t="s">
        <v>22</v>
      </c>
      <c r="J402" s="2" t="s">
        <v>635</v>
      </c>
      <c r="K402" s="0" t="s">
        <v>636</v>
      </c>
      <c r="L402" s="0" t="s">
        <v>31</v>
      </c>
      <c r="M402" s="0" t="s">
        <v>637</v>
      </c>
      <c r="N402" s="0" t="s">
        <v>1479</v>
      </c>
      <c r="O402" s="0" t="n">
        <v>1</v>
      </c>
      <c r="P402" s="0" t="s">
        <v>1480</v>
      </c>
      <c r="Q402" s="3"/>
      <c r="S402" s="2" t="s">
        <v>29</v>
      </c>
    </row>
    <row r="403" customFormat="false" ht="15" hidden="false" customHeight="false" outlineLevel="0" collapsed="false">
      <c r="A403" s="0" t="n">
        <v>402</v>
      </c>
      <c r="D403" s="0" t="s">
        <v>1481</v>
      </c>
      <c r="E403" s="0" t="s">
        <v>20</v>
      </c>
      <c r="H403" s="0" t="s">
        <v>21</v>
      </c>
      <c r="I403" s="2" t="s">
        <v>22</v>
      </c>
      <c r="J403" s="2" t="s">
        <v>635</v>
      </c>
      <c r="K403" s="0" t="s">
        <v>636</v>
      </c>
      <c r="L403" s="0" t="s">
        <v>31</v>
      </c>
      <c r="M403" s="0" t="s">
        <v>637</v>
      </c>
      <c r="N403" s="0" t="s">
        <v>1482</v>
      </c>
      <c r="O403" s="0" t="n">
        <v>1</v>
      </c>
      <c r="P403" s="0" t="s">
        <v>1483</v>
      </c>
      <c r="Q403" s="3"/>
      <c r="S403" s="2" t="s">
        <v>29</v>
      </c>
    </row>
    <row r="404" customFormat="false" ht="15" hidden="false" customHeight="false" outlineLevel="0" collapsed="false">
      <c r="A404" s="0" t="n">
        <v>403</v>
      </c>
      <c r="D404" s="0" t="s">
        <v>1484</v>
      </c>
      <c r="E404" s="0" t="s">
        <v>99</v>
      </c>
      <c r="H404" s="0" t="s">
        <v>21</v>
      </c>
      <c r="I404" s="2" t="s">
        <v>22</v>
      </c>
      <c r="J404" s="2" t="s">
        <v>635</v>
      </c>
      <c r="K404" s="0" t="s">
        <v>636</v>
      </c>
      <c r="L404" s="0" t="s">
        <v>100</v>
      </c>
      <c r="M404" s="0" t="s">
        <v>637</v>
      </c>
      <c r="N404" s="0" t="s">
        <v>1485</v>
      </c>
      <c r="O404" s="0" t="n">
        <v>1</v>
      </c>
      <c r="P404" s="0" t="s">
        <v>1486</v>
      </c>
      <c r="Q404" s="3"/>
      <c r="S404" s="2" t="s">
        <v>29</v>
      </c>
    </row>
    <row r="405" customFormat="false" ht="15" hidden="false" customHeight="false" outlineLevel="0" collapsed="false">
      <c r="A405" s="0" t="n">
        <v>404</v>
      </c>
      <c r="D405" s="0" t="s">
        <v>1487</v>
      </c>
      <c r="E405" s="0" t="s">
        <v>20</v>
      </c>
      <c r="H405" s="0" t="s">
        <v>21</v>
      </c>
      <c r="I405" s="2" t="s">
        <v>22</v>
      </c>
      <c r="J405" s="2" t="s">
        <v>635</v>
      </c>
      <c r="K405" s="0" t="s">
        <v>636</v>
      </c>
      <c r="L405" s="0" t="s">
        <v>31</v>
      </c>
      <c r="M405" s="0" t="s">
        <v>637</v>
      </c>
      <c r="N405" s="0" t="s">
        <v>1488</v>
      </c>
      <c r="O405" s="0" t="n">
        <v>1</v>
      </c>
      <c r="P405" s="0" t="s">
        <v>1489</v>
      </c>
      <c r="Q405" s="3"/>
      <c r="S405" s="2" t="s">
        <v>29</v>
      </c>
    </row>
    <row r="406" customFormat="false" ht="15" hidden="false" customHeight="false" outlineLevel="0" collapsed="false">
      <c r="A406" s="0" t="n">
        <v>405</v>
      </c>
      <c r="D406" s="0" t="s">
        <v>1490</v>
      </c>
      <c r="E406" s="0" t="s">
        <v>20</v>
      </c>
      <c r="H406" s="0" t="s">
        <v>21</v>
      </c>
      <c r="I406" s="2" t="s">
        <v>22</v>
      </c>
      <c r="J406" s="2" t="s">
        <v>635</v>
      </c>
      <c r="K406" s="0" t="s">
        <v>636</v>
      </c>
      <c r="L406" s="0" t="s">
        <v>31</v>
      </c>
      <c r="M406" s="0" t="s">
        <v>637</v>
      </c>
      <c r="N406" s="0" t="s">
        <v>1491</v>
      </c>
      <c r="O406" s="0" t="n">
        <v>1</v>
      </c>
      <c r="P406" s="0" t="s">
        <v>1492</v>
      </c>
      <c r="Q406" s="3"/>
      <c r="S406" s="2" t="s">
        <v>29</v>
      </c>
    </row>
    <row r="407" customFormat="false" ht="15" hidden="false" customHeight="false" outlineLevel="0" collapsed="false">
      <c r="A407" s="0" t="n">
        <v>406</v>
      </c>
      <c r="D407" s="0" t="s">
        <v>1493</v>
      </c>
      <c r="E407" s="0" t="s">
        <v>226</v>
      </c>
      <c r="H407" s="0" t="s">
        <v>21</v>
      </c>
      <c r="I407" s="2" t="s">
        <v>22</v>
      </c>
      <c r="J407" s="2" t="s">
        <v>635</v>
      </c>
      <c r="K407" s="0" t="s">
        <v>636</v>
      </c>
      <c r="L407" s="0" t="s">
        <v>100</v>
      </c>
      <c r="M407" s="0" t="s">
        <v>637</v>
      </c>
      <c r="N407" s="0" t="s">
        <v>1494</v>
      </c>
      <c r="O407" s="0" t="n">
        <v>1</v>
      </c>
      <c r="P407" s="0" t="s">
        <v>1495</v>
      </c>
      <c r="Q407" s="3"/>
      <c r="S407" s="2" t="s">
        <v>29</v>
      </c>
    </row>
    <row r="408" customFormat="false" ht="15" hidden="false" customHeight="false" outlineLevel="0" collapsed="false">
      <c r="A408" s="0" t="n">
        <v>407</v>
      </c>
      <c r="D408" s="0" t="s">
        <v>1496</v>
      </c>
      <c r="E408" s="0" t="s">
        <v>20</v>
      </c>
      <c r="H408" s="0" t="s">
        <v>21</v>
      </c>
      <c r="I408" s="2" t="s">
        <v>22</v>
      </c>
      <c r="J408" s="2" t="s">
        <v>635</v>
      </c>
      <c r="K408" s="0" t="s">
        <v>636</v>
      </c>
      <c r="L408" s="0" t="s">
        <v>31</v>
      </c>
      <c r="M408" s="0" t="s">
        <v>637</v>
      </c>
      <c r="N408" s="0" t="s">
        <v>1497</v>
      </c>
      <c r="O408" s="0" t="n">
        <v>1</v>
      </c>
      <c r="P408" s="0" t="s">
        <v>1498</v>
      </c>
      <c r="Q408" s="3"/>
      <c r="S408" s="2" t="s">
        <v>29</v>
      </c>
    </row>
    <row r="409" customFormat="false" ht="15" hidden="false" customHeight="false" outlineLevel="0" collapsed="false">
      <c r="A409" s="0" t="n">
        <v>408</v>
      </c>
      <c r="D409" s="0" t="s">
        <v>1499</v>
      </c>
      <c r="E409" s="0" t="s">
        <v>99</v>
      </c>
      <c r="H409" s="0" t="s">
        <v>21</v>
      </c>
      <c r="I409" s="2" t="s">
        <v>22</v>
      </c>
      <c r="J409" s="2" t="s">
        <v>635</v>
      </c>
      <c r="K409" s="0" t="s">
        <v>636</v>
      </c>
      <c r="L409" s="0" t="s">
        <v>100</v>
      </c>
      <c r="M409" s="0" t="s">
        <v>637</v>
      </c>
      <c r="N409" s="0" t="s">
        <v>1500</v>
      </c>
      <c r="O409" s="0" t="n">
        <v>1</v>
      </c>
      <c r="P409" s="0" t="s">
        <v>1501</v>
      </c>
      <c r="Q409" s="3"/>
      <c r="S409" s="2" t="s">
        <v>29</v>
      </c>
    </row>
    <row r="410" customFormat="false" ht="15" hidden="false" customHeight="false" outlineLevel="0" collapsed="false">
      <c r="A410" s="0" t="n">
        <v>409</v>
      </c>
      <c r="D410" s="0" t="s">
        <v>1502</v>
      </c>
      <c r="E410" s="0" t="s">
        <v>492</v>
      </c>
      <c r="H410" s="0" t="s">
        <v>21</v>
      </c>
      <c r="I410" s="2" t="s">
        <v>22</v>
      </c>
      <c r="J410" s="2" t="s">
        <v>635</v>
      </c>
      <c r="K410" s="0" t="s">
        <v>636</v>
      </c>
      <c r="L410" s="0" t="s">
        <v>31</v>
      </c>
      <c r="M410" s="0" t="s">
        <v>637</v>
      </c>
      <c r="N410" s="0" t="s">
        <v>1503</v>
      </c>
      <c r="O410" s="0" t="n">
        <v>1</v>
      </c>
      <c r="P410" s="0" t="s">
        <v>1504</v>
      </c>
      <c r="Q410" s="3"/>
      <c r="S410" s="2" t="s">
        <v>29</v>
      </c>
    </row>
    <row r="411" customFormat="false" ht="15" hidden="false" customHeight="false" outlineLevel="0" collapsed="false">
      <c r="A411" s="0" t="n">
        <v>410</v>
      </c>
      <c r="D411" s="0" t="s">
        <v>1505</v>
      </c>
      <c r="E411" s="0" t="s">
        <v>492</v>
      </c>
      <c r="H411" s="0" t="s">
        <v>21</v>
      </c>
      <c r="I411" s="2" t="s">
        <v>22</v>
      </c>
      <c r="J411" s="2" t="s">
        <v>635</v>
      </c>
      <c r="K411" s="0" t="s">
        <v>636</v>
      </c>
      <c r="L411" s="0" t="s">
        <v>31</v>
      </c>
      <c r="M411" s="0" t="s">
        <v>637</v>
      </c>
      <c r="N411" s="0" t="s">
        <v>1506</v>
      </c>
      <c r="O411" s="0" t="n">
        <v>1</v>
      </c>
      <c r="P411" s="0" t="s">
        <v>1507</v>
      </c>
      <c r="Q411" s="3"/>
      <c r="S411" s="2" t="s">
        <v>29</v>
      </c>
    </row>
    <row r="412" customFormat="false" ht="15" hidden="false" customHeight="false" outlineLevel="0" collapsed="false">
      <c r="A412" s="0" t="n">
        <v>411</v>
      </c>
      <c r="D412" s="0" t="s">
        <v>1508</v>
      </c>
      <c r="E412" s="0" t="s">
        <v>20</v>
      </c>
      <c r="H412" s="0" t="s">
        <v>21</v>
      </c>
      <c r="I412" s="2" t="s">
        <v>22</v>
      </c>
      <c r="J412" s="2" t="s">
        <v>635</v>
      </c>
      <c r="K412" s="0" t="s">
        <v>636</v>
      </c>
      <c r="L412" s="0" t="s">
        <v>31</v>
      </c>
      <c r="M412" s="0" t="s">
        <v>637</v>
      </c>
      <c r="N412" s="0" t="s">
        <v>1509</v>
      </c>
      <c r="O412" s="0" t="n">
        <v>1</v>
      </c>
      <c r="P412" s="0" t="s">
        <v>1510</v>
      </c>
      <c r="Q412" s="3"/>
      <c r="S412" s="2" t="s">
        <v>29</v>
      </c>
    </row>
    <row r="413" customFormat="false" ht="15" hidden="false" customHeight="false" outlineLevel="0" collapsed="false">
      <c r="A413" s="0" t="n">
        <v>412</v>
      </c>
      <c r="D413" s="0" t="s">
        <v>1511</v>
      </c>
      <c r="E413" s="0" t="s">
        <v>99</v>
      </c>
      <c r="H413" s="0" t="s">
        <v>21</v>
      </c>
      <c r="I413" s="2" t="s">
        <v>22</v>
      </c>
      <c r="J413" s="2" t="s">
        <v>635</v>
      </c>
      <c r="K413" s="0" t="s">
        <v>636</v>
      </c>
      <c r="L413" s="0" t="s">
        <v>100</v>
      </c>
      <c r="M413" s="0" t="s">
        <v>637</v>
      </c>
      <c r="N413" s="0" t="s">
        <v>1512</v>
      </c>
      <c r="O413" s="0" t="n">
        <v>1</v>
      </c>
      <c r="P413" s="0" t="s">
        <v>1513</v>
      </c>
      <c r="Q413" s="3"/>
      <c r="S413" s="2" t="s">
        <v>29</v>
      </c>
    </row>
    <row r="414" customFormat="false" ht="15" hidden="false" customHeight="false" outlineLevel="0" collapsed="false">
      <c r="A414" s="0" t="n">
        <v>413</v>
      </c>
      <c r="D414" s="0" t="s">
        <v>1514</v>
      </c>
      <c r="E414" s="0" t="s">
        <v>492</v>
      </c>
      <c r="H414" s="0" t="s">
        <v>21</v>
      </c>
      <c r="I414" s="2" t="s">
        <v>22</v>
      </c>
      <c r="J414" s="2" t="s">
        <v>635</v>
      </c>
      <c r="K414" s="0" t="s">
        <v>636</v>
      </c>
      <c r="L414" s="0" t="s">
        <v>31</v>
      </c>
      <c r="M414" s="0" t="s">
        <v>637</v>
      </c>
      <c r="N414" s="0" t="s">
        <v>1515</v>
      </c>
      <c r="O414" s="0" t="n">
        <v>1</v>
      </c>
      <c r="P414" s="0" t="s">
        <v>1516</v>
      </c>
      <c r="Q414" s="3"/>
      <c r="S414" s="2" t="s">
        <v>29</v>
      </c>
    </row>
    <row r="415" customFormat="false" ht="15" hidden="false" customHeight="false" outlineLevel="0" collapsed="false">
      <c r="A415" s="0" t="n">
        <v>414</v>
      </c>
      <c r="D415" s="0" t="s">
        <v>1517</v>
      </c>
      <c r="E415" s="0" t="s">
        <v>20</v>
      </c>
      <c r="H415" s="0" t="s">
        <v>21</v>
      </c>
      <c r="I415" s="2" t="s">
        <v>22</v>
      </c>
      <c r="J415" s="2" t="s">
        <v>635</v>
      </c>
      <c r="K415" s="0" t="s">
        <v>636</v>
      </c>
      <c r="L415" s="0" t="s">
        <v>31</v>
      </c>
      <c r="M415" s="0" t="s">
        <v>637</v>
      </c>
      <c r="N415" s="0" t="s">
        <v>1518</v>
      </c>
      <c r="O415" s="0" t="n">
        <v>1</v>
      </c>
      <c r="P415" s="0" t="s">
        <v>1519</v>
      </c>
      <c r="Q415" s="3"/>
      <c r="S415" s="2" t="s">
        <v>29</v>
      </c>
    </row>
    <row r="416" customFormat="false" ht="15" hidden="false" customHeight="false" outlineLevel="0" collapsed="false">
      <c r="A416" s="0" t="n">
        <v>415</v>
      </c>
      <c r="D416" s="0" t="s">
        <v>1520</v>
      </c>
      <c r="E416" s="0" t="s">
        <v>267</v>
      </c>
      <c r="H416" s="0" t="s">
        <v>21</v>
      </c>
      <c r="I416" s="2" t="s">
        <v>22</v>
      </c>
      <c r="J416" s="2" t="s">
        <v>635</v>
      </c>
      <c r="K416" s="0" t="s">
        <v>636</v>
      </c>
      <c r="L416" s="0" t="s">
        <v>31</v>
      </c>
      <c r="M416" s="0" t="s">
        <v>637</v>
      </c>
      <c r="N416" s="0" t="s">
        <v>1521</v>
      </c>
      <c r="O416" s="0" t="n">
        <v>1</v>
      </c>
      <c r="P416" s="0" t="s">
        <v>1522</v>
      </c>
      <c r="Q416" s="3"/>
      <c r="S416" s="2" t="s">
        <v>29</v>
      </c>
    </row>
    <row r="417" customFormat="false" ht="15" hidden="false" customHeight="false" outlineLevel="0" collapsed="false">
      <c r="A417" s="0" t="n">
        <v>416</v>
      </c>
      <c r="D417" s="0" t="s">
        <v>1523</v>
      </c>
      <c r="E417" s="0" t="s">
        <v>20</v>
      </c>
      <c r="H417" s="0" t="s">
        <v>21</v>
      </c>
      <c r="I417" s="2" t="s">
        <v>22</v>
      </c>
      <c r="J417" s="2" t="s">
        <v>635</v>
      </c>
      <c r="K417" s="0" t="s">
        <v>636</v>
      </c>
      <c r="L417" s="0" t="s">
        <v>31</v>
      </c>
      <c r="M417" s="0" t="s">
        <v>637</v>
      </c>
      <c r="N417" s="0" t="s">
        <v>1524</v>
      </c>
      <c r="O417" s="0" t="n">
        <v>1</v>
      </c>
      <c r="P417" s="0" t="s">
        <v>1525</v>
      </c>
      <c r="Q417" s="3"/>
      <c r="S417" s="2" t="s">
        <v>29</v>
      </c>
    </row>
    <row r="418" customFormat="false" ht="15" hidden="false" customHeight="false" outlineLevel="0" collapsed="false">
      <c r="A418" s="0" t="n">
        <v>417</v>
      </c>
      <c r="D418" s="0" t="s">
        <v>1526</v>
      </c>
      <c r="E418" s="0" t="s">
        <v>20</v>
      </c>
      <c r="H418" s="0" t="s">
        <v>21</v>
      </c>
      <c r="I418" s="2" t="s">
        <v>22</v>
      </c>
      <c r="J418" s="2" t="s">
        <v>635</v>
      </c>
      <c r="K418" s="0" t="s">
        <v>636</v>
      </c>
      <c r="L418" s="0" t="s">
        <v>31</v>
      </c>
      <c r="M418" s="0" t="s">
        <v>637</v>
      </c>
      <c r="N418" s="0" t="s">
        <v>1527</v>
      </c>
      <c r="O418" s="0" t="n">
        <v>1</v>
      </c>
      <c r="P418" s="0" t="s">
        <v>1528</v>
      </c>
      <c r="Q418" s="3"/>
      <c r="S418" s="2" t="s">
        <v>29</v>
      </c>
    </row>
    <row r="419" customFormat="false" ht="15" hidden="false" customHeight="false" outlineLevel="0" collapsed="false">
      <c r="A419" s="0" t="n">
        <v>418</v>
      </c>
      <c r="D419" s="0" t="s">
        <v>1529</v>
      </c>
      <c r="E419" s="0" t="s">
        <v>20</v>
      </c>
      <c r="H419" s="0" t="s">
        <v>21</v>
      </c>
      <c r="I419" s="2" t="s">
        <v>22</v>
      </c>
      <c r="J419" s="2" t="s">
        <v>635</v>
      </c>
      <c r="K419" s="0" t="s">
        <v>636</v>
      </c>
      <c r="L419" s="0" t="s">
        <v>31</v>
      </c>
      <c r="M419" s="0" t="s">
        <v>637</v>
      </c>
      <c r="N419" s="0" t="s">
        <v>1530</v>
      </c>
      <c r="O419" s="0" t="n">
        <v>1</v>
      </c>
      <c r="P419" s="0" t="s">
        <v>1531</v>
      </c>
      <c r="Q419" s="3"/>
      <c r="S419" s="2" t="s">
        <v>29</v>
      </c>
    </row>
    <row r="420" customFormat="false" ht="15" hidden="false" customHeight="false" outlineLevel="0" collapsed="false">
      <c r="A420" s="0" t="n">
        <v>419</v>
      </c>
      <c r="D420" s="0" t="s">
        <v>1532</v>
      </c>
      <c r="E420" s="0" t="s">
        <v>20</v>
      </c>
      <c r="H420" s="0" t="s">
        <v>21</v>
      </c>
      <c r="I420" s="2" t="s">
        <v>22</v>
      </c>
      <c r="J420" s="2" t="s">
        <v>635</v>
      </c>
      <c r="K420" s="0" t="s">
        <v>636</v>
      </c>
      <c r="L420" s="0" t="s">
        <v>31</v>
      </c>
      <c r="M420" s="0" t="s">
        <v>637</v>
      </c>
      <c r="N420" s="0" t="s">
        <v>1533</v>
      </c>
      <c r="O420" s="0" t="n">
        <v>1</v>
      </c>
      <c r="P420" s="0" t="s">
        <v>1534</v>
      </c>
      <c r="Q420" s="3"/>
      <c r="S420" s="2" t="s">
        <v>29</v>
      </c>
    </row>
    <row r="421" customFormat="false" ht="15" hidden="false" customHeight="false" outlineLevel="0" collapsed="false">
      <c r="A421" s="0" t="n">
        <v>420</v>
      </c>
      <c r="D421" s="0" t="s">
        <v>1535</v>
      </c>
      <c r="E421" s="0" t="s">
        <v>20</v>
      </c>
      <c r="H421" s="0" t="s">
        <v>21</v>
      </c>
      <c r="I421" s="2" t="s">
        <v>22</v>
      </c>
      <c r="J421" s="2" t="s">
        <v>635</v>
      </c>
      <c r="K421" s="0" t="s">
        <v>636</v>
      </c>
      <c r="L421" s="0" t="s">
        <v>31</v>
      </c>
      <c r="M421" s="0" t="s">
        <v>637</v>
      </c>
      <c r="N421" s="0" t="s">
        <v>1536</v>
      </c>
      <c r="O421" s="0" t="n">
        <v>1</v>
      </c>
      <c r="P421" s="0" t="s">
        <v>1537</v>
      </c>
      <c r="Q421" s="3"/>
      <c r="S421" s="2" t="s">
        <v>29</v>
      </c>
    </row>
    <row r="422" customFormat="false" ht="15" hidden="false" customHeight="false" outlineLevel="0" collapsed="false">
      <c r="A422" s="0" t="n">
        <v>421</v>
      </c>
      <c r="D422" s="0" t="s">
        <v>1538</v>
      </c>
      <c r="E422" s="0" t="s">
        <v>20</v>
      </c>
      <c r="H422" s="0" t="s">
        <v>21</v>
      </c>
      <c r="I422" s="2" t="s">
        <v>22</v>
      </c>
      <c r="J422" s="2" t="s">
        <v>635</v>
      </c>
      <c r="K422" s="0" t="s">
        <v>636</v>
      </c>
      <c r="L422" s="0" t="s">
        <v>31</v>
      </c>
      <c r="M422" s="0" t="s">
        <v>637</v>
      </c>
      <c r="N422" s="0" t="s">
        <v>1539</v>
      </c>
      <c r="O422" s="0" t="n">
        <v>1</v>
      </c>
      <c r="P422" s="0" t="s">
        <v>1540</v>
      </c>
      <c r="Q422" s="3"/>
      <c r="S422" s="2" t="s">
        <v>29</v>
      </c>
    </row>
    <row r="423" customFormat="false" ht="15" hidden="false" customHeight="false" outlineLevel="0" collapsed="false">
      <c r="A423" s="0" t="n">
        <v>422</v>
      </c>
      <c r="D423" s="0" t="s">
        <v>1541</v>
      </c>
      <c r="E423" s="0" t="s">
        <v>20</v>
      </c>
      <c r="H423" s="0" t="s">
        <v>21</v>
      </c>
      <c r="I423" s="2" t="s">
        <v>22</v>
      </c>
      <c r="J423" s="2" t="s">
        <v>635</v>
      </c>
      <c r="K423" s="0" t="s">
        <v>636</v>
      </c>
      <c r="L423" s="0" t="s">
        <v>31</v>
      </c>
      <c r="M423" s="0" t="s">
        <v>637</v>
      </c>
      <c r="N423" s="0" t="s">
        <v>1542</v>
      </c>
      <c r="O423" s="0" t="n">
        <v>1</v>
      </c>
      <c r="P423" s="0" t="s">
        <v>1543</v>
      </c>
      <c r="Q423" s="3"/>
      <c r="S423" s="2" t="s">
        <v>29</v>
      </c>
    </row>
    <row r="424" customFormat="false" ht="15" hidden="false" customHeight="false" outlineLevel="0" collapsed="false">
      <c r="A424" s="0" t="n">
        <v>423</v>
      </c>
      <c r="D424" s="0" t="s">
        <v>1544</v>
      </c>
      <c r="E424" s="0" t="s">
        <v>20</v>
      </c>
      <c r="H424" s="0" t="s">
        <v>21</v>
      </c>
      <c r="I424" s="2" t="s">
        <v>22</v>
      </c>
      <c r="J424" s="2" t="s">
        <v>635</v>
      </c>
      <c r="K424" s="0" t="s">
        <v>636</v>
      </c>
      <c r="L424" s="0" t="s">
        <v>31</v>
      </c>
      <c r="M424" s="0" t="s">
        <v>637</v>
      </c>
      <c r="N424" s="0" t="s">
        <v>1545</v>
      </c>
      <c r="O424" s="0" t="n">
        <v>1</v>
      </c>
      <c r="P424" s="0" t="s">
        <v>1546</v>
      </c>
      <c r="Q424" s="3"/>
      <c r="S424" s="2" t="s">
        <v>29</v>
      </c>
    </row>
    <row r="425" customFormat="false" ht="15" hidden="false" customHeight="false" outlineLevel="0" collapsed="false">
      <c r="A425" s="0" t="n">
        <v>424</v>
      </c>
      <c r="D425" s="0" t="s">
        <v>1547</v>
      </c>
      <c r="E425" s="0" t="s">
        <v>20</v>
      </c>
      <c r="H425" s="0" t="s">
        <v>21</v>
      </c>
      <c r="I425" s="2" t="s">
        <v>22</v>
      </c>
      <c r="J425" s="2" t="s">
        <v>635</v>
      </c>
      <c r="K425" s="0" t="s">
        <v>636</v>
      </c>
      <c r="L425" s="0" t="s">
        <v>31</v>
      </c>
      <c r="M425" s="0" t="s">
        <v>637</v>
      </c>
      <c r="N425" s="0" t="s">
        <v>1548</v>
      </c>
      <c r="O425" s="0" t="n">
        <v>1</v>
      </c>
      <c r="P425" s="0" t="s">
        <v>1549</v>
      </c>
      <c r="Q425" s="3"/>
      <c r="S425" s="2" t="s">
        <v>29</v>
      </c>
    </row>
    <row r="426" customFormat="false" ht="15" hidden="false" customHeight="false" outlineLevel="0" collapsed="false">
      <c r="A426" s="0" t="n">
        <v>425</v>
      </c>
      <c r="D426" s="0" t="s">
        <v>1550</v>
      </c>
      <c r="E426" s="0" t="s">
        <v>20</v>
      </c>
      <c r="H426" s="0" t="s">
        <v>21</v>
      </c>
      <c r="I426" s="2" t="s">
        <v>22</v>
      </c>
      <c r="J426" s="2" t="s">
        <v>635</v>
      </c>
      <c r="K426" s="0" t="s">
        <v>636</v>
      </c>
      <c r="L426" s="0" t="s">
        <v>31</v>
      </c>
      <c r="M426" s="0" t="s">
        <v>637</v>
      </c>
      <c r="N426" s="0" t="s">
        <v>1551</v>
      </c>
      <c r="O426" s="0" t="n">
        <v>1</v>
      </c>
      <c r="P426" s="0" t="s">
        <v>1552</v>
      </c>
      <c r="Q426" s="3"/>
      <c r="S426" s="2" t="s">
        <v>29</v>
      </c>
    </row>
    <row r="427" customFormat="false" ht="15" hidden="false" customHeight="false" outlineLevel="0" collapsed="false">
      <c r="A427" s="0" t="n">
        <v>426</v>
      </c>
      <c r="D427" s="0" t="s">
        <v>1553</v>
      </c>
      <c r="E427" s="0" t="s">
        <v>20</v>
      </c>
      <c r="H427" s="0" t="s">
        <v>21</v>
      </c>
      <c r="I427" s="2" t="s">
        <v>22</v>
      </c>
      <c r="J427" s="2" t="s">
        <v>635</v>
      </c>
      <c r="K427" s="0" t="s">
        <v>636</v>
      </c>
      <c r="L427" s="0" t="s">
        <v>31</v>
      </c>
      <c r="M427" s="0" t="s">
        <v>637</v>
      </c>
      <c r="N427" s="0" t="s">
        <v>1554</v>
      </c>
      <c r="O427" s="0" t="n">
        <v>1</v>
      </c>
      <c r="P427" s="0" t="s">
        <v>1555</v>
      </c>
      <c r="Q427" s="3"/>
      <c r="S427" s="2" t="s">
        <v>29</v>
      </c>
    </row>
    <row r="428" customFormat="false" ht="15" hidden="false" customHeight="false" outlineLevel="0" collapsed="false">
      <c r="A428" s="0" t="n">
        <v>427</v>
      </c>
      <c r="D428" s="0" t="s">
        <v>1556</v>
      </c>
      <c r="E428" s="0" t="s">
        <v>20</v>
      </c>
      <c r="H428" s="0" t="s">
        <v>21</v>
      </c>
      <c r="I428" s="2" t="s">
        <v>22</v>
      </c>
      <c r="J428" s="2" t="s">
        <v>635</v>
      </c>
      <c r="K428" s="0" t="s">
        <v>636</v>
      </c>
      <c r="L428" s="0" t="s">
        <v>31</v>
      </c>
      <c r="M428" s="0" t="s">
        <v>637</v>
      </c>
      <c r="N428" s="0" t="s">
        <v>1557</v>
      </c>
      <c r="O428" s="0" t="n">
        <v>1</v>
      </c>
      <c r="P428" s="0" t="s">
        <v>1558</v>
      </c>
      <c r="Q428" s="3"/>
      <c r="S428" s="2" t="s">
        <v>29</v>
      </c>
    </row>
    <row r="429" customFormat="false" ht="15" hidden="false" customHeight="false" outlineLevel="0" collapsed="false">
      <c r="A429" s="0" t="n">
        <v>428</v>
      </c>
      <c r="D429" s="0" t="s">
        <v>1559</v>
      </c>
      <c r="E429" s="0" t="s">
        <v>20</v>
      </c>
      <c r="H429" s="0" t="s">
        <v>21</v>
      </c>
      <c r="I429" s="2" t="s">
        <v>22</v>
      </c>
      <c r="J429" s="2" t="s">
        <v>635</v>
      </c>
      <c r="K429" s="0" t="s">
        <v>636</v>
      </c>
      <c r="L429" s="0" t="s">
        <v>31</v>
      </c>
      <c r="M429" s="0" t="s">
        <v>637</v>
      </c>
      <c r="N429" s="0" t="s">
        <v>1560</v>
      </c>
      <c r="O429" s="0" t="n">
        <v>1</v>
      </c>
      <c r="P429" s="0" t="s">
        <v>1561</v>
      </c>
      <c r="Q429" s="3"/>
      <c r="S429" s="2" t="s">
        <v>29</v>
      </c>
    </row>
    <row r="430" customFormat="false" ht="15" hidden="false" customHeight="false" outlineLevel="0" collapsed="false">
      <c r="A430" s="0" t="n">
        <v>429</v>
      </c>
      <c r="D430" s="0" t="s">
        <v>1562</v>
      </c>
      <c r="E430" s="0" t="s">
        <v>226</v>
      </c>
      <c r="H430" s="0" t="s">
        <v>21</v>
      </c>
      <c r="I430" s="2" t="s">
        <v>22</v>
      </c>
      <c r="J430" s="2" t="s">
        <v>635</v>
      </c>
      <c r="K430" s="0" t="s">
        <v>636</v>
      </c>
      <c r="L430" s="0" t="s">
        <v>100</v>
      </c>
      <c r="M430" s="0" t="s">
        <v>637</v>
      </c>
      <c r="N430" s="0" t="s">
        <v>1563</v>
      </c>
      <c r="O430" s="0" t="n">
        <v>1</v>
      </c>
      <c r="P430" s="0" t="s">
        <v>1564</v>
      </c>
      <c r="Q430" s="3"/>
      <c r="S430" s="2" t="s">
        <v>29</v>
      </c>
    </row>
    <row r="431" customFormat="false" ht="15" hidden="false" customHeight="false" outlineLevel="0" collapsed="false">
      <c r="A431" s="0" t="n">
        <v>430</v>
      </c>
      <c r="D431" s="0" t="s">
        <v>1565</v>
      </c>
      <c r="E431" s="0" t="s">
        <v>20</v>
      </c>
      <c r="H431" s="0" t="s">
        <v>21</v>
      </c>
      <c r="I431" s="2" t="s">
        <v>22</v>
      </c>
      <c r="J431" s="2" t="s">
        <v>635</v>
      </c>
      <c r="K431" s="0" t="s">
        <v>636</v>
      </c>
      <c r="L431" s="0" t="s">
        <v>31</v>
      </c>
      <c r="M431" s="0" t="s">
        <v>637</v>
      </c>
      <c r="N431" s="0" t="s">
        <v>1566</v>
      </c>
      <c r="O431" s="0" t="n">
        <v>1</v>
      </c>
      <c r="P431" s="0" t="s">
        <v>1567</v>
      </c>
      <c r="Q431" s="3"/>
      <c r="S431" s="2" t="s">
        <v>29</v>
      </c>
    </row>
    <row r="432" customFormat="false" ht="15" hidden="false" customHeight="false" outlineLevel="0" collapsed="false">
      <c r="A432" s="0" t="n">
        <v>431</v>
      </c>
      <c r="D432" s="0" t="s">
        <v>1568</v>
      </c>
      <c r="E432" s="0" t="s">
        <v>20</v>
      </c>
      <c r="H432" s="0" t="s">
        <v>21</v>
      </c>
      <c r="I432" s="2" t="s">
        <v>22</v>
      </c>
      <c r="J432" s="2" t="s">
        <v>635</v>
      </c>
      <c r="K432" s="0" t="s">
        <v>636</v>
      </c>
      <c r="L432" s="0" t="s">
        <v>31</v>
      </c>
      <c r="M432" s="0" t="s">
        <v>637</v>
      </c>
      <c r="N432" s="0" t="s">
        <v>1569</v>
      </c>
      <c r="O432" s="0" t="n">
        <v>1</v>
      </c>
      <c r="P432" s="0" t="s">
        <v>1570</v>
      </c>
      <c r="Q432" s="3"/>
      <c r="S432" s="2" t="s">
        <v>29</v>
      </c>
    </row>
    <row r="433" customFormat="false" ht="15" hidden="false" customHeight="false" outlineLevel="0" collapsed="false">
      <c r="A433" s="0" t="n">
        <v>432</v>
      </c>
      <c r="D433" s="0" t="s">
        <v>1571</v>
      </c>
      <c r="E433" s="0" t="s">
        <v>20</v>
      </c>
      <c r="H433" s="0" t="s">
        <v>21</v>
      </c>
      <c r="I433" s="2" t="s">
        <v>22</v>
      </c>
      <c r="J433" s="2" t="s">
        <v>635</v>
      </c>
      <c r="K433" s="0" t="s">
        <v>636</v>
      </c>
      <c r="L433" s="0" t="s">
        <v>31</v>
      </c>
      <c r="M433" s="0" t="s">
        <v>637</v>
      </c>
      <c r="N433" s="0" t="s">
        <v>1572</v>
      </c>
      <c r="O433" s="0" t="n">
        <v>1</v>
      </c>
      <c r="P433" s="0" t="s">
        <v>1573</v>
      </c>
      <c r="Q433" s="3"/>
      <c r="S433" s="2" t="s">
        <v>29</v>
      </c>
    </row>
    <row r="434" customFormat="false" ht="15" hidden="false" customHeight="false" outlineLevel="0" collapsed="false">
      <c r="A434" s="0" t="n">
        <v>433</v>
      </c>
      <c r="D434" s="0" t="s">
        <v>1574</v>
      </c>
      <c r="E434" s="0" t="s">
        <v>20</v>
      </c>
      <c r="H434" s="0" t="s">
        <v>21</v>
      </c>
      <c r="I434" s="2" t="s">
        <v>22</v>
      </c>
      <c r="J434" s="2" t="s">
        <v>635</v>
      </c>
      <c r="K434" s="0" t="s">
        <v>636</v>
      </c>
      <c r="L434" s="0" t="s">
        <v>31</v>
      </c>
      <c r="M434" s="0" t="s">
        <v>637</v>
      </c>
      <c r="N434" s="0" t="s">
        <v>1575</v>
      </c>
      <c r="O434" s="0" t="n">
        <v>1</v>
      </c>
      <c r="P434" s="0" t="s">
        <v>1576</v>
      </c>
      <c r="Q434" s="3"/>
      <c r="S434" s="2" t="s">
        <v>29</v>
      </c>
    </row>
    <row r="435" customFormat="false" ht="15" hidden="false" customHeight="false" outlineLevel="0" collapsed="false">
      <c r="A435" s="0" t="n">
        <v>434</v>
      </c>
      <c r="D435" s="0" t="s">
        <v>1577</v>
      </c>
      <c r="E435" s="0" t="s">
        <v>20</v>
      </c>
      <c r="H435" s="0" t="s">
        <v>21</v>
      </c>
      <c r="I435" s="2" t="s">
        <v>22</v>
      </c>
      <c r="J435" s="2" t="s">
        <v>635</v>
      </c>
      <c r="K435" s="0" t="s">
        <v>636</v>
      </c>
      <c r="L435" s="0" t="s">
        <v>31</v>
      </c>
      <c r="M435" s="0" t="s">
        <v>637</v>
      </c>
      <c r="N435" s="0" t="s">
        <v>1578</v>
      </c>
      <c r="O435" s="0" t="n">
        <v>1</v>
      </c>
      <c r="P435" s="0" t="s">
        <v>1579</v>
      </c>
      <c r="Q435" s="3"/>
      <c r="S435" s="2" t="s">
        <v>29</v>
      </c>
    </row>
    <row r="436" customFormat="false" ht="15" hidden="false" customHeight="false" outlineLevel="0" collapsed="false">
      <c r="A436" s="0" t="n">
        <v>435</v>
      </c>
      <c r="D436" s="0" t="s">
        <v>1580</v>
      </c>
      <c r="E436" s="0" t="s">
        <v>20</v>
      </c>
      <c r="H436" s="0" t="s">
        <v>21</v>
      </c>
      <c r="I436" s="2" t="s">
        <v>22</v>
      </c>
      <c r="J436" s="2" t="s">
        <v>635</v>
      </c>
      <c r="K436" s="0" t="s">
        <v>636</v>
      </c>
      <c r="L436" s="0" t="s">
        <v>31</v>
      </c>
      <c r="M436" s="0" t="s">
        <v>637</v>
      </c>
      <c r="N436" s="0" t="s">
        <v>1581</v>
      </c>
      <c r="O436" s="0" t="n">
        <v>1</v>
      </c>
      <c r="P436" s="0" t="s">
        <v>1582</v>
      </c>
      <c r="Q436" s="3"/>
      <c r="S436" s="2" t="s">
        <v>29</v>
      </c>
    </row>
    <row r="437" customFormat="false" ht="15" hidden="false" customHeight="false" outlineLevel="0" collapsed="false">
      <c r="A437" s="0" t="n">
        <v>436</v>
      </c>
      <c r="D437" s="0" t="s">
        <v>1583</v>
      </c>
      <c r="E437" s="0" t="s">
        <v>20</v>
      </c>
      <c r="H437" s="0" t="s">
        <v>21</v>
      </c>
      <c r="I437" s="2" t="s">
        <v>22</v>
      </c>
      <c r="J437" s="2" t="s">
        <v>635</v>
      </c>
      <c r="K437" s="0" t="s">
        <v>636</v>
      </c>
      <c r="L437" s="0" t="s">
        <v>31</v>
      </c>
      <c r="M437" s="0" t="s">
        <v>637</v>
      </c>
      <c r="N437" s="0" t="s">
        <v>1584</v>
      </c>
      <c r="O437" s="0" t="n">
        <v>1</v>
      </c>
      <c r="P437" s="0" t="s">
        <v>1585</v>
      </c>
      <c r="Q437" s="3"/>
      <c r="S437" s="2" t="s">
        <v>29</v>
      </c>
    </row>
    <row r="438" customFormat="false" ht="15" hidden="false" customHeight="false" outlineLevel="0" collapsed="false">
      <c r="A438" s="0" t="n">
        <v>437</v>
      </c>
      <c r="D438" s="0" t="s">
        <v>1586</v>
      </c>
      <c r="E438" s="0" t="s">
        <v>20</v>
      </c>
      <c r="H438" s="0" t="s">
        <v>21</v>
      </c>
      <c r="I438" s="2" t="s">
        <v>22</v>
      </c>
      <c r="J438" s="2" t="s">
        <v>635</v>
      </c>
      <c r="K438" s="0" t="s">
        <v>636</v>
      </c>
      <c r="L438" s="0" t="s">
        <v>31</v>
      </c>
      <c r="M438" s="0" t="s">
        <v>637</v>
      </c>
      <c r="N438" s="0" t="s">
        <v>1587</v>
      </c>
      <c r="O438" s="0" t="n">
        <v>1</v>
      </c>
      <c r="P438" s="0" t="s">
        <v>1588</v>
      </c>
      <c r="Q438" s="3"/>
      <c r="S438" s="2" t="s">
        <v>29</v>
      </c>
    </row>
    <row r="439" customFormat="false" ht="15" hidden="false" customHeight="false" outlineLevel="0" collapsed="false">
      <c r="A439" s="0" t="n">
        <v>438</v>
      </c>
      <c r="D439" s="0" t="s">
        <v>1589</v>
      </c>
      <c r="E439" s="0" t="s">
        <v>20</v>
      </c>
      <c r="H439" s="0" t="s">
        <v>21</v>
      </c>
      <c r="I439" s="2" t="s">
        <v>22</v>
      </c>
      <c r="J439" s="2" t="s">
        <v>635</v>
      </c>
      <c r="K439" s="0" t="s">
        <v>636</v>
      </c>
      <c r="L439" s="0" t="s">
        <v>31</v>
      </c>
      <c r="M439" s="0" t="s">
        <v>637</v>
      </c>
      <c r="N439" s="0" t="s">
        <v>1590</v>
      </c>
      <c r="O439" s="0" t="n">
        <v>1</v>
      </c>
      <c r="P439" s="0" t="s">
        <v>1591</v>
      </c>
      <c r="Q439" s="3"/>
      <c r="S439" s="2" t="s">
        <v>29</v>
      </c>
    </row>
    <row r="440" customFormat="false" ht="15" hidden="false" customHeight="false" outlineLevel="0" collapsed="false">
      <c r="A440" s="0" t="n">
        <v>439</v>
      </c>
      <c r="D440" s="0" t="s">
        <v>1592</v>
      </c>
      <c r="E440" s="0" t="s">
        <v>63</v>
      </c>
      <c r="H440" s="0" t="s">
        <v>21</v>
      </c>
      <c r="I440" s="2" t="s">
        <v>22</v>
      </c>
      <c r="J440" s="2" t="s">
        <v>635</v>
      </c>
      <c r="K440" s="0" t="s">
        <v>636</v>
      </c>
      <c r="L440" s="0" t="s">
        <v>100</v>
      </c>
      <c r="M440" s="0" t="s">
        <v>637</v>
      </c>
      <c r="N440" s="0" t="s">
        <v>1593</v>
      </c>
      <c r="O440" s="0" t="n">
        <v>1</v>
      </c>
      <c r="P440" s="0" t="s">
        <v>1594</v>
      </c>
      <c r="Q440" s="3"/>
      <c r="S440" s="2" t="s">
        <v>29</v>
      </c>
    </row>
    <row r="441" customFormat="false" ht="15" hidden="false" customHeight="false" outlineLevel="0" collapsed="false">
      <c r="A441" s="0" t="n">
        <v>440</v>
      </c>
      <c r="D441" s="0" t="s">
        <v>1595</v>
      </c>
      <c r="E441" s="0" t="s">
        <v>20</v>
      </c>
      <c r="H441" s="0" t="s">
        <v>21</v>
      </c>
      <c r="I441" s="2" t="s">
        <v>22</v>
      </c>
      <c r="J441" s="2" t="s">
        <v>635</v>
      </c>
      <c r="K441" s="0" t="s">
        <v>636</v>
      </c>
      <c r="L441" s="0" t="s">
        <v>31</v>
      </c>
      <c r="M441" s="0" t="s">
        <v>637</v>
      </c>
      <c r="N441" s="0" t="s">
        <v>1596</v>
      </c>
      <c r="O441" s="0" t="n">
        <v>1</v>
      </c>
      <c r="P441" s="0" t="s">
        <v>1597</v>
      </c>
      <c r="Q441" s="3"/>
      <c r="S441" s="2" t="s">
        <v>29</v>
      </c>
    </row>
    <row r="442" customFormat="false" ht="15" hidden="false" customHeight="false" outlineLevel="0" collapsed="false">
      <c r="A442" s="0" t="n">
        <v>441</v>
      </c>
      <c r="D442" s="0" t="s">
        <v>1598</v>
      </c>
      <c r="E442" s="0" t="s">
        <v>20</v>
      </c>
      <c r="H442" s="0" t="s">
        <v>21</v>
      </c>
      <c r="I442" s="2" t="s">
        <v>22</v>
      </c>
      <c r="J442" s="2" t="s">
        <v>635</v>
      </c>
      <c r="K442" s="0" t="s">
        <v>636</v>
      </c>
      <c r="L442" s="0" t="s">
        <v>31</v>
      </c>
      <c r="M442" s="0" t="s">
        <v>637</v>
      </c>
      <c r="N442" s="0" t="s">
        <v>1599</v>
      </c>
      <c r="O442" s="0" t="n">
        <v>1</v>
      </c>
      <c r="P442" s="0" t="s">
        <v>1600</v>
      </c>
      <c r="Q442" s="3"/>
      <c r="S442" s="2" t="s">
        <v>29</v>
      </c>
    </row>
    <row r="443" customFormat="false" ht="15" hidden="false" customHeight="false" outlineLevel="0" collapsed="false">
      <c r="A443" s="0" t="n">
        <v>442</v>
      </c>
      <c r="D443" s="0" t="s">
        <v>1601</v>
      </c>
      <c r="E443" s="0" t="s">
        <v>99</v>
      </c>
      <c r="H443" s="0" t="s">
        <v>21</v>
      </c>
      <c r="I443" s="2" t="s">
        <v>22</v>
      </c>
      <c r="J443" s="2" t="s">
        <v>635</v>
      </c>
      <c r="K443" s="0" t="s">
        <v>636</v>
      </c>
      <c r="L443" s="0" t="s">
        <v>100</v>
      </c>
      <c r="M443" s="0" t="s">
        <v>637</v>
      </c>
      <c r="N443" s="0" t="s">
        <v>1602</v>
      </c>
      <c r="O443" s="0" t="n">
        <v>1</v>
      </c>
      <c r="P443" s="0" t="s">
        <v>1603</v>
      </c>
      <c r="Q443" s="3"/>
      <c r="S443" s="2" t="s">
        <v>29</v>
      </c>
    </row>
    <row r="444" customFormat="false" ht="15" hidden="false" customHeight="false" outlineLevel="0" collapsed="false">
      <c r="A444" s="0" t="n">
        <v>443</v>
      </c>
      <c r="D444" s="0" t="s">
        <v>1604</v>
      </c>
      <c r="E444" s="0" t="s">
        <v>20</v>
      </c>
      <c r="H444" s="0" t="s">
        <v>21</v>
      </c>
      <c r="I444" s="2" t="s">
        <v>22</v>
      </c>
      <c r="J444" s="2" t="s">
        <v>635</v>
      </c>
      <c r="K444" s="0" t="s">
        <v>636</v>
      </c>
      <c r="L444" s="0" t="s">
        <v>31</v>
      </c>
      <c r="M444" s="0" t="s">
        <v>637</v>
      </c>
      <c r="N444" s="0" t="s">
        <v>1605</v>
      </c>
      <c r="O444" s="0" t="n">
        <v>1</v>
      </c>
      <c r="P444" s="0" t="s">
        <v>1606</v>
      </c>
      <c r="Q444" s="3"/>
      <c r="S444" s="2" t="s">
        <v>29</v>
      </c>
    </row>
    <row r="445" customFormat="false" ht="15" hidden="false" customHeight="false" outlineLevel="0" collapsed="false">
      <c r="A445" s="0" t="n">
        <v>444</v>
      </c>
      <c r="D445" s="0" t="s">
        <v>1607</v>
      </c>
      <c r="E445" s="0" t="s">
        <v>20</v>
      </c>
      <c r="H445" s="0" t="s">
        <v>21</v>
      </c>
      <c r="I445" s="2" t="s">
        <v>22</v>
      </c>
      <c r="J445" s="2" t="s">
        <v>635</v>
      </c>
      <c r="K445" s="0" t="s">
        <v>636</v>
      </c>
      <c r="L445" s="0" t="s">
        <v>31</v>
      </c>
      <c r="M445" s="0" t="s">
        <v>637</v>
      </c>
      <c r="N445" s="0" t="s">
        <v>1608</v>
      </c>
      <c r="O445" s="0" t="n">
        <v>1</v>
      </c>
      <c r="P445" s="0" t="s">
        <v>1609</v>
      </c>
      <c r="Q445" s="3"/>
      <c r="S445" s="2" t="s">
        <v>29</v>
      </c>
    </row>
    <row r="446" customFormat="false" ht="15" hidden="false" customHeight="false" outlineLevel="0" collapsed="false">
      <c r="A446" s="0" t="n">
        <v>445</v>
      </c>
      <c r="D446" s="0" t="s">
        <v>1610</v>
      </c>
      <c r="E446" s="0" t="s">
        <v>20</v>
      </c>
      <c r="H446" s="0" t="s">
        <v>21</v>
      </c>
      <c r="I446" s="2" t="s">
        <v>22</v>
      </c>
      <c r="J446" s="2" t="s">
        <v>635</v>
      </c>
      <c r="K446" s="0" t="s">
        <v>636</v>
      </c>
      <c r="L446" s="0" t="s">
        <v>31</v>
      </c>
      <c r="M446" s="0" t="s">
        <v>637</v>
      </c>
      <c r="N446" s="0" t="s">
        <v>1611</v>
      </c>
      <c r="O446" s="0" t="n">
        <v>1</v>
      </c>
      <c r="P446" s="0" t="s">
        <v>1612</v>
      </c>
      <c r="Q446" s="3"/>
      <c r="S446" s="2" t="s">
        <v>29</v>
      </c>
    </row>
    <row r="447" customFormat="false" ht="15" hidden="false" customHeight="false" outlineLevel="0" collapsed="false">
      <c r="A447" s="0" t="n">
        <v>446</v>
      </c>
      <c r="D447" s="0" t="s">
        <v>1613</v>
      </c>
      <c r="E447" s="0" t="s">
        <v>20</v>
      </c>
      <c r="H447" s="0" t="s">
        <v>21</v>
      </c>
      <c r="I447" s="2" t="s">
        <v>22</v>
      </c>
      <c r="J447" s="2" t="s">
        <v>635</v>
      </c>
      <c r="K447" s="0" t="s">
        <v>636</v>
      </c>
      <c r="L447" s="0" t="s">
        <v>31</v>
      </c>
      <c r="M447" s="0" t="s">
        <v>637</v>
      </c>
      <c r="N447" s="0" t="s">
        <v>1614</v>
      </c>
      <c r="O447" s="0" t="n">
        <v>1</v>
      </c>
      <c r="P447" s="0" t="s">
        <v>1615</v>
      </c>
      <c r="Q447" s="3"/>
      <c r="S447" s="2" t="s">
        <v>29</v>
      </c>
    </row>
    <row r="448" customFormat="false" ht="15" hidden="false" customHeight="false" outlineLevel="0" collapsed="false">
      <c r="A448" s="0" t="n">
        <v>447</v>
      </c>
      <c r="D448" s="0" t="s">
        <v>1616</v>
      </c>
      <c r="E448" s="0" t="s">
        <v>20</v>
      </c>
      <c r="H448" s="0" t="s">
        <v>21</v>
      </c>
      <c r="I448" s="2" t="s">
        <v>22</v>
      </c>
      <c r="J448" s="2" t="s">
        <v>635</v>
      </c>
      <c r="K448" s="0" t="s">
        <v>636</v>
      </c>
      <c r="L448" s="0" t="s">
        <v>31</v>
      </c>
      <c r="M448" s="0" t="s">
        <v>637</v>
      </c>
      <c r="N448" s="0" t="s">
        <v>1617</v>
      </c>
      <c r="O448" s="0" t="n">
        <v>1</v>
      </c>
      <c r="P448" s="0" t="s">
        <v>1618</v>
      </c>
      <c r="Q448" s="3"/>
      <c r="S448" s="2" t="s">
        <v>29</v>
      </c>
    </row>
    <row r="449" customFormat="false" ht="15" hidden="false" customHeight="false" outlineLevel="0" collapsed="false">
      <c r="A449" s="0" t="n">
        <v>448</v>
      </c>
      <c r="D449" s="0" t="s">
        <v>1619</v>
      </c>
      <c r="E449" s="0" t="s">
        <v>20</v>
      </c>
      <c r="H449" s="0" t="s">
        <v>21</v>
      </c>
      <c r="I449" s="2" t="s">
        <v>22</v>
      </c>
      <c r="J449" s="2" t="s">
        <v>635</v>
      </c>
      <c r="K449" s="0" t="s">
        <v>636</v>
      </c>
      <c r="L449" s="0" t="s">
        <v>31</v>
      </c>
      <c r="M449" s="0" t="s">
        <v>637</v>
      </c>
      <c r="N449" s="0" t="s">
        <v>1620</v>
      </c>
      <c r="O449" s="0" t="n">
        <v>1</v>
      </c>
      <c r="P449" s="0" t="s">
        <v>1621</v>
      </c>
      <c r="Q449" s="3"/>
      <c r="S449" s="2" t="s">
        <v>29</v>
      </c>
    </row>
    <row r="450" customFormat="false" ht="15" hidden="false" customHeight="false" outlineLevel="0" collapsed="false">
      <c r="A450" s="0" t="n">
        <v>449</v>
      </c>
      <c r="D450" s="0" t="s">
        <v>1622</v>
      </c>
      <c r="E450" s="0" t="s">
        <v>20</v>
      </c>
      <c r="F450" s="0" t="s">
        <v>1623</v>
      </c>
      <c r="H450" s="0" t="s">
        <v>21</v>
      </c>
      <c r="I450" s="2" t="s">
        <v>22</v>
      </c>
      <c r="J450" s="2" t="s">
        <v>635</v>
      </c>
      <c r="K450" s="0" t="s">
        <v>636</v>
      </c>
      <c r="L450" s="0" t="s">
        <v>1624</v>
      </c>
      <c r="M450" s="0" t="s">
        <v>637</v>
      </c>
      <c r="N450" s="0" t="s">
        <v>1625</v>
      </c>
      <c r="O450" s="0" t="n">
        <v>1</v>
      </c>
      <c r="P450" s="0" t="s">
        <v>1626</v>
      </c>
      <c r="Q450" s="3" t="s">
        <v>1627</v>
      </c>
      <c r="R450" s="2" t="s">
        <v>1628</v>
      </c>
      <c r="S450" s="2" t="s">
        <v>45</v>
      </c>
    </row>
    <row r="451" customFormat="false" ht="15" hidden="false" customHeight="false" outlineLevel="0" collapsed="false">
      <c r="A451" s="0" t="n">
        <v>450</v>
      </c>
      <c r="D451" s="0" t="s">
        <v>1629</v>
      </c>
      <c r="E451" s="0" t="s">
        <v>20</v>
      </c>
      <c r="H451" s="0" t="s">
        <v>21</v>
      </c>
      <c r="I451" s="2" t="s">
        <v>22</v>
      </c>
      <c r="J451" s="2" t="s">
        <v>635</v>
      </c>
      <c r="K451" s="0" t="s">
        <v>636</v>
      </c>
      <c r="L451" s="0" t="s">
        <v>31</v>
      </c>
      <c r="M451" s="0" t="s">
        <v>637</v>
      </c>
      <c r="N451" s="0" t="s">
        <v>1630</v>
      </c>
      <c r="O451" s="0" t="n">
        <v>1</v>
      </c>
      <c r="P451" s="0" t="s">
        <v>1631</v>
      </c>
      <c r="Q451" s="3"/>
      <c r="S451" s="2" t="s">
        <v>29</v>
      </c>
    </row>
    <row r="452" customFormat="false" ht="15" hidden="false" customHeight="false" outlineLevel="0" collapsed="false">
      <c r="A452" s="0" t="n">
        <v>451</v>
      </c>
      <c r="D452" s="0" t="s">
        <v>1632</v>
      </c>
      <c r="E452" s="0" t="s">
        <v>20</v>
      </c>
      <c r="H452" s="0" t="s">
        <v>21</v>
      </c>
      <c r="I452" s="2" t="s">
        <v>22</v>
      </c>
      <c r="J452" s="2" t="s">
        <v>635</v>
      </c>
      <c r="K452" s="0" t="s">
        <v>636</v>
      </c>
      <c r="L452" s="0" t="s">
        <v>31</v>
      </c>
      <c r="M452" s="0" t="s">
        <v>637</v>
      </c>
      <c r="N452" s="0" t="s">
        <v>1633</v>
      </c>
      <c r="O452" s="0" t="n">
        <v>1</v>
      </c>
      <c r="P452" s="0" t="s">
        <v>1634</v>
      </c>
      <c r="Q452" s="3"/>
      <c r="S452" s="2" t="s">
        <v>29</v>
      </c>
    </row>
    <row r="453" customFormat="false" ht="15" hidden="false" customHeight="false" outlineLevel="0" collapsed="false">
      <c r="A453" s="0" t="n">
        <v>452</v>
      </c>
      <c r="D453" s="0" t="s">
        <v>1635</v>
      </c>
      <c r="E453" s="0" t="s">
        <v>20</v>
      </c>
      <c r="F453" s="0" t="s">
        <v>1636</v>
      </c>
      <c r="H453" s="0" t="s">
        <v>21</v>
      </c>
      <c r="I453" s="2" t="s">
        <v>22</v>
      </c>
      <c r="J453" s="2" t="s">
        <v>635</v>
      </c>
      <c r="K453" s="0" t="s">
        <v>636</v>
      </c>
      <c r="L453" s="0" t="s">
        <v>1637</v>
      </c>
      <c r="M453" s="0" t="s">
        <v>637</v>
      </c>
      <c r="N453" s="0" t="s">
        <v>1638</v>
      </c>
      <c r="O453" s="0" t="n">
        <v>1</v>
      </c>
      <c r="P453" s="0" t="s">
        <v>1639</v>
      </c>
      <c r="Q453" s="3" t="s">
        <v>1640</v>
      </c>
      <c r="R453" s="2" t="s">
        <v>1641</v>
      </c>
      <c r="S453" s="2" t="s">
        <v>45</v>
      </c>
    </row>
    <row r="454" customFormat="false" ht="15" hidden="false" customHeight="false" outlineLevel="0" collapsed="false">
      <c r="A454" s="0" t="n">
        <v>453</v>
      </c>
      <c r="D454" s="0" t="s">
        <v>1642</v>
      </c>
      <c r="E454" s="0" t="s">
        <v>20</v>
      </c>
      <c r="H454" s="0" t="s">
        <v>21</v>
      </c>
      <c r="I454" s="2" t="s">
        <v>22</v>
      </c>
      <c r="J454" s="2" t="s">
        <v>635</v>
      </c>
      <c r="K454" s="0" t="s">
        <v>636</v>
      </c>
      <c r="L454" s="0" t="s">
        <v>31</v>
      </c>
      <c r="M454" s="0" t="s">
        <v>637</v>
      </c>
      <c r="N454" s="0" t="s">
        <v>1643</v>
      </c>
      <c r="O454" s="0" t="n">
        <v>1</v>
      </c>
      <c r="P454" s="0" t="s">
        <v>1644</v>
      </c>
      <c r="Q454" s="3"/>
      <c r="S454" s="2" t="s">
        <v>29</v>
      </c>
    </row>
    <row r="455" customFormat="false" ht="15" hidden="false" customHeight="false" outlineLevel="0" collapsed="false">
      <c r="A455" s="0" t="n">
        <v>454</v>
      </c>
      <c r="D455" s="0" t="s">
        <v>1645</v>
      </c>
      <c r="E455" s="0" t="s">
        <v>20</v>
      </c>
      <c r="H455" s="0" t="s">
        <v>21</v>
      </c>
      <c r="I455" s="2" t="s">
        <v>22</v>
      </c>
      <c r="J455" s="2" t="s">
        <v>635</v>
      </c>
      <c r="K455" s="0" t="s">
        <v>636</v>
      </c>
      <c r="L455" s="0" t="s">
        <v>31</v>
      </c>
      <c r="M455" s="0" t="s">
        <v>637</v>
      </c>
      <c r="N455" s="0" t="s">
        <v>1646</v>
      </c>
      <c r="O455" s="0" t="n">
        <v>1</v>
      </c>
      <c r="P455" s="0" t="s">
        <v>1647</v>
      </c>
      <c r="Q455" s="3"/>
      <c r="S455" s="2" t="s">
        <v>29</v>
      </c>
    </row>
    <row r="456" customFormat="false" ht="15" hidden="false" customHeight="false" outlineLevel="0" collapsed="false">
      <c r="A456" s="0" t="n">
        <v>455</v>
      </c>
      <c r="D456" s="0" t="s">
        <v>1648</v>
      </c>
      <c r="E456" s="0" t="s">
        <v>20</v>
      </c>
      <c r="H456" s="0" t="s">
        <v>21</v>
      </c>
      <c r="I456" s="2" t="s">
        <v>22</v>
      </c>
      <c r="J456" s="2" t="s">
        <v>635</v>
      </c>
      <c r="K456" s="0" t="s">
        <v>636</v>
      </c>
      <c r="L456" s="0" t="s">
        <v>31</v>
      </c>
      <c r="M456" s="0" t="s">
        <v>637</v>
      </c>
      <c r="N456" s="0" t="s">
        <v>1649</v>
      </c>
      <c r="O456" s="0" t="n">
        <v>1</v>
      </c>
      <c r="P456" s="0" t="s">
        <v>1650</v>
      </c>
      <c r="Q456" s="3"/>
      <c r="S456" s="2" t="s">
        <v>29</v>
      </c>
    </row>
    <row r="457" customFormat="false" ht="15" hidden="false" customHeight="false" outlineLevel="0" collapsed="false">
      <c r="A457" s="0" t="n">
        <v>456</v>
      </c>
      <c r="D457" s="0" t="s">
        <v>1651</v>
      </c>
      <c r="E457" s="0" t="s">
        <v>437</v>
      </c>
      <c r="H457" s="0" t="s">
        <v>21</v>
      </c>
      <c r="I457" s="2" t="s">
        <v>22</v>
      </c>
      <c r="J457" s="2" t="s">
        <v>635</v>
      </c>
      <c r="K457" s="0" t="s">
        <v>636</v>
      </c>
      <c r="L457" s="0" t="s">
        <v>31</v>
      </c>
      <c r="M457" s="0" t="s">
        <v>637</v>
      </c>
      <c r="N457" s="0" t="s">
        <v>1652</v>
      </c>
      <c r="O457" s="0" t="n">
        <v>1</v>
      </c>
      <c r="P457" s="0" t="s">
        <v>1653</v>
      </c>
      <c r="Q457" s="3"/>
      <c r="S457" s="2" t="s">
        <v>29</v>
      </c>
    </row>
    <row r="458" customFormat="false" ht="15" hidden="false" customHeight="false" outlineLevel="0" collapsed="false">
      <c r="A458" s="0" t="n">
        <v>457</v>
      </c>
      <c r="D458" s="0" t="s">
        <v>1654</v>
      </c>
      <c r="E458" s="0" t="s">
        <v>20</v>
      </c>
      <c r="H458" s="0" t="s">
        <v>21</v>
      </c>
      <c r="I458" s="2" t="s">
        <v>22</v>
      </c>
      <c r="J458" s="2" t="s">
        <v>635</v>
      </c>
      <c r="K458" s="0" t="s">
        <v>636</v>
      </c>
      <c r="L458" s="0" t="s">
        <v>31</v>
      </c>
      <c r="M458" s="0" t="s">
        <v>637</v>
      </c>
      <c r="N458" s="0" t="s">
        <v>1655</v>
      </c>
      <c r="O458" s="0" t="n">
        <v>1</v>
      </c>
      <c r="Q458" s="3"/>
      <c r="S458" s="2" t="s">
        <v>29</v>
      </c>
    </row>
    <row r="459" customFormat="false" ht="15" hidden="false" customHeight="false" outlineLevel="0" collapsed="false">
      <c r="A459" s="0" t="n">
        <v>458</v>
      </c>
      <c r="D459" s="0" t="s">
        <v>1656</v>
      </c>
      <c r="E459" s="0" t="s">
        <v>20</v>
      </c>
      <c r="H459" s="0" t="s">
        <v>21</v>
      </c>
      <c r="I459" s="2" t="s">
        <v>22</v>
      </c>
      <c r="J459" s="2" t="s">
        <v>635</v>
      </c>
      <c r="K459" s="0" t="s">
        <v>636</v>
      </c>
      <c r="L459" s="0" t="s">
        <v>31</v>
      </c>
      <c r="M459" s="0" t="s">
        <v>637</v>
      </c>
      <c r="N459" s="0" t="s">
        <v>1657</v>
      </c>
      <c r="O459" s="0" t="n">
        <v>1</v>
      </c>
      <c r="P459" s="0" t="s">
        <v>1658</v>
      </c>
      <c r="Q459" s="3"/>
      <c r="S459" s="2" t="s">
        <v>29</v>
      </c>
    </row>
    <row r="460" customFormat="false" ht="15" hidden="false" customHeight="false" outlineLevel="0" collapsed="false">
      <c r="A460" s="0" t="n">
        <v>459</v>
      </c>
      <c r="D460" s="0" t="s">
        <v>1659</v>
      </c>
      <c r="E460" s="0" t="s">
        <v>20</v>
      </c>
      <c r="H460" s="0" t="s">
        <v>21</v>
      </c>
      <c r="I460" s="2" t="s">
        <v>22</v>
      </c>
      <c r="J460" s="2" t="s">
        <v>635</v>
      </c>
      <c r="K460" s="0" t="s">
        <v>636</v>
      </c>
      <c r="L460" s="0" t="s">
        <v>31</v>
      </c>
      <c r="M460" s="0" t="s">
        <v>637</v>
      </c>
      <c r="N460" s="0" t="s">
        <v>1660</v>
      </c>
      <c r="O460" s="0" t="n">
        <v>1</v>
      </c>
      <c r="P460" s="0" t="s">
        <v>1661</v>
      </c>
      <c r="Q460" s="3"/>
      <c r="S460" s="2" t="s">
        <v>29</v>
      </c>
    </row>
    <row r="461" customFormat="false" ht="15" hidden="false" customHeight="false" outlineLevel="0" collapsed="false">
      <c r="A461" s="0" t="n">
        <v>460</v>
      </c>
      <c r="D461" s="0" t="s">
        <v>1662</v>
      </c>
      <c r="E461" s="0" t="s">
        <v>1663</v>
      </c>
      <c r="H461" s="0" t="s">
        <v>21</v>
      </c>
      <c r="I461" s="2" t="s">
        <v>22</v>
      </c>
      <c r="J461" s="2" t="s">
        <v>635</v>
      </c>
      <c r="K461" s="0" t="s">
        <v>636</v>
      </c>
      <c r="L461" s="0" t="s">
        <v>31</v>
      </c>
      <c r="M461" s="0" t="s">
        <v>637</v>
      </c>
      <c r="N461" s="0" t="s">
        <v>1664</v>
      </c>
      <c r="O461" s="0" t="n">
        <v>1</v>
      </c>
      <c r="P461" s="0" t="s">
        <v>1665</v>
      </c>
      <c r="Q461" s="3"/>
      <c r="S461" s="2" t="s">
        <v>29</v>
      </c>
    </row>
    <row r="462" customFormat="false" ht="15" hidden="false" customHeight="false" outlineLevel="0" collapsed="false">
      <c r="A462" s="0" t="n">
        <v>461</v>
      </c>
      <c r="D462" s="0" t="s">
        <v>1666</v>
      </c>
      <c r="E462" s="0" t="s">
        <v>492</v>
      </c>
      <c r="H462" s="0" t="s">
        <v>21</v>
      </c>
      <c r="I462" s="2" t="s">
        <v>22</v>
      </c>
      <c r="J462" s="2" t="s">
        <v>635</v>
      </c>
      <c r="K462" s="0" t="s">
        <v>636</v>
      </c>
      <c r="L462" s="0" t="s">
        <v>31</v>
      </c>
      <c r="M462" s="0" t="s">
        <v>637</v>
      </c>
      <c r="N462" s="0" t="s">
        <v>1667</v>
      </c>
      <c r="O462" s="0" t="n">
        <v>1</v>
      </c>
      <c r="P462" s="0" t="s">
        <v>1668</v>
      </c>
      <c r="Q462" s="3"/>
      <c r="S462" s="2" t="s">
        <v>29</v>
      </c>
    </row>
    <row r="463" customFormat="false" ht="15" hidden="false" customHeight="false" outlineLevel="0" collapsed="false">
      <c r="A463" s="0" t="n">
        <v>462</v>
      </c>
      <c r="D463" s="0" t="s">
        <v>1669</v>
      </c>
      <c r="E463" s="0" t="s">
        <v>99</v>
      </c>
      <c r="H463" s="0" t="s">
        <v>21</v>
      </c>
      <c r="I463" s="2" t="s">
        <v>22</v>
      </c>
      <c r="J463" s="2" t="s">
        <v>635</v>
      </c>
      <c r="K463" s="0" t="s">
        <v>636</v>
      </c>
      <c r="L463" s="0" t="s">
        <v>100</v>
      </c>
      <c r="M463" s="0" t="s">
        <v>637</v>
      </c>
      <c r="N463" s="0" t="s">
        <v>1670</v>
      </c>
      <c r="O463" s="0" t="n">
        <v>1</v>
      </c>
      <c r="P463" s="0" t="s">
        <v>1671</v>
      </c>
      <c r="Q463" s="3"/>
      <c r="S463" s="2" t="s">
        <v>29</v>
      </c>
    </row>
    <row r="464" customFormat="false" ht="15" hidden="false" customHeight="false" outlineLevel="0" collapsed="false">
      <c r="A464" s="0" t="n">
        <v>463</v>
      </c>
      <c r="D464" s="0" t="s">
        <v>1672</v>
      </c>
      <c r="E464" s="0" t="s">
        <v>99</v>
      </c>
      <c r="H464" s="0" t="s">
        <v>21</v>
      </c>
      <c r="I464" s="2" t="s">
        <v>22</v>
      </c>
      <c r="J464" s="2" t="s">
        <v>635</v>
      </c>
      <c r="K464" s="0" t="s">
        <v>636</v>
      </c>
      <c r="L464" s="0" t="s">
        <v>100</v>
      </c>
      <c r="M464" s="0" t="s">
        <v>637</v>
      </c>
      <c r="N464" s="0" t="s">
        <v>1673</v>
      </c>
      <c r="O464" s="0" t="n">
        <v>1</v>
      </c>
      <c r="P464" s="0" t="s">
        <v>1674</v>
      </c>
      <c r="Q464" s="3"/>
      <c r="S464" s="2" t="s">
        <v>29</v>
      </c>
    </row>
    <row r="465" customFormat="false" ht="15" hidden="false" customHeight="false" outlineLevel="0" collapsed="false">
      <c r="A465" s="0" t="n">
        <v>464</v>
      </c>
      <c r="D465" s="0" t="s">
        <v>1675</v>
      </c>
      <c r="E465" s="0" t="s">
        <v>20</v>
      </c>
      <c r="H465" s="0" t="s">
        <v>21</v>
      </c>
      <c r="I465" s="2" t="s">
        <v>22</v>
      </c>
      <c r="J465" s="2" t="s">
        <v>635</v>
      </c>
      <c r="K465" s="0" t="s">
        <v>636</v>
      </c>
      <c r="L465" s="0" t="s">
        <v>31</v>
      </c>
      <c r="M465" s="0" t="s">
        <v>637</v>
      </c>
      <c r="N465" s="0" t="s">
        <v>1676</v>
      </c>
      <c r="O465" s="0" t="n">
        <v>1</v>
      </c>
      <c r="Q465" s="3"/>
      <c r="S465" s="2" t="s">
        <v>29</v>
      </c>
    </row>
    <row r="466" customFormat="false" ht="15" hidden="false" customHeight="false" outlineLevel="0" collapsed="false">
      <c r="A466" s="0" t="n">
        <v>465</v>
      </c>
      <c r="D466" s="0" t="s">
        <v>1677</v>
      </c>
      <c r="E466" s="0" t="s">
        <v>20</v>
      </c>
      <c r="H466" s="0" t="s">
        <v>21</v>
      </c>
      <c r="I466" s="2" t="s">
        <v>22</v>
      </c>
      <c r="J466" s="2" t="s">
        <v>635</v>
      </c>
      <c r="K466" s="0" t="s">
        <v>636</v>
      </c>
      <c r="L466" s="0" t="s">
        <v>31</v>
      </c>
      <c r="M466" s="0" t="s">
        <v>637</v>
      </c>
      <c r="N466" s="0" t="s">
        <v>1678</v>
      </c>
      <c r="O466" s="0" t="n">
        <v>1</v>
      </c>
      <c r="P466" s="0" t="s">
        <v>1679</v>
      </c>
      <c r="Q466" s="3"/>
      <c r="S466" s="2" t="s">
        <v>29</v>
      </c>
    </row>
    <row r="467" customFormat="false" ht="15" hidden="false" customHeight="false" outlineLevel="0" collapsed="false">
      <c r="A467" s="0" t="n">
        <v>466</v>
      </c>
      <c r="D467" s="0" t="s">
        <v>1680</v>
      </c>
      <c r="E467" s="0" t="s">
        <v>20</v>
      </c>
      <c r="H467" s="0" t="s">
        <v>21</v>
      </c>
      <c r="I467" s="2" t="s">
        <v>22</v>
      </c>
      <c r="J467" s="2" t="s">
        <v>635</v>
      </c>
      <c r="K467" s="0" t="s">
        <v>636</v>
      </c>
      <c r="L467" s="0" t="s">
        <v>31</v>
      </c>
      <c r="M467" s="0" t="s">
        <v>637</v>
      </c>
      <c r="N467" s="0" t="s">
        <v>1681</v>
      </c>
      <c r="O467" s="0" t="n">
        <v>1</v>
      </c>
      <c r="P467" s="0" t="s">
        <v>1682</v>
      </c>
      <c r="Q467" s="3"/>
      <c r="S467" s="2" t="s">
        <v>29</v>
      </c>
    </row>
    <row r="468" customFormat="false" ht="15" hidden="false" customHeight="false" outlineLevel="0" collapsed="false">
      <c r="A468" s="0" t="n">
        <v>467</v>
      </c>
      <c r="D468" s="0" t="s">
        <v>1683</v>
      </c>
      <c r="E468" s="0" t="s">
        <v>492</v>
      </c>
      <c r="H468" s="0" t="s">
        <v>21</v>
      </c>
      <c r="I468" s="2" t="s">
        <v>22</v>
      </c>
      <c r="J468" s="2" t="s">
        <v>635</v>
      </c>
      <c r="K468" s="0" t="s">
        <v>636</v>
      </c>
      <c r="L468" s="0" t="s">
        <v>31</v>
      </c>
      <c r="M468" s="0" t="s">
        <v>637</v>
      </c>
      <c r="N468" s="0" t="s">
        <v>1684</v>
      </c>
      <c r="O468" s="0" t="n">
        <v>1</v>
      </c>
      <c r="P468" s="0" t="s">
        <v>1685</v>
      </c>
      <c r="Q468" s="3"/>
      <c r="S468" s="2" t="s">
        <v>29</v>
      </c>
    </row>
    <row r="469" customFormat="false" ht="15" hidden="false" customHeight="false" outlineLevel="0" collapsed="false">
      <c r="A469" s="0" t="n">
        <v>468</v>
      </c>
      <c r="D469" s="0" t="s">
        <v>1686</v>
      </c>
      <c r="E469" s="0" t="s">
        <v>492</v>
      </c>
      <c r="H469" s="0" t="s">
        <v>21</v>
      </c>
      <c r="I469" s="2" t="s">
        <v>22</v>
      </c>
      <c r="J469" s="2" t="s">
        <v>635</v>
      </c>
      <c r="K469" s="0" t="s">
        <v>636</v>
      </c>
      <c r="L469" s="0" t="s">
        <v>31</v>
      </c>
      <c r="M469" s="0" t="s">
        <v>637</v>
      </c>
      <c r="N469" s="0" t="s">
        <v>1687</v>
      </c>
      <c r="O469" s="0" t="n">
        <v>1</v>
      </c>
      <c r="P469" s="0" t="s">
        <v>1688</v>
      </c>
      <c r="Q469" s="3"/>
      <c r="S469" s="2" t="s">
        <v>29</v>
      </c>
    </row>
    <row r="470" customFormat="false" ht="15" hidden="false" customHeight="false" outlineLevel="0" collapsed="false">
      <c r="A470" s="0" t="n">
        <v>469</v>
      </c>
      <c r="D470" s="0" t="s">
        <v>1689</v>
      </c>
      <c r="E470" s="0" t="s">
        <v>20</v>
      </c>
      <c r="F470" s="0" t="s">
        <v>1690</v>
      </c>
      <c r="H470" s="0" t="s">
        <v>21</v>
      </c>
      <c r="I470" s="2" t="s">
        <v>22</v>
      </c>
      <c r="J470" s="2" t="s">
        <v>635</v>
      </c>
      <c r="K470" s="0" t="s">
        <v>636</v>
      </c>
      <c r="L470" s="0" t="s">
        <v>1691</v>
      </c>
      <c r="M470" s="0" t="s">
        <v>637</v>
      </c>
      <c r="N470" s="0" t="s">
        <v>1692</v>
      </c>
      <c r="O470" s="0" t="n">
        <v>1</v>
      </c>
      <c r="P470" s="0" t="s">
        <v>1693</v>
      </c>
      <c r="Q470" s="3" t="s">
        <v>1694</v>
      </c>
      <c r="R470" s="2" t="s">
        <v>1695</v>
      </c>
      <c r="S470" s="2" t="s">
        <v>45</v>
      </c>
    </row>
    <row r="471" customFormat="false" ht="15" hidden="false" customHeight="false" outlineLevel="0" collapsed="false">
      <c r="A471" s="0" t="n">
        <v>470</v>
      </c>
      <c r="D471" s="0" t="s">
        <v>1696</v>
      </c>
      <c r="E471" s="0" t="s">
        <v>20</v>
      </c>
      <c r="H471" s="0" t="s">
        <v>21</v>
      </c>
      <c r="I471" s="2" t="s">
        <v>22</v>
      </c>
      <c r="J471" s="2" t="s">
        <v>635</v>
      </c>
      <c r="K471" s="0" t="s">
        <v>636</v>
      </c>
      <c r="L471" s="0" t="s">
        <v>31</v>
      </c>
      <c r="M471" s="0" t="s">
        <v>637</v>
      </c>
      <c r="N471" s="0" t="s">
        <v>1697</v>
      </c>
      <c r="O471" s="0" t="n">
        <v>1</v>
      </c>
      <c r="P471" s="0" t="s">
        <v>1698</v>
      </c>
      <c r="Q471" s="3"/>
      <c r="S471" s="2" t="s">
        <v>29</v>
      </c>
    </row>
    <row r="472" customFormat="false" ht="15" hidden="false" customHeight="false" outlineLevel="0" collapsed="false">
      <c r="A472" s="0" t="n">
        <v>471</v>
      </c>
      <c r="D472" s="0" t="s">
        <v>1699</v>
      </c>
      <c r="E472" s="0" t="s">
        <v>20</v>
      </c>
      <c r="H472" s="0" t="s">
        <v>21</v>
      </c>
      <c r="I472" s="2" t="s">
        <v>22</v>
      </c>
      <c r="J472" s="2" t="s">
        <v>635</v>
      </c>
      <c r="K472" s="0" t="s">
        <v>636</v>
      </c>
      <c r="L472" s="0" t="s">
        <v>31</v>
      </c>
      <c r="M472" s="0" t="s">
        <v>637</v>
      </c>
      <c r="N472" s="0" t="s">
        <v>1700</v>
      </c>
      <c r="O472" s="0" t="n">
        <v>1</v>
      </c>
      <c r="P472" s="0" t="s">
        <v>1701</v>
      </c>
      <c r="Q472" s="3"/>
      <c r="S472" s="2" t="s">
        <v>29</v>
      </c>
    </row>
    <row r="473" customFormat="false" ht="15" hidden="false" customHeight="false" outlineLevel="0" collapsed="false">
      <c r="A473" s="0" t="n">
        <v>472</v>
      </c>
      <c r="D473" s="0" t="s">
        <v>1702</v>
      </c>
      <c r="E473" s="0" t="s">
        <v>99</v>
      </c>
      <c r="H473" s="0" t="s">
        <v>21</v>
      </c>
      <c r="I473" s="2" t="s">
        <v>22</v>
      </c>
      <c r="J473" s="2" t="s">
        <v>635</v>
      </c>
      <c r="K473" s="0" t="s">
        <v>636</v>
      </c>
      <c r="L473" s="0" t="s">
        <v>100</v>
      </c>
      <c r="M473" s="0" t="s">
        <v>637</v>
      </c>
      <c r="N473" s="0" t="s">
        <v>1703</v>
      </c>
      <c r="O473" s="0" t="n">
        <v>1</v>
      </c>
      <c r="P473" s="0" t="s">
        <v>1704</v>
      </c>
      <c r="Q473" s="3"/>
      <c r="S473" s="2" t="s">
        <v>29</v>
      </c>
    </row>
    <row r="474" customFormat="false" ht="15" hidden="false" customHeight="false" outlineLevel="0" collapsed="false">
      <c r="A474" s="0" t="n">
        <v>473</v>
      </c>
      <c r="D474" s="0" t="s">
        <v>1705</v>
      </c>
      <c r="E474" s="0" t="s">
        <v>20</v>
      </c>
      <c r="H474" s="0" t="s">
        <v>21</v>
      </c>
      <c r="I474" s="2" t="s">
        <v>22</v>
      </c>
      <c r="J474" s="2" t="s">
        <v>635</v>
      </c>
      <c r="K474" s="0" t="s">
        <v>636</v>
      </c>
      <c r="L474" s="0" t="s">
        <v>31</v>
      </c>
      <c r="M474" s="0" t="s">
        <v>637</v>
      </c>
      <c r="N474" s="0" t="s">
        <v>1706</v>
      </c>
      <c r="O474" s="0" t="n">
        <v>1</v>
      </c>
      <c r="P474" s="0" t="s">
        <v>1707</v>
      </c>
      <c r="Q474" s="3"/>
      <c r="S474" s="2" t="s">
        <v>29</v>
      </c>
    </row>
    <row r="475" customFormat="false" ht="15" hidden="false" customHeight="false" outlineLevel="0" collapsed="false">
      <c r="A475" s="0" t="n">
        <v>474</v>
      </c>
      <c r="D475" s="0" t="s">
        <v>1708</v>
      </c>
      <c r="E475" s="0" t="s">
        <v>20</v>
      </c>
      <c r="H475" s="0" t="s">
        <v>21</v>
      </c>
      <c r="I475" s="2" t="s">
        <v>22</v>
      </c>
      <c r="J475" s="2" t="s">
        <v>635</v>
      </c>
      <c r="K475" s="0" t="s">
        <v>636</v>
      </c>
      <c r="L475" s="0" t="s">
        <v>31</v>
      </c>
      <c r="M475" s="0" t="s">
        <v>637</v>
      </c>
      <c r="N475" s="0" t="s">
        <v>1709</v>
      </c>
      <c r="O475" s="0" t="n">
        <v>1</v>
      </c>
      <c r="P475" s="0" t="s">
        <v>1710</v>
      </c>
      <c r="Q475" s="3"/>
      <c r="S475" s="2" t="s">
        <v>29</v>
      </c>
    </row>
    <row r="476" customFormat="false" ht="15" hidden="false" customHeight="false" outlineLevel="0" collapsed="false">
      <c r="A476" s="0" t="n">
        <v>475</v>
      </c>
      <c r="D476" s="0" t="s">
        <v>1711</v>
      </c>
      <c r="E476" s="0" t="s">
        <v>226</v>
      </c>
      <c r="H476" s="0" t="s">
        <v>21</v>
      </c>
      <c r="I476" s="2" t="s">
        <v>22</v>
      </c>
      <c r="J476" s="2" t="s">
        <v>635</v>
      </c>
      <c r="K476" s="0" t="s">
        <v>636</v>
      </c>
      <c r="L476" s="0" t="s">
        <v>100</v>
      </c>
      <c r="M476" s="0" t="s">
        <v>637</v>
      </c>
      <c r="N476" s="0" t="s">
        <v>1712</v>
      </c>
      <c r="O476" s="0" t="n">
        <v>1</v>
      </c>
      <c r="P476" s="0" t="s">
        <v>1713</v>
      </c>
      <c r="Q476" s="3"/>
      <c r="S476" s="2" t="s">
        <v>29</v>
      </c>
    </row>
    <row r="477" customFormat="false" ht="15" hidden="false" customHeight="false" outlineLevel="0" collapsed="false">
      <c r="A477" s="0" t="n">
        <v>476</v>
      </c>
      <c r="D477" s="0" t="s">
        <v>1714</v>
      </c>
      <c r="E477" s="0" t="s">
        <v>20</v>
      </c>
      <c r="H477" s="0" t="s">
        <v>21</v>
      </c>
      <c r="I477" s="2" t="s">
        <v>22</v>
      </c>
      <c r="J477" s="2" t="s">
        <v>635</v>
      </c>
      <c r="K477" s="0" t="s">
        <v>636</v>
      </c>
      <c r="L477" s="0" t="s">
        <v>31</v>
      </c>
      <c r="M477" s="0" t="s">
        <v>637</v>
      </c>
      <c r="N477" s="0" t="s">
        <v>1715</v>
      </c>
      <c r="O477" s="0" t="n">
        <v>1</v>
      </c>
      <c r="P477" s="0" t="s">
        <v>1716</v>
      </c>
      <c r="Q477" s="3"/>
      <c r="S477" s="2" t="s">
        <v>29</v>
      </c>
    </row>
    <row r="478" customFormat="false" ht="15" hidden="false" customHeight="false" outlineLevel="0" collapsed="false">
      <c r="A478" s="0" t="n">
        <v>477</v>
      </c>
      <c r="D478" s="0" t="s">
        <v>1717</v>
      </c>
      <c r="E478" s="0" t="s">
        <v>20</v>
      </c>
      <c r="H478" s="0" t="s">
        <v>21</v>
      </c>
      <c r="I478" s="2" t="s">
        <v>22</v>
      </c>
      <c r="J478" s="2" t="s">
        <v>635</v>
      </c>
      <c r="K478" s="0" t="s">
        <v>636</v>
      </c>
      <c r="L478" s="0" t="s">
        <v>31</v>
      </c>
      <c r="M478" s="0" t="s">
        <v>637</v>
      </c>
      <c r="N478" s="0" t="s">
        <v>1718</v>
      </c>
      <c r="O478" s="0" t="n">
        <v>1</v>
      </c>
      <c r="P478" s="0" t="s">
        <v>1719</v>
      </c>
      <c r="Q478" s="3"/>
      <c r="S478" s="2" t="s">
        <v>29</v>
      </c>
    </row>
    <row r="479" customFormat="false" ht="15" hidden="false" customHeight="false" outlineLevel="0" collapsed="false">
      <c r="A479" s="0" t="n">
        <v>478</v>
      </c>
      <c r="D479" s="0" t="s">
        <v>1720</v>
      </c>
      <c r="E479" s="0" t="s">
        <v>20</v>
      </c>
      <c r="H479" s="0" t="s">
        <v>21</v>
      </c>
      <c r="I479" s="2" t="s">
        <v>22</v>
      </c>
      <c r="J479" s="2" t="s">
        <v>635</v>
      </c>
      <c r="K479" s="0" t="s">
        <v>636</v>
      </c>
      <c r="L479" s="0" t="s">
        <v>31</v>
      </c>
      <c r="M479" s="0" t="s">
        <v>637</v>
      </c>
      <c r="N479" s="0" t="s">
        <v>1721</v>
      </c>
      <c r="O479" s="0" t="n">
        <v>1</v>
      </c>
      <c r="P479" s="0" t="s">
        <v>1722</v>
      </c>
      <c r="Q479" s="3"/>
      <c r="S479" s="2" t="s">
        <v>29</v>
      </c>
    </row>
    <row r="480" customFormat="false" ht="15" hidden="false" customHeight="false" outlineLevel="0" collapsed="false">
      <c r="A480" s="0" t="n">
        <v>479</v>
      </c>
      <c r="D480" s="0" t="s">
        <v>1723</v>
      </c>
      <c r="E480" s="0" t="s">
        <v>20</v>
      </c>
      <c r="H480" s="0" t="s">
        <v>21</v>
      </c>
      <c r="I480" s="2" t="s">
        <v>22</v>
      </c>
      <c r="J480" s="2" t="s">
        <v>635</v>
      </c>
      <c r="K480" s="0" t="s">
        <v>636</v>
      </c>
      <c r="L480" s="0" t="s">
        <v>31</v>
      </c>
      <c r="M480" s="0" t="s">
        <v>637</v>
      </c>
      <c r="N480" s="0" t="s">
        <v>1724</v>
      </c>
      <c r="O480" s="0" t="n">
        <v>1</v>
      </c>
      <c r="P480" s="0" t="s">
        <v>1725</v>
      </c>
      <c r="Q480" s="3"/>
      <c r="S480" s="2" t="s">
        <v>29</v>
      </c>
    </row>
    <row r="481" customFormat="false" ht="15" hidden="false" customHeight="false" outlineLevel="0" collapsed="false">
      <c r="A481" s="0" t="n">
        <v>480</v>
      </c>
      <c r="D481" s="0" t="s">
        <v>1726</v>
      </c>
      <c r="E481" s="0" t="s">
        <v>20</v>
      </c>
      <c r="H481" s="0" t="s">
        <v>21</v>
      </c>
      <c r="I481" s="2" t="s">
        <v>22</v>
      </c>
      <c r="J481" s="2" t="s">
        <v>635</v>
      </c>
      <c r="K481" s="0" t="s">
        <v>636</v>
      </c>
      <c r="L481" s="0" t="s">
        <v>31</v>
      </c>
      <c r="M481" s="0" t="s">
        <v>637</v>
      </c>
      <c r="N481" s="0" t="s">
        <v>1727</v>
      </c>
      <c r="O481" s="0" t="n">
        <v>1</v>
      </c>
      <c r="P481" s="0" t="s">
        <v>1728</v>
      </c>
      <c r="Q481" s="3"/>
      <c r="S481" s="2" t="s">
        <v>29</v>
      </c>
    </row>
    <row r="482" customFormat="false" ht="15" hidden="false" customHeight="false" outlineLevel="0" collapsed="false">
      <c r="A482" s="0" t="n">
        <v>481</v>
      </c>
      <c r="D482" s="0" t="s">
        <v>1729</v>
      </c>
      <c r="E482" s="0" t="s">
        <v>20</v>
      </c>
      <c r="H482" s="0" t="s">
        <v>21</v>
      </c>
      <c r="I482" s="2" t="s">
        <v>22</v>
      </c>
      <c r="J482" s="2" t="s">
        <v>635</v>
      </c>
      <c r="K482" s="0" t="s">
        <v>636</v>
      </c>
      <c r="L482" s="0" t="s">
        <v>31</v>
      </c>
      <c r="M482" s="0" t="s">
        <v>637</v>
      </c>
      <c r="N482" s="0" t="s">
        <v>1730</v>
      </c>
      <c r="O482" s="0" t="n">
        <v>1</v>
      </c>
      <c r="P482" s="0" t="s">
        <v>1731</v>
      </c>
      <c r="Q482" s="3"/>
      <c r="S482" s="2" t="s">
        <v>29</v>
      </c>
    </row>
    <row r="483" customFormat="false" ht="15" hidden="false" customHeight="false" outlineLevel="0" collapsed="false">
      <c r="A483" s="0" t="n">
        <v>482</v>
      </c>
      <c r="D483" s="0" t="s">
        <v>1732</v>
      </c>
      <c r="E483" s="0" t="s">
        <v>20</v>
      </c>
      <c r="H483" s="0" t="s">
        <v>21</v>
      </c>
      <c r="I483" s="2" t="s">
        <v>22</v>
      </c>
      <c r="J483" s="2" t="s">
        <v>635</v>
      </c>
      <c r="K483" s="0" t="s">
        <v>636</v>
      </c>
      <c r="L483" s="0" t="s">
        <v>31</v>
      </c>
      <c r="M483" s="0" t="s">
        <v>637</v>
      </c>
      <c r="N483" s="0" t="s">
        <v>1733</v>
      </c>
      <c r="O483" s="0" t="n">
        <v>1</v>
      </c>
      <c r="P483" s="0" t="s">
        <v>1734</v>
      </c>
      <c r="Q483" s="3"/>
      <c r="S483" s="2" t="s">
        <v>29</v>
      </c>
    </row>
    <row r="484" customFormat="false" ht="15" hidden="false" customHeight="false" outlineLevel="0" collapsed="false">
      <c r="A484" s="0" t="n">
        <v>483</v>
      </c>
      <c r="D484" s="0" t="s">
        <v>1735</v>
      </c>
      <c r="E484" s="0" t="s">
        <v>20</v>
      </c>
      <c r="H484" s="0" t="s">
        <v>21</v>
      </c>
      <c r="I484" s="2" t="s">
        <v>22</v>
      </c>
      <c r="J484" s="2" t="s">
        <v>635</v>
      </c>
      <c r="K484" s="0" t="s">
        <v>636</v>
      </c>
      <c r="L484" s="0" t="s">
        <v>31</v>
      </c>
      <c r="M484" s="0" t="s">
        <v>637</v>
      </c>
      <c r="N484" s="0" t="s">
        <v>1736</v>
      </c>
      <c r="O484" s="0" t="n">
        <v>1</v>
      </c>
      <c r="P484" s="0" t="s">
        <v>1737</v>
      </c>
      <c r="Q484" s="3"/>
      <c r="S484" s="2" t="s">
        <v>29</v>
      </c>
    </row>
    <row r="485" customFormat="false" ht="15" hidden="false" customHeight="false" outlineLevel="0" collapsed="false">
      <c r="A485" s="0" t="n">
        <v>484</v>
      </c>
      <c r="D485" s="0" t="s">
        <v>1738</v>
      </c>
      <c r="E485" s="0" t="s">
        <v>63</v>
      </c>
      <c r="H485" s="0" t="s">
        <v>21</v>
      </c>
      <c r="I485" s="2" t="s">
        <v>22</v>
      </c>
      <c r="J485" s="2" t="s">
        <v>635</v>
      </c>
      <c r="K485" s="0" t="s">
        <v>636</v>
      </c>
      <c r="L485" s="0" t="s">
        <v>100</v>
      </c>
      <c r="M485" s="0" t="s">
        <v>637</v>
      </c>
      <c r="N485" s="0" t="s">
        <v>1739</v>
      </c>
      <c r="O485" s="0" t="n">
        <v>1</v>
      </c>
      <c r="P485" s="0" t="s">
        <v>1740</v>
      </c>
      <c r="Q485" s="3"/>
      <c r="S485" s="2" t="s">
        <v>29</v>
      </c>
    </row>
    <row r="486" customFormat="false" ht="15" hidden="false" customHeight="false" outlineLevel="0" collapsed="false">
      <c r="A486" s="0" t="n">
        <v>485</v>
      </c>
      <c r="D486" s="0" t="s">
        <v>1741</v>
      </c>
      <c r="E486" s="0" t="s">
        <v>20</v>
      </c>
      <c r="H486" s="0" t="s">
        <v>21</v>
      </c>
      <c r="I486" s="2" t="s">
        <v>22</v>
      </c>
      <c r="J486" s="2" t="s">
        <v>635</v>
      </c>
      <c r="K486" s="0" t="s">
        <v>636</v>
      </c>
      <c r="L486" s="0" t="s">
        <v>31</v>
      </c>
      <c r="M486" s="0" t="s">
        <v>637</v>
      </c>
      <c r="N486" s="0" t="s">
        <v>1742</v>
      </c>
      <c r="O486" s="0" t="n">
        <v>1</v>
      </c>
      <c r="P486" s="0" t="s">
        <v>1743</v>
      </c>
      <c r="Q486" s="3"/>
      <c r="S486" s="2" t="s">
        <v>29</v>
      </c>
    </row>
    <row r="487" customFormat="false" ht="15" hidden="false" customHeight="false" outlineLevel="0" collapsed="false">
      <c r="A487" s="0" t="n">
        <v>486</v>
      </c>
      <c r="D487" s="0" t="s">
        <v>1744</v>
      </c>
      <c r="E487" s="0" t="s">
        <v>20</v>
      </c>
      <c r="H487" s="0" t="s">
        <v>21</v>
      </c>
      <c r="I487" s="2" t="s">
        <v>22</v>
      </c>
      <c r="J487" s="2" t="s">
        <v>635</v>
      </c>
      <c r="K487" s="0" t="s">
        <v>636</v>
      </c>
      <c r="L487" s="0" t="s">
        <v>31</v>
      </c>
      <c r="M487" s="0" t="s">
        <v>637</v>
      </c>
      <c r="N487" s="0" t="s">
        <v>1745</v>
      </c>
      <c r="O487" s="0" t="n">
        <v>1</v>
      </c>
      <c r="P487" s="0" t="s">
        <v>1746</v>
      </c>
      <c r="Q487" s="3"/>
      <c r="S487" s="2" t="s">
        <v>29</v>
      </c>
    </row>
    <row r="488" customFormat="false" ht="15" hidden="false" customHeight="false" outlineLevel="0" collapsed="false">
      <c r="A488" s="0" t="n">
        <v>487</v>
      </c>
      <c r="D488" s="0" t="s">
        <v>1747</v>
      </c>
      <c r="E488" s="0" t="s">
        <v>492</v>
      </c>
      <c r="H488" s="0" t="s">
        <v>21</v>
      </c>
      <c r="I488" s="2" t="s">
        <v>22</v>
      </c>
      <c r="J488" s="2" t="s">
        <v>635</v>
      </c>
      <c r="K488" s="0" t="s">
        <v>636</v>
      </c>
      <c r="L488" s="0" t="s">
        <v>31</v>
      </c>
      <c r="M488" s="0" t="s">
        <v>637</v>
      </c>
      <c r="N488" s="0" t="s">
        <v>1748</v>
      </c>
      <c r="O488" s="0" t="n">
        <v>1</v>
      </c>
      <c r="P488" s="0" t="s">
        <v>1749</v>
      </c>
      <c r="Q488" s="3"/>
      <c r="S488" s="2" t="s">
        <v>29</v>
      </c>
    </row>
    <row r="489" customFormat="false" ht="15" hidden="false" customHeight="false" outlineLevel="0" collapsed="false">
      <c r="A489" s="0" t="n">
        <v>488</v>
      </c>
      <c r="D489" s="0" t="s">
        <v>1750</v>
      </c>
      <c r="E489" s="0" t="s">
        <v>20</v>
      </c>
      <c r="H489" s="0" t="s">
        <v>21</v>
      </c>
      <c r="I489" s="2" t="s">
        <v>22</v>
      </c>
      <c r="J489" s="2" t="s">
        <v>635</v>
      </c>
      <c r="K489" s="0" t="s">
        <v>636</v>
      </c>
      <c r="L489" s="0" t="s">
        <v>31</v>
      </c>
      <c r="M489" s="0" t="s">
        <v>637</v>
      </c>
      <c r="N489" s="0" t="s">
        <v>1751</v>
      </c>
      <c r="O489" s="0" t="n">
        <v>1</v>
      </c>
      <c r="P489" s="0" t="s">
        <v>1752</v>
      </c>
      <c r="Q489" s="3"/>
      <c r="S489" s="2" t="s">
        <v>29</v>
      </c>
    </row>
    <row r="490" customFormat="false" ht="15" hidden="false" customHeight="false" outlineLevel="0" collapsed="false">
      <c r="A490" s="0" t="n">
        <v>489</v>
      </c>
      <c r="D490" s="0" t="s">
        <v>1753</v>
      </c>
      <c r="E490" s="0" t="s">
        <v>20</v>
      </c>
      <c r="H490" s="0" t="s">
        <v>21</v>
      </c>
      <c r="I490" s="2" t="s">
        <v>22</v>
      </c>
      <c r="J490" s="2" t="s">
        <v>635</v>
      </c>
      <c r="K490" s="0" t="s">
        <v>636</v>
      </c>
      <c r="L490" s="0" t="s">
        <v>31</v>
      </c>
      <c r="M490" s="0" t="s">
        <v>637</v>
      </c>
      <c r="N490" s="0" t="s">
        <v>1754</v>
      </c>
      <c r="O490" s="0" t="n">
        <v>1</v>
      </c>
      <c r="P490" s="0" t="s">
        <v>1755</v>
      </c>
      <c r="Q490" s="3"/>
      <c r="S490" s="2" t="s">
        <v>29</v>
      </c>
    </row>
    <row r="491" customFormat="false" ht="15" hidden="false" customHeight="false" outlineLevel="0" collapsed="false">
      <c r="A491" s="0" t="n">
        <v>490</v>
      </c>
      <c r="D491" s="0" t="s">
        <v>1756</v>
      </c>
      <c r="E491" s="0" t="s">
        <v>492</v>
      </c>
      <c r="H491" s="0" t="s">
        <v>21</v>
      </c>
      <c r="I491" s="2" t="s">
        <v>22</v>
      </c>
      <c r="J491" s="2" t="s">
        <v>635</v>
      </c>
      <c r="K491" s="0" t="s">
        <v>636</v>
      </c>
      <c r="L491" s="0" t="s">
        <v>31</v>
      </c>
      <c r="M491" s="0" t="s">
        <v>637</v>
      </c>
      <c r="N491" s="0" t="s">
        <v>1757</v>
      </c>
      <c r="O491" s="0" t="n">
        <v>1</v>
      </c>
      <c r="P491" s="0" t="s">
        <v>1758</v>
      </c>
      <c r="Q491" s="3"/>
      <c r="S491" s="2" t="s">
        <v>29</v>
      </c>
    </row>
    <row r="492" customFormat="false" ht="15" hidden="false" customHeight="false" outlineLevel="0" collapsed="false">
      <c r="A492" s="0" t="n">
        <v>491</v>
      </c>
      <c r="D492" s="0" t="s">
        <v>1759</v>
      </c>
      <c r="E492" s="0" t="s">
        <v>99</v>
      </c>
      <c r="H492" s="0" t="s">
        <v>21</v>
      </c>
      <c r="I492" s="2" t="s">
        <v>22</v>
      </c>
      <c r="J492" s="2" t="s">
        <v>635</v>
      </c>
      <c r="K492" s="0" t="s">
        <v>636</v>
      </c>
      <c r="L492" s="0" t="s">
        <v>100</v>
      </c>
      <c r="M492" s="0" t="s">
        <v>637</v>
      </c>
      <c r="N492" s="0" t="s">
        <v>1760</v>
      </c>
      <c r="O492" s="0" t="n">
        <v>1</v>
      </c>
      <c r="P492" s="0" t="s">
        <v>1761</v>
      </c>
      <c r="Q492" s="3"/>
      <c r="S492" s="2" t="s">
        <v>29</v>
      </c>
    </row>
    <row r="493" customFormat="false" ht="15" hidden="false" customHeight="false" outlineLevel="0" collapsed="false">
      <c r="A493" s="0" t="n">
        <v>492</v>
      </c>
      <c r="D493" s="0" t="s">
        <v>1762</v>
      </c>
      <c r="E493" s="0" t="s">
        <v>20</v>
      </c>
      <c r="H493" s="0" t="s">
        <v>21</v>
      </c>
      <c r="I493" s="2" t="s">
        <v>22</v>
      </c>
      <c r="J493" s="2" t="s">
        <v>635</v>
      </c>
      <c r="K493" s="0" t="s">
        <v>636</v>
      </c>
      <c r="L493" s="0" t="s">
        <v>31</v>
      </c>
      <c r="M493" s="0" t="s">
        <v>637</v>
      </c>
      <c r="N493" s="0" t="s">
        <v>1763</v>
      </c>
      <c r="O493" s="0" t="n">
        <v>1</v>
      </c>
      <c r="P493" s="0" t="s">
        <v>1764</v>
      </c>
      <c r="Q493" s="3"/>
      <c r="S493" s="2" t="s">
        <v>29</v>
      </c>
    </row>
    <row r="494" customFormat="false" ht="15" hidden="false" customHeight="false" outlineLevel="0" collapsed="false">
      <c r="A494" s="0" t="n">
        <v>493</v>
      </c>
      <c r="D494" s="0" t="s">
        <v>1765</v>
      </c>
      <c r="E494" s="0" t="s">
        <v>20</v>
      </c>
      <c r="H494" s="0" t="s">
        <v>21</v>
      </c>
      <c r="I494" s="2" t="s">
        <v>22</v>
      </c>
      <c r="J494" s="2" t="s">
        <v>635</v>
      </c>
      <c r="K494" s="0" t="s">
        <v>636</v>
      </c>
      <c r="L494" s="0" t="s">
        <v>31</v>
      </c>
      <c r="M494" s="0" t="s">
        <v>637</v>
      </c>
      <c r="N494" s="0" t="s">
        <v>1766</v>
      </c>
      <c r="O494" s="0" t="n">
        <v>1</v>
      </c>
      <c r="P494" s="0" t="s">
        <v>1767</v>
      </c>
      <c r="Q494" s="3"/>
      <c r="S494" s="2" t="s">
        <v>29</v>
      </c>
    </row>
    <row r="495" customFormat="false" ht="15" hidden="false" customHeight="false" outlineLevel="0" collapsed="false">
      <c r="A495" s="0" t="n">
        <v>494</v>
      </c>
      <c r="D495" s="0" t="s">
        <v>1768</v>
      </c>
      <c r="E495" s="0" t="s">
        <v>63</v>
      </c>
      <c r="H495" s="0" t="s">
        <v>21</v>
      </c>
      <c r="I495" s="2" t="s">
        <v>22</v>
      </c>
      <c r="J495" s="2" t="s">
        <v>635</v>
      </c>
      <c r="K495" s="0" t="s">
        <v>636</v>
      </c>
      <c r="L495" s="0" t="s">
        <v>100</v>
      </c>
      <c r="M495" s="0" t="s">
        <v>637</v>
      </c>
      <c r="N495" s="0" t="s">
        <v>1769</v>
      </c>
      <c r="O495" s="0" t="n">
        <v>1</v>
      </c>
      <c r="P495" s="0" t="s">
        <v>1770</v>
      </c>
      <c r="Q495" s="3"/>
      <c r="S495" s="2" t="s">
        <v>29</v>
      </c>
    </row>
    <row r="496" customFormat="false" ht="15" hidden="false" customHeight="false" outlineLevel="0" collapsed="false">
      <c r="A496" s="0" t="n">
        <v>495</v>
      </c>
      <c r="D496" s="0" t="s">
        <v>1771</v>
      </c>
      <c r="E496" s="0" t="s">
        <v>267</v>
      </c>
      <c r="H496" s="0" t="s">
        <v>21</v>
      </c>
      <c r="I496" s="2" t="s">
        <v>22</v>
      </c>
      <c r="J496" s="2" t="s">
        <v>635</v>
      </c>
      <c r="K496" s="0" t="s">
        <v>636</v>
      </c>
      <c r="L496" s="0" t="s">
        <v>31</v>
      </c>
      <c r="M496" s="0" t="s">
        <v>637</v>
      </c>
      <c r="N496" s="0" t="s">
        <v>1772</v>
      </c>
      <c r="O496" s="0" t="n">
        <v>1</v>
      </c>
      <c r="P496" s="0" t="s">
        <v>1773</v>
      </c>
      <c r="Q496" s="3"/>
      <c r="S496" s="2" t="s">
        <v>29</v>
      </c>
    </row>
    <row r="497" customFormat="false" ht="15" hidden="false" customHeight="false" outlineLevel="0" collapsed="false">
      <c r="A497" s="0" t="n">
        <v>496</v>
      </c>
      <c r="D497" s="0" t="s">
        <v>1774</v>
      </c>
      <c r="E497" s="0" t="s">
        <v>20</v>
      </c>
      <c r="H497" s="0" t="s">
        <v>21</v>
      </c>
      <c r="I497" s="2" t="s">
        <v>22</v>
      </c>
      <c r="J497" s="2" t="s">
        <v>635</v>
      </c>
      <c r="K497" s="0" t="s">
        <v>636</v>
      </c>
      <c r="L497" s="0" t="s">
        <v>31</v>
      </c>
      <c r="M497" s="0" t="s">
        <v>637</v>
      </c>
      <c r="N497" s="0" t="s">
        <v>1775</v>
      </c>
      <c r="O497" s="0" t="n">
        <v>1</v>
      </c>
      <c r="P497" s="0" t="s">
        <v>1776</v>
      </c>
      <c r="Q497" s="3"/>
      <c r="S497" s="2" t="s">
        <v>29</v>
      </c>
    </row>
    <row r="498" customFormat="false" ht="15" hidden="false" customHeight="false" outlineLevel="0" collapsed="false">
      <c r="A498" s="0" t="n">
        <v>497</v>
      </c>
      <c r="D498" s="0" t="s">
        <v>1777</v>
      </c>
      <c r="E498" s="0" t="s">
        <v>492</v>
      </c>
      <c r="H498" s="0" t="s">
        <v>21</v>
      </c>
      <c r="I498" s="2" t="s">
        <v>22</v>
      </c>
      <c r="J498" s="2" t="s">
        <v>635</v>
      </c>
      <c r="K498" s="0" t="s">
        <v>636</v>
      </c>
      <c r="L498" s="0" t="s">
        <v>31</v>
      </c>
      <c r="M498" s="0" t="s">
        <v>637</v>
      </c>
      <c r="N498" s="0" t="s">
        <v>1778</v>
      </c>
      <c r="O498" s="0" t="n">
        <v>1</v>
      </c>
      <c r="P498" s="0" t="s">
        <v>1779</v>
      </c>
      <c r="Q498" s="3"/>
      <c r="S498" s="2" t="s">
        <v>29</v>
      </c>
    </row>
    <row r="499" customFormat="false" ht="15" hidden="false" customHeight="false" outlineLevel="0" collapsed="false">
      <c r="A499" s="0" t="n">
        <v>498</v>
      </c>
      <c r="D499" s="0" t="s">
        <v>1780</v>
      </c>
      <c r="E499" s="0" t="s">
        <v>492</v>
      </c>
      <c r="H499" s="0" t="s">
        <v>21</v>
      </c>
      <c r="I499" s="2" t="s">
        <v>22</v>
      </c>
      <c r="J499" s="2" t="s">
        <v>635</v>
      </c>
      <c r="K499" s="0" t="s">
        <v>636</v>
      </c>
      <c r="L499" s="0" t="s">
        <v>31</v>
      </c>
      <c r="M499" s="0" t="s">
        <v>637</v>
      </c>
      <c r="N499" s="0" t="s">
        <v>1781</v>
      </c>
      <c r="O499" s="0" t="n">
        <v>1</v>
      </c>
      <c r="P499" s="0" t="s">
        <v>1782</v>
      </c>
      <c r="Q499" s="3"/>
      <c r="S499" s="2" t="s">
        <v>29</v>
      </c>
    </row>
    <row r="500" customFormat="false" ht="15" hidden="false" customHeight="false" outlineLevel="0" collapsed="false">
      <c r="A500" s="0" t="n">
        <v>499</v>
      </c>
      <c r="D500" s="0" t="s">
        <v>1783</v>
      </c>
      <c r="E500" s="0" t="s">
        <v>492</v>
      </c>
      <c r="H500" s="0" t="s">
        <v>21</v>
      </c>
      <c r="I500" s="2" t="s">
        <v>22</v>
      </c>
      <c r="J500" s="2" t="s">
        <v>635</v>
      </c>
      <c r="K500" s="0" t="s">
        <v>636</v>
      </c>
      <c r="L500" s="0" t="s">
        <v>31</v>
      </c>
      <c r="M500" s="0" t="s">
        <v>637</v>
      </c>
      <c r="N500" s="0" t="s">
        <v>1784</v>
      </c>
      <c r="O500" s="0" t="n">
        <v>1</v>
      </c>
      <c r="P500" s="0" t="s">
        <v>1785</v>
      </c>
      <c r="Q500" s="3"/>
      <c r="S500" s="2" t="s">
        <v>29</v>
      </c>
    </row>
    <row r="501" customFormat="false" ht="15" hidden="false" customHeight="false" outlineLevel="0" collapsed="false">
      <c r="A501" s="0" t="n">
        <v>500</v>
      </c>
      <c r="D501" s="0" t="s">
        <v>1786</v>
      </c>
      <c r="E501" s="0" t="s">
        <v>492</v>
      </c>
      <c r="H501" s="0" t="s">
        <v>21</v>
      </c>
      <c r="I501" s="2" t="s">
        <v>22</v>
      </c>
      <c r="J501" s="2" t="s">
        <v>635</v>
      </c>
      <c r="K501" s="0" t="s">
        <v>636</v>
      </c>
      <c r="L501" s="0" t="s">
        <v>31</v>
      </c>
      <c r="M501" s="0" t="s">
        <v>637</v>
      </c>
      <c r="N501" s="0" t="s">
        <v>1787</v>
      </c>
      <c r="O501" s="0" t="n">
        <v>1</v>
      </c>
      <c r="P501" s="0" t="s">
        <v>1788</v>
      </c>
      <c r="Q501" s="3"/>
      <c r="S501" s="2" t="s">
        <v>29</v>
      </c>
    </row>
    <row r="502" customFormat="false" ht="15" hidden="false" customHeight="false" outlineLevel="0" collapsed="false">
      <c r="A502" s="0" t="n">
        <v>501</v>
      </c>
      <c r="D502" s="0" t="s">
        <v>1789</v>
      </c>
      <c r="E502" s="0" t="s">
        <v>492</v>
      </c>
      <c r="H502" s="0" t="s">
        <v>21</v>
      </c>
      <c r="I502" s="2" t="s">
        <v>22</v>
      </c>
      <c r="J502" s="2" t="s">
        <v>635</v>
      </c>
      <c r="K502" s="0" t="s">
        <v>636</v>
      </c>
      <c r="L502" s="0" t="s">
        <v>31</v>
      </c>
      <c r="M502" s="0" t="s">
        <v>637</v>
      </c>
      <c r="N502" s="0" t="s">
        <v>1790</v>
      </c>
      <c r="O502" s="0" t="n">
        <v>1</v>
      </c>
      <c r="P502" s="0" t="s">
        <v>1791</v>
      </c>
      <c r="Q502" s="3"/>
      <c r="S502" s="2" t="s">
        <v>29</v>
      </c>
    </row>
    <row r="503" customFormat="false" ht="15" hidden="false" customHeight="false" outlineLevel="0" collapsed="false">
      <c r="A503" s="0" t="n">
        <v>502</v>
      </c>
      <c r="D503" s="0" t="s">
        <v>1792</v>
      </c>
      <c r="E503" s="0" t="s">
        <v>492</v>
      </c>
      <c r="H503" s="0" t="s">
        <v>21</v>
      </c>
      <c r="I503" s="2" t="s">
        <v>22</v>
      </c>
      <c r="J503" s="2" t="s">
        <v>635</v>
      </c>
      <c r="K503" s="0" t="s">
        <v>636</v>
      </c>
      <c r="L503" s="0" t="s">
        <v>31</v>
      </c>
      <c r="M503" s="0" t="s">
        <v>637</v>
      </c>
      <c r="N503" s="0" t="s">
        <v>1793</v>
      </c>
      <c r="O503" s="0" t="n">
        <v>1</v>
      </c>
      <c r="P503" s="0" t="s">
        <v>1794</v>
      </c>
      <c r="Q503" s="3"/>
      <c r="S503" s="2" t="s">
        <v>29</v>
      </c>
    </row>
    <row r="504" customFormat="false" ht="15" hidden="false" customHeight="false" outlineLevel="0" collapsed="false">
      <c r="A504" s="0" t="n">
        <v>503</v>
      </c>
      <c r="D504" s="0" t="s">
        <v>1795</v>
      </c>
      <c r="E504" s="0" t="s">
        <v>492</v>
      </c>
      <c r="H504" s="0" t="s">
        <v>21</v>
      </c>
      <c r="I504" s="2" t="s">
        <v>22</v>
      </c>
      <c r="J504" s="2" t="s">
        <v>635</v>
      </c>
      <c r="K504" s="0" t="s">
        <v>636</v>
      </c>
      <c r="L504" s="0" t="s">
        <v>31</v>
      </c>
      <c r="M504" s="0" t="s">
        <v>637</v>
      </c>
      <c r="N504" s="0" t="s">
        <v>1796</v>
      </c>
      <c r="O504" s="0" t="n">
        <v>1</v>
      </c>
      <c r="P504" s="0" t="s">
        <v>1797</v>
      </c>
      <c r="Q504" s="3"/>
      <c r="S504" s="2" t="s">
        <v>29</v>
      </c>
    </row>
    <row r="505" customFormat="false" ht="15" hidden="false" customHeight="false" outlineLevel="0" collapsed="false">
      <c r="A505" s="0" t="n">
        <v>504</v>
      </c>
      <c r="D505" s="0" t="s">
        <v>1798</v>
      </c>
      <c r="E505" s="0" t="s">
        <v>492</v>
      </c>
      <c r="H505" s="0" t="s">
        <v>21</v>
      </c>
      <c r="I505" s="2" t="s">
        <v>22</v>
      </c>
      <c r="J505" s="2" t="s">
        <v>635</v>
      </c>
      <c r="K505" s="0" t="s">
        <v>636</v>
      </c>
      <c r="L505" s="0" t="s">
        <v>31</v>
      </c>
      <c r="M505" s="0" t="s">
        <v>637</v>
      </c>
      <c r="N505" s="0" t="s">
        <v>1799</v>
      </c>
      <c r="O505" s="0" t="n">
        <v>1</v>
      </c>
      <c r="P505" s="0" t="s">
        <v>1800</v>
      </c>
      <c r="Q505" s="3"/>
      <c r="S505" s="2" t="s">
        <v>29</v>
      </c>
    </row>
    <row r="506" customFormat="false" ht="15" hidden="false" customHeight="false" outlineLevel="0" collapsed="false">
      <c r="A506" s="0" t="n">
        <v>505</v>
      </c>
      <c r="D506" s="0" t="s">
        <v>1801</v>
      </c>
      <c r="E506" s="0" t="s">
        <v>492</v>
      </c>
      <c r="H506" s="0" t="s">
        <v>21</v>
      </c>
      <c r="I506" s="2" t="s">
        <v>22</v>
      </c>
      <c r="J506" s="2" t="s">
        <v>635</v>
      </c>
      <c r="K506" s="0" t="s">
        <v>636</v>
      </c>
      <c r="L506" s="0" t="s">
        <v>31</v>
      </c>
      <c r="M506" s="0" t="s">
        <v>637</v>
      </c>
      <c r="N506" s="0" t="s">
        <v>1802</v>
      </c>
      <c r="O506" s="0" t="n">
        <v>1</v>
      </c>
      <c r="P506" s="0" t="s">
        <v>1803</v>
      </c>
      <c r="Q506" s="3"/>
      <c r="S506" s="2" t="s">
        <v>29</v>
      </c>
    </row>
    <row r="507" customFormat="false" ht="15" hidden="false" customHeight="false" outlineLevel="0" collapsed="false">
      <c r="A507" s="0" t="n">
        <v>506</v>
      </c>
      <c r="D507" s="0" t="s">
        <v>1804</v>
      </c>
      <c r="E507" s="0" t="s">
        <v>492</v>
      </c>
      <c r="H507" s="0" t="s">
        <v>21</v>
      </c>
      <c r="I507" s="2" t="s">
        <v>22</v>
      </c>
      <c r="J507" s="2" t="s">
        <v>635</v>
      </c>
      <c r="K507" s="0" t="s">
        <v>636</v>
      </c>
      <c r="L507" s="0" t="s">
        <v>31</v>
      </c>
      <c r="M507" s="0" t="s">
        <v>637</v>
      </c>
      <c r="N507" s="0" t="s">
        <v>1805</v>
      </c>
      <c r="O507" s="0" t="n">
        <v>1</v>
      </c>
      <c r="P507" s="0" t="s">
        <v>1806</v>
      </c>
      <c r="Q507" s="3"/>
      <c r="S507" s="2" t="s">
        <v>29</v>
      </c>
    </row>
    <row r="508" customFormat="false" ht="15" hidden="false" customHeight="false" outlineLevel="0" collapsed="false">
      <c r="A508" s="0" t="n">
        <v>507</v>
      </c>
      <c r="D508" s="0" t="s">
        <v>1807</v>
      </c>
      <c r="E508" s="0" t="s">
        <v>492</v>
      </c>
      <c r="H508" s="0" t="s">
        <v>21</v>
      </c>
      <c r="I508" s="2" t="s">
        <v>22</v>
      </c>
      <c r="J508" s="2" t="s">
        <v>635</v>
      </c>
      <c r="K508" s="0" t="s">
        <v>636</v>
      </c>
      <c r="L508" s="0" t="s">
        <v>31</v>
      </c>
      <c r="M508" s="0" t="s">
        <v>637</v>
      </c>
      <c r="N508" s="0" t="s">
        <v>1808</v>
      </c>
      <c r="O508" s="0" t="n">
        <v>1</v>
      </c>
      <c r="P508" s="0" t="s">
        <v>1809</v>
      </c>
      <c r="Q508" s="3"/>
      <c r="S508" s="2" t="s">
        <v>29</v>
      </c>
    </row>
    <row r="509" customFormat="false" ht="15" hidden="false" customHeight="false" outlineLevel="0" collapsed="false">
      <c r="A509" s="0" t="n">
        <v>508</v>
      </c>
      <c r="D509" s="0" t="s">
        <v>1810</v>
      </c>
      <c r="E509" s="0" t="s">
        <v>492</v>
      </c>
      <c r="H509" s="0" t="s">
        <v>21</v>
      </c>
      <c r="I509" s="2" t="s">
        <v>22</v>
      </c>
      <c r="J509" s="2" t="s">
        <v>635</v>
      </c>
      <c r="K509" s="0" t="s">
        <v>636</v>
      </c>
      <c r="L509" s="0" t="s">
        <v>31</v>
      </c>
      <c r="M509" s="0" t="s">
        <v>637</v>
      </c>
      <c r="N509" s="0" t="s">
        <v>1811</v>
      </c>
      <c r="O509" s="0" t="n">
        <v>1</v>
      </c>
      <c r="P509" s="0" t="s">
        <v>1812</v>
      </c>
      <c r="Q509" s="3"/>
      <c r="S509" s="2" t="s">
        <v>29</v>
      </c>
    </row>
    <row r="510" customFormat="false" ht="15" hidden="false" customHeight="false" outlineLevel="0" collapsed="false">
      <c r="A510" s="0" t="n">
        <v>509</v>
      </c>
      <c r="D510" s="0" t="s">
        <v>1813</v>
      </c>
      <c r="E510" s="0" t="s">
        <v>492</v>
      </c>
      <c r="H510" s="0" t="s">
        <v>21</v>
      </c>
      <c r="I510" s="2" t="s">
        <v>22</v>
      </c>
      <c r="J510" s="2" t="s">
        <v>635</v>
      </c>
      <c r="K510" s="0" t="s">
        <v>636</v>
      </c>
      <c r="L510" s="0" t="s">
        <v>31</v>
      </c>
      <c r="M510" s="0" t="s">
        <v>637</v>
      </c>
      <c r="N510" s="0" t="s">
        <v>1814</v>
      </c>
      <c r="O510" s="0" t="n">
        <v>1</v>
      </c>
      <c r="P510" s="0" t="s">
        <v>1815</v>
      </c>
      <c r="Q510" s="3"/>
      <c r="S510" s="2" t="s">
        <v>29</v>
      </c>
    </row>
    <row r="511" customFormat="false" ht="15" hidden="false" customHeight="false" outlineLevel="0" collapsed="false">
      <c r="A511" s="0" t="n">
        <v>510</v>
      </c>
      <c r="D511" s="0" t="s">
        <v>1816</v>
      </c>
      <c r="E511" s="0" t="s">
        <v>492</v>
      </c>
      <c r="H511" s="0" t="s">
        <v>21</v>
      </c>
      <c r="I511" s="2" t="s">
        <v>22</v>
      </c>
      <c r="J511" s="2" t="s">
        <v>635</v>
      </c>
      <c r="K511" s="0" t="s">
        <v>636</v>
      </c>
      <c r="L511" s="0" t="s">
        <v>31</v>
      </c>
      <c r="M511" s="0" t="s">
        <v>637</v>
      </c>
      <c r="N511" s="0" t="s">
        <v>1817</v>
      </c>
      <c r="O511" s="0" t="n">
        <v>1</v>
      </c>
      <c r="P511" s="0" t="s">
        <v>1818</v>
      </c>
      <c r="Q511" s="3"/>
      <c r="S511" s="2" t="s">
        <v>29</v>
      </c>
    </row>
    <row r="512" customFormat="false" ht="15" hidden="false" customHeight="false" outlineLevel="0" collapsed="false">
      <c r="A512" s="0" t="n">
        <v>511</v>
      </c>
      <c r="D512" s="0" t="s">
        <v>1819</v>
      </c>
      <c r="E512" s="0" t="s">
        <v>492</v>
      </c>
      <c r="H512" s="0" t="s">
        <v>21</v>
      </c>
      <c r="I512" s="2" t="s">
        <v>22</v>
      </c>
      <c r="J512" s="2" t="s">
        <v>635</v>
      </c>
      <c r="K512" s="0" t="s">
        <v>636</v>
      </c>
      <c r="L512" s="0" t="s">
        <v>31</v>
      </c>
      <c r="M512" s="0" t="s">
        <v>637</v>
      </c>
      <c r="N512" s="0" t="s">
        <v>1820</v>
      </c>
      <c r="O512" s="0" t="n">
        <v>1</v>
      </c>
      <c r="P512" s="0" t="s">
        <v>1821</v>
      </c>
      <c r="Q512" s="3"/>
      <c r="S512" s="2" t="s">
        <v>29</v>
      </c>
    </row>
    <row r="513" customFormat="false" ht="15" hidden="false" customHeight="false" outlineLevel="0" collapsed="false">
      <c r="A513" s="0" t="n">
        <v>512</v>
      </c>
      <c r="D513" s="0" t="s">
        <v>1822</v>
      </c>
      <c r="E513" s="0" t="s">
        <v>492</v>
      </c>
      <c r="H513" s="0" t="s">
        <v>21</v>
      </c>
      <c r="I513" s="2" t="s">
        <v>22</v>
      </c>
      <c r="J513" s="2" t="s">
        <v>635</v>
      </c>
      <c r="K513" s="0" t="s">
        <v>636</v>
      </c>
      <c r="L513" s="0" t="s">
        <v>31</v>
      </c>
      <c r="M513" s="0" t="s">
        <v>637</v>
      </c>
      <c r="N513" s="0" t="s">
        <v>1823</v>
      </c>
      <c r="O513" s="0" t="n">
        <v>1</v>
      </c>
      <c r="P513" s="0" t="s">
        <v>1824</v>
      </c>
      <c r="Q513" s="3"/>
      <c r="S513" s="2" t="s">
        <v>29</v>
      </c>
    </row>
    <row r="514" customFormat="false" ht="15" hidden="false" customHeight="false" outlineLevel="0" collapsed="false">
      <c r="A514" s="0" t="n">
        <v>513</v>
      </c>
      <c r="D514" s="0" t="s">
        <v>1825</v>
      </c>
      <c r="E514" s="0" t="s">
        <v>492</v>
      </c>
      <c r="H514" s="0" t="s">
        <v>21</v>
      </c>
      <c r="I514" s="2" t="s">
        <v>22</v>
      </c>
      <c r="J514" s="2" t="s">
        <v>635</v>
      </c>
      <c r="K514" s="0" t="s">
        <v>636</v>
      </c>
      <c r="L514" s="0" t="s">
        <v>31</v>
      </c>
      <c r="M514" s="0" t="s">
        <v>637</v>
      </c>
      <c r="N514" s="0" t="s">
        <v>1826</v>
      </c>
      <c r="O514" s="0" t="n">
        <v>1</v>
      </c>
      <c r="P514" s="0" t="s">
        <v>1827</v>
      </c>
      <c r="Q514" s="3"/>
      <c r="S514" s="2" t="s">
        <v>29</v>
      </c>
    </row>
    <row r="515" customFormat="false" ht="15" hidden="false" customHeight="false" outlineLevel="0" collapsed="false">
      <c r="A515" s="0" t="n">
        <v>514</v>
      </c>
      <c r="D515" s="0" t="s">
        <v>1828</v>
      </c>
      <c r="E515" s="0" t="s">
        <v>492</v>
      </c>
      <c r="H515" s="0" t="s">
        <v>21</v>
      </c>
      <c r="I515" s="2" t="s">
        <v>22</v>
      </c>
      <c r="J515" s="2" t="s">
        <v>635</v>
      </c>
      <c r="K515" s="0" t="s">
        <v>636</v>
      </c>
      <c r="L515" s="0" t="s">
        <v>31</v>
      </c>
      <c r="M515" s="0" t="s">
        <v>637</v>
      </c>
      <c r="N515" s="0" t="s">
        <v>1829</v>
      </c>
      <c r="O515" s="0" t="n">
        <v>1</v>
      </c>
      <c r="P515" s="0" t="s">
        <v>1830</v>
      </c>
      <c r="Q515" s="3"/>
      <c r="S515" s="2" t="s">
        <v>29</v>
      </c>
    </row>
    <row r="516" customFormat="false" ht="15" hidden="false" customHeight="false" outlineLevel="0" collapsed="false">
      <c r="A516" s="0" t="n">
        <v>515</v>
      </c>
      <c r="D516" s="0" t="s">
        <v>1831</v>
      </c>
      <c r="E516" s="0" t="s">
        <v>99</v>
      </c>
      <c r="H516" s="0" t="s">
        <v>21</v>
      </c>
      <c r="I516" s="2" t="s">
        <v>22</v>
      </c>
      <c r="J516" s="2" t="s">
        <v>635</v>
      </c>
      <c r="K516" s="0" t="s">
        <v>636</v>
      </c>
      <c r="L516" s="0" t="s">
        <v>100</v>
      </c>
      <c r="M516" s="0" t="s">
        <v>637</v>
      </c>
      <c r="N516" s="0" t="s">
        <v>1832</v>
      </c>
      <c r="O516" s="0" t="n">
        <v>1</v>
      </c>
      <c r="P516" s="0" t="s">
        <v>1833</v>
      </c>
      <c r="Q516" s="3"/>
      <c r="S516" s="2" t="s">
        <v>29</v>
      </c>
    </row>
    <row r="517" customFormat="false" ht="15" hidden="false" customHeight="false" outlineLevel="0" collapsed="false">
      <c r="A517" s="0" t="n">
        <v>516</v>
      </c>
      <c r="D517" s="0" t="s">
        <v>1834</v>
      </c>
      <c r="E517" s="0" t="s">
        <v>492</v>
      </c>
      <c r="H517" s="0" t="s">
        <v>21</v>
      </c>
      <c r="I517" s="2" t="s">
        <v>22</v>
      </c>
      <c r="J517" s="2" t="s">
        <v>635</v>
      </c>
      <c r="K517" s="0" t="s">
        <v>636</v>
      </c>
      <c r="L517" s="0" t="s">
        <v>31</v>
      </c>
      <c r="M517" s="0" t="s">
        <v>637</v>
      </c>
      <c r="N517" s="0" t="s">
        <v>1835</v>
      </c>
      <c r="O517" s="0" t="n">
        <v>1</v>
      </c>
      <c r="P517" s="0" t="s">
        <v>1836</v>
      </c>
      <c r="Q517" s="3"/>
      <c r="S517" s="2" t="s">
        <v>29</v>
      </c>
    </row>
    <row r="518" customFormat="false" ht="15" hidden="false" customHeight="false" outlineLevel="0" collapsed="false">
      <c r="A518" s="0" t="n">
        <v>517</v>
      </c>
      <c r="D518" s="0" t="s">
        <v>1837</v>
      </c>
      <c r="E518" s="0" t="s">
        <v>492</v>
      </c>
      <c r="H518" s="0" t="s">
        <v>21</v>
      </c>
      <c r="I518" s="2" t="s">
        <v>22</v>
      </c>
      <c r="J518" s="2" t="s">
        <v>635</v>
      </c>
      <c r="K518" s="0" t="s">
        <v>636</v>
      </c>
      <c r="L518" s="0" t="s">
        <v>31</v>
      </c>
      <c r="M518" s="0" t="s">
        <v>637</v>
      </c>
      <c r="N518" s="0" t="s">
        <v>1838</v>
      </c>
      <c r="O518" s="0" t="n">
        <v>1</v>
      </c>
      <c r="P518" s="0" t="s">
        <v>1839</v>
      </c>
      <c r="Q518" s="3"/>
      <c r="S518" s="2" t="s">
        <v>29</v>
      </c>
    </row>
    <row r="519" customFormat="false" ht="15" hidden="false" customHeight="false" outlineLevel="0" collapsed="false">
      <c r="A519" s="0" t="n">
        <v>518</v>
      </c>
      <c r="D519" s="0" t="s">
        <v>1840</v>
      </c>
      <c r="E519" s="0" t="s">
        <v>492</v>
      </c>
      <c r="H519" s="0" t="s">
        <v>21</v>
      </c>
      <c r="I519" s="2" t="s">
        <v>22</v>
      </c>
      <c r="J519" s="2" t="s">
        <v>635</v>
      </c>
      <c r="K519" s="0" t="s">
        <v>636</v>
      </c>
      <c r="L519" s="0" t="s">
        <v>31</v>
      </c>
      <c r="M519" s="0" t="s">
        <v>637</v>
      </c>
      <c r="N519" s="0" t="s">
        <v>1841</v>
      </c>
      <c r="O519" s="0" t="n">
        <v>1</v>
      </c>
      <c r="P519" s="0" t="s">
        <v>1842</v>
      </c>
      <c r="Q519" s="3"/>
      <c r="S519" s="2" t="s">
        <v>29</v>
      </c>
    </row>
    <row r="520" customFormat="false" ht="15" hidden="false" customHeight="false" outlineLevel="0" collapsed="false">
      <c r="A520" s="0" t="n">
        <v>519</v>
      </c>
      <c r="D520" s="0" t="s">
        <v>1843</v>
      </c>
      <c r="E520" s="0" t="s">
        <v>492</v>
      </c>
      <c r="H520" s="0" t="s">
        <v>21</v>
      </c>
      <c r="I520" s="2" t="s">
        <v>22</v>
      </c>
      <c r="J520" s="2" t="s">
        <v>635</v>
      </c>
      <c r="K520" s="0" t="s">
        <v>636</v>
      </c>
      <c r="L520" s="0" t="s">
        <v>31</v>
      </c>
      <c r="M520" s="0" t="s">
        <v>637</v>
      </c>
      <c r="N520" s="0" t="s">
        <v>1844</v>
      </c>
      <c r="O520" s="0" t="n">
        <v>1</v>
      </c>
      <c r="P520" s="0" t="s">
        <v>1845</v>
      </c>
      <c r="Q520" s="3"/>
      <c r="S520" s="2" t="s">
        <v>29</v>
      </c>
    </row>
    <row r="521" customFormat="false" ht="15" hidden="false" customHeight="false" outlineLevel="0" collapsed="false">
      <c r="A521" s="0" t="n">
        <v>520</v>
      </c>
      <c r="D521" s="0" t="s">
        <v>1846</v>
      </c>
      <c r="E521" s="0" t="s">
        <v>492</v>
      </c>
      <c r="H521" s="0" t="s">
        <v>21</v>
      </c>
      <c r="I521" s="2" t="s">
        <v>22</v>
      </c>
      <c r="J521" s="2" t="s">
        <v>635</v>
      </c>
      <c r="K521" s="0" t="s">
        <v>636</v>
      </c>
      <c r="L521" s="0" t="s">
        <v>31</v>
      </c>
      <c r="M521" s="0" t="s">
        <v>637</v>
      </c>
      <c r="N521" s="0" t="s">
        <v>1847</v>
      </c>
      <c r="O521" s="0" t="n">
        <v>1</v>
      </c>
      <c r="P521" s="0" t="s">
        <v>1848</v>
      </c>
      <c r="Q521" s="3"/>
      <c r="S521" s="2" t="s">
        <v>29</v>
      </c>
    </row>
    <row r="522" customFormat="false" ht="15" hidden="false" customHeight="false" outlineLevel="0" collapsed="false">
      <c r="A522" s="0" t="n">
        <v>521</v>
      </c>
      <c r="D522" s="0" t="s">
        <v>1849</v>
      </c>
      <c r="E522" s="0" t="s">
        <v>492</v>
      </c>
      <c r="H522" s="0" t="s">
        <v>21</v>
      </c>
      <c r="I522" s="2" t="s">
        <v>22</v>
      </c>
      <c r="J522" s="2" t="s">
        <v>635</v>
      </c>
      <c r="K522" s="0" t="s">
        <v>636</v>
      </c>
      <c r="L522" s="0" t="s">
        <v>31</v>
      </c>
      <c r="M522" s="0" t="s">
        <v>637</v>
      </c>
      <c r="N522" s="0" t="s">
        <v>1850</v>
      </c>
      <c r="O522" s="0" t="n">
        <v>1</v>
      </c>
      <c r="P522" s="0" t="s">
        <v>1851</v>
      </c>
      <c r="Q522" s="3"/>
      <c r="S522" s="2" t="s">
        <v>29</v>
      </c>
    </row>
    <row r="523" customFormat="false" ht="15" hidden="false" customHeight="false" outlineLevel="0" collapsed="false">
      <c r="A523" s="0" t="n">
        <v>522</v>
      </c>
      <c r="D523" s="0" t="s">
        <v>1852</v>
      </c>
      <c r="E523" s="0" t="s">
        <v>492</v>
      </c>
      <c r="H523" s="0" t="s">
        <v>21</v>
      </c>
      <c r="I523" s="2" t="s">
        <v>22</v>
      </c>
      <c r="J523" s="2" t="s">
        <v>635</v>
      </c>
      <c r="K523" s="0" t="s">
        <v>636</v>
      </c>
      <c r="L523" s="0" t="s">
        <v>31</v>
      </c>
      <c r="M523" s="0" t="s">
        <v>637</v>
      </c>
      <c r="N523" s="0" t="s">
        <v>1853</v>
      </c>
      <c r="O523" s="0" t="n">
        <v>1</v>
      </c>
      <c r="P523" s="0" t="s">
        <v>1854</v>
      </c>
      <c r="Q523" s="3"/>
      <c r="S523" s="2" t="s">
        <v>29</v>
      </c>
    </row>
    <row r="524" customFormat="false" ht="15" hidden="false" customHeight="false" outlineLevel="0" collapsed="false">
      <c r="A524" s="0" t="n">
        <v>523</v>
      </c>
      <c r="D524" s="0" t="s">
        <v>1855</v>
      </c>
      <c r="E524" s="0" t="s">
        <v>492</v>
      </c>
      <c r="H524" s="0" t="s">
        <v>21</v>
      </c>
      <c r="I524" s="2" t="s">
        <v>22</v>
      </c>
      <c r="J524" s="2" t="s">
        <v>635</v>
      </c>
      <c r="K524" s="0" t="s">
        <v>636</v>
      </c>
      <c r="L524" s="0" t="s">
        <v>31</v>
      </c>
      <c r="M524" s="0" t="s">
        <v>637</v>
      </c>
      <c r="N524" s="0" t="s">
        <v>1856</v>
      </c>
      <c r="O524" s="0" t="n">
        <v>1</v>
      </c>
      <c r="P524" s="0" t="s">
        <v>1857</v>
      </c>
      <c r="Q524" s="3"/>
      <c r="S524" s="2" t="s">
        <v>29</v>
      </c>
    </row>
    <row r="525" customFormat="false" ht="15" hidden="false" customHeight="false" outlineLevel="0" collapsed="false">
      <c r="A525" s="0" t="n">
        <v>524</v>
      </c>
      <c r="D525" s="0" t="s">
        <v>1858</v>
      </c>
      <c r="E525" s="0" t="s">
        <v>492</v>
      </c>
      <c r="H525" s="0" t="s">
        <v>21</v>
      </c>
      <c r="I525" s="2" t="s">
        <v>22</v>
      </c>
      <c r="J525" s="2" t="s">
        <v>635</v>
      </c>
      <c r="K525" s="0" t="s">
        <v>636</v>
      </c>
      <c r="L525" s="0" t="s">
        <v>31</v>
      </c>
      <c r="M525" s="0" t="s">
        <v>637</v>
      </c>
      <c r="N525" s="0" t="s">
        <v>1859</v>
      </c>
      <c r="O525" s="0" t="n">
        <v>1</v>
      </c>
      <c r="P525" s="0" t="s">
        <v>1860</v>
      </c>
      <c r="Q525" s="3"/>
      <c r="S525" s="2" t="s">
        <v>29</v>
      </c>
    </row>
    <row r="526" customFormat="false" ht="15" hidden="false" customHeight="false" outlineLevel="0" collapsed="false">
      <c r="A526" s="0" t="n">
        <v>525</v>
      </c>
      <c r="D526" s="0" t="s">
        <v>1861</v>
      </c>
      <c r="E526" s="0" t="s">
        <v>492</v>
      </c>
      <c r="H526" s="0" t="s">
        <v>21</v>
      </c>
      <c r="I526" s="2" t="s">
        <v>22</v>
      </c>
      <c r="J526" s="2" t="s">
        <v>635</v>
      </c>
      <c r="K526" s="0" t="s">
        <v>636</v>
      </c>
      <c r="L526" s="0" t="s">
        <v>31</v>
      </c>
      <c r="M526" s="0" t="s">
        <v>637</v>
      </c>
      <c r="N526" s="0" t="s">
        <v>1862</v>
      </c>
      <c r="O526" s="0" t="n">
        <v>1</v>
      </c>
      <c r="P526" s="0" t="s">
        <v>1863</v>
      </c>
      <c r="Q526" s="3"/>
      <c r="S526" s="2" t="s">
        <v>29</v>
      </c>
    </row>
    <row r="527" customFormat="false" ht="15" hidden="false" customHeight="false" outlineLevel="0" collapsed="false">
      <c r="A527" s="0" t="n">
        <v>526</v>
      </c>
      <c r="D527" s="0" t="s">
        <v>1864</v>
      </c>
      <c r="E527" s="0" t="s">
        <v>492</v>
      </c>
      <c r="H527" s="0" t="s">
        <v>21</v>
      </c>
      <c r="I527" s="2" t="s">
        <v>22</v>
      </c>
      <c r="J527" s="2" t="s">
        <v>635</v>
      </c>
      <c r="K527" s="0" t="s">
        <v>636</v>
      </c>
      <c r="L527" s="0" t="s">
        <v>31</v>
      </c>
      <c r="M527" s="0" t="s">
        <v>637</v>
      </c>
      <c r="N527" s="0" t="s">
        <v>1865</v>
      </c>
      <c r="O527" s="0" t="n">
        <v>1</v>
      </c>
      <c r="P527" s="0" t="s">
        <v>1866</v>
      </c>
      <c r="Q527" s="3"/>
      <c r="S527" s="2" t="s">
        <v>29</v>
      </c>
    </row>
    <row r="528" customFormat="false" ht="15" hidden="false" customHeight="false" outlineLevel="0" collapsed="false">
      <c r="A528" s="0" t="n">
        <v>527</v>
      </c>
      <c r="D528" s="0" t="s">
        <v>1867</v>
      </c>
      <c r="E528" s="0" t="s">
        <v>20</v>
      </c>
      <c r="H528" s="0" t="s">
        <v>21</v>
      </c>
      <c r="I528" s="2" t="s">
        <v>22</v>
      </c>
      <c r="J528" s="2" t="s">
        <v>635</v>
      </c>
      <c r="K528" s="0" t="s">
        <v>636</v>
      </c>
      <c r="L528" s="0" t="s">
        <v>31</v>
      </c>
      <c r="M528" s="0" t="s">
        <v>637</v>
      </c>
      <c r="N528" s="0" t="s">
        <v>1868</v>
      </c>
      <c r="O528" s="0" t="n">
        <v>1</v>
      </c>
      <c r="P528" s="0" t="s">
        <v>1869</v>
      </c>
      <c r="Q528" s="3"/>
      <c r="S528" s="2" t="s">
        <v>29</v>
      </c>
    </row>
    <row r="529" customFormat="false" ht="15" hidden="false" customHeight="false" outlineLevel="0" collapsed="false">
      <c r="A529" s="0" t="n">
        <v>528</v>
      </c>
      <c r="D529" s="0" t="s">
        <v>1870</v>
      </c>
      <c r="E529" s="0" t="s">
        <v>492</v>
      </c>
      <c r="H529" s="0" t="s">
        <v>21</v>
      </c>
      <c r="I529" s="2" t="s">
        <v>22</v>
      </c>
      <c r="J529" s="2" t="s">
        <v>635</v>
      </c>
      <c r="K529" s="0" t="s">
        <v>636</v>
      </c>
      <c r="L529" s="0" t="s">
        <v>31</v>
      </c>
      <c r="M529" s="0" t="s">
        <v>637</v>
      </c>
      <c r="N529" s="0" t="s">
        <v>1871</v>
      </c>
      <c r="O529" s="0" t="n">
        <v>1</v>
      </c>
      <c r="P529" s="0" t="s">
        <v>1872</v>
      </c>
      <c r="Q529" s="3"/>
      <c r="S529" s="2" t="s">
        <v>29</v>
      </c>
    </row>
    <row r="530" customFormat="false" ht="15" hidden="false" customHeight="false" outlineLevel="0" collapsed="false">
      <c r="A530" s="0" t="n">
        <v>529</v>
      </c>
      <c r="D530" s="0" t="s">
        <v>1873</v>
      </c>
      <c r="E530" s="0" t="s">
        <v>492</v>
      </c>
      <c r="H530" s="0" t="s">
        <v>21</v>
      </c>
      <c r="I530" s="2" t="s">
        <v>22</v>
      </c>
      <c r="J530" s="2" t="s">
        <v>635</v>
      </c>
      <c r="K530" s="0" t="s">
        <v>636</v>
      </c>
      <c r="L530" s="0" t="s">
        <v>31</v>
      </c>
      <c r="M530" s="0" t="s">
        <v>637</v>
      </c>
      <c r="N530" s="0" t="s">
        <v>1874</v>
      </c>
      <c r="O530" s="0" t="n">
        <v>1</v>
      </c>
      <c r="P530" s="0" t="s">
        <v>1875</v>
      </c>
      <c r="Q530" s="3"/>
      <c r="S530" s="2" t="s">
        <v>29</v>
      </c>
    </row>
    <row r="531" customFormat="false" ht="15" hidden="false" customHeight="false" outlineLevel="0" collapsed="false">
      <c r="A531" s="0" t="n">
        <v>530</v>
      </c>
      <c r="D531" s="0" t="s">
        <v>1876</v>
      </c>
      <c r="E531" s="0" t="s">
        <v>492</v>
      </c>
      <c r="H531" s="0" t="s">
        <v>21</v>
      </c>
      <c r="I531" s="2" t="s">
        <v>22</v>
      </c>
      <c r="J531" s="2" t="s">
        <v>635</v>
      </c>
      <c r="K531" s="0" t="s">
        <v>636</v>
      </c>
      <c r="L531" s="0" t="s">
        <v>31</v>
      </c>
      <c r="M531" s="0" t="s">
        <v>637</v>
      </c>
      <c r="N531" s="0" t="s">
        <v>1877</v>
      </c>
      <c r="O531" s="0" t="n">
        <v>1</v>
      </c>
      <c r="P531" s="0" t="s">
        <v>1878</v>
      </c>
      <c r="Q531" s="3"/>
      <c r="S531" s="2" t="s">
        <v>29</v>
      </c>
    </row>
    <row r="532" customFormat="false" ht="15" hidden="false" customHeight="false" outlineLevel="0" collapsed="false">
      <c r="A532" s="0" t="n">
        <v>531</v>
      </c>
      <c r="D532" s="0" t="s">
        <v>1879</v>
      </c>
      <c r="E532" s="0" t="s">
        <v>492</v>
      </c>
      <c r="H532" s="0" t="s">
        <v>21</v>
      </c>
      <c r="I532" s="2" t="s">
        <v>22</v>
      </c>
      <c r="J532" s="2" t="s">
        <v>635</v>
      </c>
      <c r="K532" s="0" t="s">
        <v>636</v>
      </c>
      <c r="L532" s="0" t="s">
        <v>31</v>
      </c>
      <c r="M532" s="0" t="s">
        <v>637</v>
      </c>
      <c r="N532" s="0" t="s">
        <v>1880</v>
      </c>
      <c r="O532" s="0" t="n">
        <v>1</v>
      </c>
      <c r="P532" s="0" t="s">
        <v>1881</v>
      </c>
      <c r="Q532" s="3"/>
      <c r="S532" s="2" t="s">
        <v>29</v>
      </c>
    </row>
    <row r="533" customFormat="false" ht="15" hidden="false" customHeight="false" outlineLevel="0" collapsed="false">
      <c r="A533" s="0" t="n">
        <v>532</v>
      </c>
      <c r="D533" s="0" t="s">
        <v>1882</v>
      </c>
      <c r="E533" s="0" t="s">
        <v>492</v>
      </c>
      <c r="H533" s="0" t="s">
        <v>21</v>
      </c>
      <c r="I533" s="2" t="s">
        <v>22</v>
      </c>
      <c r="J533" s="2" t="s">
        <v>635</v>
      </c>
      <c r="K533" s="0" t="s">
        <v>636</v>
      </c>
      <c r="L533" s="0" t="s">
        <v>31</v>
      </c>
      <c r="M533" s="0" t="s">
        <v>637</v>
      </c>
      <c r="N533" s="0" t="s">
        <v>1883</v>
      </c>
      <c r="O533" s="0" t="n">
        <v>1</v>
      </c>
      <c r="P533" s="0" t="s">
        <v>1884</v>
      </c>
      <c r="Q533" s="3"/>
      <c r="S533" s="2" t="s">
        <v>29</v>
      </c>
    </row>
    <row r="534" customFormat="false" ht="15" hidden="false" customHeight="false" outlineLevel="0" collapsed="false">
      <c r="A534" s="0" t="n">
        <v>533</v>
      </c>
      <c r="D534" s="0" t="s">
        <v>1885</v>
      </c>
      <c r="E534" s="0" t="s">
        <v>492</v>
      </c>
      <c r="H534" s="0" t="s">
        <v>21</v>
      </c>
      <c r="I534" s="2" t="s">
        <v>22</v>
      </c>
      <c r="J534" s="2" t="s">
        <v>635</v>
      </c>
      <c r="K534" s="0" t="s">
        <v>636</v>
      </c>
      <c r="L534" s="0" t="s">
        <v>31</v>
      </c>
      <c r="M534" s="0" t="s">
        <v>637</v>
      </c>
      <c r="N534" s="0" t="s">
        <v>1886</v>
      </c>
      <c r="O534" s="0" t="n">
        <v>1</v>
      </c>
      <c r="P534" s="0" t="s">
        <v>1887</v>
      </c>
      <c r="Q534" s="3"/>
      <c r="S534" s="2" t="s">
        <v>29</v>
      </c>
    </row>
    <row r="535" customFormat="false" ht="15" hidden="false" customHeight="false" outlineLevel="0" collapsed="false">
      <c r="A535" s="0" t="n">
        <v>534</v>
      </c>
      <c r="D535" s="0" t="s">
        <v>1888</v>
      </c>
      <c r="E535" s="0" t="s">
        <v>492</v>
      </c>
      <c r="H535" s="0" t="s">
        <v>21</v>
      </c>
      <c r="I535" s="2" t="s">
        <v>22</v>
      </c>
      <c r="J535" s="2" t="s">
        <v>635</v>
      </c>
      <c r="K535" s="0" t="s">
        <v>636</v>
      </c>
      <c r="L535" s="0" t="s">
        <v>31</v>
      </c>
      <c r="M535" s="0" t="s">
        <v>637</v>
      </c>
      <c r="N535" s="0" t="s">
        <v>1889</v>
      </c>
      <c r="O535" s="0" t="n">
        <v>1</v>
      </c>
      <c r="P535" s="0" t="s">
        <v>1890</v>
      </c>
      <c r="Q535" s="3"/>
      <c r="S535" s="2" t="s">
        <v>29</v>
      </c>
    </row>
    <row r="536" customFormat="false" ht="15" hidden="false" customHeight="false" outlineLevel="0" collapsed="false">
      <c r="A536" s="0" t="n">
        <v>535</v>
      </c>
      <c r="D536" s="0" t="s">
        <v>1891</v>
      </c>
      <c r="E536" s="0" t="s">
        <v>492</v>
      </c>
      <c r="H536" s="0" t="s">
        <v>21</v>
      </c>
      <c r="I536" s="2" t="s">
        <v>22</v>
      </c>
      <c r="J536" s="2" t="s">
        <v>635</v>
      </c>
      <c r="K536" s="0" t="s">
        <v>636</v>
      </c>
      <c r="L536" s="0" t="s">
        <v>31</v>
      </c>
      <c r="M536" s="0" t="s">
        <v>637</v>
      </c>
      <c r="N536" s="0" t="s">
        <v>1892</v>
      </c>
      <c r="O536" s="0" t="n">
        <v>1</v>
      </c>
      <c r="P536" s="0" t="s">
        <v>1893</v>
      </c>
      <c r="Q536" s="3"/>
      <c r="S536" s="2" t="s">
        <v>29</v>
      </c>
    </row>
    <row r="537" customFormat="false" ht="15" hidden="false" customHeight="false" outlineLevel="0" collapsed="false">
      <c r="A537" s="0" t="n">
        <v>536</v>
      </c>
      <c r="D537" s="0" t="s">
        <v>1894</v>
      </c>
      <c r="E537" s="0" t="s">
        <v>492</v>
      </c>
      <c r="H537" s="0" t="s">
        <v>21</v>
      </c>
      <c r="I537" s="2" t="s">
        <v>22</v>
      </c>
      <c r="J537" s="2" t="s">
        <v>635</v>
      </c>
      <c r="K537" s="0" t="s">
        <v>636</v>
      </c>
      <c r="L537" s="0" t="s">
        <v>31</v>
      </c>
      <c r="M537" s="0" t="s">
        <v>637</v>
      </c>
      <c r="N537" s="0" t="s">
        <v>1895</v>
      </c>
      <c r="O537" s="0" t="n">
        <v>1</v>
      </c>
      <c r="P537" s="0" t="s">
        <v>1896</v>
      </c>
      <c r="Q537" s="3"/>
      <c r="S537" s="2" t="s">
        <v>29</v>
      </c>
    </row>
    <row r="538" customFormat="false" ht="15" hidden="false" customHeight="false" outlineLevel="0" collapsed="false">
      <c r="A538" s="0" t="n">
        <v>537</v>
      </c>
      <c r="D538" s="0" t="s">
        <v>1897</v>
      </c>
      <c r="E538" s="0" t="s">
        <v>492</v>
      </c>
      <c r="H538" s="0" t="s">
        <v>21</v>
      </c>
      <c r="I538" s="2" t="s">
        <v>22</v>
      </c>
      <c r="J538" s="2" t="s">
        <v>635</v>
      </c>
      <c r="K538" s="0" t="s">
        <v>636</v>
      </c>
      <c r="L538" s="0" t="s">
        <v>31</v>
      </c>
      <c r="M538" s="0" t="s">
        <v>637</v>
      </c>
      <c r="N538" s="0" t="s">
        <v>1898</v>
      </c>
      <c r="O538" s="0" t="n">
        <v>1</v>
      </c>
      <c r="P538" s="0" t="s">
        <v>1899</v>
      </c>
      <c r="Q538" s="3"/>
      <c r="S538" s="2" t="s">
        <v>29</v>
      </c>
    </row>
    <row r="539" customFormat="false" ht="15" hidden="false" customHeight="false" outlineLevel="0" collapsed="false">
      <c r="A539" s="0" t="n">
        <v>538</v>
      </c>
      <c r="D539" s="0" t="s">
        <v>1900</v>
      </c>
      <c r="E539" s="0" t="s">
        <v>492</v>
      </c>
      <c r="H539" s="0" t="s">
        <v>21</v>
      </c>
      <c r="I539" s="2" t="s">
        <v>22</v>
      </c>
      <c r="J539" s="2" t="s">
        <v>635</v>
      </c>
      <c r="K539" s="0" t="s">
        <v>636</v>
      </c>
      <c r="L539" s="0" t="s">
        <v>31</v>
      </c>
      <c r="M539" s="0" t="s">
        <v>637</v>
      </c>
      <c r="N539" s="0" t="s">
        <v>1901</v>
      </c>
      <c r="O539" s="0" t="n">
        <v>1</v>
      </c>
      <c r="P539" s="0" t="s">
        <v>1902</v>
      </c>
      <c r="Q539" s="3"/>
      <c r="S539" s="2" t="s">
        <v>29</v>
      </c>
    </row>
    <row r="540" customFormat="false" ht="15" hidden="false" customHeight="false" outlineLevel="0" collapsed="false">
      <c r="A540" s="0" t="n">
        <v>539</v>
      </c>
      <c r="D540" s="0" t="s">
        <v>1903</v>
      </c>
      <c r="E540" s="0" t="s">
        <v>492</v>
      </c>
      <c r="H540" s="0" t="s">
        <v>21</v>
      </c>
      <c r="I540" s="2" t="s">
        <v>22</v>
      </c>
      <c r="J540" s="2" t="s">
        <v>635</v>
      </c>
      <c r="K540" s="0" t="s">
        <v>636</v>
      </c>
      <c r="L540" s="0" t="s">
        <v>31</v>
      </c>
      <c r="M540" s="0" t="s">
        <v>637</v>
      </c>
      <c r="N540" s="0" t="s">
        <v>1904</v>
      </c>
      <c r="O540" s="0" t="n">
        <v>1</v>
      </c>
      <c r="P540" s="0" t="s">
        <v>1905</v>
      </c>
      <c r="Q540" s="3"/>
      <c r="S540" s="2" t="s">
        <v>29</v>
      </c>
    </row>
    <row r="541" customFormat="false" ht="15" hidden="false" customHeight="false" outlineLevel="0" collapsed="false">
      <c r="A541" s="0" t="n">
        <v>540</v>
      </c>
      <c r="D541" s="0" t="s">
        <v>1906</v>
      </c>
      <c r="E541" s="0" t="s">
        <v>492</v>
      </c>
      <c r="H541" s="0" t="s">
        <v>21</v>
      </c>
      <c r="I541" s="2" t="s">
        <v>22</v>
      </c>
      <c r="J541" s="2" t="s">
        <v>635</v>
      </c>
      <c r="K541" s="0" t="s">
        <v>636</v>
      </c>
      <c r="L541" s="0" t="s">
        <v>31</v>
      </c>
      <c r="M541" s="0" t="s">
        <v>637</v>
      </c>
      <c r="N541" s="0" t="s">
        <v>1907</v>
      </c>
      <c r="O541" s="0" t="n">
        <v>1</v>
      </c>
      <c r="P541" s="0" t="s">
        <v>1908</v>
      </c>
      <c r="Q541" s="3"/>
      <c r="S541" s="2" t="s">
        <v>29</v>
      </c>
    </row>
    <row r="542" customFormat="false" ht="15" hidden="false" customHeight="false" outlineLevel="0" collapsed="false">
      <c r="A542" s="0" t="n">
        <v>541</v>
      </c>
      <c r="D542" s="0" t="s">
        <v>1909</v>
      </c>
      <c r="E542" s="0" t="s">
        <v>492</v>
      </c>
      <c r="H542" s="0" t="s">
        <v>21</v>
      </c>
      <c r="I542" s="2" t="s">
        <v>22</v>
      </c>
      <c r="J542" s="2" t="s">
        <v>635</v>
      </c>
      <c r="K542" s="0" t="s">
        <v>636</v>
      </c>
      <c r="L542" s="0" t="s">
        <v>31</v>
      </c>
      <c r="M542" s="0" t="s">
        <v>637</v>
      </c>
      <c r="N542" s="0" t="s">
        <v>1910</v>
      </c>
      <c r="O542" s="0" t="n">
        <v>1</v>
      </c>
      <c r="P542" s="0" t="s">
        <v>1911</v>
      </c>
      <c r="Q542" s="3"/>
      <c r="S542" s="2" t="s">
        <v>29</v>
      </c>
    </row>
    <row r="543" customFormat="false" ht="15" hidden="false" customHeight="false" outlineLevel="0" collapsed="false">
      <c r="A543" s="0" t="n">
        <v>542</v>
      </c>
      <c r="D543" s="0" t="s">
        <v>1912</v>
      </c>
      <c r="E543" s="0" t="s">
        <v>492</v>
      </c>
      <c r="H543" s="0" t="s">
        <v>21</v>
      </c>
      <c r="I543" s="2" t="s">
        <v>22</v>
      </c>
      <c r="J543" s="2" t="s">
        <v>635</v>
      </c>
      <c r="K543" s="0" t="s">
        <v>636</v>
      </c>
      <c r="L543" s="0" t="s">
        <v>31</v>
      </c>
      <c r="M543" s="0" t="s">
        <v>637</v>
      </c>
      <c r="N543" s="0" t="s">
        <v>1913</v>
      </c>
      <c r="O543" s="0" t="n">
        <v>1</v>
      </c>
      <c r="P543" s="0" t="s">
        <v>1914</v>
      </c>
      <c r="Q543" s="3"/>
      <c r="S543" s="2" t="s">
        <v>29</v>
      </c>
    </row>
    <row r="544" customFormat="false" ht="15" hidden="false" customHeight="false" outlineLevel="0" collapsed="false">
      <c r="A544" s="0" t="n">
        <v>543</v>
      </c>
      <c r="D544" s="0" t="s">
        <v>1915</v>
      </c>
      <c r="E544" s="0" t="s">
        <v>492</v>
      </c>
      <c r="H544" s="0" t="s">
        <v>21</v>
      </c>
      <c r="I544" s="2" t="s">
        <v>22</v>
      </c>
      <c r="J544" s="2" t="s">
        <v>635</v>
      </c>
      <c r="K544" s="0" t="s">
        <v>636</v>
      </c>
      <c r="L544" s="0" t="s">
        <v>31</v>
      </c>
      <c r="M544" s="0" t="s">
        <v>637</v>
      </c>
      <c r="N544" s="0" t="s">
        <v>1916</v>
      </c>
      <c r="O544" s="0" t="n">
        <v>1</v>
      </c>
      <c r="P544" s="0" t="s">
        <v>1917</v>
      </c>
      <c r="Q544" s="3"/>
      <c r="S544" s="2" t="s">
        <v>29</v>
      </c>
    </row>
    <row r="545" customFormat="false" ht="15" hidden="false" customHeight="false" outlineLevel="0" collapsed="false">
      <c r="A545" s="0" t="n">
        <v>544</v>
      </c>
      <c r="D545" s="0" t="s">
        <v>1918</v>
      </c>
      <c r="E545" s="0" t="s">
        <v>492</v>
      </c>
      <c r="H545" s="0" t="s">
        <v>21</v>
      </c>
      <c r="I545" s="2" t="s">
        <v>22</v>
      </c>
      <c r="J545" s="2" t="s">
        <v>635</v>
      </c>
      <c r="K545" s="0" t="s">
        <v>636</v>
      </c>
      <c r="L545" s="0" t="s">
        <v>31</v>
      </c>
      <c r="M545" s="0" t="s">
        <v>637</v>
      </c>
      <c r="N545" s="0" t="s">
        <v>1919</v>
      </c>
      <c r="O545" s="0" t="n">
        <v>1</v>
      </c>
      <c r="P545" s="0" t="s">
        <v>1920</v>
      </c>
      <c r="Q545" s="3"/>
      <c r="S545" s="2" t="s">
        <v>29</v>
      </c>
    </row>
    <row r="546" customFormat="false" ht="15" hidden="false" customHeight="false" outlineLevel="0" collapsed="false">
      <c r="A546" s="0" t="n">
        <v>545</v>
      </c>
      <c r="D546" s="0" t="s">
        <v>1921</v>
      </c>
      <c r="E546" s="0" t="s">
        <v>492</v>
      </c>
      <c r="H546" s="0" t="s">
        <v>21</v>
      </c>
      <c r="I546" s="2" t="s">
        <v>22</v>
      </c>
      <c r="J546" s="2" t="s">
        <v>635</v>
      </c>
      <c r="K546" s="0" t="s">
        <v>636</v>
      </c>
      <c r="L546" s="0" t="s">
        <v>31</v>
      </c>
      <c r="M546" s="0" t="s">
        <v>637</v>
      </c>
      <c r="N546" s="0" t="s">
        <v>1922</v>
      </c>
      <c r="O546" s="0" t="n">
        <v>1</v>
      </c>
      <c r="P546" s="0" t="s">
        <v>1923</v>
      </c>
      <c r="Q546" s="3"/>
      <c r="S546" s="2" t="s">
        <v>29</v>
      </c>
    </row>
    <row r="547" customFormat="false" ht="15" hidden="false" customHeight="false" outlineLevel="0" collapsed="false">
      <c r="A547" s="0" t="n">
        <v>546</v>
      </c>
      <c r="D547" s="0" t="s">
        <v>1924</v>
      </c>
      <c r="E547" s="0" t="s">
        <v>492</v>
      </c>
      <c r="H547" s="0" t="s">
        <v>21</v>
      </c>
      <c r="I547" s="2" t="s">
        <v>22</v>
      </c>
      <c r="J547" s="2" t="s">
        <v>635</v>
      </c>
      <c r="K547" s="0" t="s">
        <v>636</v>
      </c>
      <c r="L547" s="0" t="s">
        <v>31</v>
      </c>
      <c r="M547" s="0" t="s">
        <v>637</v>
      </c>
      <c r="N547" s="0" t="s">
        <v>1925</v>
      </c>
      <c r="O547" s="0" t="n">
        <v>1</v>
      </c>
      <c r="P547" s="0" t="s">
        <v>1926</v>
      </c>
      <c r="Q547" s="3"/>
      <c r="S547" s="2" t="s">
        <v>29</v>
      </c>
    </row>
    <row r="548" customFormat="false" ht="15" hidden="false" customHeight="false" outlineLevel="0" collapsed="false">
      <c r="A548" s="0" t="n">
        <v>547</v>
      </c>
      <c r="D548" s="0" t="s">
        <v>1927</v>
      </c>
      <c r="E548" s="0" t="s">
        <v>492</v>
      </c>
      <c r="H548" s="0" t="s">
        <v>21</v>
      </c>
      <c r="I548" s="2" t="s">
        <v>22</v>
      </c>
      <c r="J548" s="2" t="s">
        <v>635</v>
      </c>
      <c r="K548" s="0" t="s">
        <v>636</v>
      </c>
      <c r="L548" s="0" t="s">
        <v>31</v>
      </c>
      <c r="M548" s="0" t="s">
        <v>637</v>
      </c>
      <c r="N548" s="0" t="s">
        <v>1928</v>
      </c>
      <c r="O548" s="0" t="n">
        <v>1</v>
      </c>
      <c r="P548" s="0" t="s">
        <v>1929</v>
      </c>
      <c r="Q548" s="3"/>
      <c r="S548" s="2" t="s">
        <v>29</v>
      </c>
    </row>
    <row r="549" customFormat="false" ht="15" hidden="false" customHeight="false" outlineLevel="0" collapsed="false">
      <c r="A549" s="0" t="n">
        <v>548</v>
      </c>
      <c r="D549" s="0" t="s">
        <v>1930</v>
      </c>
      <c r="E549" s="0" t="s">
        <v>492</v>
      </c>
      <c r="H549" s="0" t="s">
        <v>21</v>
      </c>
      <c r="I549" s="2" t="s">
        <v>22</v>
      </c>
      <c r="J549" s="2" t="s">
        <v>635</v>
      </c>
      <c r="K549" s="0" t="s">
        <v>636</v>
      </c>
      <c r="L549" s="0" t="s">
        <v>31</v>
      </c>
      <c r="M549" s="0" t="s">
        <v>637</v>
      </c>
      <c r="N549" s="0" t="s">
        <v>1931</v>
      </c>
      <c r="O549" s="0" t="n">
        <v>1</v>
      </c>
      <c r="P549" s="0" t="s">
        <v>1932</v>
      </c>
      <c r="Q549" s="3"/>
      <c r="S549" s="2" t="s">
        <v>29</v>
      </c>
    </row>
    <row r="550" customFormat="false" ht="15" hidden="false" customHeight="false" outlineLevel="0" collapsed="false">
      <c r="A550" s="0" t="n">
        <v>549</v>
      </c>
      <c r="D550" s="0" t="s">
        <v>1933</v>
      </c>
      <c r="E550" s="0" t="s">
        <v>492</v>
      </c>
      <c r="H550" s="0" t="s">
        <v>21</v>
      </c>
      <c r="I550" s="2" t="s">
        <v>22</v>
      </c>
      <c r="J550" s="2" t="s">
        <v>635</v>
      </c>
      <c r="K550" s="0" t="s">
        <v>636</v>
      </c>
      <c r="L550" s="0" t="s">
        <v>31</v>
      </c>
      <c r="M550" s="0" t="s">
        <v>637</v>
      </c>
      <c r="N550" s="0" t="s">
        <v>1934</v>
      </c>
      <c r="O550" s="0" t="n">
        <v>1</v>
      </c>
      <c r="P550" s="0" t="s">
        <v>1935</v>
      </c>
      <c r="Q550" s="3"/>
      <c r="S550" s="2" t="s">
        <v>29</v>
      </c>
    </row>
    <row r="551" customFormat="false" ht="15" hidden="false" customHeight="false" outlineLevel="0" collapsed="false">
      <c r="A551" s="0" t="n">
        <v>550</v>
      </c>
      <c r="D551" s="0" t="s">
        <v>1936</v>
      </c>
      <c r="E551" s="0" t="s">
        <v>492</v>
      </c>
      <c r="H551" s="0" t="s">
        <v>21</v>
      </c>
      <c r="I551" s="2" t="s">
        <v>22</v>
      </c>
      <c r="J551" s="2" t="s">
        <v>635</v>
      </c>
      <c r="K551" s="0" t="s">
        <v>636</v>
      </c>
      <c r="L551" s="0" t="s">
        <v>31</v>
      </c>
      <c r="M551" s="0" t="s">
        <v>637</v>
      </c>
      <c r="N551" s="0" t="s">
        <v>1937</v>
      </c>
      <c r="O551" s="0" t="n">
        <v>1</v>
      </c>
      <c r="P551" s="0" t="s">
        <v>1938</v>
      </c>
      <c r="Q551" s="3"/>
      <c r="S551" s="2" t="s">
        <v>29</v>
      </c>
    </row>
    <row r="552" customFormat="false" ht="15" hidden="false" customHeight="false" outlineLevel="0" collapsed="false">
      <c r="A552" s="0" t="n">
        <v>551</v>
      </c>
      <c r="D552" s="0" t="s">
        <v>1939</v>
      </c>
      <c r="E552" s="0" t="s">
        <v>492</v>
      </c>
      <c r="H552" s="0" t="s">
        <v>21</v>
      </c>
      <c r="I552" s="2" t="s">
        <v>22</v>
      </c>
      <c r="J552" s="2" t="s">
        <v>635</v>
      </c>
      <c r="K552" s="0" t="s">
        <v>636</v>
      </c>
      <c r="L552" s="0" t="s">
        <v>31</v>
      </c>
      <c r="M552" s="0" t="s">
        <v>637</v>
      </c>
      <c r="N552" s="0" t="s">
        <v>1940</v>
      </c>
      <c r="O552" s="0" t="n">
        <v>1</v>
      </c>
      <c r="P552" s="0" t="s">
        <v>1941</v>
      </c>
      <c r="Q552" s="3"/>
      <c r="S552" s="2" t="s">
        <v>29</v>
      </c>
    </row>
    <row r="553" customFormat="false" ht="15" hidden="false" customHeight="false" outlineLevel="0" collapsed="false">
      <c r="A553" s="0" t="n">
        <v>552</v>
      </c>
      <c r="D553" s="0" t="s">
        <v>1942</v>
      </c>
      <c r="E553" s="0" t="s">
        <v>492</v>
      </c>
      <c r="H553" s="0" t="s">
        <v>21</v>
      </c>
      <c r="I553" s="2" t="s">
        <v>22</v>
      </c>
      <c r="J553" s="2" t="s">
        <v>635</v>
      </c>
      <c r="K553" s="0" t="s">
        <v>636</v>
      </c>
      <c r="L553" s="0" t="s">
        <v>31</v>
      </c>
      <c r="M553" s="0" t="s">
        <v>637</v>
      </c>
      <c r="N553" s="0" t="s">
        <v>1943</v>
      </c>
      <c r="O553" s="0" t="n">
        <v>1</v>
      </c>
      <c r="P553" s="0" t="s">
        <v>1944</v>
      </c>
      <c r="Q553" s="3"/>
      <c r="S553" s="2" t="s">
        <v>29</v>
      </c>
    </row>
    <row r="554" customFormat="false" ht="15" hidden="false" customHeight="false" outlineLevel="0" collapsed="false">
      <c r="A554" s="0" t="n">
        <v>553</v>
      </c>
      <c r="D554" s="0" t="s">
        <v>1945</v>
      </c>
      <c r="E554" s="0" t="s">
        <v>20</v>
      </c>
      <c r="H554" s="0" t="s">
        <v>21</v>
      </c>
      <c r="I554" s="2" t="s">
        <v>22</v>
      </c>
      <c r="J554" s="2" t="s">
        <v>635</v>
      </c>
      <c r="K554" s="0" t="s">
        <v>636</v>
      </c>
      <c r="L554" s="0" t="s">
        <v>31</v>
      </c>
      <c r="M554" s="0" t="s">
        <v>637</v>
      </c>
      <c r="N554" s="0" t="s">
        <v>1946</v>
      </c>
      <c r="O554" s="0" t="n">
        <v>1</v>
      </c>
      <c r="P554" s="0" t="s">
        <v>1947</v>
      </c>
      <c r="Q554" s="3"/>
      <c r="S554" s="2" t="s">
        <v>29</v>
      </c>
    </row>
    <row r="555" customFormat="false" ht="15" hidden="false" customHeight="false" outlineLevel="0" collapsed="false">
      <c r="A555" s="0" t="n">
        <v>554</v>
      </c>
      <c r="D555" s="0" t="s">
        <v>1948</v>
      </c>
      <c r="E555" s="0" t="s">
        <v>20</v>
      </c>
      <c r="H555" s="0" t="s">
        <v>21</v>
      </c>
      <c r="I555" s="2" t="s">
        <v>22</v>
      </c>
      <c r="J555" s="2" t="s">
        <v>635</v>
      </c>
      <c r="K555" s="0" t="s">
        <v>636</v>
      </c>
      <c r="L555" s="0" t="s">
        <v>31</v>
      </c>
      <c r="M555" s="0" t="s">
        <v>637</v>
      </c>
      <c r="N555" s="0" t="s">
        <v>1949</v>
      </c>
      <c r="O555" s="0" t="n">
        <v>1</v>
      </c>
      <c r="P555" s="0" t="s">
        <v>1950</v>
      </c>
      <c r="Q555" s="3"/>
      <c r="S555" s="2" t="s">
        <v>29</v>
      </c>
    </row>
    <row r="556" customFormat="false" ht="15" hidden="false" customHeight="false" outlineLevel="0" collapsed="false">
      <c r="A556" s="0" t="n">
        <v>555</v>
      </c>
      <c r="D556" s="0" t="s">
        <v>1951</v>
      </c>
      <c r="E556" s="0" t="s">
        <v>63</v>
      </c>
      <c r="H556" s="0" t="s">
        <v>21</v>
      </c>
      <c r="I556" s="2" t="s">
        <v>22</v>
      </c>
      <c r="J556" s="2" t="s">
        <v>635</v>
      </c>
      <c r="K556" s="0" t="s">
        <v>636</v>
      </c>
      <c r="L556" s="0" t="s">
        <v>100</v>
      </c>
      <c r="M556" s="0" t="s">
        <v>637</v>
      </c>
      <c r="N556" s="0" t="s">
        <v>1952</v>
      </c>
      <c r="O556" s="0" t="n">
        <v>1</v>
      </c>
      <c r="P556" s="0" t="s">
        <v>1953</v>
      </c>
      <c r="Q556" s="3"/>
      <c r="S556" s="2" t="s">
        <v>29</v>
      </c>
    </row>
    <row r="557" customFormat="false" ht="15" hidden="false" customHeight="false" outlineLevel="0" collapsed="false">
      <c r="A557" s="0" t="n">
        <v>556</v>
      </c>
      <c r="D557" s="0" t="s">
        <v>1954</v>
      </c>
      <c r="E557" s="0" t="s">
        <v>492</v>
      </c>
      <c r="H557" s="0" t="s">
        <v>21</v>
      </c>
      <c r="I557" s="2" t="s">
        <v>22</v>
      </c>
      <c r="J557" s="2" t="s">
        <v>635</v>
      </c>
      <c r="K557" s="0" t="s">
        <v>636</v>
      </c>
      <c r="L557" s="0" t="s">
        <v>31</v>
      </c>
      <c r="M557" s="0" t="s">
        <v>637</v>
      </c>
      <c r="N557" s="0" t="s">
        <v>1955</v>
      </c>
      <c r="O557" s="0" t="n">
        <v>1</v>
      </c>
      <c r="P557" s="0" t="s">
        <v>1956</v>
      </c>
      <c r="Q557" s="3"/>
      <c r="S557" s="2" t="s">
        <v>29</v>
      </c>
    </row>
    <row r="558" customFormat="false" ht="15" hidden="false" customHeight="false" outlineLevel="0" collapsed="false">
      <c r="A558" s="0" t="n">
        <v>557</v>
      </c>
      <c r="D558" s="0" t="s">
        <v>1957</v>
      </c>
      <c r="E558" s="0" t="s">
        <v>20</v>
      </c>
      <c r="H558" s="0" t="s">
        <v>21</v>
      </c>
      <c r="I558" s="2" t="s">
        <v>22</v>
      </c>
      <c r="J558" s="2" t="s">
        <v>635</v>
      </c>
      <c r="K558" s="0" t="s">
        <v>636</v>
      </c>
      <c r="L558" s="0" t="s">
        <v>31</v>
      </c>
      <c r="M558" s="0" t="s">
        <v>637</v>
      </c>
      <c r="N558" s="0" t="s">
        <v>1958</v>
      </c>
      <c r="O558" s="0" t="n">
        <v>1</v>
      </c>
      <c r="Q558" s="3"/>
      <c r="S558" s="2" t="s">
        <v>29</v>
      </c>
    </row>
    <row r="559" customFormat="false" ht="15" hidden="false" customHeight="false" outlineLevel="0" collapsed="false">
      <c r="A559" s="0" t="n">
        <v>558</v>
      </c>
      <c r="D559" s="0" t="s">
        <v>1959</v>
      </c>
      <c r="E559" s="0" t="s">
        <v>99</v>
      </c>
      <c r="H559" s="0" t="s">
        <v>21</v>
      </c>
      <c r="I559" s="2" t="s">
        <v>22</v>
      </c>
      <c r="J559" s="2" t="s">
        <v>635</v>
      </c>
      <c r="K559" s="0" t="s">
        <v>636</v>
      </c>
      <c r="L559" s="0" t="s">
        <v>100</v>
      </c>
      <c r="M559" s="0" t="s">
        <v>637</v>
      </c>
      <c r="N559" s="0" t="s">
        <v>1960</v>
      </c>
      <c r="O559" s="0" t="n">
        <v>1</v>
      </c>
      <c r="P559" s="0" t="s">
        <v>1961</v>
      </c>
      <c r="Q559" s="3"/>
      <c r="S559" s="2" t="s">
        <v>29</v>
      </c>
    </row>
    <row r="560" customFormat="false" ht="15" hidden="false" customHeight="false" outlineLevel="0" collapsed="false">
      <c r="A560" s="0" t="n">
        <v>559</v>
      </c>
      <c r="D560" s="0" t="s">
        <v>1962</v>
      </c>
      <c r="E560" s="0" t="s">
        <v>99</v>
      </c>
      <c r="H560" s="0" t="s">
        <v>21</v>
      </c>
      <c r="I560" s="2" t="s">
        <v>22</v>
      </c>
      <c r="J560" s="2" t="s">
        <v>635</v>
      </c>
      <c r="K560" s="0" t="s">
        <v>636</v>
      </c>
      <c r="L560" s="0" t="s">
        <v>100</v>
      </c>
      <c r="M560" s="0" t="s">
        <v>637</v>
      </c>
      <c r="N560" s="0" t="s">
        <v>1963</v>
      </c>
      <c r="O560" s="0" t="n">
        <v>1</v>
      </c>
      <c r="P560" s="0" t="s">
        <v>1964</v>
      </c>
      <c r="Q560" s="3"/>
      <c r="S560" s="2" t="s">
        <v>29</v>
      </c>
    </row>
    <row r="561" customFormat="false" ht="15" hidden="false" customHeight="false" outlineLevel="0" collapsed="false">
      <c r="A561" s="0" t="n">
        <v>560</v>
      </c>
      <c r="D561" s="0" t="s">
        <v>1965</v>
      </c>
      <c r="E561" s="0" t="s">
        <v>492</v>
      </c>
      <c r="H561" s="0" t="s">
        <v>21</v>
      </c>
      <c r="I561" s="2" t="s">
        <v>22</v>
      </c>
      <c r="J561" s="2" t="s">
        <v>635</v>
      </c>
      <c r="K561" s="0" t="s">
        <v>636</v>
      </c>
      <c r="L561" s="0" t="s">
        <v>31</v>
      </c>
      <c r="M561" s="0" t="s">
        <v>637</v>
      </c>
      <c r="N561" s="0" t="s">
        <v>1966</v>
      </c>
      <c r="O561" s="0" t="n">
        <v>1</v>
      </c>
      <c r="P561" s="0" t="s">
        <v>1967</v>
      </c>
      <c r="Q561" s="3"/>
      <c r="S561" s="2" t="s">
        <v>29</v>
      </c>
    </row>
    <row r="562" customFormat="false" ht="15" hidden="false" customHeight="false" outlineLevel="0" collapsed="false">
      <c r="A562" s="0" t="n">
        <v>561</v>
      </c>
      <c r="D562" s="0" t="s">
        <v>1968</v>
      </c>
      <c r="E562" s="0" t="s">
        <v>20</v>
      </c>
      <c r="H562" s="0" t="s">
        <v>21</v>
      </c>
      <c r="I562" s="2" t="s">
        <v>22</v>
      </c>
      <c r="J562" s="2" t="s">
        <v>635</v>
      </c>
      <c r="K562" s="0" t="s">
        <v>636</v>
      </c>
      <c r="L562" s="0" t="s">
        <v>31</v>
      </c>
      <c r="M562" s="0" t="s">
        <v>637</v>
      </c>
      <c r="N562" s="0" t="s">
        <v>1969</v>
      </c>
      <c r="O562" s="0" t="n">
        <v>1</v>
      </c>
      <c r="P562" s="0" t="s">
        <v>1970</v>
      </c>
      <c r="Q562" s="3"/>
      <c r="S562" s="2" t="s">
        <v>29</v>
      </c>
    </row>
    <row r="563" customFormat="false" ht="15" hidden="false" customHeight="false" outlineLevel="0" collapsed="false">
      <c r="A563" s="0" t="n">
        <v>562</v>
      </c>
      <c r="D563" s="0" t="s">
        <v>1971</v>
      </c>
      <c r="E563" s="0" t="s">
        <v>20</v>
      </c>
      <c r="H563" s="0" t="s">
        <v>21</v>
      </c>
      <c r="I563" s="2" t="s">
        <v>22</v>
      </c>
      <c r="J563" s="2" t="s">
        <v>635</v>
      </c>
      <c r="K563" s="0" t="s">
        <v>636</v>
      </c>
      <c r="L563" s="0" t="s">
        <v>31</v>
      </c>
      <c r="M563" s="0" t="s">
        <v>637</v>
      </c>
      <c r="N563" s="0" t="s">
        <v>1972</v>
      </c>
      <c r="O563" s="0" t="n">
        <v>1</v>
      </c>
      <c r="P563" s="0" t="s">
        <v>1973</v>
      </c>
      <c r="Q563" s="3"/>
      <c r="S563" s="2" t="s">
        <v>29</v>
      </c>
    </row>
    <row r="564" customFormat="false" ht="15" hidden="false" customHeight="false" outlineLevel="0" collapsed="false">
      <c r="A564" s="0" t="n">
        <v>563</v>
      </c>
      <c r="D564" s="0" t="s">
        <v>1974</v>
      </c>
      <c r="E564" s="0" t="s">
        <v>20</v>
      </c>
      <c r="H564" s="0" t="s">
        <v>21</v>
      </c>
      <c r="I564" s="2" t="s">
        <v>22</v>
      </c>
      <c r="J564" s="2" t="s">
        <v>635</v>
      </c>
      <c r="K564" s="0" t="s">
        <v>636</v>
      </c>
      <c r="L564" s="0" t="s">
        <v>31</v>
      </c>
      <c r="M564" s="0" t="s">
        <v>637</v>
      </c>
      <c r="N564" s="0" t="s">
        <v>1975</v>
      </c>
      <c r="O564" s="0" t="n">
        <v>1</v>
      </c>
      <c r="P564" s="0" t="s">
        <v>1976</v>
      </c>
      <c r="Q564" s="3"/>
      <c r="S564" s="2" t="s">
        <v>29</v>
      </c>
    </row>
    <row r="565" customFormat="false" ht="15" hidden="false" customHeight="false" outlineLevel="0" collapsed="false">
      <c r="A565" s="0" t="n">
        <v>564</v>
      </c>
      <c r="D565" s="0" t="s">
        <v>1977</v>
      </c>
      <c r="E565" s="0" t="s">
        <v>20</v>
      </c>
      <c r="H565" s="0" t="s">
        <v>21</v>
      </c>
      <c r="I565" s="2" t="s">
        <v>22</v>
      </c>
      <c r="J565" s="2" t="s">
        <v>635</v>
      </c>
      <c r="K565" s="0" t="s">
        <v>636</v>
      </c>
      <c r="L565" s="0" t="s">
        <v>31</v>
      </c>
      <c r="M565" s="0" t="s">
        <v>637</v>
      </c>
      <c r="N565" s="0" t="s">
        <v>1978</v>
      </c>
      <c r="O565" s="0" t="n">
        <v>1</v>
      </c>
      <c r="Q565" s="3"/>
      <c r="S565" s="2" t="s">
        <v>29</v>
      </c>
    </row>
    <row r="566" customFormat="false" ht="15" hidden="false" customHeight="false" outlineLevel="0" collapsed="false">
      <c r="A566" s="0" t="n">
        <v>565</v>
      </c>
      <c r="D566" s="0" t="s">
        <v>1979</v>
      </c>
      <c r="E566" s="0" t="s">
        <v>492</v>
      </c>
      <c r="H566" s="0" t="s">
        <v>21</v>
      </c>
      <c r="I566" s="2" t="s">
        <v>22</v>
      </c>
      <c r="J566" s="2" t="s">
        <v>635</v>
      </c>
      <c r="K566" s="0" t="s">
        <v>636</v>
      </c>
      <c r="L566" s="0" t="s">
        <v>31</v>
      </c>
      <c r="M566" s="0" t="s">
        <v>637</v>
      </c>
      <c r="N566" s="0" t="s">
        <v>1980</v>
      </c>
      <c r="O566" s="0" t="n">
        <v>1</v>
      </c>
      <c r="P566" s="0" t="s">
        <v>1981</v>
      </c>
      <c r="Q566" s="3"/>
      <c r="S566" s="2" t="s">
        <v>29</v>
      </c>
    </row>
    <row r="567" customFormat="false" ht="15" hidden="false" customHeight="false" outlineLevel="0" collapsed="false">
      <c r="A567" s="0" t="n">
        <v>566</v>
      </c>
      <c r="D567" s="0" t="s">
        <v>1982</v>
      </c>
      <c r="E567" s="0" t="s">
        <v>20</v>
      </c>
      <c r="H567" s="0" t="s">
        <v>21</v>
      </c>
      <c r="I567" s="2" t="s">
        <v>22</v>
      </c>
      <c r="J567" s="2" t="s">
        <v>635</v>
      </c>
      <c r="K567" s="0" t="s">
        <v>636</v>
      </c>
      <c r="L567" s="0" t="s">
        <v>31</v>
      </c>
      <c r="M567" s="0" t="s">
        <v>637</v>
      </c>
      <c r="N567" s="0" t="s">
        <v>1983</v>
      </c>
      <c r="O567" s="0" t="n">
        <v>1</v>
      </c>
      <c r="P567" s="0" t="s">
        <v>1984</v>
      </c>
      <c r="Q567" s="3"/>
      <c r="S567" s="2" t="s">
        <v>29</v>
      </c>
    </row>
    <row r="568" customFormat="false" ht="15" hidden="false" customHeight="false" outlineLevel="0" collapsed="false">
      <c r="A568" s="0" t="n">
        <v>567</v>
      </c>
      <c r="D568" s="0" t="s">
        <v>1985</v>
      </c>
      <c r="E568" s="0" t="s">
        <v>492</v>
      </c>
      <c r="H568" s="0" t="s">
        <v>21</v>
      </c>
      <c r="I568" s="2" t="s">
        <v>22</v>
      </c>
      <c r="J568" s="2" t="s">
        <v>635</v>
      </c>
      <c r="K568" s="0" t="s">
        <v>636</v>
      </c>
      <c r="L568" s="0" t="s">
        <v>31</v>
      </c>
      <c r="M568" s="0" t="s">
        <v>637</v>
      </c>
      <c r="N568" s="0" t="s">
        <v>1986</v>
      </c>
      <c r="O568" s="0" t="n">
        <v>1</v>
      </c>
      <c r="P568" s="0" t="s">
        <v>1987</v>
      </c>
      <c r="Q568" s="3"/>
      <c r="S568" s="2" t="s">
        <v>29</v>
      </c>
    </row>
    <row r="569" customFormat="false" ht="15" hidden="false" customHeight="false" outlineLevel="0" collapsed="false">
      <c r="A569" s="0" t="n">
        <v>568</v>
      </c>
      <c r="D569" s="0" t="s">
        <v>1988</v>
      </c>
      <c r="E569" s="0" t="s">
        <v>99</v>
      </c>
      <c r="H569" s="0" t="s">
        <v>21</v>
      </c>
      <c r="I569" s="2" t="s">
        <v>22</v>
      </c>
      <c r="J569" s="2" t="s">
        <v>635</v>
      </c>
      <c r="K569" s="0" t="s">
        <v>636</v>
      </c>
      <c r="L569" s="0" t="s">
        <v>100</v>
      </c>
      <c r="M569" s="0" t="s">
        <v>637</v>
      </c>
      <c r="N569" s="0" t="s">
        <v>1989</v>
      </c>
      <c r="O569" s="0" t="n">
        <v>1</v>
      </c>
      <c r="P569" s="0" t="s">
        <v>1990</v>
      </c>
      <c r="Q569" s="3"/>
      <c r="S569" s="2" t="s">
        <v>29</v>
      </c>
    </row>
    <row r="570" customFormat="false" ht="15" hidden="false" customHeight="false" outlineLevel="0" collapsed="false">
      <c r="A570" s="0" t="n">
        <v>569</v>
      </c>
      <c r="D570" s="0" t="s">
        <v>1991</v>
      </c>
      <c r="E570" s="0" t="s">
        <v>267</v>
      </c>
      <c r="H570" s="0" t="s">
        <v>21</v>
      </c>
      <c r="I570" s="2" t="s">
        <v>22</v>
      </c>
      <c r="J570" s="2" t="s">
        <v>635</v>
      </c>
      <c r="K570" s="0" t="s">
        <v>636</v>
      </c>
      <c r="L570" s="0" t="s">
        <v>31</v>
      </c>
      <c r="M570" s="0" t="s">
        <v>637</v>
      </c>
      <c r="N570" s="0" t="s">
        <v>1992</v>
      </c>
      <c r="O570" s="0" t="n">
        <v>1</v>
      </c>
      <c r="P570" s="0" t="s">
        <v>1993</v>
      </c>
      <c r="Q570" s="3"/>
      <c r="S570" s="2" t="s">
        <v>29</v>
      </c>
    </row>
    <row r="571" customFormat="false" ht="15" hidden="false" customHeight="false" outlineLevel="0" collapsed="false">
      <c r="A571" s="0" t="n">
        <v>570</v>
      </c>
      <c r="D571" s="0" t="s">
        <v>1994</v>
      </c>
      <c r="E571" s="0" t="s">
        <v>20</v>
      </c>
      <c r="H571" s="0" t="s">
        <v>21</v>
      </c>
      <c r="I571" s="2" t="s">
        <v>22</v>
      </c>
      <c r="J571" s="2" t="s">
        <v>635</v>
      </c>
      <c r="K571" s="0" t="s">
        <v>636</v>
      </c>
      <c r="L571" s="0" t="s">
        <v>31</v>
      </c>
      <c r="M571" s="0" t="s">
        <v>637</v>
      </c>
      <c r="N571" s="0" t="s">
        <v>1995</v>
      </c>
      <c r="O571" s="0" t="n">
        <v>1</v>
      </c>
      <c r="P571" s="0" t="s">
        <v>1996</v>
      </c>
      <c r="Q571" s="3"/>
      <c r="S571" s="2" t="s">
        <v>29</v>
      </c>
    </row>
    <row r="572" customFormat="false" ht="15" hidden="false" customHeight="false" outlineLevel="0" collapsed="false">
      <c r="A572" s="0" t="n">
        <v>571</v>
      </c>
      <c r="D572" s="0" t="s">
        <v>1997</v>
      </c>
      <c r="E572" s="0" t="s">
        <v>20</v>
      </c>
      <c r="H572" s="0" t="s">
        <v>21</v>
      </c>
      <c r="I572" s="2" t="s">
        <v>22</v>
      </c>
      <c r="J572" s="2" t="s">
        <v>635</v>
      </c>
      <c r="K572" s="0" t="s">
        <v>636</v>
      </c>
      <c r="L572" s="0" t="s">
        <v>31</v>
      </c>
      <c r="M572" s="0" t="s">
        <v>637</v>
      </c>
      <c r="N572" s="0" t="s">
        <v>1998</v>
      </c>
      <c r="O572" s="0" t="n">
        <v>1</v>
      </c>
      <c r="P572" s="0" t="s">
        <v>1999</v>
      </c>
      <c r="Q572" s="3"/>
      <c r="S572" s="2" t="s">
        <v>29</v>
      </c>
    </row>
    <row r="573" customFormat="false" ht="15" hidden="false" customHeight="false" outlineLevel="0" collapsed="false">
      <c r="A573" s="0" t="n">
        <v>572</v>
      </c>
      <c r="D573" s="0" t="s">
        <v>2000</v>
      </c>
      <c r="E573" s="0" t="s">
        <v>20</v>
      </c>
      <c r="H573" s="0" t="s">
        <v>21</v>
      </c>
      <c r="I573" s="2" t="s">
        <v>22</v>
      </c>
      <c r="J573" s="2" t="s">
        <v>635</v>
      </c>
      <c r="K573" s="0" t="s">
        <v>636</v>
      </c>
      <c r="L573" s="0" t="s">
        <v>31</v>
      </c>
      <c r="M573" s="0" t="s">
        <v>637</v>
      </c>
      <c r="N573" s="0" t="s">
        <v>2001</v>
      </c>
      <c r="O573" s="0" t="n">
        <v>1</v>
      </c>
      <c r="P573" s="0" t="s">
        <v>2002</v>
      </c>
      <c r="Q573" s="3"/>
      <c r="S573" s="2" t="s">
        <v>29</v>
      </c>
    </row>
    <row r="574" customFormat="false" ht="15" hidden="false" customHeight="false" outlineLevel="0" collapsed="false">
      <c r="A574" s="0" t="n">
        <v>573</v>
      </c>
      <c r="D574" s="0" t="s">
        <v>2003</v>
      </c>
      <c r="E574" s="0" t="s">
        <v>99</v>
      </c>
      <c r="H574" s="0" t="s">
        <v>21</v>
      </c>
      <c r="I574" s="2" t="s">
        <v>22</v>
      </c>
      <c r="J574" s="2" t="s">
        <v>635</v>
      </c>
      <c r="K574" s="0" t="s">
        <v>636</v>
      </c>
      <c r="L574" s="0" t="s">
        <v>100</v>
      </c>
      <c r="M574" s="0" t="s">
        <v>637</v>
      </c>
      <c r="N574" s="0" t="s">
        <v>2004</v>
      </c>
      <c r="O574" s="0" t="n">
        <v>1</v>
      </c>
      <c r="P574" s="0" t="s">
        <v>2005</v>
      </c>
      <c r="Q574" s="3"/>
      <c r="S574" s="2" t="s">
        <v>29</v>
      </c>
    </row>
    <row r="575" customFormat="false" ht="15" hidden="false" customHeight="false" outlineLevel="0" collapsed="false">
      <c r="A575" s="0" t="n">
        <v>574</v>
      </c>
      <c r="D575" s="0" t="s">
        <v>2006</v>
      </c>
      <c r="E575" s="0" t="s">
        <v>20</v>
      </c>
      <c r="H575" s="0" t="s">
        <v>21</v>
      </c>
      <c r="I575" s="2" t="s">
        <v>22</v>
      </c>
      <c r="J575" s="2" t="s">
        <v>635</v>
      </c>
      <c r="K575" s="0" t="s">
        <v>636</v>
      </c>
      <c r="L575" s="0" t="s">
        <v>31</v>
      </c>
      <c r="M575" s="0" t="s">
        <v>637</v>
      </c>
      <c r="N575" s="0" t="s">
        <v>2007</v>
      </c>
      <c r="O575" s="0" t="n">
        <v>1</v>
      </c>
      <c r="P575" s="0" t="s">
        <v>2008</v>
      </c>
      <c r="Q575" s="3"/>
      <c r="S575" s="2" t="s">
        <v>29</v>
      </c>
    </row>
    <row r="576" customFormat="false" ht="15" hidden="false" customHeight="false" outlineLevel="0" collapsed="false">
      <c r="A576" s="0" t="n">
        <v>575</v>
      </c>
      <c r="D576" s="0" t="s">
        <v>2009</v>
      </c>
      <c r="E576" s="0" t="s">
        <v>20</v>
      </c>
      <c r="H576" s="0" t="s">
        <v>21</v>
      </c>
      <c r="I576" s="2" t="s">
        <v>22</v>
      </c>
      <c r="J576" s="2" t="s">
        <v>635</v>
      </c>
      <c r="K576" s="0" t="s">
        <v>636</v>
      </c>
      <c r="L576" s="0" t="s">
        <v>31</v>
      </c>
      <c r="M576" s="0" t="s">
        <v>637</v>
      </c>
      <c r="N576" s="0" t="s">
        <v>2010</v>
      </c>
      <c r="O576" s="0" t="n">
        <v>1</v>
      </c>
      <c r="P576" s="0" t="s">
        <v>2011</v>
      </c>
      <c r="Q576" s="3"/>
      <c r="S576" s="2" t="s">
        <v>29</v>
      </c>
    </row>
    <row r="577" customFormat="false" ht="15" hidden="false" customHeight="false" outlineLevel="0" collapsed="false">
      <c r="A577" s="0" t="n">
        <v>576</v>
      </c>
      <c r="D577" s="0" t="s">
        <v>2012</v>
      </c>
      <c r="E577" s="0" t="s">
        <v>20</v>
      </c>
      <c r="H577" s="0" t="s">
        <v>21</v>
      </c>
      <c r="I577" s="2" t="s">
        <v>22</v>
      </c>
      <c r="J577" s="2" t="s">
        <v>635</v>
      </c>
      <c r="K577" s="0" t="s">
        <v>636</v>
      </c>
      <c r="L577" s="0" t="s">
        <v>31</v>
      </c>
      <c r="M577" s="0" t="s">
        <v>637</v>
      </c>
      <c r="N577" s="0" t="s">
        <v>2013</v>
      </c>
      <c r="O577" s="0" t="n">
        <v>1</v>
      </c>
      <c r="P577" s="0" t="s">
        <v>2014</v>
      </c>
      <c r="Q577" s="3"/>
      <c r="S577" s="2" t="s">
        <v>29</v>
      </c>
    </row>
    <row r="578" customFormat="false" ht="15" hidden="false" customHeight="false" outlineLevel="0" collapsed="false">
      <c r="A578" s="0" t="n">
        <v>577</v>
      </c>
      <c r="D578" s="0" t="s">
        <v>2015</v>
      </c>
      <c r="E578" s="0" t="s">
        <v>20</v>
      </c>
      <c r="H578" s="0" t="s">
        <v>21</v>
      </c>
      <c r="I578" s="2" t="s">
        <v>22</v>
      </c>
      <c r="J578" s="2" t="s">
        <v>635</v>
      </c>
      <c r="K578" s="0" t="s">
        <v>636</v>
      </c>
      <c r="L578" s="0" t="s">
        <v>31</v>
      </c>
      <c r="M578" s="0" t="s">
        <v>637</v>
      </c>
      <c r="N578" s="0" t="s">
        <v>2016</v>
      </c>
      <c r="O578" s="0" t="n">
        <v>1</v>
      </c>
      <c r="P578" s="0" t="s">
        <v>2017</v>
      </c>
      <c r="Q578" s="3"/>
      <c r="S578" s="2" t="s">
        <v>29</v>
      </c>
    </row>
    <row r="579" customFormat="false" ht="15" hidden="false" customHeight="false" outlineLevel="0" collapsed="false">
      <c r="A579" s="0" t="n">
        <v>578</v>
      </c>
      <c r="D579" s="0" t="s">
        <v>2018</v>
      </c>
      <c r="E579" s="0" t="s">
        <v>20</v>
      </c>
      <c r="F579" s="0" t="s">
        <v>2019</v>
      </c>
      <c r="H579" s="0" t="s">
        <v>21</v>
      </c>
      <c r="I579" s="2" t="s">
        <v>22</v>
      </c>
      <c r="J579" s="2" t="s">
        <v>635</v>
      </c>
      <c r="K579" s="0" t="s">
        <v>636</v>
      </c>
      <c r="L579" s="0" t="s">
        <v>2020</v>
      </c>
      <c r="M579" s="0" t="s">
        <v>637</v>
      </c>
      <c r="N579" s="0" t="s">
        <v>2021</v>
      </c>
      <c r="O579" s="0" t="n">
        <v>1</v>
      </c>
      <c r="P579" s="0" t="s">
        <v>2022</v>
      </c>
      <c r="Q579" s="3" t="s">
        <v>2023</v>
      </c>
      <c r="R579" s="2" t="s">
        <v>2024</v>
      </c>
      <c r="S579" s="2" t="s">
        <v>45</v>
      </c>
    </row>
    <row r="580" customFormat="false" ht="15" hidden="false" customHeight="false" outlineLevel="0" collapsed="false">
      <c r="A580" s="0" t="n">
        <v>579</v>
      </c>
      <c r="D580" s="0" t="s">
        <v>2025</v>
      </c>
      <c r="E580" s="0" t="s">
        <v>20</v>
      </c>
      <c r="H580" s="0" t="s">
        <v>21</v>
      </c>
      <c r="I580" s="2" t="s">
        <v>22</v>
      </c>
      <c r="J580" s="2" t="s">
        <v>635</v>
      </c>
      <c r="K580" s="0" t="s">
        <v>636</v>
      </c>
      <c r="L580" s="0" t="s">
        <v>31</v>
      </c>
      <c r="M580" s="0" t="s">
        <v>637</v>
      </c>
      <c r="N580" s="0" t="s">
        <v>2026</v>
      </c>
      <c r="O580" s="0" t="n">
        <v>1</v>
      </c>
      <c r="P580" s="0" t="s">
        <v>2027</v>
      </c>
      <c r="Q580" s="3"/>
      <c r="S580" s="2" t="s">
        <v>29</v>
      </c>
    </row>
    <row r="581" customFormat="false" ht="15" hidden="false" customHeight="false" outlineLevel="0" collapsed="false">
      <c r="A581" s="0" t="n">
        <v>580</v>
      </c>
      <c r="D581" s="0" t="s">
        <v>2028</v>
      </c>
      <c r="E581" s="0" t="s">
        <v>20</v>
      </c>
      <c r="H581" s="0" t="s">
        <v>21</v>
      </c>
      <c r="I581" s="2" t="s">
        <v>22</v>
      </c>
      <c r="J581" s="2" t="s">
        <v>635</v>
      </c>
      <c r="K581" s="0" t="s">
        <v>636</v>
      </c>
      <c r="L581" s="0" t="s">
        <v>31</v>
      </c>
      <c r="M581" s="0" t="s">
        <v>637</v>
      </c>
      <c r="N581" s="0" t="s">
        <v>2029</v>
      </c>
      <c r="O581" s="0" t="n">
        <v>1</v>
      </c>
      <c r="P581" s="0" t="s">
        <v>2030</v>
      </c>
      <c r="Q581" s="3"/>
      <c r="S581" s="2" t="s">
        <v>29</v>
      </c>
    </row>
    <row r="582" customFormat="false" ht="15" hidden="false" customHeight="false" outlineLevel="0" collapsed="false">
      <c r="A582" s="0" t="n">
        <v>581</v>
      </c>
      <c r="D582" s="0" t="s">
        <v>2031</v>
      </c>
      <c r="E582" s="0" t="s">
        <v>20</v>
      </c>
      <c r="F582" s="0" t="s">
        <v>2032</v>
      </c>
      <c r="H582" s="0" t="s">
        <v>21</v>
      </c>
      <c r="I582" s="2" t="s">
        <v>22</v>
      </c>
      <c r="J582" s="2" t="s">
        <v>635</v>
      </c>
      <c r="K582" s="0" t="s">
        <v>636</v>
      </c>
      <c r="L582" s="0" t="s">
        <v>2033</v>
      </c>
      <c r="M582" s="0" t="s">
        <v>637</v>
      </c>
      <c r="N582" s="0" t="s">
        <v>2034</v>
      </c>
      <c r="O582" s="0" t="n">
        <v>1</v>
      </c>
      <c r="P582" s="0" t="s">
        <v>2035</v>
      </c>
      <c r="Q582" s="3" t="s">
        <v>2036</v>
      </c>
      <c r="R582" s="2" t="s">
        <v>2037</v>
      </c>
      <c r="S582" s="2" t="s">
        <v>45</v>
      </c>
    </row>
    <row r="583" customFormat="false" ht="15" hidden="false" customHeight="false" outlineLevel="0" collapsed="false">
      <c r="A583" s="0" t="n">
        <v>582</v>
      </c>
      <c r="D583" s="0" t="s">
        <v>2038</v>
      </c>
      <c r="E583" s="0" t="s">
        <v>20</v>
      </c>
      <c r="H583" s="0" t="s">
        <v>21</v>
      </c>
      <c r="I583" s="2" t="s">
        <v>22</v>
      </c>
      <c r="J583" s="2" t="s">
        <v>635</v>
      </c>
      <c r="K583" s="0" t="s">
        <v>636</v>
      </c>
      <c r="L583" s="0" t="s">
        <v>31</v>
      </c>
      <c r="M583" s="0" t="s">
        <v>637</v>
      </c>
      <c r="N583" s="0" t="s">
        <v>2039</v>
      </c>
      <c r="O583" s="0" t="n">
        <v>1</v>
      </c>
      <c r="P583" s="0" t="s">
        <v>2040</v>
      </c>
      <c r="Q583" s="3"/>
      <c r="S583" s="2" t="s">
        <v>29</v>
      </c>
    </row>
    <row r="584" customFormat="false" ht="15" hidden="false" customHeight="false" outlineLevel="0" collapsed="false">
      <c r="A584" s="0" t="n">
        <v>583</v>
      </c>
      <c r="D584" s="0" t="s">
        <v>2041</v>
      </c>
      <c r="E584" s="0" t="s">
        <v>20</v>
      </c>
      <c r="H584" s="0" t="s">
        <v>21</v>
      </c>
      <c r="I584" s="2" t="s">
        <v>22</v>
      </c>
      <c r="J584" s="2" t="s">
        <v>635</v>
      </c>
      <c r="K584" s="0" t="s">
        <v>636</v>
      </c>
      <c r="L584" s="0" t="s">
        <v>31</v>
      </c>
      <c r="M584" s="0" t="s">
        <v>637</v>
      </c>
      <c r="N584" s="0" t="s">
        <v>2042</v>
      </c>
      <c r="O584" s="0" t="n">
        <v>1</v>
      </c>
      <c r="P584" s="0" t="s">
        <v>2043</v>
      </c>
      <c r="Q584" s="3"/>
      <c r="S584" s="2" t="s">
        <v>29</v>
      </c>
    </row>
    <row r="585" customFormat="false" ht="15" hidden="false" customHeight="false" outlineLevel="0" collapsed="false">
      <c r="A585" s="0" t="n">
        <v>584</v>
      </c>
      <c r="D585" s="0" t="s">
        <v>2044</v>
      </c>
      <c r="E585" s="0" t="s">
        <v>20</v>
      </c>
      <c r="H585" s="0" t="s">
        <v>21</v>
      </c>
      <c r="I585" s="2" t="s">
        <v>22</v>
      </c>
      <c r="J585" s="2" t="s">
        <v>635</v>
      </c>
      <c r="K585" s="0" t="s">
        <v>636</v>
      </c>
      <c r="L585" s="0" t="s">
        <v>31</v>
      </c>
      <c r="M585" s="0" t="s">
        <v>637</v>
      </c>
      <c r="N585" s="0" t="s">
        <v>2045</v>
      </c>
      <c r="O585" s="0" t="n">
        <v>1</v>
      </c>
      <c r="P585" s="0" t="s">
        <v>2046</v>
      </c>
      <c r="Q585" s="3"/>
      <c r="S585" s="2" t="s">
        <v>29</v>
      </c>
    </row>
    <row r="586" customFormat="false" ht="15" hidden="false" customHeight="false" outlineLevel="0" collapsed="false">
      <c r="A586" s="0" t="n">
        <v>585</v>
      </c>
      <c r="D586" s="0" t="s">
        <v>2047</v>
      </c>
      <c r="E586" s="0" t="s">
        <v>20</v>
      </c>
      <c r="H586" s="0" t="s">
        <v>21</v>
      </c>
      <c r="I586" s="2" t="s">
        <v>22</v>
      </c>
      <c r="J586" s="2" t="s">
        <v>635</v>
      </c>
      <c r="K586" s="0" t="s">
        <v>636</v>
      </c>
      <c r="L586" s="0" t="s">
        <v>31</v>
      </c>
      <c r="M586" s="0" t="s">
        <v>637</v>
      </c>
      <c r="N586" s="0" t="s">
        <v>2048</v>
      </c>
      <c r="O586" s="0" t="n">
        <v>1</v>
      </c>
      <c r="P586" s="0" t="s">
        <v>2049</v>
      </c>
      <c r="Q586" s="3"/>
      <c r="S586" s="2" t="s">
        <v>29</v>
      </c>
    </row>
    <row r="587" customFormat="false" ht="15" hidden="false" customHeight="false" outlineLevel="0" collapsed="false">
      <c r="A587" s="0" t="n">
        <v>586</v>
      </c>
      <c r="D587" s="0" t="s">
        <v>2050</v>
      </c>
      <c r="E587" s="0" t="s">
        <v>20</v>
      </c>
      <c r="F587" s="0" t="s">
        <v>2051</v>
      </c>
      <c r="H587" s="0" t="s">
        <v>21</v>
      </c>
      <c r="I587" s="2" t="s">
        <v>22</v>
      </c>
      <c r="J587" s="2" t="s">
        <v>635</v>
      </c>
      <c r="K587" s="0" t="s">
        <v>636</v>
      </c>
      <c r="L587" s="0" t="s">
        <v>2052</v>
      </c>
      <c r="M587" s="0" t="s">
        <v>637</v>
      </c>
      <c r="N587" s="0" t="s">
        <v>2053</v>
      </c>
      <c r="O587" s="0" t="n">
        <v>1</v>
      </c>
      <c r="P587" s="0" t="s">
        <v>2054</v>
      </c>
      <c r="Q587" s="3" t="s">
        <v>2055</v>
      </c>
      <c r="R587" s="2" t="s">
        <v>2056</v>
      </c>
      <c r="S587" s="2" t="s">
        <v>45</v>
      </c>
    </row>
    <row r="588" customFormat="false" ht="15" hidden="false" customHeight="false" outlineLevel="0" collapsed="false">
      <c r="A588" s="0" t="n">
        <v>587</v>
      </c>
      <c r="D588" s="0" t="s">
        <v>2057</v>
      </c>
      <c r="E588" s="0" t="s">
        <v>20</v>
      </c>
      <c r="H588" s="0" t="s">
        <v>21</v>
      </c>
      <c r="I588" s="2" t="s">
        <v>22</v>
      </c>
      <c r="J588" s="2" t="s">
        <v>635</v>
      </c>
      <c r="K588" s="0" t="s">
        <v>636</v>
      </c>
      <c r="L588" s="0" t="s">
        <v>31</v>
      </c>
      <c r="M588" s="0" t="s">
        <v>637</v>
      </c>
      <c r="N588" s="0" t="s">
        <v>2058</v>
      </c>
      <c r="O588" s="0" t="n">
        <v>1</v>
      </c>
      <c r="P588" s="0" t="s">
        <v>2059</v>
      </c>
      <c r="Q588" s="3"/>
      <c r="S588" s="2" t="s">
        <v>29</v>
      </c>
    </row>
    <row r="589" customFormat="false" ht="15" hidden="false" customHeight="false" outlineLevel="0" collapsed="false">
      <c r="A589" s="0" t="n">
        <v>588</v>
      </c>
      <c r="D589" s="0" t="s">
        <v>2060</v>
      </c>
      <c r="E589" s="0" t="s">
        <v>20</v>
      </c>
      <c r="H589" s="0" t="s">
        <v>21</v>
      </c>
      <c r="I589" s="2" t="s">
        <v>22</v>
      </c>
      <c r="J589" s="2" t="s">
        <v>635</v>
      </c>
      <c r="K589" s="0" t="s">
        <v>636</v>
      </c>
      <c r="L589" s="0" t="s">
        <v>31</v>
      </c>
      <c r="M589" s="0" t="s">
        <v>637</v>
      </c>
      <c r="N589" s="0" t="s">
        <v>2061</v>
      </c>
      <c r="O589" s="0" t="n">
        <v>1</v>
      </c>
      <c r="P589" s="0" t="s">
        <v>2062</v>
      </c>
      <c r="Q589" s="3"/>
      <c r="S589" s="2" t="s">
        <v>29</v>
      </c>
    </row>
    <row r="590" customFormat="false" ht="15" hidden="false" customHeight="false" outlineLevel="0" collapsed="false">
      <c r="A590" s="0" t="n">
        <v>589</v>
      </c>
      <c r="D590" s="0" t="s">
        <v>2063</v>
      </c>
      <c r="E590" s="0" t="s">
        <v>20</v>
      </c>
      <c r="H590" s="0" t="s">
        <v>21</v>
      </c>
      <c r="I590" s="2" t="s">
        <v>22</v>
      </c>
      <c r="J590" s="2" t="s">
        <v>635</v>
      </c>
      <c r="K590" s="0" t="s">
        <v>636</v>
      </c>
      <c r="L590" s="0" t="s">
        <v>31</v>
      </c>
      <c r="M590" s="0" t="s">
        <v>637</v>
      </c>
      <c r="N590" s="0" t="s">
        <v>2064</v>
      </c>
      <c r="O590" s="0" t="n">
        <v>1</v>
      </c>
      <c r="P590" s="0" t="s">
        <v>2065</v>
      </c>
      <c r="Q590" s="3"/>
      <c r="S590" s="2" t="s">
        <v>29</v>
      </c>
    </row>
    <row r="591" customFormat="false" ht="15" hidden="false" customHeight="false" outlineLevel="0" collapsed="false">
      <c r="A591" s="0" t="n">
        <v>590</v>
      </c>
      <c r="D591" s="0" t="s">
        <v>2066</v>
      </c>
      <c r="E591" s="0" t="s">
        <v>20</v>
      </c>
      <c r="H591" s="0" t="s">
        <v>21</v>
      </c>
      <c r="I591" s="2" t="s">
        <v>22</v>
      </c>
      <c r="J591" s="2" t="s">
        <v>635</v>
      </c>
      <c r="K591" s="0" t="s">
        <v>636</v>
      </c>
      <c r="L591" s="0" t="s">
        <v>31</v>
      </c>
      <c r="M591" s="0" t="s">
        <v>637</v>
      </c>
      <c r="N591" s="0" t="s">
        <v>2067</v>
      </c>
      <c r="O591" s="0" t="n">
        <v>1</v>
      </c>
      <c r="P591" s="0" t="s">
        <v>2068</v>
      </c>
      <c r="Q591" s="3"/>
      <c r="S591" s="2" t="s">
        <v>29</v>
      </c>
    </row>
    <row r="592" customFormat="false" ht="15" hidden="false" customHeight="false" outlineLevel="0" collapsed="false">
      <c r="A592" s="0" t="n">
        <v>591</v>
      </c>
      <c r="D592" s="0" t="s">
        <v>2069</v>
      </c>
      <c r="E592" s="0" t="s">
        <v>20</v>
      </c>
      <c r="H592" s="0" t="s">
        <v>21</v>
      </c>
      <c r="I592" s="2" t="s">
        <v>22</v>
      </c>
      <c r="J592" s="2" t="s">
        <v>635</v>
      </c>
      <c r="K592" s="0" t="s">
        <v>636</v>
      </c>
      <c r="L592" s="0" t="s">
        <v>31</v>
      </c>
      <c r="M592" s="0" t="s">
        <v>637</v>
      </c>
      <c r="N592" s="0" t="s">
        <v>2070</v>
      </c>
      <c r="O592" s="0" t="n">
        <v>1</v>
      </c>
      <c r="P592" s="0" t="s">
        <v>2071</v>
      </c>
      <c r="Q592" s="3"/>
      <c r="S592" s="2" t="s">
        <v>29</v>
      </c>
    </row>
    <row r="593" customFormat="false" ht="15" hidden="false" customHeight="false" outlineLevel="0" collapsed="false">
      <c r="A593" s="0" t="n">
        <v>592</v>
      </c>
      <c r="D593" s="0" t="s">
        <v>2072</v>
      </c>
      <c r="E593" s="0" t="s">
        <v>99</v>
      </c>
      <c r="H593" s="0" t="s">
        <v>21</v>
      </c>
      <c r="I593" s="2" t="s">
        <v>22</v>
      </c>
      <c r="J593" s="2" t="s">
        <v>635</v>
      </c>
      <c r="K593" s="0" t="s">
        <v>636</v>
      </c>
      <c r="L593" s="0" t="s">
        <v>100</v>
      </c>
      <c r="M593" s="0" t="s">
        <v>637</v>
      </c>
      <c r="N593" s="0" t="s">
        <v>2073</v>
      </c>
      <c r="O593" s="0" t="n">
        <v>1</v>
      </c>
      <c r="P593" s="0" t="s">
        <v>2074</v>
      </c>
      <c r="Q593" s="3"/>
      <c r="S593" s="2" t="s">
        <v>29</v>
      </c>
    </row>
    <row r="594" customFormat="false" ht="15" hidden="false" customHeight="false" outlineLevel="0" collapsed="false">
      <c r="A594" s="0" t="n">
        <v>593</v>
      </c>
      <c r="D594" s="0" t="s">
        <v>2075</v>
      </c>
      <c r="E594" s="0" t="s">
        <v>20</v>
      </c>
      <c r="H594" s="0" t="s">
        <v>21</v>
      </c>
      <c r="I594" s="2" t="s">
        <v>22</v>
      </c>
      <c r="J594" s="2" t="s">
        <v>635</v>
      </c>
      <c r="K594" s="0" t="s">
        <v>636</v>
      </c>
      <c r="L594" s="0" t="s">
        <v>31</v>
      </c>
      <c r="M594" s="0" t="s">
        <v>637</v>
      </c>
      <c r="N594" s="0" t="s">
        <v>2076</v>
      </c>
      <c r="O594" s="0" t="n">
        <v>1</v>
      </c>
      <c r="P594" s="0" t="s">
        <v>2077</v>
      </c>
      <c r="Q594" s="3"/>
      <c r="S594" s="2" t="s">
        <v>29</v>
      </c>
    </row>
    <row r="595" customFormat="false" ht="15" hidden="false" customHeight="false" outlineLevel="0" collapsed="false">
      <c r="A595" s="0" t="n">
        <v>594</v>
      </c>
      <c r="D595" s="0" t="s">
        <v>2078</v>
      </c>
      <c r="E595" s="0" t="s">
        <v>20</v>
      </c>
      <c r="H595" s="0" t="s">
        <v>21</v>
      </c>
      <c r="I595" s="2" t="s">
        <v>22</v>
      </c>
      <c r="J595" s="2" t="s">
        <v>635</v>
      </c>
      <c r="K595" s="0" t="s">
        <v>636</v>
      </c>
      <c r="L595" s="0" t="s">
        <v>31</v>
      </c>
      <c r="M595" s="0" t="s">
        <v>637</v>
      </c>
      <c r="N595" s="0" t="s">
        <v>2079</v>
      </c>
      <c r="O595" s="0" t="n">
        <v>1</v>
      </c>
      <c r="P595" s="0" t="s">
        <v>2080</v>
      </c>
      <c r="Q595" s="3"/>
      <c r="S595" s="2" t="s">
        <v>29</v>
      </c>
    </row>
    <row r="596" customFormat="false" ht="15" hidden="false" customHeight="false" outlineLevel="0" collapsed="false">
      <c r="A596" s="0" t="n">
        <v>595</v>
      </c>
      <c r="D596" s="0" t="s">
        <v>2081</v>
      </c>
      <c r="E596" s="0" t="s">
        <v>99</v>
      </c>
      <c r="H596" s="0" t="s">
        <v>21</v>
      </c>
      <c r="I596" s="2" t="s">
        <v>22</v>
      </c>
      <c r="J596" s="2" t="s">
        <v>635</v>
      </c>
      <c r="K596" s="0" t="s">
        <v>636</v>
      </c>
      <c r="L596" s="0" t="s">
        <v>100</v>
      </c>
      <c r="M596" s="0" t="s">
        <v>637</v>
      </c>
      <c r="N596" s="0" t="s">
        <v>2082</v>
      </c>
      <c r="O596" s="0" t="n">
        <v>1</v>
      </c>
      <c r="P596" s="0" t="s">
        <v>2083</v>
      </c>
      <c r="Q596" s="3"/>
      <c r="S596" s="2" t="s">
        <v>29</v>
      </c>
    </row>
    <row r="597" customFormat="false" ht="15" hidden="false" customHeight="false" outlineLevel="0" collapsed="false">
      <c r="A597" s="0" t="n">
        <v>596</v>
      </c>
      <c r="D597" s="0" t="s">
        <v>2084</v>
      </c>
      <c r="E597" s="0" t="s">
        <v>20</v>
      </c>
      <c r="H597" s="0" t="s">
        <v>21</v>
      </c>
      <c r="I597" s="2" t="s">
        <v>22</v>
      </c>
      <c r="J597" s="2" t="s">
        <v>635</v>
      </c>
      <c r="K597" s="0" t="s">
        <v>636</v>
      </c>
      <c r="L597" s="0" t="s">
        <v>31</v>
      </c>
      <c r="M597" s="0" t="s">
        <v>637</v>
      </c>
      <c r="N597" s="0" t="s">
        <v>2085</v>
      </c>
      <c r="O597" s="0" t="n">
        <v>1</v>
      </c>
      <c r="P597" s="0" t="s">
        <v>2086</v>
      </c>
      <c r="Q597" s="3"/>
      <c r="S597" s="2" t="s">
        <v>29</v>
      </c>
    </row>
    <row r="598" customFormat="false" ht="15" hidden="false" customHeight="false" outlineLevel="0" collapsed="false">
      <c r="A598" s="0" t="n">
        <v>597</v>
      </c>
      <c r="D598" s="0" t="s">
        <v>2087</v>
      </c>
      <c r="E598" s="0" t="s">
        <v>267</v>
      </c>
      <c r="H598" s="0" t="s">
        <v>21</v>
      </c>
      <c r="I598" s="2" t="s">
        <v>22</v>
      </c>
      <c r="J598" s="2" t="s">
        <v>635</v>
      </c>
      <c r="K598" s="0" t="s">
        <v>636</v>
      </c>
      <c r="L598" s="0" t="s">
        <v>31</v>
      </c>
      <c r="M598" s="0" t="s">
        <v>637</v>
      </c>
      <c r="N598" s="0" t="s">
        <v>2088</v>
      </c>
      <c r="O598" s="0" t="n">
        <v>1</v>
      </c>
      <c r="P598" s="0" t="s">
        <v>2089</v>
      </c>
      <c r="Q598" s="3"/>
      <c r="S598" s="2" t="s">
        <v>29</v>
      </c>
    </row>
    <row r="599" customFormat="false" ht="15" hidden="false" customHeight="false" outlineLevel="0" collapsed="false">
      <c r="A599" s="0" t="n">
        <v>598</v>
      </c>
      <c r="D599" s="0" t="s">
        <v>2090</v>
      </c>
      <c r="E599" s="0" t="s">
        <v>20</v>
      </c>
      <c r="H599" s="0" t="s">
        <v>21</v>
      </c>
      <c r="I599" s="2" t="s">
        <v>22</v>
      </c>
      <c r="J599" s="2" t="s">
        <v>635</v>
      </c>
      <c r="K599" s="0" t="s">
        <v>636</v>
      </c>
      <c r="L599" s="0" t="s">
        <v>31</v>
      </c>
      <c r="M599" s="0" t="s">
        <v>637</v>
      </c>
      <c r="N599" s="0" t="s">
        <v>2091</v>
      </c>
      <c r="O599" s="0" t="n">
        <v>1</v>
      </c>
      <c r="P599" s="0" t="s">
        <v>2092</v>
      </c>
      <c r="Q599" s="3"/>
      <c r="S599" s="2" t="s">
        <v>29</v>
      </c>
    </row>
    <row r="600" customFormat="false" ht="15" hidden="false" customHeight="false" outlineLevel="0" collapsed="false">
      <c r="A600" s="0" t="n">
        <v>599</v>
      </c>
      <c r="D600" s="0" t="s">
        <v>2093</v>
      </c>
      <c r="E600" s="0" t="s">
        <v>492</v>
      </c>
      <c r="H600" s="0" t="s">
        <v>21</v>
      </c>
      <c r="I600" s="2" t="s">
        <v>22</v>
      </c>
      <c r="J600" s="2" t="s">
        <v>635</v>
      </c>
      <c r="K600" s="0" t="s">
        <v>636</v>
      </c>
      <c r="L600" s="0" t="s">
        <v>31</v>
      </c>
      <c r="M600" s="0" t="s">
        <v>637</v>
      </c>
      <c r="N600" s="0" t="s">
        <v>2094</v>
      </c>
      <c r="O600" s="0" t="n">
        <v>1</v>
      </c>
      <c r="P600" s="0" t="s">
        <v>2095</v>
      </c>
      <c r="Q600" s="3"/>
      <c r="S600" s="2" t="s">
        <v>29</v>
      </c>
    </row>
    <row r="601" customFormat="false" ht="15" hidden="false" customHeight="false" outlineLevel="0" collapsed="false">
      <c r="A601" s="0" t="n">
        <v>600</v>
      </c>
      <c r="D601" s="0" t="s">
        <v>2096</v>
      </c>
      <c r="E601" s="0" t="s">
        <v>20</v>
      </c>
      <c r="H601" s="0" t="s">
        <v>21</v>
      </c>
      <c r="I601" s="2" t="s">
        <v>22</v>
      </c>
      <c r="J601" s="2" t="s">
        <v>635</v>
      </c>
      <c r="K601" s="0" t="s">
        <v>636</v>
      </c>
      <c r="L601" s="0" t="s">
        <v>31</v>
      </c>
      <c r="M601" s="0" t="s">
        <v>637</v>
      </c>
      <c r="N601" s="0" t="s">
        <v>2097</v>
      </c>
      <c r="O601" s="0" t="n">
        <v>1</v>
      </c>
      <c r="P601" s="0" t="s">
        <v>2098</v>
      </c>
      <c r="Q601" s="3"/>
      <c r="S601" s="2" t="s">
        <v>29</v>
      </c>
    </row>
    <row r="602" customFormat="false" ht="15" hidden="false" customHeight="false" outlineLevel="0" collapsed="false">
      <c r="A602" s="0" t="n">
        <v>601</v>
      </c>
      <c r="D602" s="0" t="s">
        <v>2099</v>
      </c>
      <c r="E602" s="0" t="s">
        <v>20</v>
      </c>
      <c r="H602" s="0" t="s">
        <v>21</v>
      </c>
      <c r="I602" s="2" t="s">
        <v>22</v>
      </c>
      <c r="J602" s="2" t="s">
        <v>635</v>
      </c>
      <c r="K602" s="0" t="s">
        <v>636</v>
      </c>
      <c r="L602" s="0" t="s">
        <v>31</v>
      </c>
      <c r="M602" s="0" t="s">
        <v>637</v>
      </c>
      <c r="N602" s="0" t="s">
        <v>2100</v>
      </c>
      <c r="O602" s="0" t="n">
        <v>1</v>
      </c>
      <c r="P602" s="0" t="s">
        <v>2101</v>
      </c>
      <c r="Q602" s="3"/>
      <c r="S602" s="2" t="s">
        <v>29</v>
      </c>
    </row>
    <row r="603" customFormat="false" ht="15" hidden="false" customHeight="false" outlineLevel="0" collapsed="false">
      <c r="A603" s="0" t="n">
        <v>602</v>
      </c>
      <c r="D603" s="0" t="s">
        <v>2102</v>
      </c>
      <c r="E603" s="0" t="s">
        <v>20</v>
      </c>
      <c r="H603" s="0" t="s">
        <v>21</v>
      </c>
      <c r="I603" s="2" t="s">
        <v>22</v>
      </c>
      <c r="J603" s="2" t="s">
        <v>635</v>
      </c>
      <c r="K603" s="0" t="s">
        <v>636</v>
      </c>
      <c r="L603" s="0" t="s">
        <v>31</v>
      </c>
      <c r="M603" s="0" t="s">
        <v>637</v>
      </c>
      <c r="N603" s="0" t="s">
        <v>2103</v>
      </c>
      <c r="O603" s="0" t="n">
        <v>1</v>
      </c>
      <c r="P603" s="0" t="s">
        <v>2104</v>
      </c>
      <c r="Q603" s="3"/>
      <c r="S603" s="2" t="s">
        <v>29</v>
      </c>
    </row>
    <row r="604" customFormat="false" ht="15" hidden="false" customHeight="false" outlineLevel="0" collapsed="false">
      <c r="A604" s="0" t="n">
        <v>603</v>
      </c>
      <c r="D604" s="0" t="s">
        <v>2105</v>
      </c>
      <c r="E604" s="0" t="s">
        <v>20</v>
      </c>
      <c r="H604" s="0" t="s">
        <v>21</v>
      </c>
      <c r="I604" s="2" t="s">
        <v>22</v>
      </c>
      <c r="J604" s="2" t="s">
        <v>635</v>
      </c>
      <c r="K604" s="0" t="s">
        <v>636</v>
      </c>
      <c r="L604" s="0" t="s">
        <v>31</v>
      </c>
      <c r="M604" s="0" t="s">
        <v>637</v>
      </c>
      <c r="N604" s="0" t="s">
        <v>2106</v>
      </c>
      <c r="O604" s="0" t="n">
        <v>1</v>
      </c>
      <c r="P604" s="0" t="s">
        <v>2107</v>
      </c>
      <c r="Q604" s="3"/>
      <c r="S604" s="2" t="s">
        <v>29</v>
      </c>
    </row>
    <row r="605" customFormat="false" ht="15" hidden="false" customHeight="false" outlineLevel="0" collapsed="false">
      <c r="A605" s="0" t="n">
        <v>604</v>
      </c>
      <c r="D605" s="0" t="s">
        <v>2108</v>
      </c>
      <c r="E605" s="0" t="s">
        <v>20</v>
      </c>
      <c r="H605" s="0" t="s">
        <v>21</v>
      </c>
      <c r="I605" s="2" t="s">
        <v>22</v>
      </c>
      <c r="J605" s="2" t="s">
        <v>635</v>
      </c>
      <c r="K605" s="0" t="s">
        <v>636</v>
      </c>
      <c r="L605" s="0" t="s">
        <v>31</v>
      </c>
      <c r="M605" s="0" t="s">
        <v>637</v>
      </c>
      <c r="N605" s="0" t="s">
        <v>2109</v>
      </c>
      <c r="O605" s="0" t="n">
        <v>1</v>
      </c>
      <c r="P605" s="0" t="s">
        <v>2110</v>
      </c>
      <c r="Q605" s="3"/>
      <c r="S605" s="2" t="s">
        <v>29</v>
      </c>
    </row>
    <row r="606" customFormat="false" ht="15" hidden="false" customHeight="false" outlineLevel="0" collapsed="false">
      <c r="A606" s="0" t="n">
        <v>605</v>
      </c>
      <c r="D606" s="0" t="s">
        <v>2111</v>
      </c>
      <c r="E606" s="0" t="s">
        <v>20</v>
      </c>
      <c r="H606" s="0" t="s">
        <v>21</v>
      </c>
      <c r="I606" s="2" t="s">
        <v>22</v>
      </c>
      <c r="J606" s="2" t="s">
        <v>635</v>
      </c>
      <c r="K606" s="0" t="s">
        <v>636</v>
      </c>
      <c r="L606" s="0" t="s">
        <v>2112</v>
      </c>
      <c r="M606" s="0" t="s">
        <v>637</v>
      </c>
      <c r="N606" s="0" t="s">
        <v>2113</v>
      </c>
      <c r="O606" s="0" t="n">
        <v>1</v>
      </c>
      <c r="P606" s="0" t="s">
        <v>2114</v>
      </c>
      <c r="Q606" s="3" t="s">
        <v>2115</v>
      </c>
      <c r="R606" s="2" t="s">
        <v>2116</v>
      </c>
      <c r="S606" s="2" t="s">
        <v>45</v>
      </c>
    </row>
    <row r="607" customFormat="false" ht="15" hidden="false" customHeight="false" outlineLevel="0" collapsed="false">
      <c r="A607" s="0" t="n">
        <v>606</v>
      </c>
      <c r="D607" s="0" t="s">
        <v>2117</v>
      </c>
      <c r="E607" s="0" t="s">
        <v>20</v>
      </c>
      <c r="H607" s="0" t="s">
        <v>21</v>
      </c>
      <c r="I607" s="2" t="s">
        <v>22</v>
      </c>
      <c r="J607" s="2" t="s">
        <v>635</v>
      </c>
      <c r="K607" s="0" t="s">
        <v>636</v>
      </c>
      <c r="L607" s="0" t="s">
        <v>31</v>
      </c>
      <c r="M607" s="0" t="s">
        <v>637</v>
      </c>
      <c r="N607" s="0" t="s">
        <v>2118</v>
      </c>
      <c r="O607" s="0" t="n">
        <v>1</v>
      </c>
      <c r="P607" s="0" t="s">
        <v>2119</v>
      </c>
      <c r="Q607" s="3"/>
      <c r="S607" s="2" t="s">
        <v>29</v>
      </c>
    </row>
    <row r="608" customFormat="false" ht="15" hidden="false" customHeight="false" outlineLevel="0" collapsed="false">
      <c r="A608" s="0" t="n">
        <v>607</v>
      </c>
      <c r="D608" s="0" t="s">
        <v>2120</v>
      </c>
      <c r="E608" s="0" t="s">
        <v>20</v>
      </c>
      <c r="H608" s="0" t="s">
        <v>21</v>
      </c>
      <c r="I608" s="2" t="s">
        <v>22</v>
      </c>
      <c r="J608" s="2" t="s">
        <v>635</v>
      </c>
      <c r="K608" s="0" t="s">
        <v>636</v>
      </c>
      <c r="L608" s="0" t="s">
        <v>31</v>
      </c>
      <c r="M608" s="0" t="s">
        <v>637</v>
      </c>
      <c r="N608" s="0" t="s">
        <v>2121</v>
      </c>
      <c r="O608" s="0" t="n">
        <v>1</v>
      </c>
      <c r="P608" s="0" t="s">
        <v>2122</v>
      </c>
      <c r="Q608" s="3"/>
      <c r="S608" s="2" t="s">
        <v>29</v>
      </c>
    </row>
    <row r="609" customFormat="false" ht="15" hidden="false" customHeight="false" outlineLevel="0" collapsed="false">
      <c r="A609" s="0" t="n">
        <v>608</v>
      </c>
      <c r="D609" s="0" t="s">
        <v>2123</v>
      </c>
      <c r="E609" s="0" t="s">
        <v>20</v>
      </c>
      <c r="H609" s="0" t="s">
        <v>21</v>
      </c>
      <c r="I609" s="2" t="s">
        <v>22</v>
      </c>
      <c r="J609" s="2" t="s">
        <v>635</v>
      </c>
      <c r="K609" s="0" t="s">
        <v>636</v>
      </c>
      <c r="L609" s="0" t="s">
        <v>31</v>
      </c>
      <c r="M609" s="0" t="s">
        <v>637</v>
      </c>
      <c r="N609" s="0" t="s">
        <v>2124</v>
      </c>
      <c r="O609" s="0" t="n">
        <v>1</v>
      </c>
      <c r="P609" s="0" t="s">
        <v>2125</v>
      </c>
      <c r="Q609" s="3"/>
      <c r="S609" s="2" t="s">
        <v>29</v>
      </c>
    </row>
    <row r="610" customFormat="false" ht="15" hidden="false" customHeight="false" outlineLevel="0" collapsed="false">
      <c r="A610" s="0" t="n">
        <v>609</v>
      </c>
      <c r="D610" s="0" t="s">
        <v>2126</v>
      </c>
      <c r="E610" s="0" t="s">
        <v>20</v>
      </c>
      <c r="H610" s="0" t="s">
        <v>21</v>
      </c>
      <c r="I610" s="2" t="s">
        <v>22</v>
      </c>
      <c r="J610" s="2" t="s">
        <v>635</v>
      </c>
      <c r="K610" s="0" t="s">
        <v>636</v>
      </c>
      <c r="L610" s="0" t="s">
        <v>31</v>
      </c>
      <c r="M610" s="0" t="s">
        <v>637</v>
      </c>
      <c r="N610" s="0" t="s">
        <v>2127</v>
      </c>
      <c r="O610" s="0" t="n">
        <v>1</v>
      </c>
      <c r="P610" s="0" t="s">
        <v>2128</v>
      </c>
      <c r="Q610" s="3"/>
      <c r="S610" s="2" t="s">
        <v>29</v>
      </c>
    </row>
    <row r="611" customFormat="false" ht="15" hidden="false" customHeight="false" outlineLevel="0" collapsed="false">
      <c r="A611" s="0" t="n">
        <v>610</v>
      </c>
      <c r="D611" s="0" t="s">
        <v>2129</v>
      </c>
      <c r="E611" s="0" t="s">
        <v>99</v>
      </c>
      <c r="H611" s="0" t="s">
        <v>21</v>
      </c>
      <c r="I611" s="2" t="s">
        <v>22</v>
      </c>
      <c r="J611" s="2" t="s">
        <v>635</v>
      </c>
      <c r="K611" s="0" t="s">
        <v>636</v>
      </c>
      <c r="L611" s="0" t="s">
        <v>100</v>
      </c>
      <c r="M611" s="0" t="s">
        <v>637</v>
      </c>
      <c r="N611" s="0" t="s">
        <v>2130</v>
      </c>
      <c r="O611" s="0" t="n">
        <v>1</v>
      </c>
      <c r="P611" s="0" t="s">
        <v>2131</v>
      </c>
      <c r="Q611" s="3"/>
      <c r="S611" s="2" t="s">
        <v>29</v>
      </c>
    </row>
    <row r="612" customFormat="false" ht="15" hidden="false" customHeight="false" outlineLevel="0" collapsed="false">
      <c r="A612" s="0" t="n">
        <v>611</v>
      </c>
      <c r="D612" s="0" t="s">
        <v>2132</v>
      </c>
      <c r="E612" s="0" t="s">
        <v>492</v>
      </c>
      <c r="H612" s="0" t="s">
        <v>21</v>
      </c>
      <c r="I612" s="2" t="s">
        <v>22</v>
      </c>
      <c r="J612" s="2" t="s">
        <v>635</v>
      </c>
      <c r="K612" s="0" t="s">
        <v>636</v>
      </c>
      <c r="L612" s="0" t="s">
        <v>31</v>
      </c>
      <c r="M612" s="0" t="s">
        <v>637</v>
      </c>
      <c r="N612" s="0" t="s">
        <v>2133</v>
      </c>
      <c r="O612" s="0" t="n">
        <v>1</v>
      </c>
      <c r="P612" s="0" t="s">
        <v>2134</v>
      </c>
      <c r="Q612" s="3"/>
      <c r="S612" s="2" t="s">
        <v>29</v>
      </c>
    </row>
    <row r="613" customFormat="false" ht="15" hidden="false" customHeight="false" outlineLevel="0" collapsed="false">
      <c r="A613" s="0" t="n">
        <v>612</v>
      </c>
      <c r="D613" s="0" t="s">
        <v>2135</v>
      </c>
      <c r="E613" s="0" t="s">
        <v>492</v>
      </c>
      <c r="H613" s="0" t="s">
        <v>21</v>
      </c>
      <c r="I613" s="2" t="s">
        <v>22</v>
      </c>
      <c r="J613" s="2" t="s">
        <v>635</v>
      </c>
      <c r="K613" s="0" t="s">
        <v>636</v>
      </c>
      <c r="L613" s="0" t="s">
        <v>31</v>
      </c>
      <c r="M613" s="0" t="s">
        <v>637</v>
      </c>
      <c r="N613" s="0" t="s">
        <v>2136</v>
      </c>
      <c r="O613" s="0" t="n">
        <v>1</v>
      </c>
      <c r="P613" s="0" t="s">
        <v>2137</v>
      </c>
      <c r="Q613" s="3"/>
      <c r="S613" s="2" t="s">
        <v>29</v>
      </c>
    </row>
    <row r="614" customFormat="false" ht="15" hidden="false" customHeight="false" outlineLevel="0" collapsed="false">
      <c r="A614" s="0" t="n">
        <v>613</v>
      </c>
      <c r="D614" s="0" t="s">
        <v>2138</v>
      </c>
      <c r="E614" s="0" t="s">
        <v>492</v>
      </c>
      <c r="H614" s="0" t="s">
        <v>21</v>
      </c>
      <c r="I614" s="2" t="s">
        <v>22</v>
      </c>
      <c r="J614" s="2" t="s">
        <v>635</v>
      </c>
      <c r="K614" s="0" t="s">
        <v>636</v>
      </c>
      <c r="L614" s="0" t="s">
        <v>31</v>
      </c>
      <c r="M614" s="0" t="s">
        <v>637</v>
      </c>
      <c r="N614" s="0" t="s">
        <v>2139</v>
      </c>
      <c r="O614" s="0" t="n">
        <v>1</v>
      </c>
      <c r="P614" s="0" t="s">
        <v>2140</v>
      </c>
      <c r="Q614" s="3"/>
      <c r="S614" s="2" t="s">
        <v>29</v>
      </c>
    </row>
    <row r="615" customFormat="false" ht="15" hidden="false" customHeight="false" outlineLevel="0" collapsed="false">
      <c r="A615" s="0" t="n">
        <v>614</v>
      </c>
      <c r="D615" s="0" t="s">
        <v>2141</v>
      </c>
      <c r="E615" s="0" t="s">
        <v>492</v>
      </c>
      <c r="H615" s="0" t="s">
        <v>21</v>
      </c>
      <c r="I615" s="2" t="s">
        <v>22</v>
      </c>
      <c r="J615" s="2" t="s">
        <v>635</v>
      </c>
      <c r="K615" s="0" t="s">
        <v>636</v>
      </c>
      <c r="L615" s="0" t="s">
        <v>31</v>
      </c>
      <c r="M615" s="0" t="s">
        <v>637</v>
      </c>
      <c r="N615" s="0" t="s">
        <v>2142</v>
      </c>
      <c r="O615" s="0" t="n">
        <v>1</v>
      </c>
      <c r="P615" s="0" t="s">
        <v>2143</v>
      </c>
      <c r="Q615" s="3"/>
      <c r="S615" s="2" t="s">
        <v>29</v>
      </c>
    </row>
    <row r="616" customFormat="false" ht="15" hidden="false" customHeight="false" outlineLevel="0" collapsed="false">
      <c r="A616" s="0" t="n">
        <v>615</v>
      </c>
      <c r="D616" s="0" t="s">
        <v>2144</v>
      </c>
      <c r="E616" s="0" t="s">
        <v>492</v>
      </c>
      <c r="H616" s="0" t="s">
        <v>21</v>
      </c>
      <c r="I616" s="2" t="s">
        <v>22</v>
      </c>
      <c r="J616" s="2" t="s">
        <v>635</v>
      </c>
      <c r="K616" s="0" t="s">
        <v>636</v>
      </c>
      <c r="L616" s="0" t="s">
        <v>31</v>
      </c>
      <c r="M616" s="0" t="s">
        <v>637</v>
      </c>
      <c r="N616" s="0" t="s">
        <v>2145</v>
      </c>
      <c r="O616" s="0" t="n">
        <v>1</v>
      </c>
      <c r="P616" s="0" t="s">
        <v>2146</v>
      </c>
      <c r="Q616" s="3"/>
      <c r="S616" s="2" t="s">
        <v>29</v>
      </c>
    </row>
    <row r="617" customFormat="false" ht="15" hidden="false" customHeight="false" outlineLevel="0" collapsed="false">
      <c r="A617" s="0" t="n">
        <v>616</v>
      </c>
      <c r="D617" s="0" t="s">
        <v>2147</v>
      </c>
      <c r="E617" s="0" t="s">
        <v>492</v>
      </c>
      <c r="H617" s="0" t="s">
        <v>21</v>
      </c>
      <c r="I617" s="2" t="s">
        <v>22</v>
      </c>
      <c r="J617" s="2" t="s">
        <v>635</v>
      </c>
      <c r="K617" s="0" t="s">
        <v>636</v>
      </c>
      <c r="L617" s="0" t="s">
        <v>31</v>
      </c>
      <c r="M617" s="0" t="s">
        <v>637</v>
      </c>
      <c r="N617" s="0" t="s">
        <v>2148</v>
      </c>
      <c r="O617" s="0" t="n">
        <v>1</v>
      </c>
      <c r="P617" s="0" t="s">
        <v>2149</v>
      </c>
      <c r="Q617" s="3"/>
      <c r="S617" s="2" t="s">
        <v>29</v>
      </c>
    </row>
    <row r="618" customFormat="false" ht="15" hidden="false" customHeight="false" outlineLevel="0" collapsed="false">
      <c r="A618" s="0" t="n">
        <v>617</v>
      </c>
      <c r="D618" s="0" t="s">
        <v>2150</v>
      </c>
      <c r="E618" s="0" t="s">
        <v>492</v>
      </c>
      <c r="H618" s="0" t="s">
        <v>21</v>
      </c>
      <c r="I618" s="2" t="s">
        <v>22</v>
      </c>
      <c r="J618" s="2" t="s">
        <v>635</v>
      </c>
      <c r="K618" s="0" t="s">
        <v>636</v>
      </c>
      <c r="L618" s="0" t="s">
        <v>31</v>
      </c>
      <c r="M618" s="0" t="s">
        <v>637</v>
      </c>
      <c r="N618" s="0" t="s">
        <v>2151</v>
      </c>
      <c r="O618" s="0" t="n">
        <v>1</v>
      </c>
      <c r="P618" s="0" t="s">
        <v>2152</v>
      </c>
      <c r="Q618" s="3"/>
      <c r="S618" s="2" t="s">
        <v>29</v>
      </c>
    </row>
    <row r="619" customFormat="false" ht="15" hidden="false" customHeight="false" outlineLevel="0" collapsed="false">
      <c r="A619" s="0" t="n">
        <v>618</v>
      </c>
      <c r="D619" s="0" t="s">
        <v>2153</v>
      </c>
      <c r="E619" s="0" t="s">
        <v>492</v>
      </c>
      <c r="H619" s="0" t="s">
        <v>21</v>
      </c>
      <c r="I619" s="2" t="s">
        <v>22</v>
      </c>
      <c r="J619" s="2" t="s">
        <v>635</v>
      </c>
      <c r="K619" s="0" t="s">
        <v>636</v>
      </c>
      <c r="L619" s="0" t="s">
        <v>31</v>
      </c>
      <c r="M619" s="0" t="s">
        <v>637</v>
      </c>
      <c r="N619" s="0" t="s">
        <v>2154</v>
      </c>
      <c r="O619" s="0" t="n">
        <v>1</v>
      </c>
      <c r="P619" s="0" t="s">
        <v>2155</v>
      </c>
      <c r="Q619" s="3"/>
      <c r="S619" s="2" t="s">
        <v>29</v>
      </c>
    </row>
    <row r="620" customFormat="false" ht="15" hidden="false" customHeight="false" outlineLevel="0" collapsed="false">
      <c r="A620" s="0" t="n">
        <v>619</v>
      </c>
      <c r="D620" s="0" t="s">
        <v>2156</v>
      </c>
      <c r="E620" s="0" t="s">
        <v>492</v>
      </c>
      <c r="H620" s="0" t="s">
        <v>21</v>
      </c>
      <c r="I620" s="2" t="s">
        <v>22</v>
      </c>
      <c r="J620" s="2" t="s">
        <v>635</v>
      </c>
      <c r="K620" s="0" t="s">
        <v>636</v>
      </c>
      <c r="L620" s="0" t="s">
        <v>31</v>
      </c>
      <c r="M620" s="0" t="s">
        <v>637</v>
      </c>
      <c r="N620" s="0" t="s">
        <v>2157</v>
      </c>
      <c r="O620" s="0" t="n">
        <v>1</v>
      </c>
      <c r="P620" s="0" t="s">
        <v>2158</v>
      </c>
      <c r="Q620" s="3"/>
      <c r="S620" s="2" t="s">
        <v>29</v>
      </c>
    </row>
    <row r="621" customFormat="false" ht="15" hidden="false" customHeight="false" outlineLevel="0" collapsed="false">
      <c r="A621" s="0" t="n">
        <v>620</v>
      </c>
      <c r="D621" s="0" t="s">
        <v>2159</v>
      </c>
      <c r="E621" s="0" t="s">
        <v>492</v>
      </c>
      <c r="H621" s="0" t="s">
        <v>21</v>
      </c>
      <c r="I621" s="2" t="s">
        <v>22</v>
      </c>
      <c r="J621" s="2" t="s">
        <v>635</v>
      </c>
      <c r="K621" s="0" t="s">
        <v>636</v>
      </c>
      <c r="L621" s="0" t="s">
        <v>31</v>
      </c>
      <c r="M621" s="0" t="s">
        <v>637</v>
      </c>
      <c r="N621" s="0" t="s">
        <v>2160</v>
      </c>
      <c r="O621" s="0" t="n">
        <v>1</v>
      </c>
      <c r="P621" s="0" t="s">
        <v>2161</v>
      </c>
      <c r="Q621" s="3"/>
      <c r="S621" s="2" t="s">
        <v>29</v>
      </c>
    </row>
    <row r="622" customFormat="false" ht="15" hidden="false" customHeight="false" outlineLevel="0" collapsed="false">
      <c r="A622" s="0" t="n">
        <v>621</v>
      </c>
      <c r="D622" s="0" t="s">
        <v>2162</v>
      </c>
      <c r="E622" s="0" t="s">
        <v>492</v>
      </c>
      <c r="H622" s="0" t="s">
        <v>21</v>
      </c>
      <c r="I622" s="2" t="s">
        <v>22</v>
      </c>
      <c r="J622" s="2" t="s">
        <v>635</v>
      </c>
      <c r="K622" s="0" t="s">
        <v>636</v>
      </c>
      <c r="L622" s="0" t="s">
        <v>31</v>
      </c>
      <c r="M622" s="0" t="s">
        <v>637</v>
      </c>
      <c r="N622" s="0" t="s">
        <v>2163</v>
      </c>
      <c r="O622" s="0" t="n">
        <v>1</v>
      </c>
      <c r="P622" s="0" t="s">
        <v>2164</v>
      </c>
      <c r="Q622" s="3"/>
      <c r="S622" s="2" t="s">
        <v>29</v>
      </c>
    </row>
    <row r="623" customFormat="false" ht="15" hidden="false" customHeight="false" outlineLevel="0" collapsed="false">
      <c r="A623" s="0" t="n">
        <v>622</v>
      </c>
      <c r="D623" s="0" t="s">
        <v>2165</v>
      </c>
      <c r="E623" s="0" t="s">
        <v>492</v>
      </c>
      <c r="H623" s="0" t="s">
        <v>21</v>
      </c>
      <c r="I623" s="2" t="s">
        <v>22</v>
      </c>
      <c r="J623" s="2" t="s">
        <v>635</v>
      </c>
      <c r="K623" s="0" t="s">
        <v>636</v>
      </c>
      <c r="L623" s="0" t="s">
        <v>31</v>
      </c>
      <c r="M623" s="0" t="s">
        <v>637</v>
      </c>
      <c r="N623" s="0" t="s">
        <v>2166</v>
      </c>
      <c r="O623" s="0" t="n">
        <v>1</v>
      </c>
      <c r="P623" s="0" t="s">
        <v>2167</v>
      </c>
      <c r="Q623" s="3"/>
      <c r="S623" s="2" t="s">
        <v>29</v>
      </c>
    </row>
    <row r="624" customFormat="false" ht="15" hidden="false" customHeight="false" outlineLevel="0" collapsed="false">
      <c r="A624" s="0" t="n">
        <v>623</v>
      </c>
      <c r="D624" s="0" t="s">
        <v>2168</v>
      </c>
      <c r="E624" s="0" t="s">
        <v>492</v>
      </c>
      <c r="H624" s="0" t="s">
        <v>21</v>
      </c>
      <c r="I624" s="2" t="s">
        <v>22</v>
      </c>
      <c r="J624" s="2" t="s">
        <v>635</v>
      </c>
      <c r="K624" s="0" t="s">
        <v>636</v>
      </c>
      <c r="L624" s="0" t="s">
        <v>31</v>
      </c>
      <c r="M624" s="0" t="s">
        <v>637</v>
      </c>
      <c r="N624" s="0" t="s">
        <v>2169</v>
      </c>
      <c r="O624" s="0" t="n">
        <v>1</v>
      </c>
      <c r="P624" s="0" t="s">
        <v>2170</v>
      </c>
      <c r="Q624" s="3"/>
      <c r="S624" s="2" t="s">
        <v>29</v>
      </c>
    </row>
    <row r="625" customFormat="false" ht="15" hidden="false" customHeight="false" outlineLevel="0" collapsed="false">
      <c r="A625" s="0" t="n">
        <v>624</v>
      </c>
      <c r="D625" s="0" t="s">
        <v>2171</v>
      </c>
      <c r="E625" s="0" t="s">
        <v>492</v>
      </c>
      <c r="H625" s="0" t="s">
        <v>21</v>
      </c>
      <c r="I625" s="2" t="s">
        <v>22</v>
      </c>
      <c r="J625" s="2" t="s">
        <v>635</v>
      </c>
      <c r="K625" s="0" t="s">
        <v>636</v>
      </c>
      <c r="L625" s="0" t="s">
        <v>31</v>
      </c>
      <c r="M625" s="0" t="s">
        <v>637</v>
      </c>
      <c r="N625" s="0" t="s">
        <v>2172</v>
      </c>
      <c r="O625" s="0" t="n">
        <v>1</v>
      </c>
      <c r="P625" s="0" t="s">
        <v>2173</v>
      </c>
      <c r="Q625" s="3"/>
      <c r="S625" s="2" t="s">
        <v>29</v>
      </c>
    </row>
    <row r="626" customFormat="false" ht="15" hidden="false" customHeight="false" outlineLevel="0" collapsed="false">
      <c r="A626" s="0" t="n">
        <v>625</v>
      </c>
      <c r="D626" s="0" t="s">
        <v>2174</v>
      </c>
      <c r="E626" s="0" t="s">
        <v>20</v>
      </c>
      <c r="H626" s="0" t="s">
        <v>21</v>
      </c>
      <c r="I626" s="2" t="s">
        <v>22</v>
      </c>
      <c r="J626" s="2" t="s">
        <v>635</v>
      </c>
      <c r="K626" s="0" t="s">
        <v>636</v>
      </c>
      <c r="L626" s="0" t="s">
        <v>31</v>
      </c>
      <c r="M626" s="0" t="s">
        <v>637</v>
      </c>
      <c r="N626" s="0" t="s">
        <v>2175</v>
      </c>
      <c r="O626" s="0" t="n">
        <v>1</v>
      </c>
      <c r="P626" s="0" t="s">
        <v>2176</v>
      </c>
      <c r="Q626" s="3"/>
      <c r="S626" s="2" t="s">
        <v>29</v>
      </c>
    </row>
    <row r="627" customFormat="false" ht="15" hidden="false" customHeight="false" outlineLevel="0" collapsed="false">
      <c r="A627" s="0" t="n">
        <v>626</v>
      </c>
      <c r="D627" s="0" t="s">
        <v>2177</v>
      </c>
      <c r="E627" s="0" t="s">
        <v>99</v>
      </c>
      <c r="H627" s="0" t="s">
        <v>21</v>
      </c>
      <c r="I627" s="2" t="s">
        <v>22</v>
      </c>
      <c r="J627" s="2" t="s">
        <v>635</v>
      </c>
      <c r="K627" s="0" t="s">
        <v>636</v>
      </c>
      <c r="L627" s="0" t="s">
        <v>100</v>
      </c>
      <c r="M627" s="0" t="s">
        <v>637</v>
      </c>
      <c r="N627" s="0" t="s">
        <v>2178</v>
      </c>
      <c r="O627" s="0" t="n">
        <v>1</v>
      </c>
      <c r="P627" s="0" t="s">
        <v>2179</v>
      </c>
      <c r="Q627" s="3"/>
      <c r="S627" s="2" t="s">
        <v>29</v>
      </c>
    </row>
    <row r="628" customFormat="false" ht="15" hidden="false" customHeight="false" outlineLevel="0" collapsed="false">
      <c r="A628" s="0" t="n">
        <v>627</v>
      </c>
      <c r="D628" s="0" t="s">
        <v>2180</v>
      </c>
      <c r="E628" s="0" t="s">
        <v>20</v>
      </c>
      <c r="H628" s="0" t="s">
        <v>21</v>
      </c>
      <c r="I628" s="2" t="s">
        <v>22</v>
      </c>
      <c r="J628" s="2" t="s">
        <v>635</v>
      </c>
      <c r="K628" s="0" t="s">
        <v>636</v>
      </c>
      <c r="L628" s="0" t="s">
        <v>31</v>
      </c>
      <c r="M628" s="0" t="s">
        <v>637</v>
      </c>
      <c r="N628" s="0" t="s">
        <v>2181</v>
      </c>
      <c r="O628" s="0" t="n">
        <v>1</v>
      </c>
      <c r="P628" s="0" t="s">
        <v>2182</v>
      </c>
      <c r="Q628" s="3"/>
      <c r="S628" s="2" t="s">
        <v>29</v>
      </c>
    </row>
    <row r="629" customFormat="false" ht="15" hidden="false" customHeight="false" outlineLevel="0" collapsed="false">
      <c r="A629" s="0" t="n">
        <v>628</v>
      </c>
      <c r="D629" s="0" t="s">
        <v>2183</v>
      </c>
      <c r="E629" s="0" t="s">
        <v>20</v>
      </c>
      <c r="H629" s="0" t="s">
        <v>21</v>
      </c>
      <c r="I629" s="2" t="s">
        <v>22</v>
      </c>
      <c r="J629" s="2" t="s">
        <v>635</v>
      </c>
      <c r="K629" s="0" t="s">
        <v>636</v>
      </c>
      <c r="L629" s="0" t="s">
        <v>31</v>
      </c>
      <c r="M629" s="0" t="s">
        <v>637</v>
      </c>
      <c r="N629" s="0" t="s">
        <v>2184</v>
      </c>
      <c r="O629" s="0" t="n">
        <v>1</v>
      </c>
      <c r="P629" s="0" t="s">
        <v>2185</v>
      </c>
      <c r="Q629" s="3"/>
      <c r="S629" s="2" t="s">
        <v>29</v>
      </c>
    </row>
    <row r="630" customFormat="false" ht="15" hidden="false" customHeight="false" outlineLevel="0" collapsed="false">
      <c r="A630" s="0" t="n">
        <v>629</v>
      </c>
      <c r="D630" s="0" t="s">
        <v>2186</v>
      </c>
      <c r="E630" s="0" t="s">
        <v>492</v>
      </c>
      <c r="H630" s="0" t="s">
        <v>21</v>
      </c>
      <c r="I630" s="2" t="s">
        <v>22</v>
      </c>
      <c r="J630" s="2" t="s">
        <v>635</v>
      </c>
      <c r="K630" s="0" t="s">
        <v>636</v>
      </c>
      <c r="L630" s="0" t="s">
        <v>31</v>
      </c>
      <c r="M630" s="0" t="s">
        <v>637</v>
      </c>
      <c r="N630" s="0" t="s">
        <v>2187</v>
      </c>
      <c r="O630" s="0" t="n">
        <v>1</v>
      </c>
      <c r="P630" s="0" t="s">
        <v>2188</v>
      </c>
      <c r="Q630" s="3"/>
      <c r="S630" s="2" t="s">
        <v>29</v>
      </c>
    </row>
    <row r="631" customFormat="false" ht="15" hidden="false" customHeight="false" outlineLevel="0" collapsed="false">
      <c r="A631" s="0" t="n">
        <v>630</v>
      </c>
      <c r="D631" s="0" t="s">
        <v>2189</v>
      </c>
      <c r="E631" s="0" t="s">
        <v>63</v>
      </c>
      <c r="H631" s="0" t="s">
        <v>21</v>
      </c>
      <c r="I631" s="2" t="s">
        <v>22</v>
      </c>
      <c r="J631" s="2" t="s">
        <v>635</v>
      </c>
      <c r="K631" s="0" t="s">
        <v>636</v>
      </c>
      <c r="L631" s="0" t="s">
        <v>100</v>
      </c>
      <c r="M631" s="0" t="s">
        <v>637</v>
      </c>
      <c r="N631" s="0" t="s">
        <v>2190</v>
      </c>
      <c r="O631" s="0" t="n">
        <v>1</v>
      </c>
      <c r="P631" s="0" t="s">
        <v>2191</v>
      </c>
      <c r="Q631" s="3"/>
      <c r="S631" s="2" t="s">
        <v>29</v>
      </c>
    </row>
    <row r="632" customFormat="false" ht="15" hidden="false" customHeight="false" outlineLevel="0" collapsed="false">
      <c r="A632" s="0" t="n">
        <v>631</v>
      </c>
      <c r="D632" s="0" t="s">
        <v>2192</v>
      </c>
      <c r="E632" s="0" t="s">
        <v>20</v>
      </c>
      <c r="H632" s="0" t="s">
        <v>21</v>
      </c>
      <c r="I632" s="2" t="s">
        <v>22</v>
      </c>
      <c r="J632" s="2" t="s">
        <v>635</v>
      </c>
      <c r="K632" s="0" t="s">
        <v>636</v>
      </c>
      <c r="L632" s="0" t="s">
        <v>31</v>
      </c>
      <c r="M632" s="0" t="s">
        <v>637</v>
      </c>
      <c r="N632" s="0" t="s">
        <v>2193</v>
      </c>
      <c r="O632" s="0" t="n">
        <v>1</v>
      </c>
      <c r="P632" s="0" t="s">
        <v>2194</v>
      </c>
      <c r="Q632" s="3"/>
      <c r="S632" s="2" t="s">
        <v>29</v>
      </c>
    </row>
    <row r="633" customFormat="false" ht="15" hidden="false" customHeight="false" outlineLevel="0" collapsed="false">
      <c r="A633" s="0" t="n">
        <v>632</v>
      </c>
      <c r="D633" s="0" t="s">
        <v>2195</v>
      </c>
      <c r="E633" s="0" t="s">
        <v>99</v>
      </c>
      <c r="H633" s="0" t="s">
        <v>21</v>
      </c>
      <c r="I633" s="2" t="s">
        <v>22</v>
      </c>
      <c r="J633" s="2" t="s">
        <v>635</v>
      </c>
      <c r="K633" s="0" t="s">
        <v>636</v>
      </c>
      <c r="L633" s="0" t="s">
        <v>100</v>
      </c>
      <c r="M633" s="0" t="s">
        <v>637</v>
      </c>
      <c r="N633" s="0" t="s">
        <v>2196</v>
      </c>
      <c r="O633" s="0" t="n">
        <v>1</v>
      </c>
      <c r="P633" s="0" t="s">
        <v>2197</v>
      </c>
      <c r="Q633" s="3"/>
      <c r="S633" s="2" t="s">
        <v>29</v>
      </c>
    </row>
    <row r="634" customFormat="false" ht="15" hidden="false" customHeight="false" outlineLevel="0" collapsed="false">
      <c r="A634" s="0" t="n">
        <v>633</v>
      </c>
      <c r="D634" s="0" t="s">
        <v>2198</v>
      </c>
      <c r="E634" s="0" t="s">
        <v>20</v>
      </c>
      <c r="H634" s="0" t="s">
        <v>21</v>
      </c>
      <c r="I634" s="2" t="s">
        <v>22</v>
      </c>
      <c r="J634" s="2" t="s">
        <v>635</v>
      </c>
      <c r="K634" s="0" t="s">
        <v>636</v>
      </c>
      <c r="L634" s="0" t="s">
        <v>31</v>
      </c>
      <c r="M634" s="0" t="s">
        <v>637</v>
      </c>
      <c r="N634" s="0" t="s">
        <v>2199</v>
      </c>
      <c r="O634" s="0" t="n">
        <v>1</v>
      </c>
      <c r="P634" s="0" t="s">
        <v>2200</v>
      </c>
      <c r="Q634" s="3"/>
      <c r="S634" s="2" t="s">
        <v>29</v>
      </c>
    </row>
    <row r="635" customFormat="false" ht="15" hidden="false" customHeight="false" outlineLevel="0" collapsed="false">
      <c r="A635" s="0" t="n">
        <v>634</v>
      </c>
      <c r="D635" s="0" t="s">
        <v>2201</v>
      </c>
      <c r="E635" s="0" t="s">
        <v>20</v>
      </c>
      <c r="H635" s="0" t="s">
        <v>21</v>
      </c>
      <c r="I635" s="2" t="s">
        <v>22</v>
      </c>
      <c r="J635" s="2" t="s">
        <v>635</v>
      </c>
      <c r="K635" s="0" t="s">
        <v>636</v>
      </c>
      <c r="L635" s="0" t="s">
        <v>31</v>
      </c>
      <c r="M635" s="0" t="s">
        <v>637</v>
      </c>
      <c r="N635" s="0" t="s">
        <v>2202</v>
      </c>
      <c r="O635" s="0" t="n">
        <v>1</v>
      </c>
      <c r="P635" s="0" t="s">
        <v>2203</v>
      </c>
      <c r="Q635" s="3"/>
      <c r="S635" s="2" t="s">
        <v>29</v>
      </c>
    </row>
    <row r="636" customFormat="false" ht="15" hidden="false" customHeight="false" outlineLevel="0" collapsed="false">
      <c r="A636" s="0" t="n">
        <v>635</v>
      </c>
      <c r="D636" s="0" t="s">
        <v>2204</v>
      </c>
      <c r="E636" s="0" t="s">
        <v>20</v>
      </c>
      <c r="H636" s="0" t="s">
        <v>21</v>
      </c>
      <c r="I636" s="2" t="s">
        <v>22</v>
      </c>
      <c r="J636" s="2" t="s">
        <v>635</v>
      </c>
      <c r="K636" s="0" t="s">
        <v>636</v>
      </c>
      <c r="L636" s="0" t="s">
        <v>31</v>
      </c>
      <c r="M636" s="0" t="s">
        <v>637</v>
      </c>
      <c r="N636" s="0" t="s">
        <v>2205</v>
      </c>
      <c r="O636" s="0" t="n">
        <v>1</v>
      </c>
      <c r="P636" s="0" t="s">
        <v>2206</v>
      </c>
      <c r="Q636" s="3"/>
      <c r="S636" s="2" t="s">
        <v>29</v>
      </c>
    </row>
    <row r="637" customFormat="false" ht="15" hidden="false" customHeight="false" outlineLevel="0" collapsed="false">
      <c r="A637" s="0" t="n">
        <v>636</v>
      </c>
      <c r="D637" s="0" t="s">
        <v>2207</v>
      </c>
      <c r="E637" s="0" t="s">
        <v>20</v>
      </c>
      <c r="H637" s="0" t="s">
        <v>21</v>
      </c>
      <c r="I637" s="2" t="s">
        <v>22</v>
      </c>
      <c r="J637" s="2" t="s">
        <v>635</v>
      </c>
      <c r="K637" s="0" t="s">
        <v>636</v>
      </c>
      <c r="L637" s="0" t="s">
        <v>31</v>
      </c>
      <c r="M637" s="0" t="s">
        <v>637</v>
      </c>
      <c r="N637" s="0" t="s">
        <v>2208</v>
      </c>
      <c r="O637" s="0" t="n">
        <v>1</v>
      </c>
      <c r="P637" s="0" t="s">
        <v>2209</v>
      </c>
      <c r="Q637" s="3"/>
      <c r="S637" s="2" t="s">
        <v>29</v>
      </c>
    </row>
    <row r="638" customFormat="false" ht="15" hidden="false" customHeight="false" outlineLevel="0" collapsed="false">
      <c r="A638" s="0" t="n">
        <v>637</v>
      </c>
      <c r="D638" s="0" t="s">
        <v>2210</v>
      </c>
      <c r="E638" s="0" t="s">
        <v>20</v>
      </c>
      <c r="H638" s="0" t="s">
        <v>21</v>
      </c>
      <c r="I638" s="2" t="s">
        <v>22</v>
      </c>
      <c r="J638" s="2" t="s">
        <v>635</v>
      </c>
      <c r="K638" s="0" t="s">
        <v>636</v>
      </c>
      <c r="L638" s="0" t="s">
        <v>31</v>
      </c>
      <c r="M638" s="0" t="s">
        <v>637</v>
      </c>
      <c r="N638" s="0" t="s">
        <v>2211</v>
      </c>
      <c r="O638" s="0" t="n">
        <v>1</v>
      </c>
      <c r="P638" s="0" t="s">
        <v>2212</v>
      </c>
      <c r="Q638" s="3"/>
      <c r="S638" s="2" t="s">
        <v>29</v>
      </c>
    </row>
    <row r="639" customFormat="false" ht="15" hidden="false" customHeight="false" outlineLevel="0" collapsed="false">
      <c r="A639" s="0" t="n">
        <v>638</v>
      </c>
      <c r="D639" s="0" t="s">
        <v>2213</v>
      </c>
      <c r="E639" s="0" t="s">
        <v>492</v>
      </c>
      <c r="H639" s="0" t="s">
        <v>21</v>
      </c>
      <c r="I639" s="2" t="s">
        <v>22</v>
      </c>
      <c r="J639" s="2" t="s">
        <v>635</v>
      </c>
      <c r="K639" s="0" t="s">
        <v>636</v>
      </c>
      <c r="L639" s="0" t="s">
        <v>31</v>
      </c>
      <c r="M639" s="0" t="s">
        <v>637</v>
      </c>
      <c r="N639" s="0" t="s">
        <v>2214</v>
      </c>
      <c r="O639" s="0" t="n">
        <v>1</v>
      </c>
      <c r="P639" s="0" t="s">
        <v>2215</v>
      </c>
      <c r="Q639" s="3"/>
      <c r="S639" s="2" t="s">
        <v>29</v>
      </c>
    </row>
    <row r="640" customFormat="false" ht="15" hidden="false" customHeight="false" outlineLevel="0" collapsed="false">
      <c r="A640" s="0" t="n">
        <v>639</v>
      </c>
      <c r="D640" s="0" t="s">
        <v>2216</v>
      </c>
      <c r="E640" s="0" t="s">
        <v>492</v>
      </c>
      <c r="H640" s="0" t="s">
        <v>21</v>
      </c>
      <c r="I640" s="2" t="s">
        <v>22</v>
      </c>
      <c r="J640" s="2" t="s">
        <v>635</v>
      </c>
      <c r="K640" s="0" t="s">
        <v>636</v>
      </c>
      <c r="L640" s="0" t="s">
        <v>31</v>
      </c>
      <c r="M640" s="0" t="s">
        <v>637</v>
      </c>
      <c r="N640" s="0" t="s">
        <v>2217</v>
      </c>
      <c r="O640" s="0" t="n">
        <v>1</v>
      </c>
      <c r="P640" s="0" t="s">
        <v>2218</v>
      </c>
      <c r="Q640" s="3"/>
      <c r="S640" s="2" t="s">
        <v>29</v>
      </c>
    </row>
    <row r="641" customFormat="false" ht="15" hidden="false" customHeight="false" outlineLevel="0" collapsed="false">
      <c r="A641" s="0" t="n">
        <v>640</v>
      </c>
      <c r="D641" s="0" t="s">
        <v>2219</v>
      </c>
      <c r="E641" s="0" t="s">
        <v>20</v>
      </c>
      <c r="H641" s="0" t="s">
        <v>21</v>
      </c>
      <c r="I641" s="2" t="s">
        <v>22</v>
      </c>
      <c r="J641" s="2" t="s">
        <v>635</v>
      </c>
      <c r="K641" s="0" t="s">
        <v>636</v>
      </c>
      <c r="L641" s="0" t="s">
        <v>31</v>
      </c>
      <c r="M641" s="0" t="s">
        <v>637</v>
      </c>
      <c r="N641" s="0" t="s">
        <v>2220</v>
      </c>
      <c r="O641" s="0" t="n">
        <v>1</v>
      </c>
      <c r="Q641" s="3"/>
      <c r="S641" s="2" t="s">
        <v>29</v>
      </c>
    </row>
    <row r="642" customFormat="false" ht="15" hidden="false" customHeight="false" outlineLevel="0" collapsed="false">
      <c r="A642" s="0" t="n">
        <v>641</v>
      </c>
      <c r="D642" s="0" t="s">
        <v>2221</v>
      </c>
      <c r="E642" s="0" t="s">
        <v>20</v>
      </c>
      <c r="H642" s="0" t="s">
        <v>21</v>
      </c>
      <c r="I642" s="2" t="s">
        <v>22</v>
      </c>
      <c r="J642" s="2" t="s">
        <v>635</v>
      </c>
      <c r="K642" s="0" t="s">
        <v>636</v>
      </c>
      <c r="L642" s="0" t="s">
        <v>31</v>
      </c>
      <c r="M642" s="0" t="s">
        <v>637</v>
      </c>
      <c r="N642" s="0" t="s">
        <v>2222</v>
      </c>
      <c r="O642" s="0" t="n">
        <v>1</v>
      </c>
      <c r="P642" s="0" t="s">
        <v>2223</v>
      </c>
      <c r="Q642" s="3"/>
      <c r="S642" s="2" t="s">
        <v>29</v>
      </c>
    </row>
    <row r="643" customFormat="false" ht="15" hidden="false" customHeight="false" outlineLevel="0" collapsed="false">
      <c r="A643" s="0" t="n">
        <v>642</v>
      </c>
      <c r="D643" s="0" t="s">
        <v>2224</v>
      </c>
      <c r="E643" s="0" t="s">
        <v>20</v>
      </c>
      <c r="H643" s="0" t="s">
        <v>21</v>
      </c>
      <c r="I643" s="2" t="s">
        <v>22</v>
      </c>
      <c r="J643" s="2" t="s">
        <v>635</v>
      </c>
      <c r="K643" s="0" t="s">
        <v>636</v>
      </c>
      <c r="L643" s="0" t="s">
        <v>31</v>
      </c>
      <c r="M643" s="0" t="s">
        <v>637</v>
      </c>
      <c r="N643" s="0" t="s">
        <v>2225</v>
      </c>
      <c r="O643" s="0" t="n">
        <v>1</v>
      </c>
      <c r="P643" s="0" t="s">
        <v>2226</v>
      </c>
      <c r="Q643" s="3"/>
      <c r="S643" s="2" t="s">
        <v>29</v>
      </c>
    </row>
    <row r="644" customFormat="false" ht="15" hidden="false" customHeight="false" outlineLevel="0" collapsed="false">
      <c r="A644" s="0" t="n">
        <v>643</v>
      </c>
      <c r="D644" s="0" t="s">
        <v>2227</v>
      </c>
      <c r="E644" s="0" t="s">
        <v>20</v>
      </c>
      <c r="H644" s="0" t="s">
        <v>21</v>
      </c>
      <c r="I644" s="2" t="s">
        <v>22</v>
      </c>
      <c r="J644" s="2" t="s">
        <v>635</v>
      </c>
      <c r="K644" s="0" t="s">
        <v>636</v>
      </c>
      <c r="L644" s="0" t="s">
        <v>31</v>
      </c>
      <c r="M644" s="0" t="s">
        <v>637</v>
      </c>
      <c r="N644" s="0" t="s">
        <v>2228</v>
      </c>
      <c r="O644" s="0" t="n">
        <v>1</v>
      </c>
      <c r="P644" s="0" t="s">
        <v>2229</v>
      </c>
      <c r="Q644" s="3"/>
      <c r="S644" s="2" t="s">
        <v>29</v>
      </c>
    </row>
    <row r="645" customFormat="false" ht="15" hidden="false" customHeight="false" outlineLevel="0" collapsed="false">
      <c r="A645" s="0" t="n">
        <v>644</v>
      </c>
      <c r="D645" s="0" t="s">
        <v>2230</v>
      </c>
      <c r="E645" s="0" t="s">
        <v>492</v>
      </c>
      <c r="H645" s="0" t="s">
        <v>21</v>
      </c>
      <c r="I645" s="2" t="s">
        <v>22</v>
      </c>
      <c r="J645" s="2" t="s">
        <v>635</v>
      </c>
      <c r="K645" s="0" t="s">
        <v>636</v>
      </c>
      <c r="L645" s="0" t="s">
        <v>31</v>
      </c>
      <c r="M645" s="0" t="s">
        <v>637</v>
      </c>
      <c r="N645" s="0" t="s">
        <v>2231</v>
      </c>
      <c r="O645" s="0" t="n">
        <v>1</v>
      </c>
      <c r="P645" s="0" t="s">
        <v>2232</v>
      </c>
      <c r="Q645" s="3"/>
      <c r="S645" s="2" t="s">
        <v>29</v>
      </c>
    </row>
    <row r="646" customFormat="false" ht="15" hidden="false" customHeight="false" outlineLevel="0" collapsed="false">
      <c r="A646" s="0" t="n">
        <v>645</v>
      </c>
      <c r="D646" s="0" t="s">
        <v>2233</v>
      </c>
      <c r="E646" s="0" t="s">
        <v>63</v>
      </c>
      <c r="H646" s="0" t="s">
        <v>21</v>
      </c>
      <c r="I646" s="2" t="s">
        <v>22</v>
      </c>
      <c r="J646" s="2" t="s">
        <v>635</v>
      </c>
      <c r="K646" s="0" t="s">
        <v>636</v>
      </c>
      <c r="L646" s="0" t="s">
        <v>100</v>
      </c>
      <c r="M646" s="0" t="s">
        <v>637</v>
      </c>
      <c r="N646" s="0" t="s">
        <v>2234</v>
      </c>
      <c r="O646" s="0" t="n">
        <v>1</v>
      </c>
      <c r="P646" s="0" t="s">
        <v>2235</v>
      </c>
      <c r="Q646" s="3"/>
      <c r="S646" s="2" t="s">
        <v>29</v>
      </c>
    </row>
    <row r="647" customFormat="false" ht="15" hidden="false" customHeight="false" outlineLevel="0" collapsed="false">
      <c r="A647" s="0" t="n">
        <v>646</v>
      </c>
      <c r="D647" s="0" t="s">
        <v>2236</v>
      </c>
      <c r="E647" s="0" t="s">
        <v>20</v>
      </c>
      <c r="H647" s="0" t="s">
        <v>21</v>
      </c>
      <c r="I647" s="2" t="s">
        <v>22</v>
      </c>
      <c r="J647" s="2" t="s">
        <v>635</v>
      </c>
      <c r="K647" s="0" t="s">
        <v>636</v>
      </c>
      <c r="L647" s="0" t="s">
        <v>31</v>
      </c>
      <c r="M647" s="0" t="s">
        <v>637</v>
      </c>
      <c r="N647" s="0" t="s">
        <v>2237</v>
      </c>
      <c r="O647" s="0" t="n">
        <v>1</v>
      </c>
      <c r="P647" s="0" t="s">
        <v>2238</v>
      </c>
      <c r="Q647" s="3"/>
      <c r="S647" s="2" t="s">
        <v>29</v>
      </c>
    </row>
    <row r="648" customFormat="false" ht="15" hidden="false" customHeight="false" outlineLevel="0" collapsed="false">
      <c r="A648" s="0" t="n">
        <v>647</v>
      </c>
      <c r="D648" s="0" t="s">
        <v>2239</v>
      </c>
      <c r="E648" s="0" t="s">
        <v>492</v>
      </c>
      <c r="H648" s="0" t="s">
        <v>21</v>
      </c>
      <c r="I648" s="2" t="s">
        <v>22</v>
      </c>
      <c r="J648" s="2" t="s">
        <v>635</v>
      </c>
      <c r="K648" s="0" t="s">
        <v>636</v>
      </c>
      <c r="L648" s="0" t="s">
        <v>31</v>
      </c>
      <c r="M648" s="0" t="s">
        <v>637</v>
      </c>
      <c r="N648" s="0" t="s">
        <v>2240</v>
      </c>
      <c r="O648" s="0" t="n">
        <v>1</v>
      </c>
      <c r="P648" s="0" t="s">
        <v>2241</v>
      </c>
      <c r="Q648" s="3"/>
      <c r="S648" s="2" t="s">
        <v>29</v>
      </c>
    </row>
    <row r="649" customFormat="false" ht="15" hidden="false" customHeight="false" outlineLevel="0" collapsed="false">
      <c r="A649" s="0" t="n">
        <v>648</v>
      </c>
      <c r="D649" s="0" t="s">
        <v>2242</v>
      </c>
      <c r="E649" s="0" t="s">
        <v>492</v>
      </c>
      <c r="H649" s="0" t="s">
        <v>21</v>
      </c>
      <c r="I649" s="2" t="s">
        <v>22</v>
      </c>
      <c r="J649" s="2" t="s">
        <v>635</v>
      </c>
      <c r="K649" s="0" t="s">
        <v>636</v>
      </c>
      <c r="L649" s="0" t="s">
        <v>31</v>
      </c>
      <c r="M649" s="0" t="s">
        <v>637</v>
      </c>
      <c r="N649" s="0" t="s">
        <v>2243</v>
      </c>
      <c r="O649" s="0" t="n">
        <v>1</v>
      </c>
      <c r="P649" s="0" t="s">
        <v>2244</v>
      </c>
      <c r="Q649" s="3"/>
      <c r="S649" s="2" t="s">
        <v>29</v>
      </c>
    </row>
    <row r="650" customFormat="false" ht="15" hidden="false" customHeight="false" outlineLevel="0" collapsed="false">
      <c r="A650" s="0" t="n">
        <v>649</v>
      </c>
      <c r="D650" s="0" t="s">
        <v>2245</v>
      </c>
      <c r="E650" s="0" t="s">
        <v>492</v>
      </c>
      <c r="H650" s="0" t="s">
        <v>21</v>
      </c>
      <c r="I650" s="2" t="s">
        <v>22</v>
      </c>
      <c r="J650" s="2" t="s">
        <v>635</v>
      </c>
      <c r="K650" s="0" t="s">
        <v>636</v>
      </c>
      <c r="L650" s="0" t="s">
        <v>31</v>
      </c>
      <c r="M650" s="0" t="s">
        <v>637</v>
      </c>
      <c r="N650" s="0" t="s">
        <v>2246</v>
      </c>
      <c r="O650" s="0" t="n">
        <v>1</v>
      </c>
      <c r="P650" s="0" t="s">
        <v>2247</v>
      </c>
      <c r="Q650" s="3"/>
      <c r="S650" s="2" t="s">
        <v>29</v>
      </c>
    </row>
    <row r="651" customFormat="false" ht="15" hidden="false" customHeight="false" outlineLevel="0" collapsed="false">
      <c r="A651" s="0" t="n">
        <v>650</v>
      </c>
      <c r="D651" s="0" t="s">
        <v>2248</v>
      </c>
      <c r="E651" s="0" t="s">
        <v>20</v>
      </c>
      <c r="H651" s="0" t="s">
        <v>21</v>
      </c>
      <c r="I651" s="2" t="s">
        <v>22</v>
      </c>
      <c r="J651" s="2" t="s">
        <v>635</v>
      </c>
      <c r="K651" s="0" t="s">
        <v>636</v>
      </c>
      <c r="L651" s="0" t="s">
        <v>31</v>
      </c>
      <c r="M651" s="0" t="s">
        <v>637</v>
      </c>
      <c r="N651" s="0" t="s">
        <v>2249</v>
      </c>
      <c r="O651" s="0" t="n">
        <v>1</v>
      </c>
      <c r="P651" s="0" t="s">
        <v>2250</v>
      </c>
      <c r="Q651" s="3"/>
      <c r="S651" s="2" t="s">
        <v>29</v>
      </c>
    </row>
    <row r="652" customFormat="false" ht="15" hidden="false" customHeight="false" outlineLevel="0" collapsed="false">
      <c r="A652" s="0" t="n">
        <v>651</v>
      </c>
      <c r="D652" s="0" t="s">
        <v>2251</v>
      </c>
      <c r="E652" s="0" t="s">
        <v>492</v>
      </c>
      <c r="H652" s="0" t="s">
        <v>21</v>
      </c>
      <c r="I652" s="2" t="s">
        <v>22</v>
      </c>
      <c r="J652" s="2" t="s">
        <v>635</v>
      </c>
      <c r="K652" s="0" t="s">
        <v>636</v>
      </c>
      <c r="L652" s="0" t="s">
        <v>31</v>
      </c>
      <c r="M652" s="0" t="s">
        <v>637</v>
      </c>
      <c r="N652" s="0" t="s">
        <v>2252</v>
      </c>
      <c r="O652" s="0" t="n">
        <v>1</v>
      </c>
      <c r="P652" s="0" t="s">
        <v>2253</v>
      </c>
      <c r="Q652" s="3"/>
      <c r="S652" s="2" t="s">
        <v>29</v>
      </c>
    </row>
    <row r="653" customFormat="false" ht="15" hidden="false" customHeight="false" outlineLevel="0" collapsed="false">
      <c r="A653" s="0" t="n">
        <v>652</v>
      </c>
      <c r="D653" s="0" t="s">
        <v>2254</v>
      </c>
      <c r="E653" s="0" t="s">
        <v>492</v>
      </c>
      <c r="H653" s="0" t="s">
        <v>21</v>
      </c>
      <c r="I653" s="2" t="s">
        <v>22</v>
      </c>
      <c r="J653" s="2" t="s">
        <v>635</v>
      </c>
      <c r="K653" s="0" t="s">
        <v>636</v>
      </c>
      <c r="L653" s="0" t="s">
        <v>31</v>
      </c>
      <c r="M653" s="0" t="s">
        <v>637</v>
      </c>
      <c r="N653" s="0" t="s">
        <v>2255</v>
      </c>
      <c r="O653" s="0" t="n">
        <v>1</v>
      </c>
      <c r="P653" s="0" t="s">
        <v>2256</v>
      </c>
      <c r="Q653" s="3"/>
      <c r="S653" s="2" t="s">
        <v>29</v>
      </c>
    </row>
    <row r="654" customFormat="false" ht="15" hidden="false" customHeight="false" outlineLevel="0" collapsed="false">
      <c r="A654" s="0" t="n">
        <v>653</v>
      </c>
      <c r="D654" s="0" t="s">
        <v>2257</v>
      </c>
      <c r="E654" s="0" t="s">
        <v>492</v>
      </c>
      <c r="H654" s="0" t="s">
        <v>21</v>
      </c>
      <c r="I654" s="2" t="s">
        <v>22</v>
      </c>
      <c r="J654" s="2" t="s">
        <v>635</v>
      </c>
      <c r="K654" s="0" t="s">
        <v>636</v>
      </c>
      <c r="L654" s="0" t="s">
        <v>31</v>
      </c>
      <c r="M654" s="0" t="s">
        <v>637</v>
      </c>
      <c r="N654" s="0" t="s">
        <v>2258</v>
      </c>
      <c r="O654" s="0" t="n">
        <v>1</v>
      </c>
      <c r="P654" s="0" t="s">
        <v>2259</v>
      </c>
      <c r="Q654" s="3"/>
      <c r="S654" s="2" t="s">
        <v>29</v>
      </c>
    </row>
    <row r="655" customFormat="false" ht="15" hidden="false" customHeight="false" outlineLevel="0" collapsed="false">
      <c r="A655" s="0" t="n">
        <v>654</v>
      </c>
      <c r="D655" s="0" t="s">
        <v>2260</v>
      </c>
      <c r="E655" s="0" t="s">
        <v>492</v>
      </c>
      <c r="H655" s="0" t="s">
        <v>21</v>
      </c>
      <c r="I655" s="2" t="s">
        <v>22</v>
      </c>
      <c r="J655" s="2" t="s">
        <v>635</v>
      </c>
      <c r="K655" s="0" t="s">
        <v>636</v>
      </c>
      <c r="L655" s="0" t="s">
        <v>31</v>
      </c>
      <c r="M655" s="0" t="s">
        <v>637</v>
      </c>
      <c r="N655" s="0" t="s">
        <v>2261</v>
      </c>
      <c r="O655" s="0" t="n">
        <v>1</v>
      </c>
      <c r="P655" s="0" t="s">
        <v>2262</v>
      </c>
      <c r="Q655" s="3"/>
      <c r="S655" s="2" t="s">
        <v>29</v>
      </c>
    </row>
    <row r="656" customFormat="false" ht="15" hidden="false" customHeight="false" outlineLevel="0" collapsed="false">
      <c r="A656" s="0" t="n">
        <v>655</v>
      </c>
      <c r="D656" s="0" t="s">
        <v>2263</v>
      </c>
      <c r="E656" s="0" t="s">
        <v>492</v>
      </c>
      <c r="H656" s="0" t="s">
        <v>21</v>
      </c>
      <c r="I656" s="2" t="s">
        <v>22</v>
      </c>
      <c r="J656" s="2" t="s">
        <v>635</v>
      </c>
      <c r="K656" s="0" t="s">
        <v>636</v>
      </c>
      <c r="L656" s="0" t="s">
        <v>31</v>
      </c>
      <c r="M656" s="0" t="s">
        <v>637</v>
      </c>
      <c r="N656" s="0" t="s">
        <v>2264</v>
      </c>
      <c r="O656" s="0" t="n">
        <v>1</v>
      </c>
      <c r="P656" s="0" t="s">
        <v>2265</v>
      </c>
      <c r="Q656" s="3"/>
      <c r="S656" s="2" t="s">
        <v>29</v>
      </c>
    </row>
    <row r="657" customFormat="false" ht="15" hidden="false" customHeight="false" outlineLevel="0" collapsed="false">
      <c r="A657" s="0" t="n">
        <v>656</v>
      </c>
      <c r="D657" s="0" t="s">
        <v>2266</v>
      </c>
      <c r="E657" s="0" t="s">
        <v>492</v>
      </c>
      <c r="H657" s="0" t="s">
        <v>21</v>
      </c>
      <c r="I657" s="2" t="s">
        <v>22</v>
      </c>
      <c r="J657" s="2" t="s">
        <v>635</v>
      </c>
      <c r="K657" s="0" t="s">
        <v>636</v>
      </c>
      <c r="L657" s="0" t="s">
        <v>31</v>
      </c>
      <c r="M657" s="0" t="s">
        <v>637</v>
      </c>
      <c r="N657" s="0" t="s">
        <v>2267</v>
      </c>
      <c r="O657" s="0" t="n">
        <v>1</v>
      </c>
      <c r="P657" s="0" t="s">
        <v>2268</v>
      </c>
      <c r="Q657" s="3"/>
      <c r="S657" s="2" t="s">
        <v>29</v>
      </c>
    </row>
    <row r="658" customFormat="false" ht="15" hidden="false" customHeight="false" outlineLevel="0" collapsed="false">
      <c r="A658" s="0" t="n">
        <v>657</v>
      </c>
      <c r="D658" s="0" t="s">
        <v>2269</v>
      </c>
      <c r="E658" s="0" t="s">
        <v>20</v>
      </c>
      <c r="H658" s="0" t="s">
        <v>21</v>
      </c>
      <c r="I658" s="2" t="s">
        <v>22</v>
      </c>
      <c r="J658" s="2" t="s">
        <v>635</v>
      </c>
      <c r="K658" s="0" t="s">
        <v>636</v>
      </c>
      <c r="L658" s="0" t="s">
        <v>31</v>
      </c>
      <c r="M658" s="0" t="s">
        <v>637</v>
      </c>
      <c r="N658" s="0" t="s">
        <v>2270</v>
      </c>
      <c r="O658" s="0" t="n">
        <v>1</v>
      </c>
      <c r="P658" s="0" t="s">
        <v>2271</v>
      </c>
      <c r="Q658" s="3"/>
      <c r="S658" s="2" t="s">
        <v>29</v>
      </c>
    </row>
    <row r="659" customFormat="false" ht="15" hidden="false" customHeight="false" outlineLevel="0" collapsed="false">
      <c r="A659" s="0" t="n">
        <v>658</v>
      </c>
      <c r="D659" s="0" t="s">
        <v>2272</v>
      </c>
      <c r="E659" s="0" t="s">
        <v>20</v>
      </c>
      <c r="H659" s="0" t="s">
        <v>21</v>
      </c>
      <c r="I659" s="2" t="s">
        <v>22</v>
      </c>
      <c r="J659" s="2" t="s">
        <v>635</v>
      </c>
      <c r="K659" s="0" t="s">
        <v>636</v>
      </c>
      <c r="L659" s="0" t="s">
        <v>31</v>
      </c>
      <c r="M659" s="0" t="s">
        <v>637</v>
      </c>
      <c r="N659" s="0" t="s">
        <v>2273</v>
      </c>
      <c r="O659" s="0" t="n">
        <v>1</v>
      </c>
      <c r="P659" s="0" t="s">
        <v>2274</v>
      </c>
      <c r="Q659" s="3"/>
      <c r="S659" s="2" t="s">
        <v>29</v>
      </c>
    </row>
    <row r="660" customFormat="false" ht="15" hidden="false" customHeight="false" outlineLevel="0" collapsed="false">
      <c r="A660" s="0" t="n">
        <v>659</v>
      </c>
      <c r="D660" s="0" t="s">
        <v>2275</v>
      </c>
      <c r="E660" s="0" t="s">
        <v>20</v>
      </c>
      <c r="H660" s="0" t="s">
        <v>21</v>
      </c>
      <c r="I660" s="2" t="s">
        <v>22</v>
      </c>
      <c r="J660" s="2" t="s">
        <v>635</v>
      </c>
      <c r="K660" s="0" t="s">
        <v>636</v>
      </c>
      <c r="L660" s="0" t="s">
        <v>31</v>
      </c>
      <c r="M660" s="0" t="s">
        <v>637</v>
      </c>
      <c r="N660" s="0" t="s">
        <v>2276</v>
      </c>
      <c r="O660" s="0" t="n">
        <v>1</v>
      </c>
      <c r="P660" s="0" t="s">
        <v>2277</v>
      </c>
      <c r="Q660" s="3"/>
      <c r="S660" s="2" t="s">
        <v>29</v>
      </c>
    </row>
    <row r="661" customFormat="false" ht="15" hidden="false" customHeight="false" outlineLevel="0" collapsed="false">
      <c r="A661" s="0" t="n">
        <v>660</v>
      </c>
      <c r="D661" s="0" t="s">
        <v>2278</v>
      </c>
      <c r="E661" s="0" t="s">
        <v>20</v>
      </c>
      <c r="H661" s="0" t="s">
        <v>21</v>
      </c>
      <c r="I661" s="2" t="s">
        <v>22</v>
      </c>
      <c r="J661" s="2" t="s">
        <v>635</v>
      </c>
      <c r="K661" s="0" t="s">
        <v>636</v>
      </c>
      <c r="L661" s="0" t="s">
        <v>31</v>
      </c>
      <c r="M661" s="0" t="s">
        <v>637</v>
      </c>
      <c r="N661" s="0" t="s">
        <v>2279</v>
      </c>
      <c r="O661" s="0" t="n">
        <v>1</v>
      </c>
      <c r="P661" s="0" t="s">
        <v>2280</v>
      </c>
      <c r="Q661" s="3"/>
      <c r="S661" s="2" t="s">
        <v>29</v>
      </c>
    </row>
    <row r="662" customFormat="false" ht="15" hidden="false" customHeight="false" outlineLevel="0" collapsed="false">
      <c r="A662" s="0" t="n">
        <v>661</v>
      </c>
      <c r="D662" s="0" t="s">
        <v>2281</v>
      </c>
      <c r="E662" s="0" t="s">
        <v>20</v>
      </c>
      <c r="H662" s="0" t="s">
        <v>21</v>
      </c>
      <c r="I662" s="2" t="s">
        <v>22</v>
      </c>
      <c r="J662" s="2" t="s">
        <v>635</v>
      </c>
      <c r="K662" s="0" t="s">
        <v>636</v>
      </c>
      <c r="L662" s="0" t="s">
        <v>31</v>
      </c>
      <c r="M662" s="0" t="s">
        <v>637</v>
      </c>
      <c r="N662" s="0" t="s">
        <v>2282</v>
      </c>
      <c r="O662" s="0" t="n">
        <v>1</v>
      </c>
      <c r="P662" s="0" t="s">
        <v>2283</v>
      </c>
      <c r="Q662" s="3"/>
      <c r="S662" s="2" t="s">
        <v>29</v>
      </c>
    </row>
    <row r="663" customFormat="false" ht="15" hidden="false" customHeight="false" outlineLevel="0" collapsed="false">
      <c r="A663" s="0" t="n">
        <v>662</v>
      </c>
      <c r="D663" s="0" t="s">
        <v>2284</v>
      </c>
      <c r="E663" s="0" t="s">
        <v>20</v>
      </c>
      <c r="H663" s="0" t="s">
        <v>21</v>
      </c>
      <c r="I663" s="2" t="s">
        <v>22</v>
      </c>
      <c r="J663" s="2" t="s">
        <v>635</v>
      </c>
      <c r="K663" s="0" t="s">
        <v>636</v>
      </c>
      <c r="L663" s="0" t="s">
        <v>31</v>
      </c>
      <c r="M663" s="0" t="s">
        <v>637</v>
      </c>
      <c r="N663" s="0" t="s">
        <v>2285</v>
      </c>
      <c r="O663" s="0" t="n">
        <v>1</v>
      </c>
      <c r="P663" s="0" t="s">
        <v>2286</v>
      </c>
      <c r="Q663" s="3"/>
      <c r="S663" s="2" t="s">
        <v>29</v>
      </c>
    </row>
    <row r="664" customFormat="false" ht="15" hidden="false" customHeight="false" outlineLevel="0" collapsed="false">
      <c r="A664" s="0" t="n">
        <v>663</v>
      </c>
      <c r="D664" s="0" t="s">
        <v>2287</v>
      </c>
      <c r="E664" s="0" t="s">
        <v>20</v>
      </c>
      <c r="H664" s="0" t="s">
        <v>21</v>
      </c>
      <c r="I664" s="2" t="s">
        <v>22</v>
      </c>
      <c r="J664" s="2" t="s">
        <v>635</v>
      </c>
      <c r="K664" s="0" t="s">
        <v>636</v>
      </c>
      <c r="L664" s="0" t="s">
        <v>31</v>
      </c>
      <c r="M664" s="0" t="s">
        <v>637</v>
      </c>
      <c r="N664" s="0" t="s">
        <v>2288</v>
      </c>
      <c r="O664" s="0" t="n">
        <v>1</v>
      </c>
      <c r="Q664" s="3"/>
      <c r="S664" s="2" t="s">
        <v>29</v>
      </c>
    </row>
    <row r="665" customFormat="false" ht="15" hidden="false" customHeight="false" outlineLevel="0" collapsed="false">
      <c r="A665" s="0" t="n">
        <v>664</v>
      </c>
      <c r="D665" s="0" t="s">
        <v>2289</v>
      </c>
      <c r="E665" s="0" t="s">
        <v>20</v>
      </c>
      <c r="H665" s="0" t="s">
        <v>21</v>
      </c>
      <c r="I665" s="2" t="s">
        <v>22</v>
      </c>
      <c r="J665" s="2" t="s">
        <v>635</v>
      </c>
      <c r="K665" s="0" t="s">
        <v>636</v>
      </c>
      <c r="L665" s="0" t="s">
        <v>31</v>
      </c>
      <c r="M665" s="0" t="s">
        <v>637</v>
      </c>
      <c r="N665" s="0" t="s">
        <v>2290</v>
      </c>
      <c r="O665" s="0" t="n">
        <v>1</v>
      </c>
      <c r="P665" s="0" t="s">
        <v>2291</v>
      </c>
      <c r="Q665" s="3"/>
      <c r="S665" s="2" t="s">
        <v>29</v>
      </c>
    </row>
    <row r="666" customFormat="false" ht="15" hidden="false" customHeight="false" outlineLevel="0" collapsed="false">
      <c r="A666" s="0" t="n">
        <v>665</v>
      </c>
      <c r="D666" s="0" t="s">
        <v>2292</v>
      </c>
      <c r="E666" s="0" t="s">
        <v>20</v>
      </c>
      <c r="H666" s="0" t="s">
        <v>21</v>
      </c>
      <c r="I666" s="2" t="s">
        <v>22</v>
      </c>
      <c r="J666" s="2" t="s">
        <v>635</v>
      </c>
      <c r="K666" s="0" t="s">
        <v>636</v>
      </c>
      <c r="L666" s="0" t="s">
        <v>31</v>
      </c>
      <c r="M666" s="0" t="s">
        <v>637</v>
      </c>
      <c r="N666" s="0" t="s">
        <v>2293</v>
      </c>
      <c r="O666" s="0" t="n">
        <v>1</v>
      </c>
      <c r="P666" s="0" t="s">
        <v>2294</v>
      </c>
      <c r="Q666" s="3"/>
      <c r="S666" s="2" t="s">
        <v>29</v>
      </c>
    </row>
    <row r="667" customFormat="false" ht="15" hidden="false" customHeight="false" outlineLevel="0" collapsed="false">
      <c r="A667" s="0" t="n">
        <v>666</v>
      </c>
      <c r="D667" s="0" t="s">
        <v>2295</v>
      </c>
      <c r="E667" s="0" t="s">
        <v>20</v>
      </c>
      <c r="F667" s="0" t="s">
        <v>2296</v>
      </c>
      <c r="H667" s="0" t="s">
        <v>21</v>
      </c>
      <c r="I667" s="2" t="s">
        <v>22</v>
      </c>
      <c r="J667" s="2" t="s">
        <v>635</v>
      </c>
      <c r="K667" s="0" t="s">
        <v>636</v>
      </c>
      <c r="L667" s="0" t="s">
        <v>2297</v>
      </c>
      <c r="M667" s="0" t="s">
        <v>637</v>
      </c>
      <c r="N667" s="0" t="s">
        <v>2298</v>
      </c>
      <c r="O667" s="0" t="n">
        <v>1</v>
      </c>
      <c r="P667" s="0" t="s">
        <v>2299</v>
      </c>
      <c r="Q667" s="3" t="s">
        <v>2300</v>
      </c>
      <c r="R667" s="2" t="s">
        <v>2301</v>
      </c>
      <c r="S667" s="2" t="s">
        <v>45</v>
      </c>
    </row>
    <row r="668" customFormat="false" ht="15" hidden="false" customHeight="false" outlineLevel="0" collapsed="false">
      <c r="A668" s="0" t="n">
        <v>667</v>
      </c>
      <c r="D668" s="0" t="s">
        <v>2302</v>
      </c>
      <c r="E668" s="0" t="s">
        <v>20</v>
      </c>
      <c r="H668" s="0" t="s">
        <v>21</v>
      </c>
      <c r="I668" s="2" t="s">
        <v>22</v>
      </c>
      <c r="J668" s="2" t="s">
        <v>635</v>
      </c>
      <c r="K668" s="0" t="s">
        <v>636</v>
      </c>
      <c r="L668" s="0" t="s">
        <v>31</v>
      </c>
      <c r="M668" s="0" t="s">
        <v>637</v>
      </c>
      <c r="N668" s="0" t="s">
        <v>2303</v>
      </c>
      <c r="O668" s="0" t="n">
        <v>1</v>
      </c>
      <c r="P668" s="0" t="s">
        <v>2304</v>
      </c>
      <c r="Q668" s="3"/>
      <c r="S668" s="2" t="s">
        <v>29</v>
      </c>
    </row>
    <row r="669" customFormat="false" ht="15" hidden="false" customHeight="false" outlineLevel="0" collapsed="false">
      <c r="A669" s="0" t="n">
        <v>668</v>
      </c>
      <c r="D669" s="0" t="s">
        <v>2305</v>
      </c>
      <c r="E669" s="0" t="s">
        <v>20</v>
      </c>
      <c r="H669" s="0" t="s">
        <v>21</v>
      </c>
      <c r="I669" s="2" t="s">
        <v>22</v>
      </c>
      <c r="J669" s="2" t="s">
        <v>635</v>
      </c>
      <c r="K669" s="0" t="s">
        <v>636</v>
      </c>
      <c r="L669" s="0" t="s">
        <v>31</v>
      </c>
      <c r="M669" s="0" t="s">
        <v>637</v>
      </c>
      <c r="N669" s="0" t="s">
        <v>2306</v>
      </c>
      <c r="O669" s="0" t="n">
        <v>1</v>
      </c>
      <c r="P669" s="0" t="s">
        <v>2307</v>
      </c>
      <c r="Q669" s="3"/>
      <c r="S669" s="2" t="s">
        <v>29</v>
      </c>
    </row>
    <row r="670" customFormat="false" ht="15" hidden="false" customHeight="false" outlineLevel="0" collapsed="false">
      <c r="A670" s="0" t="n">
        <v>669</v>
      </c>
      <c r="D670" s="0" t="s">
        <v>2308</v>
      </c>
      <c r="E670" s="0" t="s">
        <v>20</v>
      </c>
      <c r="H670" s="0" t="s">
        <v>21</v>
      </c>
      <c r="I670" s="2" t="s">
        <v>22</v>
      </c>
      <c r="J670" s="2" t="s">
        <v>635</v>
      </c>
      <c r="K670" s="0" t="s">
        <v>636</v>
      </c>
      <c r="L670" s="0" t="s">
        <v>31</v>
      </c>
      <c r="M670" s="0" t="s">
        <v>637</v>
      </c>
      <c r="N670" s="0" t="s">
        <v>2309</v>
      </c>
      <c r="O670" s="0" t="n">
        <v>1</v>
      </c>
      <c r="P670" s="0" t="s">
        <v>2310</v>
      </c>
      <c r="Q670" s="3"/>
      <c r="S670" s="2" t="s">
        <v>29</v>
      </c>
    </row>
    <row r="671" customFormat="false" ht="15" hidden="false" customHeight="false" outlineLevel="0" collapsed="false">
      <c r="A671" s="0" t="n">
        <v>670</v>
      </c>
      <c r="D671" s="0" t="s">
        <v>2311</v>
      </c>
      <c r="E671" s="0" t="s">
        <v>20</v>
      </c>
      <c r="H671" s="0" t="s">
        <v>21</v>
      </c>
      <c r="I671" s="2" t="s">
        <v>22</v>
      </c>
      <c r="J671" s="2" t="s">
        <v>635</v>
      </c>
      <c r="K671" s="0" t="s">
        <v>636</v>
      </c>
      <c r="L671" s="0" t="s">
        <v>31</v>
      </c>
      <c r="M671" s="0" t="s">
        <v>637</v>
      </c>
      <c r="N671" s="0" t="s">
        <v>2312</v>
      </c>
      <c r="O671" s="0" t="n">
        <v>1</v>
      </c>
      <c r="P671" s="0" t="s">
        <v>2313</v>
      </c>
      <c r="Q671" s="3"/>
      <c r="S671" s="2" t="s">
        <v>29</v>
      </c>
    </row>
    <row r="672" customFormat="false" ht="15" hidden="false" customHeight="false" outlineLevel="0" collapsed="false">
      <c r="A672" s="0" t="n">
        <v>671</v>
      </c>
      <c r="D672" s="0" t="s">
        <v>2314</v>
      </c>
      <c r="E672" s="0" t="s">
        <v>99</v>
      </c>
      <c r="H672" s="0" t="s">
        <v>21</v>
      </c>
      <c r="I672" s="2" t="s">
        <v>22</v>
      </c>
      <c r="J672" s="2" t="s">
        <v>635</v>
      </c>
      <c r="K672" s="0" t="s">
        <v>636</v>
      </c>
      <c r="L672" s="0" t="s">
        <v>100</v>
      </c>
      <c r="M672" s="0" t="s">
        <v>637</v>
      </c>
      <c r="N672" s="0" t="s">
        <v>2315</v>
      </c>
      <c r="O672" s="0" t="n">
        <v>1</v>
      </c>
      <c r="Q672" s="3"/>
      <c r="S672" s="2" t="s">
        <v>29</v>
      </c>
    </row>
    <row r="673" customFormat="false" ht="15" hidden="false" customHeight="false" outlineLevel="0" collapsed="false">
      <c r="A673" s="0" t="n">
        <v>672</v>
      </c>
      <c r="D673" s="0" t="s">
        <v>2316</v>
      </c>
      <c r="E673" s="0" t="s">
        <v>99</v>
      </c>
      <c r="H673" s="0" t="s">
        <v>21</v>
      </c>
      <c r="I673" s="2" t="s">
        <v>22</v>
      </c>
      <c r="J673" s="2" t="s">
        <v>635</v>
      </c>
      <c r="K673" s="0" t="s">
        <v>636</v>
      </c>
      <c r="L673" s="0" t="s">
        <v>100</v>
      </c>
      <c r="M673" s="0" t="s">
        <v>637</v>
      </c>
      <c r="N673" s="0" t="s">
        <v>2317</v>
      </c>
      <c r="O673" s="0" t="n">
        <v>1</v>
      </c>
      <c r="P673" s="0" t="s">
        <v>2318</v>
      </c>
      <c r="Q673" s="3"/>
      <c r="S673" s="2" t="s">
        <v>29</v>
      </c>
    </row>
    <row r="674" customFormat="false" ht="15" hidden="false" customHeight="false" outlineLevel="0" collapsed="false">
      <c r="A674" s="0" t="n">
        <v>673</v>
      </c>
      <c r="D674" s="0" t="s">
        <v>2319</v>
      </c>
      <c r="E674" s="0" t="s">
        <v>2320</v>
      </c>
      <c r="H674" s="0" t="s">
        <v>21</v>
      </c>
      <c r="I674" s="2" t="s">
        <v>22</v>
      </c>
      <c r="J674" s="2" t="s">
        <v>635</v>
      </c>
      <c r="K674" s="0" t="s">
        <v>636</v>
      </c>
      <c r="L674" s="0" t="s">
        <v>100</v>
      </c>
      <c r="M674" s="0" t="s">
        <v>637</v>
      </c>
      <c r="N674" s="0" t="s">
        <v>2321</v>
      </c>
      <c r="O674" s="0" t="n">
        <v>1</v>
      </c>
      <c r="P674" s="0" t="s">
        <v>2322</v>
      </c>
      <c r="Q674" s="3"/>
      <c r="S674" s="2" t="s">
        <v>29</v>
      </c>
    </row>
    <row r="675" customFormat="false" ht="15" hidden="false" customHeight="false" outlineLevel="0" collapsed="false">
      <c r="A675" s="0" t="n">
        <v>674</v>
      </c>
      <c r="D675" s="0" t="s">
        <v>2323</v>
      </c>
      <c r="E675" s="0" t="s">
        <v>20</v>
      </c>
      <c r="H675" s="0" t="s">
        <v>21</v>
      </c>
      <c r="I675" s="2" t="s">
        <v>22</v>
      </c>
      <c r="J675" s="2" t="s">
        <v>635</v>
      </c>
      <c r="K675" s="0" t="s">
        <v>636</v>
      </c>
      <c r="L675" s="0" t="s">
        <v>31</v>
      </c>
      <c r="M675" s="0" t="s">
        <v>637</v>
      </c>
      <c r="N675" s="0" t="s">
        <v>2324</v>
      </c>
      <c r="O675" s="0" t="n">
        <v>1</v>
      </c>
      <c r="P675" s="0" t="s">
        <v>2325</v>
      </c>
      <c r="Q675" s="3"/>
      <c r="S675" s="2" t="s">
        <v>29</v>
      </c>
    </row>
    <row r="676" customFormat="false" ht="15" hidden="false" customHeight="false" outlineLevel="0" collapsed="false">
      <c r="A676" s="0" t="n">
        <v>675</v>
      </c>
      <c r="D676" s="0" t="s">
        <v>2326</v>
      </c>
      <c r="E676" s="0" t="s">
        <v>20</v>
      </c>
      <c r="H676" s="0" t="s">
        <v>21</v>
      </c>
      <c r="I676" s="2" t="s">
        <v>22</v>
      </c>
      <c r="J676" s="2" t="s">
        <v>635</v>
      </c>
      <c r="K676" s="0" t="s">
        <v>636</v>
      </c>
      <c r="L676" s="0" t="s">
        <v>31</v>
      </c>
      <c r="M676" s="0" t="s">
        <v>637</v>
      </c>
      <c r="N676" s="0" t="s">
        <v>2327</v>
      </c>
      <c r="O676" s="0" t="n">
        <v>1</v>
      </c>
      <c r="P676" s="0" t="s">
        <v>2328</v>
      </c>
      <c r="Q676" s="3"/>
      <c r="S676" s="2" t="s">
        <v>29</v>
      </c>
    </row>
    <row r="677" customFormat="false" ht="15" hidden="false" customHeight="false" outlineLevel="0" collapsed="false">
      <c r="A677" s="0" t="n">
        <v>676</v>
      </c>
      <c r="D677" s="0" t="s">
        <v>2329</v>
      </c>
      <c r="E677" s="0" t="s">
        <v>20</v>
      </c>
      <c r="H677" s="0" t="s">
        <v>21</v>
      </c>
      <c r="I677" s="2" t="s">
        <v>22</v>
      </c>
      <c r="J677" s="2" t="s">
        <v>635</v>
      </c>
      <c r="K677" s="0" t="s">
        <v>636</v>
      </c>
      <c r="L677" s="0" t="s">
        <v>31</v>
      </c>
      <c r="M677" s="0" t="s">
        <v>637</v>
      </c>
      <c r="N677" s="0" t="s">
        <v>2330</v>
      </c>
      <c r="O677" s="0" t="n">
        <v>1</v>
      </c>
      <c r="P677" s="0" t="s">
        <v>2331</v>
      </c>
      <c r="Q677" s="3"/>
      <c r="S677" s="2" t="s">
        <v>29</v>
      </c>
    </row>
    <row r="678" customFormat="false" ht="15" hidden="false" customHeight="false" outlineLevel="0" collapsed="false">
      <c r="A678" s="0" t="n">
        <v>677</v>
      </c>
      <c r="D678" s="0" t="s">
        <v>2332</v>
      </c>
      <c r="E678" s="0" t="s">
        <v>20</v>
      </c>
      <c r="H678" s="0" t="s">
        <v>21</v>
      </c>
      <c r="I678" s="2" t="s">
        <v>22</v>
      </c>
      <c r="J678" s="2" t="s">
        <v>635</v>
      </c>
      <c r="K678" s="0" t="s">
        <v>636</v>
      </c>
      <c r="L678" s="0" t="s">
        <v>31</v>
      </c>
      <c r="M678" s="0" t="s">
        <v>637</v>
      </c>
      <c r="N678" s="0" t="s">
        <v>2333</v>
      </c>
      <c r="O678" s="0" t="n">
        <v>1</v>
      </c>
      <c r="P678" s="0" t="s">
        <v>2334</v>
      </c>
      <c r="Q678" s="3"/>
      <c r="S678" s="2" t="s">
        <v>29</v>
      </c>
    </row>
    <row r="679" customFormat="false" ht="15" hidden="false" customHeight="false" outlineLevel="0" collapsed="false">
      <c r="A679" s="0" t="n">
        <v>678</v>
      </c>
      <c r="D679" s="0" t="s">
        <v>2335</v>
      </c>
      <c r="E679" s="0" t="s">
        <v>20</v>
      </c>
      <c r="H679" s="0" t="s">
        <v>21</v>
      </c>
      <c r="I679" s="2" t="s">
        <v>22</v>
      </c>
      <c r="J679" s="2" t="s">
        <v>635</v>
      </c>
      <c r="K679" s="0" t="s">
        <v>636</v>
      </c>
      <c r="L679" s="0" t="s">
        <v>31</v>
      </c>
      <c r="M679" s="0" t="s">
        <v>637</v>
      </c>
      <c r="N679" s="0" t="s">
        <v>2336</v>
      </c>
      <c r="O679" s="0" t="n">
        <v>1</v>
      </c>
      <c r="P679" s="0" t="s">
        <v>2337</v>
      </c>
      <c r="Q679" s="3"/>
      <c r="S679" s="2" t="s">
        <v>29</v>
      </c>
    </row>
    <row r="680" customFormat="false" ht="15" hidden="false" customHeight="false" outlineLevel="0" collapsed="false">
      <c r="A680" s="0" t="n">
        <v>679</v>
      </c>
      <c r="D680" s="0" t="s">
        <v>2338</v>
      </c>
      <c r="E680" s="0" t="s">
        <v>20</v>
      </c>
      <c r="H680" s="0" t="s">
        <v>21</v>
      </c>
      <c r="I680" s="2" t="s">
        <v>22</v>
      </c>
      <c r="J680" s="2" t="s">
        <v>635</v>
      </c>
      <c r="K680" s="0" t="s">
        <v>636</v>
      </c>
      <c r="L680" s="0" t="s">
        <v>31</v>
      </c>
      <c r="M680" s="0" t="s">
        <v>637</v>
      </c>
      <c r="N680" s="0" t="s">
        <v>2339</v>
      </c>
      <c r="O680" s="0" t="n">
        <v>1</v>
      </c>
      <c r="P680" s="0" t="s">
        <v>2340</v>
      </c>
      <c r="Q680" s="3"/>
      <c r="S680" s="2" t="s">
        <v>29</v>
      </c>
    </row>
    <row r="681" customFormat="false" ht="15" hidden="false" customHeight="false" outlineLevel="0" collapsed="false">
      <c r="A681" s="0" t="n">
        <v>680</v>
      </c>
      <c r="D681" s="0" t="s">
        <v>2341</v>
      </c>
      <c r="E681" s="0" t="s">
        <v>20</v>
      </c>
      <c r="H681" s="0" t="s">
        <v>21</v>
      </c>
      <c r="I681" s="2" t="s">
        <v>22</v>
      </c>
      <c r="J681" s="2" t="s">
        <v>635</v>
      </c>
      <c r="K681" s="0" t="s">
        <v>636</v>
      </c>
      <c r="L681" s="0" t="s">
        <v>31</v>
      </c>
      <c r="M681" s="0" t="s">
        <v>637</v>
      </c>
      <c r="N681" s="0" t="s">
        <v>2342</v>
      </c>
      <c r="O681" s="0" t="n">
        <v>1</v>
      </c>
      <c r="P681" s="0" t="s">
        <v>2343</v>
      </c>
      <c r="Q681" s="3"/>
      <c r="S681" s="2" t="s">
        <v>29</v>
      </c>
    </row>
    <row r="682" customFormat="false" ht="15" hidden="false" customHeight="false" outlineLevel="0" collapsed="false">
      <c r="A682" s="0" t="n">
        <v>681</v>
      </c>
      <c r="D682" s="0" t="s">
        <v>2344</v>
      </c>
      <c r="E682" s="0" t="s">
        <v>20</v>
      </c>
      <c r="H682" s="0" t="s">
        <v>21</v>
      </c>
      <c r="I682" s="2" t="s">
        <v>22</v>
      </c>
      <c r="J682" s="2" t="s">
        <v>635</v>
      </c>
      <c r="K682" s="0" t="s">
        <v>636</v>
      </c>
      <c r="L682" s="0" t="s">
        <v>31</v>
      </c>
      <c r="M682" s="0" t="s">
        <v>637</v>
      </c>
      <c r="N682" s="0" t="s">
        <v>2345</v>
      </c>
      <c r="O682" s="0" t="n">
        <v>1</v>
      </c>
      <c r="P682" s="0" t="s">
        <v>2346</v>
      </c>
      <c r="Q682" s="3"/>
      <c r="S682" s="2" t="s">
        <v>29</v>
      </c>
    </row>
    <row r="683" customFormat="false" ht="15" hidden="false" customHeight="false" outlineLevel="0" collapsed="false">
      <c r="A683" s="0" t="n">
        <v>682</v>
      </c>
      <c r="D683" s="0" t="s">
        <v>2347</v>
      </c>
      <c r="E683" s="0" t="s">
        <v>20</v>
      </c>
      <c r="H683" s="0" t="s">
        <v>21</v>
      </c>
      <c r="I683" s="2" t="s">
        <v>22</v>
      </c>
      <c r="J683" s="2" t="s">
        <v>635</v>
      </c>
      <c r="K683" s="0" t="s">
        <v>636</v>
      </c>
      <c r="L683" s="0" t="s">
        <v>31</v>
      </c>
      <c r="M683" s="0" t="s">
        <v>637</v>
      </c>
      <c r="N683" s="0" t="s">
        <v>2348</v>
      </c>
      <c r="O683" s="0" t="n">
        <v>1</v>
      </c>
      <c r="P683" s="0" t="s">
        <v>2349</v>
      </c>
      <c r="Q683" s="3"/>
      <c r="S683" s="2" t="s">
        <v>29</v>
      </c>
    </row>
    <row r="684" customFormat="false" ht="15" hidden="false" customHeight="false" outlineLevel="0" collapsed="false">
      <c r="A684" s="0" t="n">
        <v>683</v>
      </c>
      <c r="D684" s="0" t="s">
        <v>2350</v>
      </c>
      <c r="E684" s="0" t="s">
        <v>20</v>
      </c>
      <c r="H684" s="0" t="s">
        <v>21</v>
      </c>
      <c r="I684" s="2" t="s">
        <v>22</v>
      </c>
      <c r="J684" s="2" t="s">
        <v>635</v>
      </c>
      <c r="K684" s="0" t="s">
        <v>636</v>
      </c>
      <c r="L684" s="0" t="s">
        <v>31</v>
      </c>
      <c r="M684" s="0" t="s">
        <v>637</v>
      </c>
      <c r="N684" s="0" t="s">
        <v>2351</v>
      </c>
      <c r="O684" s="0" t="n">
        <v>1</v>
      </c>
      <c r="P684" s="0" t="s">
        <v>2352</v>
      </c>
      <c r="Q684" s="3"/>
      <c r="S684" s="2" t="s">
        <v>29</v>
      </c>
    </row>
    <row r="685" customFormat="false" ht="15" hidden="false" customHeight="false" outlineLevel="0" collapsed="false">
      <c r="A685" s="0" t="n">
        <v>684</v>
      </c>
      <c r="D685" s="0" t="s">
        <v>2353</v>
      </c>
      <c r="E685" s="0" t="s">
        <v>20</v>
      </c>
      <c r="H685" s="0" t="s">
        <v>21</v>
      </c>
      <c r="I685" s="2" t="s">
        <v>22</v>
      </c>
      <c r="J685" s="2" t="s">
        <v>635</v>
      </c>
      <c r="K685" s="0" t="s">
        <v>636</v>
      </c>
      <c r="L685" s="0" t="s">
        <v>31</v>
      </c>
      <c r="M685" s="0" t="s">
        <v>637</v>
      </c>
      <c r="N685" s="0" t="s">
        <v>2354</v>
      </c>
      <c r="O685" s="0" t="n">
        <v>1</v>
      </c>
      <c r="P685" s="0" t="s">
        <v>2355</v>
      </c>
      <c r="Q685" s="3"/>
      <c r="S685" s="2" t="s">
        <v>29</v>
      </c>
    </row>
    <row r="686" customFormat="false" ht="15" hidden="false" customHeight="false" outlineLevel="0" collapsed="false">
      <c r="A686" s="0" t="n">
        <v>685</v>
      </c>
      <c r="D686" s="0" t="s">
        <v>2356</v>
      </c>
      <c r="E686" s="0" t="s">
        <v>20</v>
      </c>
      <c r="H686" s="0" t="s">
        <v>21</v>
      </c>
      <c r="I686" s="2" t="s">
        <v>22</v>
      </c>
      <c r="J686" s="2" t="s">
        <v>635</v>
      </c>
      <c r="K686" s="0" t="s">
        <v>636</v>
      </c>
      <c r="L686" s="0" t="s">
        <v>31</v>
      </c>
      <c r="M686" s="0" t="s">
        <v>637</v>
      </c>
      <c r="N686" s="0" t="s">
        <v>2357</v>
      </c>
      <c r="O686" s="0" t="n">
        <v>1</v>
      </c>
      <c r="P686" s="0" t="s">
        <v>2358</v>
      </c>
      <c r="Q686" s="3"/>
      <c r="S686" s="2" t="s">
        <v>29</v>
      </c>
    </row>
    <row r="687" customFormat="false" ht="15" hidden="false" customHeight="false" outlineLevel="0" collapsed="false">
      <c r="A687" s="0" t="n">
        <v>686</v>
      </c>
      <c r="D687" s="0" t="s">
        <v>2359</v>
      </c>
      <c r="E687" s="0" t="s">
        <v>99</v>
      </c>
      <c r="H687" s="0" t="s">
        <v>21</v>
      </c>
      <c r="I687" s="2" t="s">
        <v>22</v>
      </c>
      <c r="J687" s="2" t="s">
        <v>635</v>
      </c>
      <c r="K687" s="0" t="s">
        <v>636</v>
      </c>
      <c r="L687" s="0" t="s">
        <v>100</v>
      </c>
      <c r="M687" s="0" t="s">
        <v>637</v>
      </c>
      <c r="N687" s="0" t="s">
        <v>2360</v>
      </c>
      <c r="O687" s="0" t="n">
        <v>1</v>
      </c>
      <c r="P687" s="0" t="s">
        <v>2361</v>
      </c>
      <c r="Q687" s="3"/>
      <c r="S687" s="2" t="s">
        <v>29</v>
      </c>
    </row>
    <row r="688" customFormat="false" ht="15" hidden="false" customHeight="false" outlineLevel="0" collapsed="false">
      <c r="A688" s="0" t="n">
        <v>687</v>
      </c>
      <c r="D688" s="0" t="s">
        <v>2362</v>
      </c>
      <c r="E688" s="0" t="s">
        <v>20</v>
      </c>
      <c r="H688" s="0" t="s">
        <v>21</v>
      </c>
      <c r="I688" s="2" t="s">
        <v>22</v>
      </c>
      <c r="J688" s="2" t="s">
        <v>635</v>
      </c>
      <c r="K688" s="0" t="s">
        <v>636</v>
      </c>
      <c r="L688" s="0" t="s">
        <v>31</v>
      </c>
      <c r="M688" s="0" t="s">
        <v>637</v>
      </c>
      <c r="N688" s="0" t="s">
        <v>2363</v>
      </c>
      <c r="O688" s="0" t="n">
        <v>1</v>
      </c>
      <c r="P688" s="0" t="s">
        <v>2364</v>
      </c>
      <c r="Q688" s="3"/>
      <c r="S688" s="2" t="s">
        <v>29</v>
      </c>
    </row>
    <row r="689" customFormat="false" ht="15" hidden="false" customHeight="false" outlineLevel="0" collapsed="false">
      <c r="A689" s="0" t="n">
        <v>688</v>
      </c>
      <c r="D689" s="0" t="s">
        <v>2365</v>
      </c>
      <c r="E689" s="0" t="s">
        <v>226</v>
      </c>
      <c r="H689" s="0" t="s">
        <v>21</v>
      </c>
      <c r="I689" s="2" t="s">
        <v>22</v>
      </c>
      <c r="J689" s="2" t="s">
        <v>635</v>
      </c>
      <c r="K689" s="0" t="s">
        <v>636</v>
      </c>
      <c r="L689" s="0" t="s">
        <v>100</v>
      </c>
      <c r="M689" s="0" t="s">
        <v>637</v>
      </c>
      <c r="N689" s="0" t="s">
        <v>2366</v>
      </c>
      <c r="O689" s="0" t="n">
        <v>1</v>
      </c>
      <c r="P689" s="0" t="s">
        <v>2367</v>
      </c>
      <c r="Q689" s="3"/>
      <c r="S689" s="2" t="s">
        <v>29</v>
      </c>
    </row>
    <row r="690" customFormat="false" ht="15" hidden="false" customHeight="false" outlineLevel="0" collapsed="false">
      <c r="A690" s="0" t="n">
        <v>689</v>
      </c>
      <c r="D690" s="0" t="s">
        <v>2368</v>
      </c>
      <c r="E690" s="0" t="s">
        <v>20</v>
      </c>
      <c r="H690" s="0" t="s">
        <v>21</v>
      </c>
      <c r="I690" s="2" t="s">
        <v>22</v>
      </c>
      <c r="J690" s="2" t="s">
        <v>635</v>
      </c>
      <c r="K690" s="0" t="s">
        <v>636</v>
      </c>
      <c r="L690" s="0" t="s">
        <v>31</v>
      </c>
      <c r="M690" s="0" t="s">
        <v>637</v>
      </c>
      <c r="N690" s="0" t="s">
        <v>2369</v>
      </c>
      <c r="O690" s="0" t="n">
        <v>1</v>
      </c>
      <c r="P690" s="0" t="s">
        <v>2370</v>
      </c>
      <c r="Q690" s="3"/>
      <c r="S690" s="2" t="s">
        <v>29</v>
      </c>
    </row>
    <row r="691" customFormat="false" ht="15" hidden="false" customHeight="false" outlineLevel="0" collapsed="false">
      <c r="A691" s="0" t="n">
        <v>690</v>
      </c>
      <c r="D691" s="0" t="s">
        <v>2371</v>
      </c>
      <c r="E691" s="0" t="s">
        <v>20</v>
      </c>
      <c r="H691" s="0" t="s">
        <v>21</v>
      </c>
      <c r="I691" s="2" t="s">
        <v>22</v>
      </c>
      <c r="J691" s="2" t="s">
        <v>635</v>
      </c>
      <c r="K691" s="0" t="s">
        <v>636</v>
      </c>
      <c r="L691" s="0" t="s">
        <v>31</v>
      </c>
      <c r="M691" s="0" t="s">
        <v>637</v>
      </c>
      <c r="N691" s="0" t="s">
        <v>2372</v>
      </c>
      <c r="O691" s="0" t="n">
        <v>1</v>
      </c>
      <c r="P691" s="0" t="s">
        <v>2373</v>
      </c>
      <c r="Q691" s="3"/>
      <c r="S691" s="2" t="s">
        <v>29</v>
      </c>
    </row>
    <row r="692" customFormat="false" ht="15" hidden="false" customHeight="false" outlineLevel="0" collapsed="false">
      <c r="A692" s="0" t="n">
        <v>691</v>
      </c>
      <c r="D692" s="0" t="s">
        <v>2374</v>
      </c>
      <c r="E692" s="0" t="s">
        <v>20</v>
      </c>
      <c r="H692" s="0" t="s">
        <v>21</v>
      </c>
      <c r="I692" s="2" t="s">
        <v>22</v>
      </c>
      <c r="J692" s="2" t="s">
        <v>635</v>
      </c>
      <c r="K692" s="0" t="s">
        <v>636</v>
      </c>
      <c r="L692" s="0" t="s">
        <v>31</v>
      </c>
      <c r="M692" s="0" t="s">
        <v>637</v>
      </c>
      <c r="N692" s="0" t="s">
        <v>2375</v>
      </c>
      <c r="O692" s="0" t="n">
        <v>1</v>
      </c>
      <c r="P692" s="0" t="s">
        <v>2376</v>
      </c>
      <c r="Q692" s="3"/>
      <c r="S692" s="2" t="s">
        <v>29</v>
      </c>
    </row>
    <row r="693" customFormat="false" ht="15" hidden="false" customHeight="false" outlineLevel="0" collapsed="false">
      <c r="A693" s="0" t="n">
        <v>692</v>
      </c>
      <c r="D693" s="0" t="s">
        <v>2377</v>
      </c>
      <c r="E693" s="0" t="s">
        <v>99</v>
      </c>
      <c r="H693" s="0" t="s">
        <v>21</v>
      </c>
      <c r="I693" s="2" t="s">
        <v>22</v>
      </c>
      <c r="J693" s="2" t="s">
        <v>635</v>
      </c>
      <c r="K693" s="0" t="s">
        <v>636</v>
      </c>
      <c r="L693" s="0" t="s">
        <v>100</v>
      </c>
      <c r="M693" s="0" t="s">
        <v>637</v>
      </c>
      <c r="N693" s="0" t="s">
        <v>2378</v>
      </c>
      <c r="O693" s="0" t="n">
        <v>1</v>
      </c>
      <c r="P693" s="0" t="s">
        <v>2379</v>
      </c>
      <c r="Q693" s="3"/>
      <c r="S693" s="2" t="s">
        <v>29</v>
      </c>
    </row>
    <row r="694" customFormat="false" ht="15" hidden="false" customHeight="false" outlineLevel="0" collapsed="false">
      <c r="A694" s="0" t="n">
        <v>693</v>
      </c>
      <c r="D694" s="0" t="s">
        <v>2380</v>
      </c>
      <c r="E694" s="0" t="s">
        <v>20</v>
      </c>
      <c r="H694" s="0" t="s">
        <v>21</v>
      </c>
      <c r="I694" s="2" t="s">
        <v>22</v>
      </c>
      <c r="J694" s="2" t="s">
        <v>635</v>
      </c>
      <c r="K694" s="0" t="s">
        <v>636</v>
      </c>
      <c r="L694" s="0" t="s">
        <v>31</v>
      </c>
      <c r="M694" s="0" t="s">
        <v>637</v>
      </c>
      <c r="N694" s="0" t="s">
        <v>2381</v>
      </c>
      <c r="O694" s="0" t="n">
        <v>1</v>
      </c>
      <c r="P694" s="0" t="s">
        <v>2382</v>
      </c>
      <c r="Q694" s="3"/>
      <c r="S694" s="2" t="s">
        <v>29</v>
      </c>
    </row>
    <row r="695" customFormat="false" ht="15" hidden="false" customHeight="false" outlineLevel="0" collapsed="false">
      <c r="A695" s="0" t="n">
        <v>694</v>
      </c>
      <c r="D695" s="0" t="s">
        <v>2383</v>
      </c>
      <c r="E695" s="0" t="s">
        <v>20</v>
      </c>
      <c r="H695" s="0" t="s">
        <v>21</v>
      </c>
      <c r="I695" s="2" t="s">
        <v>22</v>
      </c>
      <c r="J695" s="2" t="s">
        <v>635</v>
      </c>
      <c r="K695" s="0" t="s">
        <v>636</v>
      </c>
      <c r="L695" s="0" t="s">
        <v>31</v>
      </c>
      <c r="M695" s="0" t="s">
        <v>637</v>
      </c>
      <c r="N695" s="0" t="s">
        <v>2384</v>
      </c>
      <c r="O695" s="0" t="n">
        <v>1</v>
      </c>
      <c r="P695" s="0" t="s">
        <v>2385</v>
      </c>
      <c r="Q695" s="3"/>
      <c r="S695" s="2" t="s">
        <v>29</v>
      </c>
    </row>
    <row r="696" customFormat="false" ht="15" hidden="false" customHeight="false" outlineLevel="0" collapsed="false">
      <c r="A696" s="0" t="n">
        <v>695</v>
      </c>
      <c r="D696" s="0" t="s">
        <v>2386</v>
      </c>
      <c r="E696" s="0" t="s">
        <v>20</v>
      </c>
      <c r="H696" s="0" t="s">
        <v>21</v>
      </c>
      <c r="I696" s="2" t="s">
        <v>22</v>
      </c>
      <c r="J696" s="2" t="s">
        <v>635</v>
      </c>
      <c r="K696" s="0" t="s">
        <v>636</v>
      </c>
      <c r="L696" s="0" t="s">
        <v>31</v>
      </c>
      <c r="M696" s="0" t="s">
        <v>637</v>
      </c>
      <c r="N696" s="0" t="s">
        <v>2387</v>
      </c>
      <c r="O696" s="0" t="n">
        <v>1</v>
      </c>
      <c r="P696" s="0" t="s">
        <v>2388</v>
      </c>
      <c r="Q696" s="3"/>
      <c r="S696" s="2" t="s">
        <v>29</v>
      </c>
    </row>
    <row r="697" customFormat="false" ht="15" hidden="false" customHeight="false" outlineLevel="0" collapsed="false">
      <c r="A697" s="0" t="n">
        <v>696</v>
      </c>
      <c r="D697" s="0" t="s">
        <v>2389</v>
      </c>
      <c r="E697" s="0" t="s">
        <v>20</v>
      </c>
      <c r="H697" s="0" t="s">
        <v>21</v>
      </c>
      <c r="I697" s="2" t="s">
        <v>22</v>
      </c>
      <c r="J697" s="2" t="s">
        <v>635</v>
      </c>
      <c r="K697" s="0" t="s">
        <v>636</v>
      </c>
      <c r="L697" s="0" t="s">
        <v>31</v>
      </c>
      <c r="M697" s="0" t="s">
        <v>637</v>
      </c>
      <c r="N697" s="0" t="s">
        <v>2390</v>
      </c>
      <c r="O697" s="0" t="n">
        <v>1</v>
      </c>
      <c r="P697" s="0" t="s">
        <v>2391</v>
      </c>
      <c r="Q697" s="3"/>
      <c r="S697" s="2" t="s">
        <v>29</v>
      </c>
    </row>
    <row r="698" customFormat="false" ht="15" hidden="false" customHeight="false" outlineLevel="0" collapsed="false">
      <c r="A698" s="0" t="n">
        <v>697</v>
      </c>
      <c r="D698" s="0" t="s">
        <v>2392</v>
      </c>
      <c r="E698" s="0" t="s">
        <v>20</v>
      </c>
      <c r="H698" s="0" t="s">
        <v>21</v>
      </c>
      <c r="I698" s="2" t="s">
        <v>22</v>
      </c>
      <c r="J698" s="2" t="s">
        <v>635</v>
      </c>
      <c r="K698" s="0" t="s">
        <v>636</v>
      </c>
      <c r="L698" s="0" t="s">
        <v>31</v>
      </c>
      <c r="M698" s="0" t="s">
        <v>637</v>
      </c>
      <c r="N698" s="0" t="s">
        <v>2393</v>
      </c>
      <c r="O698" s="0" t="n">
        <v>1</v>
      </c>
      <c r="P698" s="0" t="s">
        <v>2394</v>
      </c>
      <c r="Q698" s="3"/>
      <c r="S698" s="2" t="s">
        <v>29</v>
      </c>
    </row>
    <row r="699" customFormat="false" ht="15" hidden="false" customHeight="false" outlineLevel="0" collapsed="false">
      <c r="A699" s="0" t="n">
        <v>698</v>
      </c>
      <c r="D699" s="0" t="s">
        <v>2395</v>
      </c>
      <c r="E699" s="0" t="s">
        <v>20</v>
      </c>
      <c r="H699" s="0" t="s">
        <v>21</v>
      </c>
      <c r="I699" s="2" t="s">
        <v>22</v>
      </c>
      <c r="J699" s="2" t="s">
        <v>635</v>
      </c>
      <c r="K699" s="0" t="s">
        <v>636</v>
      </c>
      <c r="L699" s="0" t="s">
        <v>31</v>
      </c>
      <c r="M699" s="0" t="s">
        <v>637</v>
      </c>
      <c r="N699" s="0" t="s">
        <v>2396</v>
      </c>
      <c r="O699" s="0" t="n">
        <v>1</v>
      </c>
      <c r="P699" s="0" t="s">
        <v>2397</v>
      </c>
      <c r="Q699" s="3"/>
      <c r="S699" s="2" t="s">
        <v>29</v>
      </c>
    </row>
    <row r="700" customFormat="false" ht="15" hidden="false" customHeight="false" outlineLevel="0" collapsed="false">
      <c r="A700" s="0" t="n">
        <v>699</v>
      </c>
      <c r="D700" s="0" t="s">
        <v>2398</v>
      </c>
      <c r="E700" s="0" t="s">
        <v>20</v>
      </c>
      <c r="F700" s="0" t="s">
        <v>2399</v>
      </c>
      <c r="H700" s="0" t="s">
        <v>21</v>
      </c>
      <c r="I700" s="2" t="s">
        <v>22</v>
      </c>
      <c r="J700" s="2" t="s">
        <v>635</v>
      </c>
      <c r="K700" s="0" t="s">
        <v>636</v>
      </c>
      <c r="L700" s="0" t="s">
        <v>2400</v>
      </c>
      <c r="M700" s="0" t="s">
        <v>637</v>
      </c>
      <c r="N700" s="0" t="s">
        <v>2401</v>
      </c>
      <c r="O700" s="0" t="n">
        <v>1</v>
      </c>
      <c r="P700" s="0" t="s">
        <v>2402</v>
      </c>
      <c r="Q700" s="3" t="s">
        <v>2403</v>
      </c>
      <c r="R700" s="2" t="s">
        <v>2404</v>
      </c>
      <c r="S700" s="2" t="s">
        <v>45</v>
      </c>
    </row>
    <row r="701" customFormat="false" ht="15" hidden="false" customHeight="false" outlineLevel="0" collapsed="false">
      <c r="A701" s="0" t="n">
        <v>700</v>
      </c>
      <c r="D701" s="0" t="s">
        <v>2405</v>
      </c>
      <c r="E701" s="0" t="s">
        <v>20</v>
      </c>
      <c r="H701" s="0" t="s">
        <v>21</v>
      </c>
      <c r="I701" s="2" t="s">
        <v>22</v>
      </c>
      <c r="J701" s="2" t="s">
        <v>635</v>
      </c>
      <c r="K701" s="0" t="s">
        <v>636</v>
      </c>
      <c r="L701" s="0" t="s">
        <v>31</v>
      </c>
      <c r="M701" s="0" t="s">
        <v>637</v>
      </c>
      <c r="N701" s="0" t="s">
        <v>2406</v>
      </c>
      <c r="O701" s="0" t="n">
        <v>1</v>
      </c>
      <c r="P701" s="0" t="s">
        <v>2407</v>
      </c>
      <c r="Q701" s="3"/>
      <c r="S701" s="2" t="s">
        <v>29</v>
      </c>
    </row>
    <row r="702" customFormat="false" ht="15" hidden="false" customHeight="false" outlineLevel="0" collapsed="false">
      <c r="A702" s="0" t="n">
        <v>701</v>
      </c>
      <c r="D702" s="0" t="s">
        <v>2408</v>
      </c>
      <c r="E702" s="0" t="s">
        <v>20</v>
      </c>
      <c r="H702" s="0" t="s">
        <v>21</v>
      </c>
      <c r="I702" s="2" t="s">
        <v>22</v>
      </c>
      <c r="J702" s="2" t="s">
        <v>635</v>
      </c>
      <c r="K702" s="0" t="s">
        <v>636</v>
      </c>
      <c r="L702" s="0" t="s">
        <v>31</v>
      </c>
      <c r="M702" s="0" t="s">
        <v>637</v>
      </c>
      <c r="N702" s="0" t="s">
        <v>2409</v>
      </c>
      <c r="O702" s="0" t="n">
        <v>1</v>
      </c>
      <c r="P702" s="0" t="s">
        <v>2410</v>
      </c>
      <c r="Q702" s="3"/>
      <c r="S702" s="2" t="s">
        <v>29</v>
      </c>
    </row>
    <row r="703" customFormat="false" ht="15" hidden="false" customHeight="false" outlineLevel="0" collapsed="false">
      <c r="A703" s="0" t="n">
        <v>702</v>
      </c>
      <c r="D703" s="0" t="s">
        <v>2411</v>
      </c>
      <c r="E703" s="0" t="s">
        <v>20</v>
      </c>
      <c r="H703" s="0" t="s">
        <v>21</v>
      </c>
      <c r="I703" s="2" t="s">
        <v>22</v>
      </c>
      <c r="J703" s="2" t="s">
        <v>635</v>
      </c>
      <c r="K703" s="0" t="s">
        <v>636</v>
      </c>
      <c r="L703" s="0" t="s">
        <v>31</v>
      </c>
      <c r="M703" s="0" t="s">
        <v>637</v>
      </c>
      <c r="N703" s="0" t="s">
        <v>2412</v>
      </c>
      <c r="O703" s="0" t="n">
        <v>1</v>
      </c>
      <c r="P703" s="0" t="s">
        <v>2413</v>
      </c>
      <c r="Q703" s="3"/>
      <c r="S703" s="2" t="s">
        <v>29</v>
      </c>
    </row>
    <row r="704" customFormat="false" ht="15" hidden="false" customHeight="false" outlineLevel="0" collapsed="false">
      <c r="A704" s="0" t="n">
        <v>703</v>
      </c>
      <c r="D704" s="0" t="s">
        <v>2414</v>
      </c>
      <c r="E704" s="0" t="s">
        <v>492</v>
      </c>
      <c r="H704" s="0" t="s">
        <v>21</v>
      </c>
      <c r="I704" s="2" t="s">
        <v>22</v>
      </c>
      <c r="J704" s="2" t="s">
        <v>635</v>
      </c>
      <c r="K704" s="0" t="s">
        <v>636</v>
      </c>
      <c r="L704" s="0" t="s">
        <v>31</v>
      </c>
      <c r="M704" s="0" t="s">
        <v>637</v>
      </c>
      <c r="N704" s="0" t="s">
        <v>2415</v>
      </c>
      <c r="O704" s="0" t="n">
        <v>1</v>
      </c>
      <c r="P704" s="0" t="s">
        <v>2416</v>
      </c>
      <c r="Q704" s="3"/>
      <c r="S704" s="2" t="s">
        <v>29</v>
      </c>
    </row>
    <row r="705" customFormat="false" ht="15" hidden="false" customHeight="false" outlineLevel="0" collapsed="false">
      <c r="A705" s="0" t="n">
        <v>704</v>
      </c>
      <c r="D705" s="0" t="s">
        <v>2417</v>
      </c>
      <c r="E705" s="0" t="s">
        <v>63</v>
      </c>
      <c r="H705" s="0" t="s">
        <v>21</v>
      </c>
      <c r="I705" s="2" t="s">
        <v>22</v>
      </c>
      <c r="J705" s="2" t="s">
        <v>635</v>
      </c>
      <c r="K705" s="0" t="s">
        <v>636</v>
      </c>
      <c r="L705" s="0" t="s">
        <v>100</v>
      </c>
      <c r="M705" s="0" t="s">
        <v>637</v>
      </c>
      <c r="N705" s="0" t="s">
        <v>2418</v>
      </c>
      <c r="O705" s="0" t="n">
        <v>1</v>
      </c>
      <c r="P705" s="0" t="s">
        <v>2419</v>
      </c>
      <c r="Q705" s="3"/>
      <c r="S705" s="2" t="s">
        <v>29</v>
      </c>
    </row>
    <row r="706" customFormat="false" ht="15" hidden="false" customHeight="false" outlineLevel="0" collapsed="false">
      <c r="A706" s="0" t="n">
        <v>705</v>
      </c>
      <c r="D706" s="0" t="s">
        <v>2420</v>
      </c>
      <c r="E706" s="0" t="s">
        <v>20</v>
      </c>
      <c r="H706" s="0" t="s">
        <v>21</v>
      </c>
      <c r="I706" s="2" t="s">
        <v>22</v>
      </c>
      <c r="J706" s="2" t="s">
        <v>635</v>
      </c>
      <c r="K706" s="0" t="s">
        <v>636</v>
      </c>
      <c r="L706" s="0" t="s">
        <v>31</v>
      </c>
      <c r="M706" s="0" t="s">
        <v>637</v>
      </c>
      <c r="N706" s="0" t="s">
        <v>2421</v>
      </c>
      <c r="O706" s="0" t="n">
        <v>1</v>
      </c>
      <c r="P706" s="0" t="s">
        <v>2422</v>
      </c>
      <c r="Q706" s="3"/>
      <c r="S706" s="2" t="s">
        <v>29</v>
      </c>
    </row>
    <row r="707" customFormat="false" ht="15" hidden="false" customHeight="false" outlineLevel="0" collapsed="false">
      <c r="A707" s="0" t="n">
        <v>706</v>
      </c>
      <c r="D707" s="0" t="s">
        <v>2423</v>
      </c>
      <c r="E707" s="0" t="s">
        <v>20</v>
      </c>
      <c r="H707" s="0" t="s">
        <v>21</v>
      </c>
      <c r="I707" s="2" t="s">
        <v>22</v>
      </c>
      <c r="J707" s="2" t="s">
        <v>635</v>
      </c>
      <c r="K707" s="0" t="s">
        <v>636</v>
      </c>
      <c r="L707" s="0" t="s">
        <v>31</v>
      </c>
      <c r="M707" s="0" t="s">
        <v>637</v>
      </c>
      <c r="N707" s="0" t="s">
        <v>2424</v>
      </c>
      <c r="O707" s="0" t="n">
        <v>1</v>
      </c>
      <c r="P707" s="0" t="s">
        <v>2425</v>
      </c>
      <c r="Q707" s="3"/>
      <c r="S707" s="2" t="s">
        <v>29</v>
      </c>
    </row>
    <row r="708" customFormat="false" ht="15" hidden="false" customHeight="false" outlineLevel="0" collapsed="false">
      <c r="A708" s="0" t="n">
        <v>707</v>
      </c>
      <c r="D708" s="0" t="s">
        <v>2426</v>
      </c>
      <c r="E708" s="0" t="s">
        <v>20</v>
      </c>
      <c r="H708" s="0" t="s">
        <v>21</v>
      </c>
      <c r="I708" s="2" t="s">
        <v>22</v>
      </c>
      <c r="J708" s="2" t="s">
        <v>635</v>
      </c>
      <c r="K708" s="0" t="s">
        <v>636</v>
      </c>
      <c r="L708" s="0" t="s">
        <v>31</v>
      </c>
      <c r="M708" s="0" t="s">
        <v>637</v>
      </c>
      <c r="N708" s="0" t="s">
        <v>2427</v>
      </c>
      <c r="O708" s="0" t="n">
        <v>1</v>
      </c>
      <c r="Q708" s="3"/>
      <c r="S708" s="2" t="s">
        <v>29</v>
      </c>
    </row>
    <row r="709" customFormat="false" ht="15" hidden="false" customHeight="false" outlineLevel="0" collapsed="false">
      <c r="A709" s="0" t="n">
        <v>708</v>
      </c>
      <c r="D709" s="0" t="s">
        <v>2428</v>
      </c>
      <c r="E709" s="0" t="s">
        <v>20</v>
      </c>
      <c r="H709" s="0" t="s">
        <v>21</v>
      </c>
      <c r="I709" s="2" t="s">
        <v>22</v>
      </c>
      <c r="J709" s="2" t="s">
        <v>635</v>
      </c>
      <c r="K709" s="0" t="s">
        <v>636</v>
      </c>
      <c r="L709" s="0" t="s">
        <v>31</v>
      </c>
      <c r="M709" s="0" t="s">
        <v>637</v>
      </c>
      <c r="N709" s="0" t="s">
        <v>2429</v>
      </c>
      <c r="O709" s="0" t="n">
        <v>1</v>
      </c>
      <c r="P709" s="0" t="s">
        <v>2430</v>
      </c>
      <c r="Q709" s="3"/>
      <c r="S709" s="2" t="s">
        <v>29</v>
      </c>
    </row>
    <row r="710" customFormat="false" ht="15" hidden="false" customHeight="false" outlineLevel="0" collapsed="false">
      <c r="A710" s="0" t="n">
        <v>709</v>
      </c>
      <c r="D710" s="0" t="s">
        <v>2431</v>
      </c>
      <c r="E710" s="0" t="s">
        <v>492</v>
      </c>
      <c r="H710" s="0" t="s">
        <v>21</v>
      </c>
      <c r="I710" s="2" t="s">
        <v>22</v>
      </c>
      <c r="J710" s="2" t="s">
        <v>635</v>
      </c>
      <c r="K710" s="0" t="s">
        <v>636</v>
      </c>
      <c r="L710" s="0" t="s">
        <v>31</v>
      </c>
      <c r="M710" s="0" t="s">
        <v>637</v>
      </c>
      <c r="N710" s="0" t="s">
        <v>2432</v>
      </c>
      <c r="O710" s="0" t="n">
        <v>1</v>
      </c>
      <c r="P710" s="0" t="s">
        <v>2433</v>
      </c>
      <c r="Q710" s="3"/>
      <c r="S710" s="2" t="s">
        <v>29</v>
      </c>
    </row>
    <row r="711" customFormat="false" ht="15" hidden="false" customHeight="false" outlineLevel="0" collapsed="false">
      <c r="A711" s="0" t="n">
        <v>710</v>
      </c>
      <c r="D711" s="0" t="s">
        <v>2434</v>
      </c>
      <c r="E711" s="0" t="s">
        <v>492</v>
      </c>
      <c r="H711" s="0" t="s">
        <v>21</v>
      </c>
      <c r="I711" s="2" t="s">
        <v>22</v>
      </c>
      <c r="J711" s="2" t="s">
        <v>635</v>
      </c>
      <c r="K711" s="0" t="s">
        <v>636</v>
      </c>
      <c r="L711" s="0" t="s">
        <v>31</v>
      </c>
      <c r="M711" s="0" t="s">
        <v>637</v>
      </c>
      <c r="N711" s="0" t="s">
        <v>2435</v>
      </c>
      <c r="O711" s="0" t="n">
        <v>1</v>
      </c>
      <c r="P711" s="0" t="s">
        <v>2436</v>
      </c>
      <c r="Q711" s="3"/>
      <c r="S711" s="2" t="s">
        <v>29</v>
      </c>
    </row>
    <row r="712" customFormat="false" ht="15" hidden="false" customHeight="false" outlineLevel="0" collapsed="false">
      <c r="A712" s="0" t="n">
        <v>711</v>
      </c>
      <c r="D712" s="0" t="s">
        <v>2437</v>
      </c>
      <c r="E712" s="0" t="s">
        <v>492</v>
      </c>
      <c r="H712" s="0" t="s">
        <v>21</v>
      </c>
      <c r="I712" s="2" t="s">
        <v>22</v>
      </c>
      <c r="J712" s="2" t="s">
        <v>635</v>
      </c>
      <c r="K712" s="0" t="s">
        <v>636</v>
      </c>
      <c r="L712" s="0" t="s">
        <v>31</v>
      </c>
      <c r="M712" s="0" t="s">
        <v>637</v>
      </c>
      <c r="N712" s="0" t="s">
        <v>2438</v>
      </c>
      <c r="O712" s="0" t="n">
        <v>1</v>
      </c>
      <c r="P712" s="0" t="s">
        <v>2439</v>
      </c>
      <c r="Q712" s="3"/>
      <c r="S712" s="2" t="s">
        <v>29</v>
      </c>
    </row>
    <row r="713" customFormat="false" ht="15" hidden="false" customHeight="false" outlineLevel="0" collapsed="false">
      <c r="A713" s="0" t="n">
        <v>712</v>
      </c>
      <c r="D713" s="0" t="s">
        <v>2440</v>
      </c>
      <c r="E713" s="0" t="s">
        <v>492</v>
      </c>
      <c r="H713" s="0" t="s">
        <v>21</v>
      </c>
      <c r="I713" s="2" t="s">
        <v>22</v>
      </c>
      <c r="J713" s="2" t="s">
        <v>635</v>
      </c>
      <c r="K713" s="0" t="s">
        <v>636</v>
      </c>
      <c r="L713" s="0" t="s">
        <v>31</v>
      </c>
      <c r="M713" s="0" t="s">
        <v>637</v>
      </c>
      <c r="N713" s="0" t="s">
        <v>2441</v>
      </c>
      <c r="O713" s="0" t="n">
        <v>1</v>
      </c>
      <c r="P713" s="0" t="s">
        <v>2442</v>
      </c>
      <c r="Q713" s="3"/>
      <c r="S713" s="2" t="s">
        <v>29</v>
      </c>
    </row>
    <row r="714" customFormat="false" ht="15" hidden="false" customHeight="false" outlineLevel="0" collapsed="false">
      <c r="A714" s="0" t="n">
        <v>713</v>
      </c>
      <c r="D714" s="0" t="s">
        <v>2443</v>
      </c>
      <c r="E714" s="0" t="s">
        <v>492</v>
      </c>
      <c r="H714" s="0" t="s">
        <v>21</v>
      </c>
      <c r="I714" s="2" t="s">
        <v>22</v>
      </c>
      <c r="J714" s="2" t="s">
        <v>635</v>
      </c>
      <c r="K714" s="0" t="s">
        <v>636</v>
      </c>
      <c r="L714" s="0" t="s">
        <v>31</v>
      </c>
      <c r="M714" s="0" t="s">
        <v>637</v>
      </c>
      <c r="N714" s="0" t="s">
        <v>2444</v>
      </c>
      <c r="O714" s="0" t="n">
        <v>1</v>
      </c>
      <c r="P714" s="0" t="s">
        <v>2445</v>
      </c>
      <c r="Q714" s="3"/>
      <c r="S714" s="2" t="s">
        <v>29</v>
      </c>
    </row>
    <row r="715" customFormat="false" ht="15" hidden="false" customHeight="false" outlineLevel="0" collapsed="false">
      <c r="A715" s="0" t="n">
        <v>714</v>
      </c>
      <c r="D715" s="0" t="s">
        <v>2446</v>
      </c>
      <c r="E715" s="0" t="s">
        <v>492</v>
      </c>
      <c r="H715" s="0" t="s">
        <v>21</v>
      </c>
      <c r="I715" s="2" t="s">
        <v>22</v>
      </c>
      <c r="J715" s="2" t="s">
        <v>635</v>
      </c>
      <c r="K715" s="0" t="s">
        <v>636</v>
      </c>
      <c r="L715" s="0" t="s">
        <v>31</v>
      </c>
      <c r="M715" s="0" t="s">
        <v>637</v>
      </c>
      <c r="N715" s="0" t="s">
        <v>2447</v>
      </c>
      <c r="O715" s="0" t="n">
        <v>1</v>
      </c>
      <c r="P715" s="0" t="s">
        <v>2448</v>
      </c>
      <c r="Q715" s="3"/>
      <c r="S715" s="2" t="s">
        <v>29</v>
      </c>
    </row>
    <row r="716" customFormat="false" ht="15" hidden="false" customHeight="false" outlineLevel="0" collapsed="false">
      <c r="A716" s="0" t="n">
        <v>715</v>
      </c>
      <c r="D716" s="0" t="s">
        <v>2449</v>
      </c>
      <c r="E716" s="0" t="s">
        <v>492</v>
      </c>
      <c r="H716" s="0" t="s">
        <v>21</v>
      </c>
      <c r="I716" s="2" t="s">
        <v>22</v>
      </c>
      <c r="J716" s="2" t="s">
        <v>635</v>
      </c>
      <c r="K716" s="0" t="s">
        <v>636</v>
      </c>
      <c r="L716" s="0" t="s">
        <v>31</v>
      </c>
      <c r="M716" s="0" t="s">
        <v>637</v>
      </c>
      <c r="N716" s="0" t="s">
        <v>2450</v>
      </c>
      <c r="O716" s="0" t="n">
        <v>1</v>
      </c>
      <c r="P716" s="0" t="s">
        <v>2451</v>
      </c>
      <c r="Q716" s="3"/>
      <c r="S716" s="2" t="s">
        <v>29</v>
      </c>
    </row>
    <row r="717" customFormat="false" ht="15" hidden="false" customHeight="false" outlineLevel="0" collapsed="false">
      <c r="A717" s="0" t="n">
        <v>716</v>
      </c>
      <c r="D717" s="0" t="s">
        <v>2452</v>
      </c>
      <c r="E717" s="0" t="s">
        <v>20</v>
      </c>
      <c r="H717" s="0" t="s">
        <v>21</v>
      </c>
      <c r="I717" s="2" t="s">
        <v>22</v>
      </c>
      <c r="J717" s="2" t="s">
        <v>635</v>
      </c>
      <c r="K717" s="0" t="s">
        <v>636</v>
      </c>
      <c r="L717" s="0" t="s">
        <v>31</v>
      </c>
      <c r="M717" s="0" t="s">
        <v>637</v>
      </c>
      <c r="N717" s="0" t="s">
        <v>2453</v>
      </c>
      <c r="O717" s="0" t="n">
        <v>1</v>
      </c>
      <c r="P717" s="0" t="s">
        <v>2454</v>
      </c>
      <c r="Q717" s="3"/>
      <c r="S717" s="2" t="s">
        <v>29</v>
      </c>
    </row>
    <row r="718" customFormat="false" ht="15" hidden="false" customHeight="false" outlineLevel="0" collapsed="false">
      <c r="A718" s="0" t="n">
        <v>717</v>
      </c>
      <c r="D718" s="0" t="s">
        <v>2455</v>
      </c>
      <c r="E718" s="0" t="s">
        <v>20</v>
      </c>
      <c r="H718" s="0" t="s">
        <v>21</v>
      </c>
      <c r="I718" s="2" t="s">
        <v>22</v>
      </c>
      <c r="J718" s="2" t="s">
        <v>635</v>
      </c>
      <c r="K718" s="0" t="s">
        <v>636</v>
      </c>
      <c r="L718" s="0" t="s">
        <v>31</v>
      </c>
      <c r="M718" s="0" t="s">
        <v>637</v>
      </c>
      <c r="N718" s="0" t="s">
        <v>2456</v>
      </c>
      <c r="O718" s="0" t="n">
        <v>1</v>
      </c>
      <c r="P718" s="0" t="s">
        <v>2457</v>
      </c>
      <c r="Q718" s="3"/>
      <c r="S718" s="2" t="s">
        <v>29</v>
      </c>
    </row>
    <row r="719" customFormat="false" ht="15" hidden="false" customHeight="false" outlineLevel="0" collapsed="false">
      <c r="A719" s="0" t="n">
        <v>718</v>
      </c>
      <c r="D719" s="0" t="s">
        <v>2458</v>
      </c>
      <c r="E719" s="0" t="s">
        <v>99</v>
      </c>
      <c r="H719" s="0" t="s">
        <v>21</v>
      </c>
      <c r="I719" s="2" t="s">
        <v>22</v>
      </c>
      <c r="J719" s="2" t="s">
        <v>635</v>
      </c>
      <c r="K719" s="0" t="s">
        <v>636</v>
      </c>
      <c r="L719" s="0" t="s">
        <v>100</v>
      </c>
      <c r="M719" s="0" t="s">
        <v>637</v>
      </c>
      <c r="N719" s="0" t="s">
        <v>2459</v>
      </c>
      <c r="O719" s="0" t="n">
        <v>1</v>
      </c>
      <c r="P719" s="0" t="s">
        <v>2460</v>
      </c>
      <c r="Q719" s="3"/>
      <c r="S719" s="2" t="s">
        <v>29</v>
      </c>
    </row>
    <row r="720" customFormat="false" ht="15" hidden="false" customHeight="false" outlineLevel="0" collapsed="false">
      <c r="A720" s="0" t="n">
        <v>719</v>
      </c>
      <c r="D720" s="0" t="s">
        <v>2461</v>
      </c>
      <c r="E720" s="0" t="s">
        <v>20</v>
      </c>
      <c r="H720" s="0" t="s">
        <v>21</v>
      </c>
      <c r="I720" s="2" t="s">
        <v>22</v>
      </c>
      <c r="J720" s="2" t="s">
        <v>635</v>
      </c>
      <c r="K720" s="0" t="s">
        <v>636</v>
      </c>
      <c r="L720" s="0" t="s">
        <v>31</v>
      </c>
      <c r="M720" s="0" t="s">
        <v>637</v>
      </c>
      <c r="N720" s="0" t="s">
        <v>2462</v>
      </c>
      <c r="O720" s="0" t="n">
        <v>1</v>
      </c>
      <c r="P720" s="0" t="s">
        <v>2463</v>
      </c>
      <c r="Q720" s="3"/>
      <c r="S720" s="2" t="s">
        <v>29</v>
      </c>
    </row>
    <row r="721" customFormat="false" ht="15" hidden="false" customHeight="false" outlineLevel="0" collapsed="false">
      <c r="A721" s="0" t="n">
        <v>720</v>
      </c>
      <c r="D721" s="0" t="s">
        <v>2464</v>
      </c>
      <c r="E721" s="0" t="s">
        <v>20</v>
      </c>
      <c r="H721" s="0" t="s">
        <v>21</v>
      </c>
      <c r="I721" s="2" t="s">
        <v>22</v>
      </c>
      <c r="J721" s="2" t="s">
        <v>635</v>
      </c>
      <c r="K721" s="0" t="s">
        <v>636</v>
      </c>
      <c r="L721" s="0" t="s">
        <v>31</v>
      </c>
      <c r="M721" s="0" t="s">
        <v>637</v>
      </c>
      <c r="N721" s="0" t="s">
        <v>2465</v>
      </c>
      <c r="O721" s="0" t="n">
        <v>1</v>
      </c>
      <c r="P721" s="0" t="s">
        <v>2466</v>
      </c>
      <c r="Q721" s="3"/>
      <c r="S721" s="2" t="s">
        <v>29</v>
      </c>
    </row>
    <row r="722" customFormat="false" ht="15" hidden="false" customHeight="false" outlineLevel="0" collapsed="false">
      <c r="A722" s="0" t="n">
        <v>721</v>
      </c>
      <c r="D722" s="0" t="s">
        <v>2467</v>
      </c>
      <c r="E722" s="0" t="s">
        <v>99</v>
      </c>
      <c r="H722" s="0" t="s">
        <v>21</v>
      </c>
      <c r="I722" s="2" t="s">
        <v>22</v>
      </c>
      <c r="J722" s="2" t="s">
        <v>635</v>
      </c>
      <c r="K722" s="0" t="s">
        <v>636</v>
      </c>
      <c r="L722" s="0" t="s">
        <v>100</v>
      </c>
      <c r="M722" s="0" t="s">
        <v>637</v>
      </c>
      <c r="N722" s="0" t="s">
        <v>2468</v>
      </c>
      <c r="O722" s="0" t="n">
        <v>1</v>
      </c>
      <c r="P722" s="0" t="s">
        <v>2469</v>
      </c>
      <c r="Q722" s="3"/>
      <c r="S722" s="2" t="s">
        <v>29</v>
      </c>
    </row>
    <row r="723" customFormat="false" ht="15" hidden="false" customHeight="false" outlineLevel="0" collapsed="false">
      <c r="A723" s="0" t="n">
        <v>722</v>
      </c>
      <c r="D723" s="0" t="s">
        <v>2470</v>
      </c>
      <c r="E723" s="0" t="s">
        <v>20</v>
      </c>
      <c r="H723" s="0" t="s">
        <v>21</v>
      </c>
      <c r="I723" s="2" t="s">
        <v>22</v>
      </c>
      <c r="J723" s="2" t="s">
        <v>635</v>
      </c>
      <c r="K723" s="0" t="s">
        <v>636</v>
      </c>
      <c r="L723" s="0" t="s">
        <v>31</v>
      </c>
      <c r="M723" s="0" t="s">
        <v>637</v>
      </c>
      <c r="N723" s="0" t="s">
        <v>2471</v>
      </c>
      <c r="O723" s="0" t="n">
        <v>1</v>
      </c>
      <c r="P723" s="0" t="s">
        <v>2472</v>
      </c>
      <c r="Q723" s="3"/>
      <c r="S723" s="2" t="s">
        <v>29</v>
      </c>
    </row>
    <row r="724" customFormat="false" ht="15" hidden="false" customHeight="false" outlineLevel="0" collapsed="false">
      <c r="A724" s="0" t="n">
        <v>723</v>
      </c>
      <c r="D724" s="0" t="s">
        <v>2473</v>
      </c>
      <c r="E724" s="0" t="s">
        <v>20</v>
      </c>
      <c r="H724" s="0" t="s">
        <v>21</v>
      </c>
      <c r="I724" s="2" t="s">
        <v>22</v>
      </c>
      <c r="J724" s="2" t="s">
        <v>635</v>
      </c>
      <c r="K724" s="0" t="s">
        <v>636</v>
      </c>
      <c r="L724" s="0" t="s">
        <v>31</v>
      </c>
      <c r="M724" s="0" t="s">
        <v>637</v>
      </c>
      <c r="N724" s="0" t="s">
        <v>2474</v>
      </c>
      <c r="O724" s="0" t="n">
        <v>1</v>
      </c>
      <c r="P724" s="0" t="s">
        <v>2475</v>
      </c>
      <c r="Q724" s="3"/>
      <c r="S724" s="2" t="s">
        <v>29</v>
      </c>
    </row>
    <row r="725" customFormat="false" ht="15" hidden="false" customHeight="false" outlineLevel="0" collapsed="false">
      <c r="A725" s="0" t="n">
        <v>724</v>
      </c>
      <c r="D725" s="0" t="s">
        <v>2476</v>
      </c>
      <c r="E725" s="0" t="s">
        <v>492</v>
      </c>
      <c r="H725" s="0" t="s">
        <v>21</v>
      </c>
      <c r="I725" s="2" t="s">
        <v>22</v>
      </c>
      <c r="J725" s="2" t="s">
        <v>635</v>
      </c>
      <c r="K725" s="0" t="s">
        <v>636</v>
      </c>
      <c r="L725" s="0" t="s">
        <v>31</v>
      </c>
      <c r="M725" s="0" t="s">
        <v>637</v>
      </c>
      <c r="N725" s="0" t="s">
        <v>2477</v>
      </c>
      <c r="O725" s="0" t="n">
        <v>1</v>
      </c>
      <c r="P725" s="0" t="s">
        <v>2478</v>
      </c>
      <c r="Q725" s="3"/>
      <c r="S725" s="2" t="s">
        <v>29</v>
      </c>
    </row>
    <row r="726" customFormat="false" ht="15" hidden="false" customHeight="false" outlineLevel="0" collapsed="false">
      <c r="A726" s="0" t="n">
        <v>725</v>
      </c>
      <c r="D726" s="0" t="s">
        <v>2479</v>
      </c>
      <c r="E726" s="0" t="s">
        <v>20</v>
      </c>
      <c r="H726" s="0" t="s">
        <v>21</v>
      </c>
      <c r="I726" s="2" t="s">
        <v>22</v>
      </c>
      <c r="J726" s="2" t="s">
        <v>635</v>
      </c>
      <c r="K726" s="0" t="s">
        <v>636</v>
      </c>
      <c r="L726" s="0" t="s">
        <v>31</v>
      </c>
      <c r="M726" s="0" t="s">
        <v>637</v>
      </c>
      <c r="N726" s="0" t="s">
        <v>2480</v>
      </c>
      <c r="O726" s="0" t="n">
        <v>1</v>
      </c>
      <c r="P726" s="0" t="s">
        <v>2481</v>
      </c>
      <c r="Q726" s="3"/>
      <c r="S726" s="2" t="s">
        <v>29</v>
      </c>
    </row>
    <row r="727" customFormat="false" ht="15" hidden="false" customHeight="false" outlineLevel="0" collapsed="false">
      <c r="A727" s="0" t="n">
        <v>726</v>
      </c>
      <c r="D727" s="0" t="s">
        <v>2482</v>
      </c>
      <c r="E727" s="0" t="s">
        <v>63</v>
      </c>
      <c r="H727" s="0" t="s">
        <v>21</v>
      </c>
      <c r="I727" s="2" t="s">
        <v>22</v>
      </c>
      <c r="J727" s="2" t="s">
        <v>635</v>
      </c>
      <c r="K727" s="0" t="s">
        <v>636</v>
      </c>
      <c r="L727" s="0" t="s">
        <v>100</v>
      </c>
      <c r="M727" s="0" t="s">
        <v>637</v>
      </c>
      <c r="N727" s="0" t="s">
        <v>2483</v>
      </c>
      <c r="O727" s="0" t="n">
        <v>1</v>
      </c>
      <c r="P727" s="0" t="s">
        <v>2484</v>
      </c>
      <c r="Q727" s="3"/>
      <c r="S727" s="2" t="s">
        <v>29</v>
      </c>
    </row>
    <row r="728" customFormat="false" ht="15" hidden="false" customHeight="false" outlineLevel="0" collapsed="false">
      <c r="A728" s="0" t="n">
        <v>727</v>
      </c>
      <c r="D728" s="0" t="s">
        <v>2485</v>
      </c>
      <c r="E728" s="0" t="s">
        <v>20</v>
      </c>
      <c r="H728" s="0" t="s">
        <v>21</v>
      </c>
      <c r="I728" s="2" t="s">
        <v>22</v>
      </c>
      <c r="J728" s="2" t="s">
        <v>635</v>
      </c>
      <c r="K728" s="0" t="s">
        <v>636</v>
      </c>
      <c r="L728" s="0" t="s">
        <v>31</v>
      </c>
      <c r="M728" s="0" t="s">
        <v>637</v>
      </c>
      <c r="N728" s="0" t="s">
        <v>2486</v>
      </c>
      <c r="O728" s="0" t="n">
        <v>1</v>
      </c>
      <c r="P728" s="0" t="s">
        <v>2487</v>
      </c>
      <c r="Q728" s="3"/>
      <c r="S728" s="2" t="s">
        <v>29</v>
      </c>
    </row>
    <row r="729" customFormat="false" ht="15" hidden="false" customHeight="false" outlineLevel="0" collapsed="false">
      <c r="A729" s="0" t="n">
        <v>728</v>
      </c>
      <c r="D729" s="0" t="s">
        <v>2488</v>
      </c>
      <c r="E729" s="0" t="s">
        <v>492</v>
      </c>
      <c r="H729" s="0" t="s">
        <v>21</v>
      </c>
      <c r="I729" s="2" t="s">
        <v>22</v>
      </c>
      <c r="J729" s="2" t="s">
        <v>635</v>
      </c>
      <c r="K729" s="0" t="s">
        <v>636</v>
      </c>
      <c r="L729" s="0" t="s">
        <v>31</v>
      </c>
      <c r="M729" s="0" t="s">
        <v>637</v>
      </c>
      <c r="N729" s="0" t="s">
        <v>2489</v>
      </c>
      <c r="O729" s="0" t="n">
        <v>1</v>
      </c>
      <c r="P729" s="0" t="s">
        <v>2490</v>
      </c>
      <c r="Q729" s="3"/>
      <c r="S729" s="2" t="s">
        <v>29</v>
      </c>
    </row>
    <row r="730" customFormat="false" ht="15" hidden="false" customHeight="false" outlineLevel="0" collapsed="false">
      <c r="A730" s="0" t="n">
        <v>729</v>
      </c>
      <c r="D730" s="0" t="s">
        <v>2491</v>
      </c>
      <c r="E730" s="0" t="s">
        <v>20</v>
      </c>
      <c r="H730" s="0" t="s">
        <v>21</v>
      </c>
      <c r="I730" s="2" t="s">
        <v>22</v>
      </c>
      <c r="J730" s="2" t="s">
        <v>635</v>
      </c>
      <c r="K730" s="0" t="s">
        <v>636</v>
      </c>
      <c r="L730" s="0" t="s">
        <v>31</v>
      </c>
      <c r="M730" s="0" t="s">
        <v>637</v>
      </c>
      <c r="N730" s="0" t="s">
        <v>2492</v>
      </c>
      <c r="O730" s="0" t="n">
        <v>1</v>
      </c>
      <c r="P730" s="0" t="s">
        <v>2493</v>
      </c>
      <c r="Q730" s="3"/>
      <c r="S730" s="2" t="s">
        <v>29</v>
      </c>
    </row>
    <row r="731" customFormat="false" ht="15" hidden="false" customHeight="false" outlineLevel="0" collapsed="false">
      <c r="A731" s="0" t="n">
        <v>730</v>
      </c>
      <c r="D731" s="0" t="s">
        <v>2494</v>
      </c>
      <c r="E731" s="0" t="s">
        <v>20</v>
      </c>
      <c r="H731" s="0" t="s">
        <v>21</v>
      </c>
      <c r="I731" s="2" t="s">
        <v>22</v>
      </c>
      <c r="J731" s="2" t="s">
        <v>635</v>
      </c>
      <c r="K731" s="0" t="s">
        <v>636</v>
      </c>
      <c r="L731" s="0" t="s">
        <v>31</v>
      </c>
      <c r="M731" s="0" t="s">
        <v>637</v>
      </c>
      <c r="N731" s="0" t="s">
        <v>2495</v>
      </c>
      <c r="O731" s="0" t="n">
        <v>1</v>
      </c>
      <c r="P731" s="0" t="s">
        <v>2496</v>
      </c>
      <c r="Q731" s="3"/>
      <c r="S731" s="2" t="s">
        <v>29</v>
      </c>
    </row>
    <row r="732" customFormat="false" ht="15" hidden="false" customHeight="false" outlineLevel="0" collapsed="false">
      <c r="A732" s="0" t="n">
        <v>731</v>
      </c>
      <c r="D732" s="0" t="s">
        <v>2497</v>
      </c>
      <c r="E732" s="0" t="s">
        <v>20</v>
      </c>
      <c r="H732" s="0" t="s">
        <v>21</v>
      </c>
      <c r="I732" s="2" t="s">
        <v>22</v>
      </c>
      <c r="J732" s="2" t="s">
        <v>635</v>
      </c>
      <c r="K732" s="0" t="s">
        <v>636</v>
      </c>
      <c r="L732" s="0" t="s">
        <v>31</v>
      </c>
      <c r="M732" s="0" t="s">
        <v>637</v>
      </c>
      <c r="N732" s="0" t="s">
        <v>2498</v>
      </c>
      <c r="O732" s="0" t="n">
        <v>1</v>
      </c>
      <c r="P732" s="0" t="s">
        <v>2499</v>
      </c>
      <c r="Q732" s="3"/>
      <c r="S732" s="2" t="s">
        <v>29</v>
      </c>
    </row>
    <row r="733" customFormat="false" ht="15" hidden="false" customHeight="false" outlineLevel="0" collapsed="false">
      <c r="A733" s="0" t="n">
        <v>732</v>
      </c>
      <c r="D733" s="0" t="s">
        <v>2500</v>
      </c>
      <c r="E733" s="0" t="s">
        <v>20</v>
      </c>
      <c r="H733" s="0" t="s">
        <v>21</v>
      </c>
      <c r="I733" s="2" t="s">
        <v>22</v>
      </c>
      <c r="J733" s="2" t="s">
        <v>635</v>
      </c>
      <c r="K733" s="0" t="s">
        <v>636</v>
      </c>
      <c r="L733" s="0" t="s">
        <v>31</v>
      </c>
      <c r="M733" s="0" t="s">
        <v>637</v>
      </c>
      <c r="N733" s="0" t="s">
        <v>2501</v>
      </c>
      <c r="O733" s="0" t="n">
        <v>1</v>
      </c>
      <c r="Q733" s="3"/>
      <c r="S733" s="2" t="s">
        <v>29</v>
      </c>
    </row>
    <row r="734" customFormat="false" ht="15" hidden="false" customHeight="false" outlineLevel="0" collapsed="false">
      <c r="A734" s="0" t="n">
        <v>733</v>
      </c>
      <c r="D734" s="0" t="s">
        <v>2502</v>
      </c>
      <c r="E734" s="0" t="s">
        <v>20</v>
      </c>
      <c r="H734" s="0" t="s">
        <v>21</v>
      </c>
      <c r="I734" s="2" t="s">
        <v>22</v>
      </c>
      <c r="J734" s="2" t="s">
        <v>635</v>
      </c>
      <c r="K734" s="0" t="s">
        <v>636</v>
      </c>
      <c r="L734" s="0" t="s">
        <v>31</v>
      </c>
      <c r="M734" s="0" t="s">
        <v>637</v>
      </c>
      <c r="N734" s="0" t="s">
        <v>2503</v>
      </c>
      <c r="O734" s="0" t="n">
        <v>1</v>
      </c>
      <c r="P734" s="0" t="s">
        <v>2504</v>
      </c>
      <c r="Q734" s="3"/>
      <c r="S734" s="2" t="s">
        <v>29</v>
      </c>
    </row>
    <row r="735" customFormat="false" ht="15" hidden="false" customHeight="false" outlineLevel="0" collapsed="false">
      <c r="A735" s="0" t="n">
        <v>734</v>
      </c>
      <c r="D735" s="0" t="s">
        <v>2505</v>
      </c>
      <c r="E735" s="0" t="s">
        <v>99</v>
      </c>
      <c r="H735" s="0" t="s">
        <v>21</v>
      </c>
      <c r="I735" s="2" t="s">
        <v>22</v>
      </c>
      <c r="J735" s="2" t="s">
        <v>635</v>
      </c>
      <c r="K735" s="0" t="s">
        <v>636</v>
      </c>
      <c r="L735" s="0" t="s">
        <v>100</v>
      </c>
      <c r="M735" s="0" t="s">
        <v>637</v>
      </c>
      <c r="N735" s="0" t="s">
        <v>2506</v>
      </c>
      <c r="O735" s="0" t="n">
        <v>1</v>
      </c>
      <c r="P735" s="0" t="s">
        <v>2507</v>
      </c>
      <c r="Q735" s="3"/>
      <c r="S735" s="2" t="s">
        <v>29</v>
      </c>
    </row>
    <row r="736" customFormat="false" ht="15" hidden="false" customHeight="false" outlineLevel="0" collapsed="false">
      <c r="A736" s="0" t="n">
        <v>735</v>
      </c>
      <c r="D736" s="0" t="s">
        <v>2508</v>
      </c>
      <c r="E736" s="0" t="s">
        <v>20</v>
      </c>
      <c r="H736" s="0" t="s">
        <v>21</v>
      </c>
      <c r="I736" s="2" t="s">
        <v>22</v>
      </c>
      <c r="J736" s="2" t="s">
        <v>635</v>
      </c>
      <c r="K736" s="0" t="s">
        <v>636</v>
      </c>
      <c r="L736" s="0" t="s">
        <v>31</v>
      </c>
      <c r="M736" s="0" t="s">
        <v>637</v>
      </c>
      <c r="N736" s="0" t="s">
        <v>2509</v>
      </c>
      <c r="O736" s="0" t="n">
        <v>1</v>
      </c>
      <c r="P736" s="0" t="s">
        <v>2510</v>
      </c>
      <c r="Q736" s="3"/>
      <c r="S736" s="2" t="s">
        <v>29</v>
      </c>
    </row>
    <row r="737" customFormat="false" ht="15" hidden="false" customHeight="false" outlineLevel="0" collapsed="false">
      <c r="A737" s="0" t="n">
        <v>736</v>
      </c>
      <c r="D737" s="0" t="s">
        <v>2511</v>
      </c>
      <c r="E737" s="0" t="s">
        <v>20</v>
      </c>
      <c r="H737" s="0" t="s">
        <v>21</v>
      </c>
      <c r="I737" s="2" t="s">
        <v>22</v>
      </c>
      <c r="J737" s="2" t="s">
        <v>635</v>
      </c>
      <c r="K737" s="0" t="s">
        <v>636</v>
      </c>
      <c r="L737" s="0" t="s">
        <v>31</v>
      </c>
      <c r="M737" s="0" t="s">
        <v>637</v>
      </c>
      <c r="N737" s="0" t="s">
        <v>2512</v>
      </c>
      <c r="O737" s="0" t="n">
        <v>1</v>
      </c>
      <c r="P737" s="0" t="s">
        <v>2513</v>
      </c>
      <c r="Q737" s="3"/>
      <c r="S737" s="2" t="s">
        <v>29</v>
      </c>
    </row>
    <row r="738" customFormat="false" ht="15" hidden="false" customHeight="false" outlineLevel="0" collapsed="false">
      <c r="A738" s="0" t="n">
        <v>737</v>
      </c>
      <c r="D738" s="0" t="s">
        <v>2514</v>
      </c>
      <c r="E738" s="0" t="s">
        <v>20</v>
      </c>
      <c r="H738" s="0" t="s">
        <v>21</v>
      </c>
      <c r="I738" s="2" t="s">
        <v>22</v>
      </c>
      <c r="J738" s="2" t="s">
        <v>635</v>
      </c>
      <c r="K738" s="0" t="s">
        <v>636</v>
      </c>
      <c r="L738" s="0" t="s">
        <v>31</v>
      </c>
      <c r="M738" s="0" t="s">
        <v>637</v>
      </c>
      <c r="N738" s="0" t="s">
        <v>2515</v>
      </c>
      <c r="O738" s="0" t="n">
        <v>1</v>
      </c>
      <c r="P738" s="0" t="s">
        <v>2516</v>
      </c>
      <c r="Q738" s="3"/>
      <c r="S738" s="2" t="s">
        <v>29</v>
      </c>
    </row>
    <row r="739" customFormat="false" ht="15" hidden="false" customHeight="false" outlineLevel="0" collapsed="false">
      <c r="A739" s="0" t="n">
        <v>738</v>
      </c>
      <c r="D739" s="0" t="s">
        <v>2517</v>
      </c>
      <c r="E739" s="0" t="s">
        <v>20</v>
      </c>
      <c r="H739" s="0" t="s">
        <v>21</v>
      </c>
      <c r="I739" s="2" t="s">
        <v>22</v>
      </c>
      <c r="J739" s="2" t="s">
        <v>635</v>
      </c>
      <c r="K739" s="0" t="s">
        <v>636</v>
      </c>
      <c r="L739" s="0" t="s">
        <v>31</v>
      </c>
      <c r="M739" s="0" t="s">
        <v>637</v>
      </c>
      <c r="N739" s="0" t="s">
        <v>2518</v>
      </c>
      <c r="O739" s="0" t="n">
        <v>1</v>
      </c>
      <c r="P739" s="0" t="s">
        <v>2519</v>
      </c>
      <c r="Q739" s="3"/>
      <c r="S739" s="2" t="s">
        <v>29</v>
      </c>
    </row>
    <row r="740" customFormat="false" ht="15" hidden="false" customHeight="false" outlineLevel="0" collapsed="false">
      <c r="A740" s="0" t="n">
        <v>739</v>
      </c>
      <c r="D740" s="0" t="s">
        <v>2520</v>
      </c>
      <c r="E740" s="0" t="s">
        <v>20</v>
      </c>
      <c r="F740" s="0" t="s">
        <v>2521</v>
      </c>
      <c r="H740" s="0" t="s">
        <v>21</v>
      </c>
      <c r="I740" s="2" t="s">
        <v>22</v>
      </c>
      <c r="J740" s="2" t="s">
        <v>635</v>
      </c>
      <c r="K740" s="0" t="s">
        <v>636</v>
      </c>
      <c r="L740" s="0" t="s">
        <v>2522</v>
      </c>
      <c r="M740" s="0" t="s">
        <v>637</v>
      </c>
      <c r="N740" s="0" t="s">
        <v>2523</v>
      </c>
      <c r="O740" s="0" t="n">
        <v>1</v>
      </c>
      <c r="P740" s="0" t="s">
        <v>2524</v>
      </c>
      <c r="Q740" s="3" t="s">
        <v>2525</v>
      </c>
      <c r="R740" s="2" t="s">
        <v>2526</v>
      </c>
      <c r="S740" s="2" t="s">
        <v>45</v>
      </c>
    </row>
    <row r="741" customFormat="false" ht="15" hidden="false" customHeight="false" outlineLevel="0" collapsed="false">
      <c r="A741" s="0" t="n">
        <v>740</v>
      </c>
      <c r="D741" s="0" t="s">
        <v>2527</v>
      </c>
      <c r="E741" s="0" t="s">
        <v>492</v>
      </c>
      <c r="H741" s="0" t="s">
        <v>21</v>
      </c>
      <c r="I741" s="2" t="s">
        <v>22</v>
      </c>
      <c r="J741" s="2" t="s">
        <v>635</v>
      </c>
      <c r="K741" s="0" t="s">
        <v>636</v>
      </c>
      <c r="L741" s="0" t="s">
        <v>31</v>
      </c>
      <c r="M741" s="0" t="s">
        <v>637</v>
      </c>
      <c r="N741" s="0" t="s">
        <v>2528</v>
      </c>
      <c r="O741" s="0" t="n">
        <v>1</v>
      </c>
      <c r="P741" s="0" t="s">
        <v>2529</v>
      </c>
      <c r="Q741" s="3"/>
      <c r="S741" s="2" t="s">
        <v>29</v>
      </c>
    </row>
    <row r="742" customFormat="false" ht="15" hidden="false" customHeight="false" outlineLevel="0" collapsed="false">
      <c r="A742" s="0" t="n">
        <v>741</v>
      </c>
      <c r="D742" s="0" t="s">
        <v>2530</v>
      </c>
      <c r="E742" s="0" t="s">
        <v>99</v>
      </c>
      <c r="H742" s="0" t="s">
        <v>21</v>
      </c>
      <c r="I742" s="2" t="s">
        <v>22</v>
      </c>
      <c r="J742" s="2" t="s">
        <v>635</v>
      </c>
      <c r="K742" s="0" t="s">
        <v>636</v>
      </c>
      <c r="L742" s="0" t="s">
        <v>100</v>
      </c>
      <c r="M742" s="0" t="s">
        <v>637</v>
      </c>
      <c r="N742" s="0" t="s">
        <v>2531</v>
      </c>
      <c r="O742" s="0" t="n">
        <v>1</v>
      </c>
      <c r="P742" s="0" t="s">
        <v>2532</v>
      </c>
      <c r="Q742" s="3"/>
      <c r="S742" s="2" t="s">
        <v>29</v>
      </c>
    </row>
    <row r="743" customFormat="false" ht="15" hidden="false" customHeight="false" outlineLevel="0" collapsed="false">
      <c r="A743" s="0" t="n">
        <v>742</v>
      </c>
      <c r="D743" s="0" t="s">
        <v>2533</v>
      </c>
      <c r="E743" s="0" t="s">
        <v>20</v>
      </c>
      <c r="H743" s="0" t="s">
        <v>21</v>
      </c>
      <c r="I743" s="2" t="s">
        <v>22</v>
      </c>
      <c r="J743" s="2" t="s">
        <v>635</v>
      </c>
      <c r="K743" s="0" t="s">
        <v>636</v>
      </c>
      <c r="L743" s="0" t="s">
        <v>31</v>
      </c>
      <c r="M743" s="0" t="s">
        <v>637</v>
      </c>
      <c r="N743" s="0" t="s">
        <v>2534</v>
      </c>
      <c r="O743" s="0" t="n">
        <v>1</v>
      </c>
      <c r="P743" s="0" t="s">
        <v>2535</v>
      </c>
      <c r="Q743" s="3"/>
      <c r="S743" s="2" t="s">
        <v>29</v>
      </c>
    </row>
    <row r="744" customFormat="false" ht="15" hidden="false" customHeight="false" outlineLevel="0" collapsed="false">
      <c r="A744" s="0" t="n">
        <v>743</v>
      </c>
      <c r="D744" s="0" t="s">
        <v>2536</v>
      </c>
      <c r="E744" s="0" t="s">
        <v>20</v>
      </c>
      <c r="H744" s="0" t="s">
        <v>21</v>
      </c>
      <c r="I744" s="2" t="s">
        <v>22</v>
      </c>
      <c r="J744" s="2" t="s">
        <v>635</v>
      </c>
      <c r="K744" s="0" t="s">
        <v>636</v>
      </c>
      <c r="L744" s="0" t="s">
        <v>31</v>
      </c>
      <c r="M744" s="0" t="s">
        <v>637</v>
      </c>
      <c r="N744" s="0" t="s">
        <v>2537</v>
      </c>
      <c r="O744" s="0" t="n">
        <v>1</v>
      </c>
      <c r="P744" s="0" t="s">
        <v>2538</v>
      </c>
      <c r="Q744" s="3"/>
      <c r="S744" s="2" t="s">
        <v>29</v>
      </c>
    </row>
    <row r="745" customFormat="false" ht="15" hidden="false" customHeight="false" outlineLevel="0" collapsed="false">
      <c r="A745" s="0" t="n">
        <v>744</v>
      </c>
      <c r="D745" s="0" t="s">
        <v>2539</v>
      </c>
      <c r="E745" s="0" t="s">
        <v>20</v>
      </c>
      <c r="H745" s="0" t="s">
        <v>21</v>
      </c>
      <c r="I745" s="2" t="s">
        <v>22</v>
      </c>
      <c r="J745" s="2" t="s">
        <v>635</v>
      </c>
      <c r="K745" s="0" t="s">
        <v>636</v>
      </c>
      <c r="L745" s="0" t="s">
        <v>31</v>
      </c>
      <c r="M745" s="0" t="s">
        <v>637</v>
      </c>
      <c r="N745" s="0" t="s">
        <v>2540</v>
      </c>
      <c r="O745" s="0" t="n">
        <v>1</v>
      </c>
      <c r="P745" s="0" t="s">
        <v>2541</v>
      </c>
      <c r="Q745" s="3"/>
      <c r="S745" s="2" t="s">
        <v>29</v>
      </c>
    </row>
    <row r="746" customFormat="false" ht="15" hidden="false" customHeight="false" outlineLevel="0" collapsed="false">
      <c r="A746" s="0" t="n">
        <v>745</v>
      </c>
      <c r="D746" s="0" t="s">
        <v>2542</v>
      </c>
      <c r="E746" s="0" t="s">
        <v>20</v>
      </c>
      <c r="H746" s="0" t="s">
        <v>21</v>
      </c>
      <c r="I746" s="2" t="s">
        <v>22</v>
      </c>
      <c r="J746" s="2" t="s">
        <v>635</v>
      </c>
      <c r="K746" s="0" t="s">
        <v>636</v>
      </c>
      <c r="L746" s="0" t="s">
        <v>31</v>
      </c>
      <c r="M746" s="0" t="s">
        <v>637</v>
      </c>
      <c r="N746" s="0" t="s">
        <v>2543</v>
      </c>
      <c r="O746" s="0" t="n">
        <v>1</v>
      </c>
      <c r="P746" s="0" t="s">
        <v>2544</v>
      </c>
      <c r="Q746" s="3"/>
      <c r="S746" s="2" t="s">
        <v>29</v>
      </c>
    </row>
    <row r="747" customFormat="false" ht="15" hidden="false" customHeight="false" outlineLevel="0" collapsed="false">
      <c r="A747" s="0" t="n">
        <v>746</v>
      </c>
      <c r="D747" s="0" t="s">
        <v>2545</v>
      </c>
      <c r="E747" s="0" t="s">
        <v>20</v>
      </c>
      <c r="H747" s="0" t="s">
        <v>21</v>
      </c>
      <c r="I747" s="2" t="s">
        <v>22</v>
      </c>
      <c r="J747" s="2" t="s">
        <v>635</v>
      </c>
      <c r="K747" s="0" t="s">
        <v>636</v>
      </c>
      <c r="L747" s="0" t="s">
        <v>31</v>
      </c>
      <c r="M747" s="0" t="s">
        <v>637</v>
      </c>
      <c r="N747" s="0" t="s">
        <v>2546</v>
      </c>
      <c r="O747" s="0" t="n">
        <v>1</v>
      </c>
      <c r="P747" s="0" t="s">
        <v>2547</v>
      </c>
      <c r="Q747" s="3"/>
      <c r="S747" s="2" t="s">
        <v>29</v>
      </c>
    </row>
    <row r="748" customFormat="false" ht="15" hidden="false" customHeight="false" outlineLevel="0" collapsed="false">
      <c r="A748" s="0" t="n">
        <v>747</v>
      </c>
      <c r="D748" s="0" t="s">
        <v>2548</v>
      </c>
      <c r="E748" s="0" t="s">
        <v>20</v>
      </c>
      <c r="F748" s="0" t="s">
        <v>2549</v>
      </c>
      <c r="H748" s="0" t="s">
        <v>21</v>
      </c>
      <c r="I748" s="2" t="s">
        <v>22</v>
      </c>
      <c r="J748" s="2" t="s">
        <v>635</v>
      </c>
      <c r="K748" s="0" t="s">
        <v>636</v>
      </c>
      <c r="L748" s="0" t="s">
        <v>2550</v>
      </c>
      <c r="M748" s="0" t="s">
        <v>637</v>
      </c>
      <c r="N748" s="0" t="s">
        <v>2551</v>
      </c>
      <c r="O748" s="0" t="n">
        <v>1</v>
      </c>
      <c r="P748" s="0" t="s">
        <v>2552</v>
      </c>
      <c r="Q748" s="3" t="s">
        <v>2553</v>
      </c>
      <c r="R748" s="2" t="s">
        <v>2554</v>
      </c>
      <c r="S748" s="2" t="s">
        <v>45</v>
      </c>
    </row>
    <row r="749" customFormat="false" ht="15" hidden="false" customHeight="false" outlineLevel="0" collapsed="false">
      <c r="A749" s="0" t="n">
        <v>748</v>
      </c>
      <c r="D749" s="0" t="s">
        <v>2555</v>
      </c>
      <c r="E749" s="0" t="s">
        <v>20</v>
      </c>
      <c r="H749" s="0" t="s">
        <v>21</v>
      </c>
      <c r="I749" s="2" t="s">
        <v>22</v>
      </c>
      <c r="J749" s="2" t="s">
        <v>635</v>
      </c>
      <c r="K749" s="0" t="s">
        <v>636</v>
      </c>
      <c r="L749" s="0" t="s">
        <v>31</v>
      </c>
      <c r="M749" s="0" t="s">
        <v>637</v>
      </c>
      <c r="N749" s="0" t="s">
        <v>2556</v>
      </c>
      <c r="O749" s="0" t="n">
        <v>1</v>
      </c>
      <c r="P749" s="0" t="s">
        <v>2557</v>
      </c>
      <c r="Q749" s="3"/>
      <c r="S749" s="2" t="s">
        <v>29</v>
      </c>
    </row>
    <row r="750" customFormat="false" ht="15" hidden="false" customHeight="false" outlineLevel="0" collapsed="false">
      <c r="A750" s="0" t="n">
        <v>749</v>
      </c>
      <c r="D750" s="0" t="s">
        <v>2558</v>
      </c>
      <c r="E750" s="0" t="s">
        <v>20</v>
      </c>
      <c r="H750" s="0" t="s">
        <v>21</v>
      </c>
      <c r="I750" s="2" t="s">
        <v>22</v>
      </c>
      <c r="J750" s="2" t="s">
        <v>635</v>
      </c>
      <c r="K750" s="0" t="s">
        <v>636</v>
      </c>
      <c r="L750" s="0" t="s">
        <v>31</v>
      </c>
      <c r="M750" s="0" t="s">
        <v>637</v>
      </c>
      <c r="N750" s="0" t="s">
        <v>2559</v>
      </c>
      <c r="O750" s="0" t="n">
        <v>1</v>
      </c>
      <c r="P750" s="0" t="s">
        <v>2560</v>
      </c>
      <c r="Q750" s="3"/>
      <c r="S750" s="2" t="s">
        <v>29</v>
      </c>
    </row>
    <row r="751" customFormat="false" ht="15" hidden="false" customHeight="false" outlineLevel="0" collapsed="false">
      <c r="A751" s="0" t="n">
        <v>750</v>
      </c>
      <c r="D751" s="0" t="s">
        <v>2561</v>
      </c>
      <c r="E751" s="0" t="s">
        <v>20</v>
      </c>
      <c r="H751" s="0" t="s">
        <v>21</v>
      </c>
      <c r="I751" s="2" t="s">
        <v>22</v>
      </c>
      <c r="J751" s="2" t="s">
        <v>635</v>
      </c>
      <c r="K751" s="0" t="s">
        <v>636</v>
      </c>
      <c r="L751" s="0" t="s">
        <v>31</v>
      </c>
      <c r="M751" s="0" t="s">
        <v>637</v>
      </c>
      <c r="N751" s="0" t="s">
        <v>2562</v>
      </c>
      <c r="O751" s="0" t="n">
        <v>1</v>
      </c>
      <c r="P751" s="0" t="s">
        <v>2563</v>
      </c>
      <c r="Q751" s="3"/>
      <c r="S751" s="2" t="s">
        <v>29</v>
      </c>
    </row>
    <row r="752" customFormat="false" ht="15" hidden="false" customHeight="false" outlineLevel="0" collapsed="false">
      <c r="A752" s="0" t="n">
        <v>751</v>
      </c>
      <c r="D752" s="0" t="s">
        <v>2564</v>
      </c>
      <c r="E752" s="0" t="s">
        <v>492</v>
      </c>
      <c r="H752" s="0" t="s">
        <v>21</v>
      </c>
      <c r="I752" s="2" t="s">
        <v>22</v>
      </c>
      <c r="J752" s="2" t="s">
        <v>635</v>
      </c>
      <c r="K752" s="0" t="s">
        <v>636</v>
      </c>
      <c r="L752" s="0" t="s">
        <v>31</v>
      </c>
      <c r="M752" s="0" t="s">
        <v>637</v>
      </c>
      <c r="N752" s="0" t="s">
        <v>2565</v>
      </c>
      <c r="O752" s="0" t="n">
        <v>1</v>
      </c>
      <c r="P752" s="0" t="s">
        <v>2566</v>
      </c>
      <c r="Q752" s="3"/>
      <c r="S752" s="2" t="s">
        <v>29</v>
      </c>
    </row>
    <row r="753" customFormat="false" ht="15" hidden="false" customHeight="false" outlineLevel="0" collapsed="false">
      <c r="A753" s="0" t="n">
        <v>752</v>
      </c>
      <c r="D753" s="0" t="s">
        <v>2567</v>
      </c>
      <c r="E753" s="0" t="s">
        <v>492</v>
      </c>
      <c r="H753" s="0" t="s">
        <v>21</v>
      </c>
      <c r="I753" s="2" t="s">
        <v>22</v>
      </c>
      <c r="J753" s="2" t="s">
        <v>635</v>
      </c>
      <c r="K753" s="0" t="s">
        <v>636</v>
      </c>
      <c r="L753" s="0" t="s">
        <v>31</v>
      </c>
      <c r="M753" s="0" t="s">
        <v>637</v>
      </c>
      <c r="N753" s="0" t="s">
        <v>2568</v>
      </c>
      <c r="O753" s="0" t="n">
        <v>1</v>
      </c>
      <c r="P753" s="0" t="s">
        <v>2569</v>
      </c>
      <c r="Q753" s="3"/>
      <c r="S753" s="2" t="s">
        <v>29</v>
      </c>
    </row>
    <row r="754" customFormat="false" ht="15" hidden="false" customHeight="false" outlineLevel="0" collapsed="false">
      <c r="A754" s="0" t="n">
        <v>753</v>
      </c>
      <c r="D754" s="0" t="s">
        <v>2570</v>
      </c>
      <c r="E754" s="0" t="s">
        <v>492</v>
      </c>
      <c r="H754" s="0" t="s">
        <v>21</v>
      </c>
      <c r="I754" s="2" t="s">
        <v>22</v>
      </c>
      <c r="J754" s="2" t="s">
        <v>635</v>
      </c>
      <c r="K754" s="0" t="s">
        <v>636</v>
      </c>
      <c r="L754" s="0" t="s">
        <v>31</v>
      </c>
      <c r="M754" s="0" t="s">
        <v>637</v>
      </c>
      <c r="N754" s="0" t="s">
        <v>2571</v>
      </c>
      <c r="O754" s="0" t="n">
        <v>1</v>
      </c>
      <c r="P754" s="0" t="s">
        <v>2572</v>
      </c>
      <c r="Q754" s="3"/>
      <c r="S754" s="2" t="s">
        <v>29</v>
      </c>
    </row>
    <row r="755" customFormat="false" ht="15" hidden="false" customHeight="false" outlineLevel="0" collapsed="false">
      <c r="A755" s="0" t="n">
        <v>754</v>
      </c>
      <c r="D755" s="0" t="s">
        <v>2573</v>
      </c>
      <c r="E755" s="0" t="s">
        <v>492</v>
      </c>
      <c r="H755" s="0" t="s">
        <v>21</v>
      </c>
      <c r="I755" s="2" t="s">
        <v>22</v>
      </c>
      <c r="J755" s="2" t="s">
        <v>635</v>
      </c>
      <c r="K755" s="0" t="s">
        <v>636</v>
      </c>
      <c r="L755" s="0" t="s">
        <v>31</v>
      </c>
      <c r="M755" s="0" t="s">
        <v>637</v>
      </c>
      <c r="N755" s="0" t="s">
        <v>2574</v>
      </c>
      <c r="O755" s="0" t="n">
        <v>1</v>
      </c>
      <c r="P755" s="0" t="s">
        <v>2575</v>
      </c>
      <c r="Q755" s="3"/>
      <c r="S755" s="2" t="s">
        <v>29</v>
      </c>
    </row>
    <row r="756" customFormat="false" ht="15" hidden="false" customHeight="false" outlineLevel="0" collapsed="false">
      <c r="A756" s="0" t="n">
        <v>755</v>
      </c>
      <c r="D756" s="0" t="s">
        <v>2576</v>
      </c>
      <c r="E756" s="0" t="s">
        <v>492</v>
      </c>
      <c r="H756" s="0" t="s">
        <v>21</v>
      </c>
      <c r="I756" s="2" t="s">
        <v>22</v>
      </c>
      <c r="J756" s="2" t="s">
        <v>635</v>
      </c>
      <c r="K756" s="0" t="s">
        <v>636</v>
      </c>
      <c r="L756" s="0" t="s">
        <v>31</v>
      </c>
      <c r="M756" s="0" t="s">
        <v>637</v>
      </c>
      <c r="N756" s="0" t="s">
        <v>2577</v>
      </c>
      <c r="O756" s="0" t="n">
        <v>1</v>
      </c>
      <c r="P756" s="0" t="s">
        <v>2578</v>
      </c>
      <c r="Q756" s="3"/>
      <c r="S756" s="2" t="s">
        <v>29</v>
      </c>
    </row>
    <row r="757" customFormat="false" ht="15" hidden="false" customHeight="false" outlineLevel="0" collapsed="false">
      <c r="A757" s="0" t="n">
        <v>756</v>
      </c>
      <c r="D757" s="0" t="s">
        <v>2579</v>
      </c>
      <c r="E757" s="0" t="s">
        <v>492</v>
      </c>
      <c r="H757" s="0" t="s">
        <v>21</v>
      </c>
      <c r="I757" s="2" t="s">
        <v>22</v>
      </c>
      <c r="J757" s="2" t="s">
        <v>635</v>
      </c>
      <c r="K757" s="0" t="s">
        <v>636</v>
      </c>
      <c r="L757" s="0" t="s">
        <v>31</v>
      </c>
      <c r="M757" s="0" t="s">
        <v>637</v>
      </c>
      <c r="N757" s="0" t="s">
        <v>2580</v>
      </c>
      <c r="O757" s="0" t="n">
        <v>1</v>
      </c>
      <c r="P757" s="0" t="s">
        <v>2581</v>
      </c>
      <c r="Q757" s="3"/>
      <c r="S757" s="2" t="s">
        <v>29</v>
      </c>
    </row>
    <row r="758" customFormat="false" ht="15" hidden="false" customHeight="false" outlineLevel="0" collapsed="false">
      <c r="A758" s="0" t="n">
        <v>757</v>
      </c>
      <c r="D758" s="0" t="s">
        <v>2582</v>
      </c>
      <c r="E758" s="0" t="s">
        <v>492</v>
      </c>
      <c r="H758" s="0" t="s">
        <v>21</v>
      </c>
      <c r="I758" s="2" t="s">
        <v>22</v>
      </c>
      <c r="J758" s="2" t="s">
        <v>635</v>
      </c>
      <c r="K758" s="0" t="s">
        <v>636</v>
      </c>
      <c r="L758" s="0" t="s">
        <v>31</v>
      </c>
      <c r="M758" s="0" t="s">
        <v>637</v>
      </c>
      <c r="N758" s="0" t="s">
        <v>2583</v>
      </c>
      <c r="O758" s="0" t="n">
        <v>1</v>
      </c>
      <c r="P758" s="0" t="s">
        <v>2584</v>
      </c>
      <c r="Q758" s="3"/>
      <c r="S758" s="2" t="s">
        <v>29</v>
      </c>
    </row>
    <row r="759" customFormat="false" ht="15" hidden="false" customHeight="false" outlineLevel="0" collapsed="false">
      <c r="A759" s="0" t="n">
        <v>758</v>
      </c>
      <c r="D759" s="0" t="s">
        <v>2585</v>
      </c>
      <c r="E759" s="0" t="s">
        <v>20</v>
      </c>
      <c r="H759" s="0" t="s">
        <v>21</v>
      </c>
      <c r="I759" s="2" t="s">
        <v>22</v>
      </c>
      <c r="J759" s="2" t="s">
        <v>635</v>
      </c>
      <c r="K759" s="0" t="s">
        <v>636</v>
      </c>
      <c r="L759" s="0" t="s">
        <v>31</v>
      </c>
      <c r="M759" s="0" t="s">
        <v>637</v>
      </c>
      <c r="N759" s="0" t="s">
        <v>2586</v>
      </c>
      <c r="O759" s="0" t="n">
        <v>1</v>
      </c>
      <c r="P759" s="0" t="s">
        <v>2587</v>
      </c>
      <c r="Q759" s="3"/>
      <c r="S759" s="2" t="s">
        <v>29</v>
      </c>
    </row>
    <row r="760" customFormat="false" ht="15" hidden="false" customHeight="false" outlineLevel="0" collapsed="false">
      <c r="A760" s="0" t="n">
        <v>759</v>
      </c>
      <c r="D760" s="0" t="s">
        <v>2588</v>
      </c>
      <c r="E760" s="0" t="s">
        <v>20</v>
      </c>
      <c r="H760" s="0" t="s">
        <v>21</v>
      </c>
      <c r="I760" s="2" t="s">
        <v>22</v>
      </c>
      <c r="J760" s="2" t="s">
        <v>635</v>
      </c>
      <c r="K760" s="0" t="s">
        <v>636</v>
      </c>
      <c r="L760" s="0" t="s">
        <v>31</v>
      </c>
      <c r="M760" s="0" t="s">
        <v>637</v>
      </c>
      <c r="N760" s="0" t="s">
        <v>2589</v>
      </c>
      <c r="O760" s="0" t="n">
        <v>1</v>
      </c>
      <c r="P760" s="0" t="s">
        <v>2590</v>
      </c>
      <c r="Q760" s="3"/>
      <c r="S760" s="2" t="s">
        <v>29</v>
      </c>
    </row>
    <row r="761" customFormat="false" ht="15" hidden="false" customHeight="false" outlineLevel="0" collapsed="false">
      <c r="A761" s="0" t="n">
        <v>760</v>
      </c>
      <c r="D761" s="0" t="s">
        <v>2591</v>
      </c>
      <c r="E761" s="0" t="s">
        <v>20</v>
      </c>
      <c r="F761" s="0" t="s">
        <v>2592</v>
      </c>
      <c r="H761" s="0" t="s">
        <v>21</v>
      </c>
      <c r="I761" s="2" t="s">
        <v>22</v>
      </c>
      <c r="J761" s="2" t="s">
        <v>635</v>
      </c>
      <c r="K761" s="0" t="s">
        <v>636</v>
      </c>
      <c r="L761" s="0" t="s">
        <v>2593</v>
      </c>
      <c r="M761" s="0" t="s">
        <v>637</v>
      </c>
      <c r="N761" s="0" t="s">
        <v>2594</v>
      </c>
      <c r="O761" s="0" t="n">
        <v>1</v>
      </c>
      <c r="P761" s="0" t="s">
        <v>2595</v>
      </c>
      <c r="Q761" s="3" t="s">
        <v>2596</v>
      </c>
      <c r="R761" s="2" t="s">
        <v>2597</v>
      </c>
      <c r="S761" s="2" t="s">
        <v>45</v>
      </c>
    </row>
    <row r="762" customFormat="false" ht="15" hidden="false" customHeight="false" outlineLevel="0" collapsed="false">
      <c r="A762" s="0" t="n">
        <v>761</v>
      </c>
      <c r="D762" s="0" t="s">
        <v>2598</v>
      </c>
      <c r="E762" s="0" t="s">
        <v>63</v>
      </c>
      <c r="F762" s="0" t="s">
        <v>2599</v>
      </c>
      <c r="H762" s="0" t="s">
        <v>21</v>
      </c>
      <c r="I762" s="2" t="s">
        <v>22</v>
      </c>
      <c r="J762" s="2" t="s">
        <v>635</v>
      </c>
      <c r="K762" s="0" t="s">
        <v>636</v>
      </c>
      <c r="L762" s="0" t="s">
        <v>2600</v>
      </c>
      <c r="M762" s="0" t="s">
        <v>637</v>
      </c>
      <c r="N762" s="0" t="s">
        <v>2601</v>
      </c>
      <c r="O762" s="0" t="n">
        <v>1</v>
      </c>
      <c r="Q762" s="3" t="s">
        <v>2602</v>
      </c>
      <c r="R762" s="2" t="s">
        <v>2603</v>
      </c>
      <c r="S762" s="2" t="s">
        <v>45</v>
      </c>
    </row>
    <row r="763" customFormat="false" ht="15" hidden="false" customHeight="false" outlineLevel="0" collapsed="false">
      <c r="A763" s="0" t="n">
        <v>762</v>
      </c>
      <c r="D763" s="0" t="s">
        <v>2604</v>
      </c>
      <c r="E763" s="0" t="s">
        <v>20</v>
      </c>
      <c r="H763" s="0" t="s">
        <v>21</v>
      </c>
      <c r="I763" s="2" t="s">
        <v>22</v>
      </c>
      <c r="J763" s="2" t="s">
        <v>635</v>
      </c>
      <c r="K763" s="0" t="s">
        <v>636</v>
      </c>
      <c r="L763" s="0" t="s">
        <v>31</v>
      </c>
      <c r="M763" s="0" t="s">
        <v>637</v>
      </c>
      <c r="N763" s="0" t="s">
        <v>2605</v>
      </c>
      <c r="O763" s="0" t="n">
        <v>1</v>
      </c>
      <c r="P763" s="0" t="s">
        <v>2606</v>
      </c>
      <c r="Q763" s="3"/>
      <c r="S763" s="2" t="s">
        <v>29</v>
      </c>
    </row>
    <row r="764" customFormat="false" ht="15" hidden="false" customHeight="false" outlineLevel="0" collapsed="false">
      <c r="A764" s="0" t="n">
        <v>763</v>
      </c>
      <c r="D764" s="0" t="s">
        <v>2607</v>
      </c>
      <c r="E764" s="0" t="s">
        <v>20</v>
      </c>
      <c r="H764" s="0" t="s">
        <v>21</v>
      </c>
      <c r="I764" s="2" t="s">
        <v>22</v>
      </c>
      <c r="J764" s="2" t="s">
        <v>635</v>
      </c>
      <c r="K764" s="0" t="s">
        <v>636</v>
      </c>
      <c r="L764" s="0" t="s">
        <v>31</v>
      </c>
      <c r="M764" s="0" t="s">
        <v>637</v>
      </c>
      <c r="N764" s="0" t="s">
        <v>2608</v>
      </c>
      <c r="O764" s="0" t="n">
        <v>1</v>
      </c>
      <c r="P764" s="0" t="s">
        <v>2609</v>
      </c>
      <c r="Q764" s="3"/>
      <c r="S764" s="2" t="s">
        <v>29</v>
      </c>
    </row>
    <row r="765" customFormat="false" ht="15" hidden="false" customHeight="false" outlineLevel="0" collapsed="false">
      <c r="A765" s="0" t="n">
        <v>764</v>
      </c>
      <c r="D765" s="0" t="s">
        <v>2610</v>
      </c>
      <c r="E765" s="0" t="s">
        <v>20</v>
      </c>
      <c r="H765" s="0" t="s">
        <v>21</v>
      </c>
      <c r="I765" s="2" t="s">
        <v>22</v>
      </c>
      <c r="J765" s="2" t="s">
        <v>635</v>
      </c>
      <c r="K765" s="0" t="s">
        <v>636</v>
      </c>
      <c r="L765" s="0" t="s">
        <v>31</v>
      </c>
      <c r="M765" s="0" t="s">
        <v>637</v>
      </c>
      <c r="N765" s="0" t="s">
        <v>2611</v>
      </c>
      <c r="O765" s="0" t="n">
        <v>1</v>
      </c>
      <c r="P765" s="0" t="s">
        <v>2612</v>
      </c>
      <c r="Q765" s="3"/>
      <c r="S765" s="2" t="s">
        <v>29</v>
      </c>
    </row>
    <row r="766" customFormat="false" ht="15" hidden="false" customHeight="false" outlineLevel="0" collapsed="false">
      <c r="A766" s="0" t="n">
        <v>765</v>
      </c>
      <c r="D766" s="0" t="s">
        <v>2613</v>
      </c>
      <c r="E766" s="0" t="s">
        <v>20</v>
      </c>
      <c r="H766" s="0" t="s">
        <v>21</v>
      </c>
      <c r="I766" s="2" t="s">
        <v>22</v>
      </c>
      <c r="J766" s="2" t="s">
        <v>635</v>
      </c>
      <c r="K766" s="0" t="s">
        <v>636</v>
      </c>
      <c r="L766" s="0" t="s">
        <v>31</v>
      </c>
      <c r="M766" s="0" t="s">
        <v>637</v>
      </c>
      <c r="N766" s="0" t="s">
        <v>2614</v>
      </c>
      <c r="O766" s="0" t="n">
        <v>1</v>
      </c>
      <c r="Q766" s="3"/>
      <c r="S766" s="2" t="s">
        <v>29</v>
      </c>
    </row>
    <row r="767" customFormat="false" ht="15" hidden="false" customHeight="false" outlineLevel="0" collapsed="false">
      <c r="A767" s="0" t="n">
        <v>766</v>
      </c>
      <c r="D767" s="0" t="s">
        <v>2615</v>
      </c>
      <c r="E767" s="0" t="s">
        <v>99</v>
      </c>
      <c r="H767" s="0" t="s">
        <v>21</v>
      </c>
      <c r="I767" s="2" t="s">
        <v>22</v>
      </c>
      <c r="J767" s="2" t="s">
        <v>635</v>
      </c>
      <c r="K767" s="0" t="s">
        <v>636</v>
      </c>
      <c r="L767" s="0" t="s">
        <v>100</v>
      </c>
      <c r="M767" s="0" t="s">
        <v>637</v>
      </c>
      <c r="N767" s="0" t="s">
        <v>2616</v>
      </c>
      <c r="O767" s="0" t="n">
        <v>1</v>
      </c>
      <c r="P767" s="0" t="s">
        <v>2617</v>
      </c>
      <c r="Q767" s="3"/>
      <c r="S767" s="2" t="s">
        <v>29</v>
      </c>
    </row>
    <row r="768" customFormat="false" ht="15" hidden="false" customHeight="false" outlineLevel="0" collapsed="false">
      <c r="A768" s="0" t="n">
        <v>767</v>
      </c>
      <c r="D768" s="0" t="s">
        <v>2618</v>
      </c>
      <c r="E768" s="0" t="s">
        <v>20</v>
      </c>
      <c r="H768" s="0" t="s">
        <v>21</v>
      </c>
      <c r="I768" s="2" t="s">
        <v>22</v>
      </c>
      <c r="J768" s="2" t="s">
        <v>635</v>
      </c>
      <c r="K768" s="0" t="s">
        <v>636</v>
      </c>
      <c r="L768" s="0" t="s">
        <v>31</v>
      </c>
      <c r="M768" s="0" t="s">
        <v>637</v>
      </c>
      <c r="N768" s="0" t="s">
        <v>2619</v>
      </c>
      <c r="O768" s="0" t="n">
        <v>1</v>
      </c>
      <c r="P768" s="0" t="s">
        <v>2620</v>
      </c>
      <c r="Q768" s="3"/>
      <c r="S768" s="2" t="s">
        <v>29</v>
      </c>
    </row>
    <row r="769" customFormat="false" ht="15" hidden="false" customHeight="false" outlineLevel="0" collapsed="false">
      <c r="A769" s="0" t="n">
        <v>768</v>
      </c>
      <c r="D769" s="0" t="s">
        <v>2621</v>
      </c>
      <c r="E769" s="0" t="s">
        <v>20</v>
      </c>
      <c r="H769" s="0" t="s">
        <v>21</v>
      </c>
      <c r="I769" s="2" t="s">
        <v>22</v>
      </c>
      <c r="J769" s="2" t="s">
        <v>635</v>
      </c>
      <c r="K769" s="0" t="s">
        <v>636</v>
      </c>
      <c r="L769" s="0" t="s">
        <v>31</v>
      </c>
      <c r="M769" s="0" t="s">
        <v>637</v>
      </c>
      <c r="N769" s="0" t="s">
        <v>2622</v>
      </c>
      <c r="O769" s="0" t="n">
        <v>1</v>
      </c>
      <c r="P769" s="0" t="s">
        <v>2623</v>
      </c>
      <c r="Q769" s="3"/>
      <c r="S769" s="2" t="s">
        <v>29</v>
      </c>
    </row>
    <row r="770" customFormat="false" ht="15" hidden="false" customHeight="false" outlineLevel="0" collapsed="false">
      <c r="A770" s="0" t="n">
        <v>769</v>
      </c>
      <c r="D770" s="0" t="s">
        <v>2624</v>
      </c>
      <c r="E770" s="0" t="s">
        <v>63</v>
      </c>
      <c r="H770" s="0" t="s">
        <v>21</v>
      </c>
      <c r="I770" s="2" t="s">
        <v>22</v>
      </c>
      <c r="J770" s="2" t="s">
        <v>635</v>
      </c>
      <c r="K770" s="0" t="s">
        <v>636</v>
      </c>
      <c r="L770" s="0" t="s">
        <v>100</v>
      </c>
      <c r="M770" s="0" t="s">
        <v>637</v>
      </c>
      <c r="N770" s="0" t="s">
        <v>2625</v>
      </c>
      <c r="O770" s="0" t="n">
        <v>1</v>
      </c>
      <c r="P770" s="0" t="s">
        <v>2626</v>
      </c>
      <c r="Q770" s="3"/>
      <c r="S770" s="2" t="s">
        <v>29</v>
      </c>
    </row>
    <row r="771" customFormat="false" ht="15" hidden="false" customHeight="false" outlineLevel="0" collapsed="false">
      <c r="A771" s="0" t="n">
        <v>770</v>
      </c>
      <c r="D771" s="0" t="s">
        <v>2627</v>
      </c>
      <c r="E771" s="0" t="s">
        <v>20</v>
      </c>
      <c r="F771" s="0" t="s">
        <v>2628</v>
      </c>
      <c r="H771" s="0" t="s">
        <v>21</v>
      </c>
      <c r="I771" s="2" t="s">
        <v>22</v>
      </c>
      <c r="J771" s="2" t="s">
        <v>635</v>
      </c>
      <c r="K771" s="0" t="s">
        <v>636</v>
      </c>
      <c r="L771" s="0" t="s">
        <v>2629</v>
      </c>
      <c r="M771" s="0" t="s">
        <v>637</v>
      </c>
      <c r="N771" s="0" t="s">
        <v>2630</v>
      </c>
      <c r="O771" s="0" t="n">
        <v>1</v>
      </c>
      <c r="P771" s="0" t="s">
        <v>2631</v>
      </c>
      <c r="Q771" s="3" t="s">
        <v>2632</v>
      </c>
      <c r="R771" s="2" t="s">
        <v>2633</v>
      </c>
      <c r="S771" s="2" t="s">
        <v>45</v>
      </c>
    </row>
    <row r="772" customFormat="false" ht="15" hidden="false" customHeight="false" outlineLevel="0" collapsed="false">
      <c r="A772" s="0" t="n">
        <v>771</v>
      </c>
      <c r="D772" s="0" t="s">
        <v>2634</v>
      </c>
      <c r="E772" s="0" t="s">
        <v>20</v>
      </c>
      <c r="H772" s="0" t="s">
        <v>21</v>
      </c>
      <c r="I772" s="2" t="s">
        <v>22</v>
      </c>
      <c r="J772" s="2" t="s">
        <v>635</v>
      </c>
      <c r="K772" s="0" t="s">
        <v>636</v>
      </c>
      <c r="L772" s="0" t="s">
        <v>31</v>
      </c>
      <c r="M772" s="0" t="s">
        <v>637</v>
      </c>
      <c r="N772" s="0" t="s">
        <v>2635</v>
      </c>
      <c r="O772" s="0" t="n">
        <v>1</v>
      </c>
      <c r="P772" s="0" t="s">
        <v>2636</v>
      </c>
      <c r="Q772" s="3"/>
      <c r="S772" s="2" t="s">
        <v>29</v>
      </c>
    </row>
    <row r="773" customFormat="false" ht="15" hidden="false" customHeight="false" outlineLevel="0" collapsed="false">
      <c r="A773" s="0" t="n">
        <v>772</v>
      </c>
      <c r="D773" s="0" t="s">
        <v>2637</v>
      </c>
      <c r="E773" s="0" t="s">
        <v>20</v>
      </c>
      <c r="H773" s="0" t="s">
        <v>21</v>
      </c>
      <c r="I773" s="2" t="s">
        <v>22</v>
      </c>
      <c r="J773" s="2" t="s">
        <v>635</v>
      </c>
      <c r="K773" s="0" t="s">
        <v>636</v>
      </c>
      <c r="L773" s="0" t="s">
        <v>31</v>
      </c>
      <c r="M773" s="0" t="s">
        <v>637</v>
      </c>
      <c r="N773" s="0" t="s">
        <v>2638</v>
      </c>
      <c r="O773" s="0" t="n">
        <v>1</v>
      </c>
      <c r="P773" s="0" t="s">
        <v>2639</v>
      </c>
      <c r="Q773" s="3"/>
      <c r="S773" s="2" t="s">
        <v>29</v>
      </c>
    </row>
    <row r="774" customFormat="false" ht="15" hidden="false" customHeight="false" outlineLevel="0" collapsed="false">
      <c r="A774" s="0" t="n">
        <v>773</v>
      </c>
      <c r="D774" s="0" t="s">
        <v>2640</v>
      </c>
      <c r="E774" s="0" t="s">
        <v>20</v>
      </c>
      <c r="H774" s="0" t="s">
        <v>21</v>
      </c>
      <c r="I774" s="2" t="s">
        <v>22</v>
      </c>
      <c r="J774" s="2" t="s">
        <v>635</v>
      </c>
      <c r="K774" s="0" t="s">
        <v>636</v>
      </c>
      <c r="L774" s="0" t="s">
        <v>31</v>
      </c>
      <c r="M774" s="0" t="s">
        <v>637</v>
      </c>
      <c r="N774" s="0" t="s">
        <v>2641</v>
      </c>
      <c r="O774" s="0" t="n">
        <v>1</v>
      </c>
      <c r="P774" s="0" t="s">
        <v>2642</v>
      </c>
      <c r="Q774" s="3"/>
      <c r="S774" s="2" t="s">
        <v>29</v>
      </c>
    </row>
    <row r="775" customFormat="false" ht="15" hidden="false" customHeight="false" outlineLevel="0" collapsed="false">
      <c r="A775" s="0" t="n">
        <v>774</v>
      </c>
      <c r="D775" s="0" t="s">
        <v>2643</v>
      </c>
      <c r="E775" s="0" t="s">
        <v>63</v>
      </c>
      <c r="H775" s="0" t="s">
        <v>21</v>
      </c>
      <c r="I775" s="2" t="s">
        <v>22</v>
      </c>
      <c r="J775" s="2" t="s">
        <v>635</v>
      </c>
      <c r="K775" s="0" t="s">
        <v>636</v>
      </c>
      <c r="L775" s="0" t="s">
        <v>100</v>
      </c>
      <c r="M775" s="0" t="s">
        <v>637</v>
      </c>
      <c r="N775" s="0" t="s">
        <v>2644</v>
      </c>
      <c r="O775" s="0" t="n">
        <v>1</v>
      </c>
      <c r="P775" s="0" t="s">
        <v>2645</v>
      </c>
      <c r="Q775" s="3"/>
      <c r="S775" s="2" t="s">
        <v>29</v>
      </c>
    </row>
    <row r="776" customFormat="false" ht="15" hidden="false" customHeight="false" outlineLevel="0" collapsed="false">
      <c r="A776" s="0" t="n">
        <v>775</v>
      </c>
      <c r="D776" s="0" t="s">
        <v>2646</v>
      </c>
      <c r="E776" s="0" t="s">
        <v>20</v>
      </c>
      <c r="H776" s="0" t="s">
        <v>21</v>
      </c>
      <c r="I776" s="2" t="s">
        <v>22</v>
      </c>
      <c r="J776" s="2" t="s">
        <v>635</v>
      </c>
      <c r="K776" s="0" t="s">
        <v>636</v>
      </c>
      <c r="L776" s="0" t="s">
        <v>31</v>
      </c>
      <c r="M776" s="0" t="s">
        <v>637</v>
      </c>
      <c r="N776" s="0" t="s">
        <v>2647</v>
      </c>
      <c r="O776" s="0" t="n">
        <v>1</v>
      </c>
      <c r="P776" s="0" t="s">
        <v>2648</v>
      </c>
      <c r="Q776" s="3"/>
      <c r="S776" s="2" t="s">
        <v>29</v>
      </c>
    </row>
    <row r="777" customFormat="false" ht="15" hidden="false" customHeight="false" outlineLevel="0" collapsed="false">
      <c r="A777" s="0" t="n">
        <v>776</v>
      </c>
      <c r="D777" s="0" t="s">
        <v>2649</v>
      </c>
      <c r="E777" s="0" t="s">
        <v>20</v>
      </c>
      <c r="H777" s="0" t="s">
        <v>21</v>
      </c>
      <c r="I777" s="2" t="s">
        <v>22</v>
      </c>
      <c r="J777" s="2" t="s">
        <v>635</v>
      </c>
      <c r="K777" s="0" t="s">
        <v>636</v>
      </c>
      <c r="L777" s="0" t="s">
        <v>31</v>
      </c>
      <c r="M777" s="0" t="s">
        <v>637</v>
      </c>
      <c r="N777" s="0" t="s">
        <v>2650</v>
      </c>
      <c r="O777" s="0" t="n">
        <v>1</v>
      </c>
      <c r="P777" s="0" t="s">
        <v>2651</v>
      </c>
      <c r="Q777" s="3"/>
      <c r="S777" s="2" t="s">
        <v>29</v>
      </c>
    </row>
    <row r="778" customFormat="false" ht="15" hidden="false" customHeight="false" outlineLevel="0" collapsed="false">
      <c r="A778" s="0" t="n">
        <v>777</v>
      </c>
      <c r="D778" s="0" t="s">
        <v>2652</v>
      </c>
      <c r="E778" s="0" t="s">
        <v>20</v>
      </c>
      <c r="H778" s="0" t="s">
        <v>21</v>
      </c>
      <c r="I778" s="2" t="s">
        <v>22</v>
      </c>
      <c r="J778" s="2" t="s">
        <v>635</v>
      </c>
      <c r="K778" s="0" t="s">
        <v>636</v>
      </c>
      <c r="L778" s="0" t="s">
        <v>31</v>
      </c>
      <c r="M778" s="0" t="s">
        <v>637</v>
      </c>
      <c r="N778" s="0" t="s">
        <v>2653</v>
      </c>
      <c r="O778" s="0" t="n">
        <v>1</v>
      </c>
      <c r="P778" s="0" t="s">
        <v>2654</v>
      </c>
      <c r="Q778" s="3"/>
      <c r="S778" s="2" t="s">
        <v>29</v>
      </c>
    </row>
    <row r="779" customFormat="false" ht="15" hidden="false" customHeight="false" outlineLevel="0" collapsed="false">
      <c r="A779" s="0" t="n">
        <v>778</v>
      </c>
      <c r="D779" s="0" t="s">
        <v>2655</v>
      </c>
      <c r="E779" s="0" t="s">
        <v>492</v>
      </c>
      <c r="H779" s="0" t="s">
        <v>21</v>
      </c>
      <c r="I779" s="2" t="s">
        <v>22</v>
      </c>
      <c r="J779" s="2" t="s">
        <v>635</v>
      </c>
      <c r="K779" s="0" t="s">
        <v>636</v>
      </c>
      <c r="L779" s="0" t="s">
        <v>31</v>
      </c>
      <c r="M779" s="0" t="s">
        <v>637</v>
      </c>
      <c r="N779" s="0" t="s">
        <v>2656</v>
      </c>
      <c r="O779" s="0" t="n">
        <v>1</v>
      </c>
      <c r="P779" s="0" t="s">
        <v>2657</v>
      </c>
      <c r="Q779" s="3"/>
      <c r="S779" s="2" t="s">
        <v>29</v>
      </c>
    </row>
    <row r="780" customFormat="false" ht="15" hidden="false" customHeight="false" outlineLevel="0" collapsed="false">
      <c r="A780" s="0" t="n">
        <v>779</v>
      </c>
      <c r="D780" s="0" t="s">
        <v>2658</v>
      </c>
      <c r="E780" s="0" t="s">
        <v>20</v>
      </c>
      <c r="H780" s="0" t="s">
        <v>21</v>
      </c>
      <c r="I780" s="2" t="s">
        <v>22</v>
      </c>
      <c r="J780" s="2" t="s">
        <v>635</v>
      </c>
      <c r="K780" s="0" t="s">
        <v>636</v>
      </c>
      <c r="L780" s="0" t="s">
        <v>31</v>
      </c>
      <c r="M780" s="0" t="s">
        <v>637</v>
      </c>
      <c r="N780" s="0" t="s">
        <v>2659</v>
      </c>
      <c r="O780" s="0" t="n">
        <v>1</v>
      </c>
      <c r="P780" s="0" t="s">
        <v>2660</v>
      </c>
      <c r="Q780" s="3"/>
      <c r="S780" s="2" t="s">
        <v>29</v>
      </c>
    </row>
    <row r="781" customFormat="false" ht="15" hidden="false" customHeight="false" outlineLevel="0" collapsed="false">
      <c r="A781" s="0" t="n">
        <v>780</v>
      </c>
      <c r="D781" s="0" t="s">
        <v>2661</v>
      </c>
      <c r="E781" s="0" t="s">
        <v>492</v>
      </c>
      <c r="H781" s="0" t="s">
        <v>21</v>
      </c>
      <c r="I781" s="2" t="s">
        <v>22</v>
      </c>
      <c r="J781" s="2" t="s">
        <v>635</v>
      </c>
      <c r="K781" s="0" t="s">
        <v>636</v>
      </c>
      <c r="L781" s="0" t="s">
        <v>31</v>
      </c>
      <c r="M781" s="0" t="s">
        <v>637</v>
      </c>
      <c r="N781" s="0" t="s">
        <v>2662</v>
      </c>
      <c r="O781" s="0" t="n">
        <v>1</v>
      </c>
      <c r="P781" s="0" t="s">
        <v>2663</v>
      </c>
      <c r="Q781" s="3"/>
      <c r="S781" s="2" t="s">
        <v>29</v>
      </c>
    </row>
    <row r="782" customFormat="false" ht="15" hidden="false" customHeight="false" outlineLevel="0" collapsed="false">
      <c r="A782" s="0" t="n">
        <v>781</v>
      </c>
      <c r="D782" s="0" t="s">
        <v>2664</v>
      </c>
      <c r="E782" s="0" t="s">
        <v>20</v>
      </c>
      <c r="H782" s="0" t="s">
        <v>21</v>
      </c>
      <c r="I782" s="2" t="s">
        <v>22</v>
      </c>
      <c r="J782" s="2" t="s">
        <v>635</v>
      </c>
      <c r="K782" s="0" t="s">
        <v>636</v>
      </c>
      <c r="L782" s="0" t="s">
        <v>31</v>
      </c>
      <c r="M782" s="0" t="s">
        <v>637</v>
      </c>
      <c r="N782" s="0" t="s">
        <v>2665</v>
      </c>
      <c r="O782" s="0" t="n">
        <v>1</v>
      </c>
      <c r="P782" s="0" t="s">
        <v>2666</v>
      </c>
      <c r="Q782" s="3"/>
      <c r="S782" s="2" t="s">
        <v>29</v>
      </c>
    </row>
    <row r="783" customFormat="false" ht="15" hidden="false" customHeight="false" outlineLevel="0" collapsed="false">
      <c r="A783" s="0" t="n">
        <v>782</v>
      </c>
      <c r="D783" s="0" t="s">
        <v>2667</v>
      </c>
      <c r="E783" s="0" t="s">
        <v>20</v>
      </c>
      <c r="H783" s="0" t="s">
        <v>21</v>
      </c>
      <c r="I783" s="2" t="s">
        <v>22</v>
      </c>
      <c r="J783" s="2" t="s">
        <v>635</v>
      </c>
      <c r="K783" s="0" t="s">
        <v>636</v>
      </c>
      <c r="L783" s="0" t="s">
        <v>31</v>
      </c>
      <c r="M783" s="0" t="s">
        <v>637</v>
      </c>
      <c r="N783" s="0" t="s">
        <v>2668</v>
      </c>
      <c r="O783" s="0" t="n">
        <v>1</v>
      </c>
      <c r="P783" s="0" t="s">
        <v>2669</v>
      </c>
      <c r="Q783" s="3"/>
      <c r="S783" s="2" t="s">
        <v>29</v>
      </c>
    </row>
    <row r="784" customFormat="false" ht="15" hidden="false" customHeight="false" outlineLevel="0" collapsed="false">
      <c r="A784" s="0" t="n">
        <v>783</v>
      </c>
      <c r="D784" s="0" t="s">
        <v>2670</v>
      </c>
      <c r="E784" s="0" t="s">
        <v>2320</v>
      </c>
      <c r="H784" s="0" t="s">
        <v>21</v>
      </c>
      <c r="I784" s="2" t="s">
        <v>22</v>
      </c>
      <c r="J784" s="2" t="s">
        <v>635</v>
      </c>
      <c r="K784" s="0" t="s">
        <v>636</v>
      </c>
      <c r="L784" s="0" t="s">
        <v>100</v>
      </c>
      <c r="M784" s="0" t="s">
        <v>637</v>
      </c>
      <c r="N784" s="0" t="s">
        <v>2671</v>
      </c>
      <c r="O784" s="0" t="n">
        <v>1</v>
      </c>
      <c r="P784" s="0" t="s">
        <v>2672</v>
      </c>
      <c r="Q784" s="3"/>
      <c r="S784" s="2" t="s">
        <v>29</v>
      </c>
    </row>
    <row r="785" customFormat="false" ht="15" hidden="false" customHeight="false" outlineLevel="0" collapsed="false">
      <c r="A785" s="0" t="n">
        <v>784</v>
      </c>
      <c r="D785" s="0" t="s">
        <v>2673</v>
      </c>
      <c r="E785" s="0" t="s">
        <v>2320</v>
      </c>
      <c r="H785" s="0" t="s">
        <v>21</v>
      </c>
      <c r="I785" s="2" t="s">
        <v>22</v>
      </c>
      <c r="J785" s="2" t="s">
        <v>635</v>
      </c>
      <c r="K785" s="0" t="s">
        <v>636</v>
      </c>
      <c r="L785" s="0" t="s">
        <v>100</v>
      </c>
      <c r="M785" s="0" t="s">
        <v>637</v>
      </c>
      <c r="N785" s="0" t="s">
        <v>2674</v>
      </c>
      <c r="O785" s="0" t="n">
        <v>1</v>
      </c>
      <c r="P785" s="0" t="s">
        <v>2675</v>
      </c>
      <c r="Q785" s="3"/>
      <c r="S785" s="2" t="s">
        <v>29</v>
      </c>
    </row>
    <row r="786" customFormat="false" ht="15" hidden="false" customHeight="false" outlineLevel="0" collapsed="false">
      <c r="A786" s="0" t="n">
        <v>785</v>
      </c>
      <c r="D786" s="0" t="s">
        <v>2676</v>
      </c>
      <c r="E786" s="0" t="s">
        <v>20</v>
      </c>
      <c r="H786" s="0" t="s">
        <v>21</v>
      </c>
      <c r="I786" s="2" t="s">
        <v>22</v>
      </c>
      <c r="J786" s="2" t="s">
        <v>635</v>
      </c>
      <c r="K786" s="0" t="s">
        <v>636</v>
      </c>
      <c r="L786" s="0" t="s">
        <v>31</v>
      </c>
      <c r="M786" s="0" t="s">
        <v>637</v>
      </c>
      <c r="N786" s="0" t="s">
        <v>2677</v>
      </c>
      <c r="O786" s="0" t="n">
        <v>1</v>
      </c>
      <c r="P786" s="0" t="s">
        <v>2678</v>
      </c>
      <c r="Q786" s="3"/>
      <c r="S786" s="2" t="s">
        <v>29</v>
      </c>
    </row>
    <row r="787" customFormat="false" ht="15" hidden="false" customHeight="false" outlineLevel="0" collapsed="false">
      <c r="A787" s="0" t="n">
        <v>786</v>
      </c>
      <c r="D787" s="0" t="s">
        <v>2679</v>
      </c>
      <c r="E787" s="0" t="s">
        <v>63</v>
      </c>
      <c r="H787" s="0" t="s">
        <v>21</v>
      </c>
      <c r="I787" s="2" t="s">
        <v>22</v>
      </c>
      <c r="J787" s="2" t="s">
        <v>635</v>
      </c>
      <c r="K787" s="0" t="s">
        <v>636</v>
      </c>
      <c r="L787" s="0" t="s">
        <v>100</v>
      </c>
      <c r="M787" s="0" t="s">
        <v>637</v>
      </c>
      <c r="N787" s="0" t="s">
        <v>2680</v>
      </c>
      <c r="O787" s="0" t="n">
        <v>1</v>
      </c>
      <c r="P787" s="0" t="s">
        <v>2681</v>
      </c>
      <c r="Q787" s="3"/>
      <c r="S787" s="2" t="s">
        <v>29</v>
      </c>
    </row>
    <row r="788" customFormat="false" ht="15" hidden="false" customHeight="false" outlineLevel="0" collapsed="false">
      <c r="A788" s="0" t="n">
        <v>787</v>
      </c>
      <c r="D788" s="0" t="s">
        <v>2682</v>
      </c>
      <c r="E788" s="0" t="s">
        <v>492</v>
      </c>
      <c r="H788" s="0" t="s">
        <v>21</v>
      </c>
      <c r="I788" s="2" t="s">
        <v>22</v>
      </c>
      <c r="J788" s="2" t="s">
        <v>635</v>
      </c>
      <c r="K788" s="0" t="s">
        <v>636</v>
      </c>
      <c r="L788" s="0" t="s">
        <v>31</v>
      </c>
      <c r="M788" s="0" t="s">
        <v>637</v>
      </c>
      <c r="N788" s="0" t="s">
        <v>2683</v>
      </c>
      <c r="O788" s="0" t="n">
        <v>1</v>
      </c>
      <c r="P788" s="0" t="s">
        <v>2684</v>
      </c>
      <c r="Q788" s="3"/>
      <c r="S788" s="2" t="s">
        <v>29</v>
      </c>
    </row>
    <row r="789" customFormat="false" ht="15" hidden="false" customHeight="false" outlineLevel="0" collapsed="false">
      <c r="A789" s="0" t="n">
        <v>788</v>
      </c>
      <c r="D789" s="0" t="s">
        <v>2685</v>
      </c>
      <c r="E789" s="0" t="s">
        <v>20</v>
      </c>
      <c r="H789" s="0" t="s">
        <v>21</v>
      </c>
      <c r="I789" s="2" t="s">
        <v>22</v>
      </c>
      <c r="J789" s="2" t="s">
        <v>635</v>
      </c>
      <c r="K789" s="0" t="s">
        <v>636</v>
      </c>
      <c r="L789" s="0" t="s">
        <v>31</v>
      </c>
      <c r="M789" s="0" t="s">
        <v>637</v>
      </c>
      <c r="N789" s="0" t="s">
        <v>2686</v>
      </c>
      <c r="O789" s="0" t="n">
        <v>1</v>
      </c>
      <c r="P789" s="0" t="s">
        <v>2687</v>
      </c>
      <c r="Q789" s="3"/>
      <c r="S789" s="2" t="s">
        <v>29</v>
      </c>
    </row>
    <row r="790" customFormat="false" ht="15" hidden="false" customHeight="false" outlineLevel="0" collapsed="false">
      <c r="A790" s="0" t="n">
        <v>789</v>
      </c>
      <c r="D790" s="0" t="s">
        <v>2688</v>
      </c>
      <c r="E790" s="0" t="s">
        <v>226</v>
      </c>
      <c r="H790" s="0" t="s">
        <v>21</v>
      </c>
      <c r="I790" s="2" t="s">
        <v>22</v>
      </c>
      <c r="J790" s="2" t="s">
        <v>635</v>
      </c>
      <c r="K790" s="0" t="s">
        <v>636</v>
      </c>
      <c r="L790" s="0" t="s">
        <v>100</v>
      </c>
      <c r="M790" s="0" t="s">
        <v>637</v>
      </c>
      <c r="N790" s="0" t="s">
        <v>2689</v>
      </c>
      <c r="O790" s="0" t="n">
        <v>1</v>
      </c>
      <c r="P790" s="0" t="s">
        <v>2690</v>
      </c>
      <c r="Q790" s="3"/>
      <c r="S790" s="2" t="s">
        <v>29</v>
      </c>
    </row>
    <row r="791" customFormat="false" ht="15" hidden="false" customHeight="false" outlineLevel="0" collapsed="false">
      <c r="A791" s="0" t="n">
        <v>790</v>
      </c>
      <c r="D791" s="0" t="s">
        <v>2691</v>
      </c>
      <c r="E791" s="0" t="s">
        <v>20</v>
      </c>
      <c r="H791" s="0" t="s">
        <v>21</v>
      </c>
      <c r="I791" s="2" t="s">
        <v>22</v>
      </c>
      <c r="J791" s="2" t="s">
        <v>635</v>
      </c>
      <c r="K791" s="0" t="s">
        <v>636</v>
      </c>
      <c r="L791" s="0" t="s">
        <v>31</v>
      </c>
      <c r="M791" s="0" t="s">
        <v>637</v>
      </c>
      <c r="N791" s="0" t="s">
        <v>2692</v>
      </c>
      <c r="O791" s="0" t="n">
        <v>1</v>
      </c>
      <c r="P791" s="0" t="s">
        <v>2693</v>
      </c>
      <c r="Q791" s="3"/>
      <c r="S791" s="2" t="s">
        <v>29</v>
      </c>
    </row>
    <row r="792" customFormat="false" ht="15" hidden="false" customHeight="false" outlineLevel="0" collapsed="false">
      <c r="A792" s="0" t="n">
        <v>791</v>
      </c>
      <c r="D792" s="0" t="s">
        <v>2694</v>
      </c>
      <c r="E792" s="0" t="s">
        <v>20</v>
      </c>
      <c r="H792" s="0" t="s">
        <v>21</v>
      </c>
      <c r="I792" s="2" t="s">
        <v>22</v>
      </c>
      <c r="J792" s="2" t="s">
        <v>635</v>
      </c>
      <c r="K792" s="0" t="s">
        <v>636</v>
      </c>
      <c r="L792" s="0" t="s">
        <v>31</v>
      </c>
      <c r="M792" s="0" t="s">
        <v>637</v>
      </c>
      <c r="N792" s="0" t="s">
        <v>2695</v>
      </c>
      <c r="O792" s="0" t="n">
        <v>1</v>
      </c>
      <c r="P792" s="0" t="s">
        <v>2696</v>
      </c>
      <c r="Q792" s="3"/>
      <c r="S792" s="2" t="s">
        <v>29</v>
      </c>
    </row>
    <row r="793" customFormat="false" ht="15" hidden="false" customHeight="false" outlineLevel="0" collapsed="false">
      <c r="A793" s="0" t="n">
        <v>792</v>
      </c>
      <c r="D793" s="0" t="s">
        <v>2697</v>
      </c>
      <c r="E793" s="0" t="s">
        <v>20</v>
      </c>
      <c r="H793" s="0" t="s">
        <v>21</v>
      </c>
      <c r="I793" s="2" t="s">
        <v>22</v>
      </c>
      <c r="J793" s="2" t="s">
        <v>635</v>
      </c>
      <c r="K793" s="0" t="s">
        <v>636</v>
      </c>
      <c r="L793" s="0" t="s">
        <v>31</v>
      </c>
      <c r="M793" s="0" t="s">
        <v>637</v>
      </c>
      <c r="N793" s="0" t="s">
        <v>2698</v>
      </c>
      <c r="O793" s="0" t="n">
        <v>1</v>
      </c>
      <c r="P793" s="0" t="s">
        <v>2699</v>
      </c>
      <c r="Q793" s="3"/>
      <c r="S793" s="2" t="s">
        <v>29</v>
      </c>
    </row>
    <row r="794" customFormat="false" ht="15" hidden="false" customHeight="false" outlineLevel="0" collapsed="false">
      <c r="A794" s="0" t="n">
        <v>793</v>
      </c>
      <c r="D794" s="0" t="s">
        <v>2700</v>
      </c>
      <c r="E794" s="0" t="s">
        <v>20</v>
      </c>
      <c r="H794" s="0" t="s">
        <v>21</v>
      </c>
      <c r="I794" s="2" t="s">
        <v>22</v>
      </c>
      <c r="J794" s="2" t="s">
        <v>635</v>
      </c>
      <c r="K794" s="0" t="s">
        <v>636</v>
      </c>
      <c r="L794" s="0" t="s">
        <v>31</v>
      </c>
      <c r="M794" s="0" t="s">
        <v>637</v>
      </c>
      <c r="N794" s="0" t="s">
        <v>2701</v>
      </c>
      <c r="O794" s="0" t="n">
        <v>1</v>
      </c>
      <c r="P794" s="0" t="s">
        <v>2702</v>
      </c>
      <c r="Q794" s="3"/>
      <c r="S794" s="2" t="s">
        <v>29</v>
      </c>
    </row>
    <row r="795" customFormat="false" ht="15" hidden="false" customHeight="false" outlineLevel="0" collapsed="false">
      <c r="A795" s="0" t="n">
        <v>794</v>
      </c>
      <c r="D795" s="0" t="s">
        <v>2703</v>
      </c>
      <c r="E795" s="0" t="s">
        <v>20</v>
      </c>
      <c r="H795" s="0" t="s">
        <v>21</v>
      </c>
      <c r="I795" s="2" t="s">
        <v>22</v>
      </c>
      <c r="J795" s="2" t="s">
        <v>635</v>
      </c>
      <c r="K795" s="0" t="s">
        <v>636</v>
      </c>
      <c r="L795" s="0" t="s">
        <v>31</v>
      </c>
      <c r="M795" s="0" t="s">
        <v>637</v>
      </c>
      <c r="N795" s="0" t="s">
        <v>2704</v>
      </c>
      <c r="O795" s="0" t="n">
        <v>1</v>
      </c>
      <c r="P795" s="0" t="s">
        <v>2705</v>
      </c>
      <c r="Q795" s="3"/>
      <c r="S795" s="2" t="s">
        <v>29</v>
      </c>
    </row>
    <row r="796" customFormat="false" ht="15" hidden="false" customHeight="false" outlineLevel="0" collapsed="false">
      <c r="A796" s="0" t="n">
        <v>795</v>
      </c>
      <c r="D796" s="0" t="s">
        <v>2706</v>
      </c>
      <c r="E796" s="0" t="s">
        <v>20</v>
      </c>
      <c r="H796" s="0" t="s">
        <v>21</v>
      </c>
      <c r="I796" s="2" t="s">
        <v>22</v>
      </c>
      <c r="J796" s="2" t="s">
        <v>635</v>
      </c>
      <c r="K796" s="0" t="s">
        <v>636</v>
      </c>
      <c r="L796" s="0" t="s">
        <v>31</v>
      </c>
      <c r="M796" s="0" t="s">
        <v>637</v>
      </c>
      <c r="N796" s="0" t="s">
        <v>2707</v>
      </c>
      <c r="O796" s="0" t="n">
        <v>1</v>
      </c>
      <c r="P796" s="0" t="s">
        <v>2708</v>
      </c>
      <c r="Q796" s="3"/>
      <c r="S796" s="2" t="s">
        <v>29</v>
      </c>
    </row>
    <row r="797" customFormat="false" ht="15" hidden="false" customHeight="false" outlineLevel="0" collapsed="false">
      <c r="A797" s="0" t="n">
        <v>796</v>
      </c>
      <c r="D797" s="0" t="s">
        <v>2709</v>
      </c>
      <c r="E797" s="0" t="s">
        <v>20</v>
      </c>
      <c r="H797" s="0" t="s">
        <v>21</v>
      </c>
      <c r="I797" s="2" t="s">
        <v>22</v>
      </c>
      <c r="J797" s="2" t="s">
        <v>635</v>
      </c>
      <c r="K797" s="0" t="s">
        <v>636</v>
      </c>
      <c r="L797" s="0" t="s">
        <v>31</v>
      </c>
      <c r="M797" s="0" t="s">
        <v>637</v>
      </c>
      <c r="N797" s="0" t="s">
        <v>2710</v>
      </c>
      <c r="O797" s="0" t="n">
        <v>1</v>
      </c>
      <c r="P797" s="0" t="s">
        <v>2711</v>
      </c>
      <c r="Q797" s="3"/>
      <c r="S797" s="2" t="s">
        <v>29</v>
      </c>
    </row>
    <row r="798" customFormat="false" ht="15" hidden="false" customHeight="false" outlineLevel="0" collapsed="false">
      <c r="A798" s="0" t="n">
        <v>797</v>
      </c>
      <c r="D798" s="0" t="s">
        <v>2712</v>
      </c>
      <c r="E798" s="0" t="s">
        <v>20</v>
      </c>
      <c r="H798" s="0" t="s">
        <v>21</v>
      </c>
      <c r="I798" s="2" t="s">
        <v>22</v>
      </c>
      <c r="J798" s="2" t="s">
        <v>635</v>
      </c>
      <c r="K798" s="0" t="s">
        <v>636</v>
      </c>
      <c r="L798" s="0" t="s">
        <v>31</v>
      </c>
      <c r="M798" s="0" t="s">
        <v>637</v>
      </c>
      <c r="N798" s="0" t="s">
        <v>2713</v>
      </c>
      <c r="O798" s="0" t="n">
        <v>1</v>
      </c>
      <c r="P798" s="0" t="s">
        <v>2714</v>
      </c>
      <c r="Q798" s="3"/>
      <c r="S798" s="2" t="s">
        <v>29</v>
      </c>
    </row>
    <row r="799" customFormat="false" ht="15" hidden="false" customHeight="false" outlineLevel="0" collapsed="false">
      <c r="A799" s="0" t="n">
        <v>798</v>
      </c>
      <c r="D799" s="0" t="s">
        <v>2715</v>
      </c>
      <c r="E799" s="0" t="s">
        <v>20</v>
      </c>
      <c r="H799" s="0" t="s">
        <v>21</v>
      </c>
      <c r="I799" s="2" t="s">
        <v>22</v>
      </c>
      <c r="J799" s="2" t="s">
        <v>635</v>
      </c>
      <c r="K799" s="0" t="s">
        <v>636</v>
      </c>
      <c r="L799" s="0" t="s">
        <v>31</v>
      </c>
      <c r="M799" s="0" t="s">
        <v>637</v>
      </c>
      <c r="N799" s="0" t="s">
        <v>2716</v>
      </c>
      <c r="O799" s="0" t="n">
        <v>1</v>
      </c>
      <c r="P799" s="0" t="s">
        <v>2717</v>
      </c>
      <c r="Q799" s="3"/>
      <c r="S799" s="2" t="s">
        <v>29</v>
      </c>
    </row>
    <row r="800" customFormat="false" ht="15" hidden="false" customHeight="false" outlineLevel="0" collapsed="false">
      <c r="A800" s="0" t="n">
        <v>799</v>
      </c>
      <c r="D800" s="0" t="s">
        <v>2718</v>
      </c>
      <c r="E800" s="0" t="s">
        <v>492</v>
      </c>
      <c r="H800" s="0" t="s">
        <v>21</v>
      </c>
      <c r="I800" s="2" t="s">
        <v>22</v>
      </c>
      <c r="J800" s="2" t="s">
        <v>635</v>
      </c>
      <c r="K800" s="0" t="s">
        <v>636</v>
      </c>
      <c r="L800" s="0" t="s">
        <v>31</v>
      </c>
      <c r="M800" s="0" t="s">
        <v>637</v>
      </c>
      <c r="N800" s="0" t="s">
        <v>2719</v>
      </c>
      <c r="O800" s="0" t="n">
        <v>1</v>
      </c>
      <c r="P800" s="0" t="s">
        <v>2720</v>
      </c>
      <c r="Q800" s="3"/>
      <c r="S800" s="2" t="s">
        <v>29</v>
      </c>
    </row>
    <row r="801" customFormat="false" ht="15" hidden="false" customHeight="false" outlineLevel="0" collapsed="false">
      <c r="A801" s="0" t="n">
        <v>800</v>
      </c>
      <c r="D801" s="0" t="s">
        <v>2721</v>
      </c>
      <c r="E801" s="0" t="s">
        <v>492</v>
      </c>
      <c r="H801" s="0" t="s">
        <v>21</v>
      </c>
      <c r="I801" s="2" t="s">
        <v>22</v>
      </c>
      <c r="J801" s="2" t="s">
        <v>635</v>
      </c>
      <c r="K801" s="0" t="s">
        <v>636</v>
      </c>
      <c r="L801" s="0" t="s">
        <v>31</v>
      </c>
      <c r="M801" s="0" t="s">
        <v>637</v>
      </c>
      <c r="N801" s="0" t="s">
        <v>2722</v>
      </c>
      <c r="O801" s="0" t="n">
        <v>1</v>
      </c>
      <c r="P801" s="0" t="s">
        <v>2723</v>
      </c>
      <c r="Q801" s="3"/>
      <c r="S801" s="2" t="s">
        <v>29</v>
      </c>
    </row>
    <row r="802" customFormat="false" ht="15" hidden="false" customHeight="false" outlineLevel="0" collapsed="false">
      <c r="A802" s="0" t="n">
        <v>801</v>
      </c>
      <c r="D802" s="0" t="s">
        <v>2724</v>
      </c>
      <c r="E802" s="0" t="s">
        <v>492</v>
      </c>
      <c r="H802" s="0" t="s">
        <v>21</v>
      </c>
      <c r="I802" s="2" t="s">
        <v>22</v>
      </c>
      <c r="J802" s="2" t="s">
        <v>635</v>
      </c>
      <c r="K802" s="0" t="s">
        <v>636</v>
      </c>
      <c r="L802" s="0" t="s">
        <v>31</v>
      </c>
      <c r="M802" s="0" t="s">
        <v>637</v>
      </c>
      <c r="N802" s="0" t="s">
        <v>2725</v>
      </c>
      <c r="O802" s="0" t="n">
        <v>1</v>
      </c>
      <c r="P802" s="0" t="s">
        <v>2726</v>
      </c>
      <c r="Q802" s="3"/>
      <c r="S802" s="2" t="s">
        <v>29</v>
      </c>
    </row>
    <row r="803" customFormat="false" ht="15" hidden="false" customHeight="false" outlineLevel="0" collapsed="false">
      <c r="A803" s="0" t="n">
        <v>802</v>
      </c>
      <c r="D803" s="0" t="s">
        <v>2727</v>
      </c>
      <c r="E803" s="0" t="s">
        <v>492</v>
      </c>
      <c r="H803" s="0" t="s">
        <v>21</v>
      </c>
      <c r="I803" s="2" t="s">
        <v>22</v>
      </c>
      <c r="J803" s="2" t="s">
        <v>635</v>
      </c>
      <c r="K803" s="0" t="s">
        <v>636</v>
      </c>
      <c r="L803" s="0" t="s">
        <v>31</v>
      </c>
      <c r="M803" s="0" t="s">
        <v>637</v>
      </c>
      <c r="N803" s="0" t="s">
        <v>2728</v>
      </c>
      <c r="O803" s="0" t="n">
        <v>1</v>
      </c>
      <c r="P803" s="0" t="s">
        <v>2729</v>
      </c>
      <c r="Q803" s="3"/>
      <c r="S803" s="2" t="s">
        <v>29</v>
      </c>
    </row>
    <row r="804" customFormat="false" ht="15" hidden="false" customHeight="false" outlineLevel="0" collapsed="false">
      <c r="A804" s="0" t="n">
        <v>803</v>
      </c>
      <c r="D804" s="0" t="s">
        <v>2730</v>
      </c>
      <c r="E804" s="0" t="s">
        <v>492</v>
      </c>
      <c r="H804" s="0" t="s">
        <v>21</v>
      </c>
      <c r="I804" s="2" t="s">
        <v>22</v>
      </c>
      <c r="J804" s="2" t="s">
        <v>635</v>
      </c>
      <c r="K804" s="0" t="s">
        <v>636</v>
      </c>
      <c r="L804" s="0" t="s">
        <v>31</v>
      </c>
      <c r="M804" s="0" t="s">
        <v>637</v>
      </c>
      <c r="N804" s="0" t="s">
        <v>2731</v>
      </c>
      <c r="O804" s="0" t="n">
        <v>1</v>
      </c>
      <c r="P804" s="0" t="s">
        <v>2732</v>
      </c>
      <c r="Q804" s="3"/>
      <c r="S804" s="2" t="s">
        <v>29</v>
      </c>
    </row>
    <row r="805" customFormat="false" ht="15" hidden="false" customHeight="false" outlineLevel="0" collapsed="false">
      <c r="A805" s="0" t="n">
        <v>804</v>
      </c>
      <c r="D805" s="0" t="s">
        <v>2733</v>
      </c>
      <c r="E805" s="0" t="s">
        <v>492</v>
      </c>
      <c r="H805" s="0" t="s">
        <v>21</v>
      </c>
      <c r="I805" s="2" t="s">
        <v>22</v>
      </c>
      <c r="J805" s="2" t="s">
        <v>635</v>
      </c>
      <c r="K805" s="0" t="s">
        <v>636</v>
      </c>
      <c r="L805" s="0" t="s">
        <v>31</v>
      </c>
      <c r="M805" s="0" t="s">
        <v>637</v>
      </c>
      <c r="N805" s="0" t="s">
        <v>2734</v>
      </c>
      <c r="O805" s="0" t="n">
        <v>1</v>
      </c>
      <c r="P805" s="0" t="s">
        <v>2735</v>
      </c>
      <c r="Q805" s="3"/>
      <c r="S805" s="2" t="s">
        <v>29</v>
      </c>
    </row>
    <row r="806" customFormat="false" ht="15" hidden="false" customHeight="false" outlineLevel="0" collapsed="false">
      <c r="A806" s="0" t="n">
        <v>805</v>
      </c>
      <c r="D806" s="0" t="s">
        <v>2736</v>
      </c>
      <c r="E806" s="0" t="s">
        <v>492</v>
      </c>
      <c r="H806" s="0" t="s">
        <v>21</v>
      </c>
      <c r="I806" s="2" t="s">
        <v>22</v>
      </c>
      <c r="J806" s="2" t="s">
        <v>635</v>
      </c>
      <c r="K806" s="0" t="s">
        <v>636</v>
      </c>
      <c r="L806" s="0" t="s">
        <v>31</v>
      </c>
      <c r="M806" s="0" t="s">
        <v>637</v>
      </c>
      <c r="N806" s="0" t="s">
        <v>2737</v>
      </c>
      <c r="O806" s="0" t="n">
        <v>1</v>
      </c>
      <c r="P806" s="0" t="s">
        <v>2738</v>
      </c>
      <c r="Q806" s="3"/>
      <c r="S806" s="2" t="s">
        <v>29</v>
      </c>
    </row>
    <row r="807" customFormat="false" ht="15" hidden="false" customHeight="false" outlineLevel="0" collapsed="false">
      <c r="A807" s="0" t="n">
        <v>806</v>
      </c>
      <c r="D807" s="0" t="s">
        <v>2739</v>
      </c>
      <c r="E807" s="0" t="s">
        <v>492</v>
      </c>
      <c r="H807" s="0" t="s">
        <v>21</v>
      </c>
      <c r="I807" s="2" t="s">
        <v>22</v>
      </c>
      <c r="J807" s="2" t="s">
        <v>635</v>
      </c>
      <c r="K807" s="0" t="s">
        <v>636</v>
      </c>
      <c r="L807" s="0" t="s">
        <v>31</v>
      </c>
      <c r="M807" s="0" t="s">
        <v>637</v>
      </c>
      <c r="N807" s="0" t="s">
        <v>2740</v>
      </c>
      <c r="O807" s="0" t="n">
        <v>1</v>
      </c>
      <c r="P807" s="0" t="s">
        <v>2741</v>
      </c>
      <c r="Q807" s="3"/>
      <c r="S807" s="2" t="s">
        <v>29</v>
      </c>
    </row>
    <row r="808" customFormat="false" ht="15" hidden="false" customHeight="false" outlineLevel="0" collapsed="false">
      <c r="A808" s="0" t="n">
        <v>807</v>
      </c>
      <c r="D808" s="0" t="s">
        <v>2742</v>
      </c>
      <c r="E808" s="0" t="s">
        <v>492</v>
      </c>
      <c r="H808" s="0" t="s">
        <v>21</v>
      </c>
      <c r="I808" s="2" t="s">
        <v>22</v>
      </c>
      <c r="J808" s="2" t="s">
        <v>635</v>
      </c>
      <c r="K808" s="0" t="s">
        <v>636</v>
      </c>
      <c r="L808" s="0" t="s">
        <v>31</v>
      </c>
      <c r="M808" s="0" t="s">
        <v>637</v>
      </c>
      <c r="N808" s="0" t="s">
        <v>2743</v>
      </c>
      <c r="O808" s="0" t="n">
        <v>1</v>
      </c>
      <c r="P808" s="0" t="s">
        <v>2744</v>
      </c>
      <c r="Q808" s="3"/>
      <c r="S808" s="2" t="s">
        <v>29</v>
      </c>
    </row>
    <row r="809" customFormat="false" ht="15" hidden="false" customHeight="false" outlineLevel="0" collapsed="false">
      <c r="A809" s="0" t="n">
        <v>808</v>
      </c>
      <c r="D809" s="0" t="s">
        <v>2745</v>
      </c>
      <c r="E809" s="0" t="s">
        <v>492</v>
      </c>
      <c r="H809" s="0" t="s">
        <v>21</v>
      </c>
      <c r="I809" s="2" t="s">
        <v>22</v>
      </c>
      <c r="J809" s="2" t="s">
        <v>635</v>
      </c>
      <c r="K809" s="0" t="s">
        <v>636</v>
      </c>
      <c r="L809" s="0" t="s">
        <v>31</v>
      </c>
      <c r="M809" s="0" t="s">
        <v>637</v>
      </c>
      <c r="N809" s="0" t="s">
        <v>2746</v>
      </c>
      <c r="O809" s="0" t="n">
        <v>1</v>
      </c>
      <c r="P809" s="0" t="s">
        <v>2747</v>
      </c>
      <c r="Q809" s="3"/>
      <c r="S809" s="2" t="s">
        <v>29</v>
      </c>
    </row>
    <row r="810" customFormat="false" ht="15" hidden="false" customHeight="false" outlineLevel="0" collapsed="false">
      <c r="A810" s="0" t="n">
        <v>809</v>
      </c>
      <c r="D810" s="0" t="s">
        <v>2748</v>
      </c>
      <c r="E810" s="0" t="s">
        <v>492</v>
      </c>
      <c r="H810" s="0" t="s">
        <v>21</v>
      </c>
      <c r="I810" s="2" t="s">
        <v>22</v>
      </c>
      <c r="J810" s="2" t="s">
        <v>635</v>
      </c>
      <c r="K810" s="0" t="s">
        <v>636</v>
      </c>
      <c r="L810" s="0" t="s">
        <v>31</v>
      </c>
      <c r="M810" s="0" t="s">
        <v>637</v>
      </c>
      <c r="N810" s="0" t="s">
        <v>2749</v>
      </c>
      <c r="O810" s="0" t="n">
        <v>1</v>
      </c>
      <c r="P810" s="0" t="s">
        <v>2750</v>
      </c>
      <c r="Q810" s="3"/>
      <c r="S810" s="2" t="s">
        <v>29</v>
      </c>
    </row>
    <row r="811" customFormat="false" ht="15" hidden="false" customHeight="false" outlineLevel="0" collapsed="false">
      <c r="A811" s="0" t="n">
        <v>810</v>
      </c>
      <c r="D811" s="0" t="s">
        <v>2751</v>
      </c>
      <c r="E811" s="0" t="s">
        <v>492</v>
      </c>
      <c r="H811" s="0" t="s">
        <v>21</v>
      </c>
      <c r="I811" s="2" t="s">
        <v>22</v>
      </c>
      <c r="J811" s="2" t="s">
        <v>635</v>
      </c>
      <c r="K811" s="0" t="s">
        <v>636</v>
      </c>
      <c r="L811" s="0" t="s">
        <v>31</v>
      </c>
      <c r="M811" s="0" t="s">
        <v>637</v>
      </c>
      <c r="N811" s="0" t="s">
        <v>2752</v>
      </c>
      <c r="O811" s="0" t="n">
        <v>1</v>
      </c>
      <c r="P811" s="0" t="s">
        <v>2753</v>
      </c>
      <c r="Q811" s="3"/>
      <c r="S811" s="2" t="s">
        <v>29</v>
      </c>
    </row>
    <row r="812" customFormat="false" ht="15" hidden="false" customHeight="false" outlineLevel="0" collapsed="false">
      <c r="A812" s="0" t="n">
        <v>811</v>
      </c>
      <c r="D812" s="0" t="s">
        <v>2754</v>
      </c>
      <c r="E812" s="0" t="s">
        <v>492</v>
      </c>
      <c r="H812" s="0" t="s">
        <v>21</v>
      </c>
      <c r="I812" s="2" t="s">
        <v>22</v>
      </c>
      <c r="J812" s="2" t="s">
        <v>635</v>
      </c>
      <c r="K812" s="0" t="s">
        <v>636</v>
      </c>
      <c r="L812" s="0" t="s">
        <v>31</v>
      </c>
      <c r="M812" s="0" t="s">
        <v>637</v>
      </c>
      <c r="N812" s="0" t="s">
        <v>2755</v>
      </c>
      <c r="O812" s="0" t="n">
        <v>1</v>
      </c>
      <c r="P812" s="0" t="s">
        <v>2756</v>
      </c>
      <c r="Q812" s="3"/>
      <c r="S812" s="2" t="s">
        <v>29</v>
      </c>
    </row>
    <row r="813" customFormat="false" ht="15" hidden="false" customHeight="false" outlineLevel="0" collapsed="false">
      <c r="A813" s="0" t="n">
        <v>812</v>
      </c>
      <c r="D813" s="0" t="s">
        <v>2757</v>
      </c>
      <c r="E813" s="0" t="s">
        <v>492</v>
      </c>
      <c r="H813" s="0" t="s">
        <v>21</v>
      </c>
      <c r="I813" s="2" t="s">
        <v>22</v>
      </c>
      <c r="J813" s="2" t="s">
        <v>635</v>
      </c>
      <c r="K813" s="0" t="s">
        <v>636</v>
      </c>
      <c r="L813" s="0" t="s">
        <v>31</v>
      </c>
      <c r="M813" s="0" t="s">
        <v>637</v>
      </c>
      <c r="N813" s="0" t="s">
        <v>2758</v>
      </c>
      <c r="O813" s="0" t="n">
        <v>1</v>
      </c>
      <c r="P813" s="0" t="s">
        <v>2759</v>
      </c>
      <c r="Q813" s="3"/>
      <c r="S813" s="2" t="s">
        <v>29</v>
      </c>
    </row>
    <row r="814" customFormat="false" ht="15" hidden="false" customHeight="false" outlineLevel="0" collapsed="false">
      <c r="A814" s="0" t="n">
        <v>813</v>
      </c>
      <c r="D814" s="0" t="s">
        <v>2760</v>
      </c>
      <c r="E814" s="0" t="s">
        <v>492</v>
      </c>
      <c r="H814" s="0" t="s">
        <v>21</v>
      </c>
      <c r="I814" s="2" t="s">
        <v>22</v>
      </c>
      <c r="J814" s="2" t="s">
        <v>635</v>
      </c>
      <c r="K814" s="0" t="s">
        <v>636</v>
      </c>
      <c r="L814" s="0" t="s">
        <v>31</v>
      </c>
      <c r="M814" s="0" t="s">
        <v>637</v>
      </c>
      <c r="N814" s="0" t="s">
        <v>2761</v>
      </c>
      <c r="O814" s="0" t="n">
        <v>1</v>
      </c>
      <c r="P814" s="0" t="s">
        <v>2762</v>
      </c>
      <c r="Q814" s="3"/>
      <c r="S814" s="2" t="s">
        <v>29</v>
      </c>
    </row>
    <row r="815" customFormat="false" ht="15" hidden="false" customHeight="false" outlineLevel="0" collapsed="false">
      <c r="A815" s="0" t="n">
        <v>814</v>
      </c>
      <c r="D815" s="0" t="s">
        <v>2763</v>
      </c>
      <c r="E815" s="0" t="s">
        <v>492</v>
      </c>
      <c r="H815" s="0" t="s">
        <v>21</v>
      </c>
      <c r="I815" s="2" t="s">
        <v>22</v>
      </c>
      <c r="J815" s="2" t="s">
        <v>635</v>
      </c>
      <c r="K815" s="0" t="s">
        <v>636</v>
      </c>
      <c r="L815" s="0" t="s">
        <v>31</v>
      </c>
      <c r="M815" s="0" t="s">
        <v>637</v>
      </c>
      <c r="N815" s="0" t="s">
        <v>2764</v>
      </c>
      <c r="O815" s="0" t="n">
        <v>1</v>
      </c>
      <c r="P815" s="0" t="s">
        <v>2765</v>
      </c>
      <c r="Q815" s="3"/>
      <c r="S815" s="2" t="s">
        <v>29</v>
      </c>
    </row>
    <row r="816" customFormat="false" ht="15" hidden="false" customHeight="false" outlineLevel="0" collapsed="false">
      <c r="A816" s="0" t="n">
        <v>815</v>
      </c>
      <c r="D816" s="0" t="s">
        <v>2766</v>
      </c>
      <c r="E816" s="0" t="s">
        <v>492</v>
      </c>
      <c r="H816" s="0" t="s">
        <v>21</v>
      </c>
      <c r="I816" s="2" t="s">
        <v>22</v>
      </c>
      <c r="J816" s="2" t="s">
        <v>635</v>
      </c>
      <c r="K816" s="0" t="s">
        <v>636</v>
      </c>
      <c r="L816" s="0" t="s">
        <v>31</v>
      </c>
      <c r="M816" s="0" t="s">
        <v>637</v>
      </c>
      <c r="N816" s="0" t="s">
        <v>2767</v>
      </c>
      <c r="O816" s="0" t="n">
        <v>1</v>
      </c>
      <c r="P816" s="0" t="s">
        <v>2768</v>
      </c>
      <c r="Q816" s="3"/>
      <c r="S816" s="2" t="s">
        <v>29</v>
      </c>
    </row>
    <row r="817" customFormat="false" ht="15" hidden="false" customHeight="false" outlineLevel="0" collapsed="false">
      <c r="A817" s="0" t="n">
        <v>816</v>
      </c>
      <c r="D817" s="0" t="s">
        <v>2769</v>
      </c>
      <c r="E817" s="0" t="s">
        <v>492</v>
      </c>
      <c r="H817" s="0" t="s">
        <v>21</v>
      </c>
      <c r="I817" s="2" t="s">
        <v>22</v>
      </c>
      <c r="J817" s="2" t="s">
        <v>635</v>
      </c>
      <c r="K817" s="0" t="s">
        <v>636</v>
      </c>
      <c r="L817" s="0" t="s">
        <v>31</v>
      </c>
      <c r="M817" s="0" t="s">
        <v>637</v>
      </c>
      <c r="N817" s="0" t="s">
        <v>2770</v>
      </c>
      <c r="O817" s="0" t="n">
        <v>1</v>
      </c>
      <c r="P817" s="0" t="s">
        <v>2771</v>
      </c>
      <c r="Q817" s="3"/>
      <c r="S817" s="2" t="s">
        <v>29</v>
      </c>
    </row>
    <row r="818" customFormat="false" ht="15" hidden="false" customHeight="false" outlineLevel="0" collapsed="false">
      <c r="A818" s="0" t="n">
        <v>817</v>
      </c>
      <c r="D818" s="0" t="s">
        <v>2772</v>
      </c>
      <c r="E818" s="0" t="s">
        <v>492</v>
      </c>
      <c r="H818" s="0" t="s">
        <v>21</v>
      </c>
      <c r="I818" s="2" t="s">
        <v>22</v>
      </c>
      <c r="J818" s="2" t="s">
        <v>635</v>
      </c>
      <c r="K818" s="0" t="s">
        <v>636</v>
      </c>
      <c r="L818" s="0" t="s">
        <v>31</v>
      </c>
      <c r="M818" s="0" t="s">
        <v>637</v>
      </c>
      <c r="N818" s="0" t="s">
        <v>2773</v>
      </c>
      <c r="O818" s="0" t="n">
        <v>1</v>
      </c>
      <c r="P818" s="0" t="s">
        <v>2774</v>
      </c>
      <c r="Q818" s="3"/>
      <c r="S818" s="2" t="s">
        <v>29</v>
      </c>
    </row>
    <row r="819" customFormat="false" ht="15" hidden="false" customHeight="false" outlineLevel="0" collapsed="false">
      <c r="A819" s="0" t="n">
        <v>818</v>
      </c>
      <c r="D819" s="0" t="s">
        <v>2775</v>
      </c>
      <c r="E819" s="0" t="s">
        <v>492</v>
      </c>
      <c r="H819" s="0" t="s">
        <v>21</v>
      </c>
      <c r="I819" s="2" t="s">
        <v>22</v>
      </c>
      <c r="J819" s="2" t="s">
        <v>635</v>
      </c>
      <c r="K819" s="0" t="s">
        <v>636</v>
      </c>
      <c r="L819" s="0" t="s">
        <v>31</v>
      </c>
      <c r="M819" s="0" t="s">
        <v>637</v>
      </c>
      <c r="N819" s="0" t="s">
        <v>2776</v>
      </c>
      <c r="O819" s="0" t="n">
        <v>1</v>
      </c>
      <c r="P819" s="0" t="s">
        <v>2777</v>
      </c>
      <c r="Q819" s="3"/>
      <c r="S819" s="2" t="s">
        <v>29</v>
      </c>
    </row>
    <row r="820" customFormat="false" ht="15" hidden="false" customHeight="false" outlineLevel="0" collapsed="false">
      <c r="A820" s="0" t="n">
        <v>819</v>
      </c>
      <c r="D820" s="0" t="s">
        <v>2778</v>
      </c>
      <c r="E820" s="0" t="s">
        <v>492</v>
      </c>
      <c r="H820" s="0" t="s">
        <v>21</v>
      </c>
      <c r="I820" s="2" t="s">
        <v>22</v>
      </c>
      <c r="J820" s="2" t="s">
        <v>635</v>
      </c>
      <c r="K820" s="0" t="s">
        <v>636</v>
      </c>
      <c r="L820" s="0" t="s">
        <v>31</v>
      </c>
      <c r="M820" s="0" t="s">
        <v>637</v>
      </c>
      <c r="N820" s="0" t="s">
        <v>2779</v>
      </c>
      <c r="O820" s="0" t="n">
        <v>1</v>
      </c>
      <c r="P820" s="0" t="s">
        <v>2780</v>
      </c>
      <c r="Q820" s="3"/>
      <c r="S820" s="2" t="s">
        <v>29</v>
      </c>
    </row>
    <row r="821" customFormat="false" ht="15" hidden="false" customHeight="false" outlineLevel="0" collapsed="false">
      <c r="A821" s="0" t="n">
        <v>820</v>
      </c>
      <c r="D821" s="0" t="s">
        <v>2781</v>
      </c>
      <c r="E821" s="0" t="s">
        <v>492</v>
      </c>
      <c r="H821" s="0" t="s">
        <v>21</v>
      </c>
      <c r="I821" s="2" t="s">
        <v>22</v>
      </c>
      <c r="J821" s="2" t="s">
        <v>635</v>
      </c>
      <c r="K821" s="0" t="s">
        <v>636</v>
      </c>
      <c r="L821" s="0" t="s">
        <v>31</v>
      </c>
      <c r="M821" s="0" t="s">
        <v>637</v>
      </c>
      <c r="N821" s="0" t="s">
        <v>2782</v>
      </c>
      <c r="O821" s="0" t="n">
        <v>1</v>
      </c>
      <c r="P821" s="0" t="s">
        <v>2783</v>
      </c>
      <c r="Q821" s="3"/>
      <c r="S821" s="2" t="s">
        <v>29</v>
      </c>
    </row>
    <row r="822" customFormat="false" ht="15" hidden="false" customHeight="false" outlineLevel="0" collapsed="false">
      <c r="A822" s="0" t="n">
        <v>821</v>
      </c>
      <c r="D822" s="0" t="s">
        <v>2784</v>
      </c>
      <c r="E822" s="0" t="s">
        <v>492</v>
      </c>
      <c r="H822" s="0" t="s">
        <v>21</v>
      </c>
      <c r="I822" s="2" t="s">
        <v>22</v>
      </c>
      <c r="J822" s="2" t="s">
        <v>635</v>
      </c>
      <c r="K822" s="0" t="s">
        <v>636</v>
      </c>
      <c r="L822" s="0" t="s">
        <v>31</v>
      </c>
      <c r="M822" s="0" t="s">
        <v>637</v>
      </c>
      <c r="N822" s="0" t="s">
        <v>2785</v>
      </c>
      <c r="O822" s="0" t="n">
        <v>1</v>
      </c>
      <c r="P822" s="0" t="s">
        <v>2786</v>
      </c>
      <c r="Q822" s="3"/>
      <c r="S822" s="2" t="s">
        <v>29</v>
      </c>
    </row>
    <row r="823" customFormat="false" ht="15" hidden="false" customHeight="false" outlineLevel="0" collapsed="false">
      <c r="A823" s="0" t="n">
        <v>822</v>
      </c>
      <c r="D823" s="0" t="s">
        <v>2787</v>
      </c>
      <c r="E823" s="0" t="s">
        <v>492</v>
      </c>
      <c r="H823" s="0" t="s">
        <v>21</v>
      </c>
      <c r="I823" s="2" t="s">
        <v>22</v>
      </c>
      <c r="J823" s="2" t="s">
        <v>635</v>
      </c>
      <c r="K823" s="0" t="s">
        <v>636</v>
      </c>
      <c r="L823" s="0" t="s">
        <v>31</v>
      </c>
      <c r="M823" s="0" t="s">
        <v>637</v>
      </c>
      <c r="N823" s="0" t="s">
        <v>2788</v>
      </c>
      <c r="O823" s="0" t="n">
        <v>1</v>
      </c>
      <c r="P823" s="0" t="s">
        <v>2789</v>
      </c>
      <c r="Q823" s="3"/>
      <c r="S823" s="2" t="s">
        <v>29</v>
      </c>
    </row>
    <row r="824" customFormat="false" ht="15" hidden="false" customHeight="false" outlineLevel="0" collapsed="false">
      <c r="A824" s="0" t="n">
        <v>823</v>
      </c>
      <c r="D824" s="0" t="s">
        <v>2790</v>
      </c>
      <c r="E824" s="0" t="s">
        <v>492</v>
      </c>
      <c r="H824" s="0" t="s">
        <v>21</v>
      </c>
      <c r="I824" s="2" t="s">
        <v>22</v>
      </c>
      <c r="J824" s="2" t="s">
        <v>635</v>
      </c>
      <c r="K824" s="0" t="s">
        <v>636</v>
      </c>
      <c r="L824" s="0" t="s">
        <v>31</v>
      </c>
      <c r="M824" s="0" t="s">
        <v>637</v>
      </c>
      <c r="N824" s="0" t="s">
        <v>2791</v>
      </c>
      <c r="O824" s="0" t="n">
        <v>1</v>
      </c>
      <c r="P824" s="0" t="s">
        <v>2792</v>
      </c>
      <c r="Q824" s="3"/>
      <c r="S824" s="2" t="s">
        <v>29</v>
      </c>
    </row>
    <row r="825" customFormat="false" ht="15" hidden="false" customHeight="false" outlineLevel="0" collapsed="false">
      <c r="A825" s="0" t="n">
        <v>824</v>
      </c>
      <c r="D825" s="0" t="s">
        <v>2793</v>
      </c>
      <c r="E825" s="0" t="s">
        <v>492</v>
      </c>
      <c r="H825" s="0" t="s">
        <v>21</v>
      </c>
      <c r="I825" s="2" t="s">
        <v>22</v>
      </c>
      <c r="J825" s="2" t="s">
        <v>635</v>
      </c>
      <c r="K825" s="0" t="s">
        <v>636</v>
      </c>
      <c r="L825" s="0" t="s">
        <v>31</v>
      </c>
      <c r="M825" s="0" t="s">
        <v>637</v>
      </c>
      <c r="N825" s="0" t="s">
        <v>2794</v>
      </c>
      <c r="O825" s="0" t="n">
        <v>1</v>
      </c>
      <c r="P825" s="0" t="s">
        <v>2795</v>
      </c>
      <c r="Q825" s="3"/>
      <c r="S825" s="2" t="s">
        <v>29</v>
      </c>
    </row>
    <row r="826" customFormat="false" ht="15" hidden="false" customHeight="false" outlineLevel="0" collapsed="false">
      <c r="A826" s="0" t="n">
        <v>825</v>
      </c>
      <c r="D826" s="0" t="s">
        <v>2796</v>
      </c>
      <c r="E826" s="0" t="s">
        <v>492</v>
      </c>
      <c r="H826" s="0" t="s">
        <v>21</v>
      </c>
      <c r="I826" s="2" t="s">
        <v>22</v>
      </c>
      <c r="J826" s="2" t="s">
        <v>635</v>
      </c>
      <c r="K826" s="0" t="s">
        <v>636</v>
      </c>
      <c r="L826" s="0" t="s">
        <v>31</v>
      </c>
      <c r="M826" s="0" t="s">
        <v>637</v>
      </c>
      <c r="N826" s="0" t="s">
        <v>2797</v>
      </c>
      <c r="O826" s="0" t="n">
        <v>1</v>
      </c>
      <c r="P826" s="0" t="s">
        <v>2798</v>
      </c>
      <c r="Q826" s="3"/>
      <c r="S826" s="2" t="s">
        <v>29</v>
      </c>
    </row>
    <row r="827" customFormat="false" ht="15" hidden="false" customHeight="false" outlineLevel="0" collapsed="false">
      <c r="A827" s="0" t="n">
        <v>826</v>
      </c>
      <c r="D827" s="0" t="s">
        <v>2799</v>
      </c>
      <c r="E827" s="0" t="s">
        <v>492</v>
      </c>
      <c r="H827" s="0" t="s">
        <v>21</v>
      </c>
      <c r="I827" s="2" t="s">
        <v>22</v>
      </c>
      <c r="J827" s="2" t="s">
        <v>635</v>
      </c>
      <c r="K827" s="0" t="s">
        <v>636</v>
      </c>
      <c r="L827" s="0" t="s">
        <v>31</v>
      </c>
      <c r="M827" s="0" t="s">
        <v>637</v>
      </c>
      <c r="N827" s="0" t="s">
        <v>2800</v>
      </c>
      <c r="O827" s="0" t="n">
        <v>1</v>
      </c>
      <c r="P827" s="0" t="s">
        <v>2801</v>
      </c>
      <c r="Q827" s="3"/>
      <c r="S827" s="2" t="s">
        <v>29</v>
      </c>
    </row>
    <row r="828" customFormat="false" ht="15" hidden="false" customHeight="false" outlineLevel="0" collapsed="false">
      <c r="A828" s="0" t="n">
        <v>827</v>
      </c>
      <c r="D828" s="0" t="s">
        <v>2802</v>
      </c>
      <c r="E828" s="0" t="s">
        <v>492</v>
      </c>
      <c r="H828" s="0" t="s">
        <v>21</v>
      </c>
      <c r="I828" s="2" t="s">
        <v>22</v>
      </c>
      <c r="J828" s="2" t="s">
        <v>635</v>
      </c>
      <c r="K828" s="0" t="s">
        <v>636</v>
      </c>
      <c r="L828" s="0" t="s">
        <v>31</v>
      </c>
      <c r="M828" s="0" t="s">
        <v>637</v>
      </c>
      <c r="N828" s="0" t="s">
        <v>2803</v>
      </c>
      <c r="O828" s="0" t="n">
        <v>1</v>
      </c>
      <c r="P828" s="0" t="s">
        <v>2804</v>
      </c>
      <c r="Q828" s="3"/>
      <c r="S828" s="2" t="s">
        <v>29</v>
      </c>
    </row>
    <row r="829" customFormat="false" ht="15" hidden="false" customHeight="false" outlineLevel="0" collapsed="false">
      <c r="A829" s="0" t="n">
        <v>828</v>
      </c>
      <c r="D829" s="0" t="s">
        <v>2805</v>
      </c>
      <c r="E829" s="0" t="s">
        <v>492</v>
      </c>
      <c r="H829" s="0" t="s">
        <v>21</v>
      </c>
      <c r="I829" s="2" t="s">
        <v>22</v>
      </c>
      <c r="J829" s="2" t="s">
        <v>635</v>
      </c>
      <c r="K829" s="0" t="s">
        <v>636</v>
      </c>
      <c r="L829" s="0" t="s">
        <v>31</v>
      </c>
      <c r="M829" s="0" t="s">
        <v>637</v>
      </c>
      <c r="N829" s="0" t="s">
        <v>2806</v>
      </c>
      <c r="O829" s="0" t="n">
        <v>1</v>
      </c>
      <c r="P829" s="0" t="s">
        <v>2807</v>
      </c>
      <c r="Q829" s="3"/>
      <c r="S829" s="2" t="s">
        <v>29</v>
      </c>
    </row>
    <row r="830" customFormat="false" ht="15" hidden="false" customHeight="false" outlineLevel="0" collapsed="false">
      <c r="A830" s="0" t="n">
        <v>829</v>
      </c>
      <c r="D830" s="0" t="s">
        <v>2808</v>
      </c>
      <c r="E830" s="0" t="s">
        <v>492</v>
      </c>
      <c r="H830" s="0" t="s">
        <v>21</v>
      </c>
      <c r="I830" s="2" t="s">
        <v>22</v>
      </c>
      <c r="J830" s="2" t="s">
        <v>635</v>
      </c>
      <c r="K830" s="0" t="s">
        <v>636</v>
      </c>
      <c r="L830" s="0" t="s">
        <v>31</v>
      </c>
      <c r="M830" s="0" t="s">
        <v>637</v>
      </c>
      <c r="N830" s="0" t="s">
        <v>2809</v>
      </c>
      <c r="O830" s="0" t="n">
        <v>1</v>
      </c>
      <c r="P830" s="0" t="s">
        <v>2810</v>
      </c>
      <c r="Q830" s="3"/>
      <c r="S830" s="2" t="s">
        <v>29</v>
      </c>
    </row>
    <row r="831" customFormat="false" ht="15" hidden="false" customHeight="false" outlineLevel="0" collapsed="false">
      <c r="A831" s="0" t="n">
        <v>830</v>
      </c>
      <c r="D831" s="0" t="s">
        <v>2811</v>
      </c>
      <c r="E831" s="0" t="s">
        <v>492</v>
      </c>
      <c r="H831" s="0" t="s">
        <v>21</v>
      </c>
      <c r="I831" s="2" t="s">
        <v>22</v>
      </c>
      <c r="J831" s="2" t="s">
        <v>635</v>
      </c>
      <c r="K831" s="0" t="s">
        <v>636</v>
      </c>
      <c r="L831" s="0" t="s">
        <v>31</v>
      </c>
      <c r="M831" s="0" t="s">
        <v>637</v>
      </c>
      <c r="N831" s="0" t="s">
        <v>2812</v>
      </c>
      <c r="O831" s="0" t="n">
        <v>1</v>
      </c>
      <c r="P831" s="0" t="s">
        <v>2813</v>
      </c>
      <c r="Q831" s="3"/>
      <c r="S831" s="2" t="s">
        <v>29</v>
      </c>
    </row>
    <row r="832" customFormat="false" ht="15" hidden="false" customHeight="false" outlineLevel="0" collapsed="false">
      <c r="A832" s="0" t="n">
        <v>831</v>
      </c>
      <c r="D832" s="0" t="s">
        <v>2814</v>
      </c>
      <c r="E832" s="0" t="s">
        <v>492</v>
      </c>
      <c r="H832" s="0" t="s">
        <v>21</v>
      </c>
      <c r="I832" s="2" t="s">
        <v>22</v>
      </c>
      <c r="J832" s="2" t="s">
        <v>635</v>
      </c>
      <c r="K832" s="0" t="s">
        <v>636</v>
      </c>
      <c r="L832" s="0" t="s">
        <v>31</v>
      </c>
      <c r="M832" s="0" t="s">
        <v>637</v>
      </c>
      <c r="N832" s="0" t="s">
        <v>2815</v>
      </c>
      <c r="O832" s="0" t="n">
        <v>1</v>
      </c>
      <c r="P832" s="0" t="s">
        <v>2816</v>
      </c>
      <c r="Q832" s="3"/>
      <c r="S832" s="2" t="s">
        <v>29</v>
      </c>
    </row>
    <row r="833" customFormat="false" ht="15" hidden="false" customHeight="false" outlineLevel="0" collapsed="false">
      <c r="A833" s="0" t="n">
        <v>832</v>
      </c>
      <c r="D833" s="0" t="s">
        <v>2817</v>
      </c>
      <c r="E833" s="0" t="s">
        <v>492</v>
      </c>
      <c r="H833" s="0" t="s">
        <v>21</v>
      </c>
      <c r="I833" s="2" t="s">
        <v>22</v>
      </c>
      <c r="J833" s="2" t="s">
        <v>635</v>
      </c>
      <c r="K833" s="0" t="s">
        <v>636</v>
      </c>
      <c r="L833" s="0" t="s">
        <v>31</v>
      </c>
      <c r="M833" s="0" t="s">
        <v>637</v>
      </c>
      <c r="N833" s="0" t="s">
        <v>2818</v>
      </c>
      <c r="O833" s="0" t="n">
        <v>1</v>
      </c>
      <c r="P833" s="0" t="s">
        <v>2819</v>
      </c>
      <c r="Q833" s="3"/>
      <c r="S833" s="2" t="s">
        <v>29</v>
      </c>
    </row>
    <row r="834" customFormat="false" ht="15" hidden="false" customHeight="false" outlineLevel="0" collapsed="false">
      <c r="A834" s="0" t="n">
        <v>833</v>
      </c>
      <c r="D834" s="0" t="s">
        <v>2820</v>
      </c>
      <c r="E834" s="0" t="s">
        <v>492</v>
      </c>
      <c r="H834" s="0" t="s">
        <v>21</v>
      </c>
      <c r="I834" s="2" t="s">
        <v>22</v>
      </c>
      <c r="J834" s="2" t="s">
        <v>635</v>
      </c>
      <c r="K834" s="0" t="s">
        <v>636</v>
      </c>
      <c r="L834" s="0" t="s">
        <v>31</v>
      </c>
      <c r="M834" s="0" t="s">
        <v>637</v>
      </c>
      <c r="N834" s="0" t="s">
        <v>2821</v>
      </c>
      <c r="O834" s="0" t="n">
        <v>1</v>
      </c>
      <c r="P834" s="0" t="s">
        <v>2822</v>
      </c>
      <c r="Q834" s="3"/>
      <c r="S834" s="2" t="s">
        <v>29</v>
      </c>
    </row>
    <row r="835" customFormat="false" ht="15" hidden="false" customHeight="false" outlineLevel="0" collapsed="false">
      <c r="A835" s="0" t="n">
        <v>834</v>
      </c>
      <c r="D835" s="0" t="s">
        <v>2823</v>
      </c>
      <c r="E835" s="0" t="s">
        <v>20</v>
      </c>
      <c r="H835" s="0" t="s">
        <v>21</v>
      </c>
      <c r="I835" s="2" t="s">
        <v>22</v>
      </c>
      <c r="J835" s="2" t="s">
        <v>635</v>
      </c>
      <c r="K835" s="0" t="s">
        <v>636</v>
      </c>
      <c r="L835" s="0" t="s">
        <v>31</v>
      </c>
      <c r="M835" s="0" t="s">
        <v>637</v>
      </c>
      <c r="N835" s="0" t="s">
        <v>2824</v>
      </c>
      <c r="O835" s="0" t="n">
        <v>1</v>
      </c>
      <c r="P835" s="0" t="s">
        <v>2825</v>
      </c>
      <c r="Q835" s="3"/>
      <c r="S835" s="2" t="s">
        <v>29</v>
      </c>
    </row>
    <row r="836" customFormat="false" ht="15" hidden="false" customHeight="false" outlineLevel="0" collapsed="false">
      <c r="A836" s="0" t="n">
        <v>835</v>
      </c>
      <c r="D836" s="0" t="s">
        <v>2826</v>
      </c>
      <c r="E836" s="0" t="s">
        <v>20</v>
      </c>
      <c r="H836" s="0" t="s">
        <v>21</v>
      </c>
      <c r="I836" s="2" t="s">
        <v>22</v>
      </c>
      <c r="J836" s="2" t="s">
        <v>635</v>
      </c>
      <c r="K836" s="0" t="s">
        <v>636</v>
      </c>
      <c r="L836" s="0" t="s">
        <v>31</v>
      </c>
      <c r="M836" s="0" t="s">
        <v>637</v>
      </c>
      <c r="N836" s="0" t="s">
        <v>2827</v>
      </c>
      <c r="O836" s="0" t="n">
        <v>1</v>
      </c>
      <c r="P836" s="0" t="s">
        <v>2828</v>
      </c>
      <c r="Q836" s="3"/>
      <c r="S836" s="2" t="s">
        <v>29</v>
      </c>
    </row>
    <row r="837" customFormat="false" ht="15" hidden="false" customHeight="false" outlineLevel="0" collapsed="false">
      <c r="A837" s="0" t="n">
        <v>836</v>
      </c>
      <c r="D837" s="0" t="s">
        <v>2829</v>
      </c>
      <c r="E837" s="0" t="s">
        <v>99</v>
      </c>
      <c r="H837" s="0" t="s">
        <v>21</v>
      </c>
      <c r="I837" s="2" t="s">
        <v>22</v>
      </c>
      <c r="J837" s="2" t="s">
        <v>635</v>
      </c>
      <c r="K837" s="0" t="s">
        <v>636</v>
      </c>
      <c r="L837" s="0" t="s">
        <v>100</v>
      </c>
      <c r="M837" s="0" t="s">
        <v>637</v>
      </c>
      <c r="N837" s="0" t="s">
        <v>2830</v>
      </c>
      <c r="O837" s="0" t="n">
        <v>1</v>
      </c>
      <c r="P837" s="0" t="s">
        <v>2831</v>
      </c>
      <c r="Q837" s="3"/>
      <c r="S837" s="2" t="s">
        <v>29</v>
      </c>
    </row>
    <row r="838" customFormat="false" ht="15" hidden="false" customHeight="false" outlineLevel="0" collapsed="false">
      <c r="A838" s="0" t="n">
        <v>837</v>
      </c>
      <c r="D838" s="0" t="s">
        <v>2832</v>
      </c>
      <c r="E838" s="0" t="s">
        <v>20</v>
      </c>
      <c r="H838" s="0" t="s">
        <v>21</v>
      </c>
      <c r="I838" s="2" t="s">
        <v>22</v>
      </c>
      <c r="J838" s="2" t="s">
        <v>635</v>
      </c>
      <c r="K838" s="0" t="s">
        <v>636</v>
      </c>
      <c r="L838" s="0" t="s">
        <v>31</v>
      </c>
      <c r="M838" s="0" t="s">
        <v>637</v>
      </c>
      <c r="N838" s="0" t="s">
        <v>2833</v>
      </c>
      <c r="O838" s="0" t="n">
        <v>1</v>
      </c>
      <c r="P838" s="0" t="s">
        <v>2834</v>
      </c>
      <c r="Q838" s="3"/>
      <c r="S838" s="2" t="s">
        <v>29</v>
      </c>
    </row>
    <row r="839" customFormat="false" ht="15" hidden="false" customHeight="false" outlineLevel="0" collapsed="false">
      <c r="A839" s="0" t="n">
        <v>838</v>
      </c>
      <c r="D839" s="0" t="s">
        <v>2835</v>
      </c>
      <c r="E839" s="0" t="s">
        <v>492</v>
      </c>
      <c r="H839" s="0" t="s">
        <v>21</v>
      </c>
      <c r="I839" s="2" t="s">
        <v>22</v>
      </c>
      <c r="J839" s="2" t="s">
        <v>635</v>
      </c>
      <c r="K839" s="0" t="s">
        <v>636</v>
      </c>
      <c r="L839" s="0" t="s">
        <v>31</v>
      </c>
      <c r="M839" s="0" t="s">
        <v>637</v>
      </c>
      <c r="N839" s="0" t="s">
        <v>2836</v>
      </c>
      <c r="O839" s="0" t="n">
        <v>1</v>
      </c>
      <c r="P839" s="0" t="s">
        <v>2837</v>
      </c>
      <c r="Q839" s="3"/>
      <c r="S839" s="2" t="s">
        <v>29</v>
      </c>
    </row>
    <row r="840" customFormat="false" ht="15" hidden="false" customHeight="false" outlineLevel="0" collapsed="false">
      <c r="A840" s="0" t="n">
        <v>839</v>
      </c>
      <c r="D840" s="0" t="s">
        <v>2838</v>
      </c>
      <c r="E840" s="0" t="s">
        <v>492</v>
      </c>
      <c r="H840" s="0" t="s">
        <v>21</v>
      </c>
      <c r="I840" s="2" t="s">
        <v>22</v>
      </c>
      <c r="J840" s="2" t="s">
        <v>635</v>
      </c>
      <c r="K840" s="0" t="s">
        <v>636</v>
      </c>
      <c r="L840" s="0" t="s">
        <v>31</v>
      </c>
      <c r="M840" s="0" t="s">
        <v>637</v>
      </c>
      <c r="N840" s="0" t="s">
        <v>2839</v>
      </c>
      <c r="O840" s="0" t="n">
        <v>1</v>
      </c>
      <c r="P840" s="0" t="s">
        <v>2840</v>
      </c>
      <c r="Q840" s="3"/>
      <c r="S840" s="2" t="s">
        <v>29</v>
      </c>
    </row>
    <row r="841" customFormat="false" ht="15" hidden="false" customHeight="false" outlineLevel="0" collapsed="false">
      <c r="A841" s="0" t="n">
        <v>840</v>
      </c>
      <c r="D841" s="0" t="s">
        <v>2841</v>
      </c>
      <c r="E841" s="0" t="s">
        <v>99</v>
      </c>
      <c r="H841" s="0" t="s">
        <v>21</v>
      </c>
      <c r="I841" s="2" t="s">
        <v>22</v>
      </c>
      <c r="J841" s="2" t="s">
        <v>635</v>
      </c>
      <c r="K841" s="0" t="s">
        <v>636</v>
      </c>
      <c r="L841" s="0" t="s">
        <v>100</v>
      </c>
      <c r="M841" s="0" t="s">
        <v>637</v>
      </c>
      <c r="N841" s="0" t="s">
        <v>2842</v>
      </c>
      <c r="O841" s="0" t="n">
        <v>1</v>
      </c>
      <c r="P841" s="0" t="s">
        <v>2843</v>
      </c>
      <c r="Q841" s="3"/>
      <c r="S841" s="2" t="s">
        <v>29</v>
      </c>
    </row>
    <row r="842" customFormat="false" ht="15" hidden="false" customHeight="false" outlineLevel="0" collapsed="false">
      <c r="A842" s="0" t="n">
        <v>841</v>
      </c>
      <c r="D842" s="0" t="s">
        <v>2844</v>
      </c>
      <c r="E842" s="0" t="s">
        <v>20</v>
      </c>
      <c r="H842" s="0" t="s">
        <v>21</v>
      </c>
      <c r="I842" s="2" t="s">
        <v>22</v>
      </c>
      <c r="J842" s="2" t="s">
        <v>635</v>
      </c>
      <c r="K842" s="0" t="s">
        <v>636</v>
      </c>
      <c r="L842" s="0" t="s">
        <v>31</v>
      </c>
      <c r="M842" s="0" t="s">
        <v>637</v>
      </c>
      <c r="N842" s="0" t="s">
        <v>2845</v>
      </c>
      <c r="O842" s="0" t="n">
        <v>1</v>
      </c>
      <c r="P842" s="0" t="s">
        <v>2846</v>
      </c>
      <c r="Q842" s="3"/>
      <c r="S842" s="2" t="s">
        <v>29</v>
      </c>
    </row>
    <row r="843" customFormat="false" ht="15" hidden="false" customHeight="false" outlineLevel="0" collapsed="false">
      <c r="A843" s="0" t="n">
        <v>842</v>
      </c>
      <c r="D843" s="0" t="s">
        <v>2847</v>
      </c>
      <c r="E843" s="0" t="s">
        <v>99</v>
      </c>
      <c r="H843" s="0" t="s">
        <v>21</v>
      </c>
      <c r="I843" s="2" t="s">
        <v>22</v>
      </c>
      <c r="J843" s="2" t="s">
        <v>635</v>
      </c>
      <c r="K843" s="0" t="s">
        <v>636</v>
      </c>
      <c r="L843" s="0" t="s">
        <v>100</v>
      </c>
      <c r="M843" s="0" t="s">
        <v>637</v>
      </c>
      <c r="N843" s="0" t="s">
        <v>2848</v>
      </c>
      <c r="O843" s="0" t="n">
        <v>1</v>
      </c>
      <c r="P843" s="0" t="s">
        <v>2849</v>
      </c>
      <c r="Q843" s="3"/>
      <c r="S843" s="2" t="s">
        <v>29</v>
      </c>
    </row>
    <row r="844" customFormat="false" ht="15" hidden="false" customHeight="false" outlineLevel="0" collapsed="false">
      <c r="A844" s="0" t="n">
        <v>843</v>
      </c>
      <c r="D844" s="0" t="s">
        <v>2850</v>
      </c>
      <c r="E844" s="0" t="s">
        <v>20</v>
      </c>
      <c r="H844" s="0" t="s">
        <v>21</v>
      </c>
      <c r="I844" s="2" t="s">
        <v>22</v>
      </c>
      <c r="J844" s="2" t="s">
        <v>635</v>
      </c>
      <c r="K844" s="0" t="s">
        <v>636</v>
      </c>
      <c r="L844" s="0" t="s">
        <v>31</v>
      </c>
      <c r="M844" s="0" t="s">
        <v>637</v>
      </c>
      <c r="N844" s="0" t="s">
        <v>2851</v>
      </c>
      <c r="O844" s="0" t="n">
        <v>1</v>
      </c>
      <c r="P844" s="0" t="s">
        <v>2852</v>
      </c>
      <c r="Q844" s="3"/>
      <c r="S844" s="2" t="s">
        <v>29</v>
      </c>
    </row>
    <row r="845" customFormat="false" ht="15" hidden="false" customHeight="false" outlineLevel="0" collapsed="false">
      <c r="A845" s="0" t="n">
        <v>844</v>
      </c>
      <c r="D845" s="0" t="s">
        <v>2853</v>
      </c>
      <c r="E845" s="0" t="s">
        <v>63</v>
      </c>
      <c r="H845" s="0" t="s">
        <v>21</v>
      </c>
      <c r="I845" s="2" t="s">
        <v>22</v>
      </c>
      <c r="J845" s="2" t="s">
        <v>635</v>
      </c>
      <c r="K845" s="0" t="s">
        <v>636</v>
      </c>
      <c r="L845" s="0" t="s">
        <v>100</v>
      </c>
      <c r="M845" s="0" t="s">
        <v>637</v>
      </c>
      <c r="N845" s="0" t="s">
        <v>2854</v>
      </c>
      <c r="O845" s="0" t="n">
        <v>1</v>
      </c>
      <c r="P845" s="0" t="s">
        <v>2855</v>
      </c>
      <c r="Q845" s="3"/>
      <c r="S845" s="2" t="s">
        <v>29</v>
      </c>
    </row>
    <row r="846" customFormat="false" ht="15" hidden="false" customHeight="false" outlineLevel="0" collapsed="false">
      <c r="A846" s="0" t="n">
        <v>845</v>
      </c>
      <c r="D846" s="0" t="s">
        <v>2856</v>
      </c>
      <c r="E846" s="0" t="s">
        <v>20</v>
      </c>
      <c r="H846" s="0" t="s">
        <v>21</v>
      </c>
      <c r="I846" s="2" t="s">
        <v>22</v>
      </c>
      <c r="J846" s="2" t="s">
        <v>635</v>
      </c>
      <c r="K846" s="0" t="s">
        <v>636</v>
      </c>
      <c r="L846" s="0" t="s">
        <v>31</v>
      </c>
      <c r="M846" s="0" t="s">
        <v>637</v>
      </c>
      <c r="N846" s="0" t="s">
        <v>2857</v>
      </c>
      <c r="O846" s="0" t="n">
        <v>1</v>
      </c>
      <c r="P846" s="0" t="s">
        <v>2858</v>
      </c>
      <c r="Q846" s="3"/>
      <c r="S846" s="2" t="s">
        <v>29</v>
      </c>
    </row>
    <row r="847" customFormat="false" ht="15" hidden="false" customHeight="false" outlineLevel="0" collapsed="false">
      <c r="A847" s="0" t="n">
        <v>846</v>
      </c>
      <c r="D847" s="0" t="s">
        <v>2859</v>
      </c>
      <c r="E847" s="0" t="s">
        <v>63</v>
      </c>
      <c r="H847" s="0" t="s">
        <v>21</v>
      </c>
      <c r="I847" s="2" t="s">
        <v>22</v>
      </c>
      <c r="J847" s="2" t="s">
        <v>635</v>
      </c>
      <c r="K847" s="0" t="s">
        <v>636</v>
      </c>
      <c r="L847" s="0" t="s">
        <v>100</v>
      </c>
      <c r="M847" s="0" t="s">
        <v>637</v>
      </c>
      <c r="N847" s="0" t="s">
        <v>2860</v>
      </c>
      <c r="O847" s="0" t="n">
        <v>1</v>
      </c>
      <c r="P847" s="0" t="s">
        <v>2861</v>
      </c>
      <c r="Q847" s="3"/>
      <c r="S847" s="2" t="s">
        <v>29</v>
      </c>
    </row>
    <row r="848" customFormat="false" ht="15" hidden="false" customHeight="false" outlineLevel="0" collapsed="false">
      <c r="A848" s="0" t="n">
        <v>847</v>
      </c>
      <c r="D848" s="0" t="s">
        <v>2862</v>
      </c>
      <c r="E848" s="0" t="s">
        <v>20</v>
      </c>
      <c r="H848" s="0" t="s">
        <v>21</v>
      </c>
      <c r="I848" s="2" t="s">
        <v>22</v>
      </c>
      <c r="J848" s="2" t="s">
        <v>635</v>
      </c>
      <c r="K848" s="0" t="s">
        <v>636</v>
      </c>
      <c r="L848" s="0" t="s">
        <v>31</v>
      </c>
      <c r="M848" s="0" t="s">
        <v>637</v>
      </c>
      <c r="N848" s="0" t="s">
        <v>2863</v>
      </c>
      <c r="O848" s="0" t="n">
        <v>1</v>
      </c>
      <c r="P848" s="0" t="s">
        <v>2864</v>
      </c>
      <c r="Q848" s="3"/>
      <c r="S848" s="2" t="s">
        <v>29</v>
      </c>
    </row>
    <row r="849" customFormat="false" ht="15" hidden="false" customHeight="false" outlineLevel="0" collapsed="false">
      <c r="A849" s="0" t="n">
        <v>848</v>
      </c>
      <c r="D849" s="0" t="s">
        <v>2865</v>
      </c>
      <c r="E849" s="0" t="s">
        <v>20</v>
      </c>
      <c r="H849" s="0" t="s">
        <v>21</v>
      </c>
      <c r="I849" s="2" t="s">
        <v>22</v>
      </c>
      <c r="J849" s="2" t="s">
        <v>635</v>
      </c>
      <c r="K849" s="0" t="s">
        <v>636</v>
      </c>
      <c r="L849" s="0" t="s">
        <v>31</v>
      </c>
      <c r="M849" s="0" t="s">
        <v>637</v>
      </c>
      <c r="N849" s="0" t="s">
        <v>2866</v>
      </c>
      <c r="O849" s="0" t="n">
        <v>1</v>
      </c>
      <c r="P849" s="0" t="s">
        <v>2867</v>
      </c>
      <c r="Q849" s="3"/>
      <c r="S849" s="2" t="s">
        <v>29</v>
      </c>
    </row>
    <row r="850" customFormat="false" ht="15" hidden="false" customHeight="false" outlineLevel="0" collapsed="false">
      <c r="A850" s="0" t="n">
        <v>849</v>
      </c>
      <c r="D850" s="0" t="s">
        <v>2868</v>
      </c>
      <c r="E850" s="0" t="s">
        <v>99</v>
      </c>
      <c r="H850" s="0" t="s">
        <v>21</v>
      </c>
      <c r="I850" s="2" t="s">
        <v>22</v>
      </c>
      <c r="J850" s="2" t="s">
        <v>635</v>
      </c>
      <c r="K850" s="0" t="s">
        <v>636</v>
      </c>
      <c r="L850" s="0" t="s">
        <v>100</v>
      </c>
      <c r="M850" s="0" t="s">
        <v>637</v>
      </c>
      <c r="N850" s="0" t="s">
        <v>2869</v>
      </c>
      <c r="O850" s="0" t="n">
        <v>1</v>
      </c>
      <c r="P850" s="0" t="s">
        <v>2870</v>
      </c>
      <c r="Q850" s="3"/>
      <c r="S850" s="2" t="s">
        <v>29</v>
      </c>
    </row>
    <row r="851" customFormat="false" ht="15" hidden="false" customHeight="false" outlineLevel="0" collapsed="false">
      <c r="A851" s="0" t="n">
        <v>850</v>
      </c>
      <c r="D851" s="0" t="s">
        <v>2871</v>
      </c>
      <c r="E851" s="0" t="s">
        <v>99</v>
      </c>
      <c r="H851" s="0" t="s">
        <v>21</v>
      </c>
      <c r="I851" s="2" t="s">
        <v>22</v>
      </c>
      <c r="J851" s="2" t="s">
        <v>635</v>
      </c>
      <c r="K851" s="0" t="s">
        <v>636</v>
      </c>
      <c r="L851" s="0" t="s">
        <v>100</v>
      </c>
      <c r="M851" s="0" t="s">
        <v>637</v>
      </c>
      <c r="N851" s="0" t="s">
        <v>2872</v>
      </c>
      <c r="O851" s="0" t="n">
        <v>1</v>
      </c>
      <c r="P851" s="0" t="s">
        <v>2873</v>
      </c>
      <c r="Q851" s="3"/>
      <c r="S851" s="2" t="s">
        <v>29</v>
      </c>
    </row>
    <row r="852" customFormat="false" ht="15" hidden="false" customHeight="false" outlineLevel="0" collapsed="false">
      <c r="A852" s="0" t="n">
        <v>851</v>
      </c>
      <c r="D852" s="0" t="s">
        <v>2874</v>
      </c>
      <c r="E852" s="0" t="s">
        <v>20</v>
      </c>
      <c r="H852" s="0" t="s">
        <v>21</v>
      </c>
      <c r="I852" s="2" t="s">
        <v>22</v>
      </c>
      <c r="J852" s="2" t="s">
        <v>635</v>
      </c>
      <c r="K852" s="0" t="s">
        <v>636</v>
      </c>
      <c r="L852" s="0" t="s">
        <v>31</v>
      </c>
      <c r="M852" s="0" t="s">
        <v>637</v>
      </c>
      <c r="N852" s="0" t="s">
        <v>2875</v>
      </c>
      <c r="O852" s="0" t="n">
        <v>1</v>
      </c>
      <c r="P852" s="0" t="s">
        <v>2876</v>
      </c>
      <c r="Q852" s="3"/>
      <c r="S852" s="2" t="s">
        <v>29</v>
      </c>
    </row>
    <row r="853" customFormat="false" ht="15" hidden="false" customHeight="false" outlineLevel="0" collapsed="false">
      <c r="A853" s="0" t="n">
        <v>852</v>
      </c>
      <c r="D853" s="0" t="s">
        <v>2877</v>
      </c>
      <c r="E853" s="0" t="s">
        <v>20</v>
      </c>
      <c r="H853" s="0" t="s">
        <v>21</v>
      </c>
      <c r="I853" s="2" t="s">
        <v>22</v>
      </c>
      <c r="J853" s="2" t="s">
        <v>635</v>
      </c>
      <c r="K853" s="0" t="s">
        <v>636</v>
      </c>
      <c r="L853" s="0" t="s">
        <v>31</v>
      </c>
      <c r="M853" s="0" t="s">
        <v>637</v>
      </c>
      <c r="N853" s="0" t="s">
        <v>2878</v>
      </c>
      <c r="O853" s="0" t="n">
        <v>1</v>
      </c>
      <c r="P853" s="0" t="s">
        <v>2879</v>
      </c>
      <c r="Q853" s="3"/>
      <c r="S853" s="2" t="s">
        <v>29</v>
      </c>
    </row>
    <row r="854" customFormat="false" ht="15" hidden="false" customHeight="false" outlineLevel="0" collapsed="false">
      <c r="A854" s="0" t="n">
        <v>853</v>
      </c>
      <c r="D854" s="0" t="s">
        <v>2880</v>
      </c>
      <c r="E854" s="0" t="s">
        <v>20</v>
      </c>
      <c r="H854" s="0" t="s">
        <v>21</v>
      </c>
      <c r="I854" s="2" t="s">
        <v>22</v>
      </c>
      <c r="J854" s="2" t="s">
        <v>635</v>
      </c>
      <c r="K854" s="0" t="s">
        <v>636</v>
      </c>
      <c r="L854" s="0" t="s">
        <v>31</v>
      </c>
      <c r="M854" s="0" t="s">
        <v>637</v>
      </c>
      <c r="N854" s="0" t="s">
        <v>2881</v>
      </c>
      <c r="O854" s="0" t="n">
        <v>1</v>
      </c>
      <c r="P854" s="0" t="s">
        <v>2882</v>
      </c>
      <c r="Q854" s="3"/>
      <c r="S854" s="2" t="s">
        <v>29</v>
      </c>
    </row>
    <row r="855" customFormat="false" ht="15" hidden="false" customHeight="false" outlineLevel="0" collapsed="false">
      <c r="A855" s="0" t="n">
        <v>854</v>
      </c>
      <c r="D855" s="0" t="s">
        <v>2883</v>
      </c>
      <c r="E855" s="0" t="s">
        <v>20</v>
      </c>
      <c r="H855" s="0" t="s">
        <v>21</v>
      </c>
      <c r="I855" s="2" t="s">
        <v>22</v>
      </c>
      <c r="J855" s="2" t="s">
        <v>635</v>
      </c>
      <c r="K855" s="0" t="s">
        <v>636</v>
      </c>
      <c r="L855" s="0" t="s">
        <v>2884</v>
      </c>
      <c r="M855" s="0" t="s">
        <v>637</v>
      </c>
      <c r="N855" s="0" t="s">
        <v>2885</v>
      </c>
      <c r="O855" s="0" t="n">
        <v>1</v>
      </c>
      <c r="P855" s="0" t="s">
        <v>2886</v>
      </c>
      <c r="Q855" s="3" t="s">
        <v>2887</v>
      </c>
      <c r="R855" s="2" t="s">
        <v>2888</v>
      </c>
      <c r="S855" s="2" t="s">
        <v>45</v>
      </c>
    </row>
    <row r="856" customFormat="false" ht="15" hidden="false" customHeight="false" outlineLevel="0" collapsed="false">
      <c r="A856" s="0" t="n">
        <v>855</v>
      </c>
      <c r="D856" s="0" t="s">
        <v>2889</v>
      </c>
      <c r="E856" s="0" t="s">
        <v>20</v>
      </c>
      <c r="F856" s="0" t="s">
        <v>2890</v>
      </c>
      <c r="H856" s="0" t="s">
        <v>21</v>
      </c>
      <c r="I856" s="2" t="s">
        <v>22</v>
      </c>
      <c r="J856" s="2" t="s">
        <v>635</v>
      </c>
      <c r="K856" s="0" t="s">
        <v>636</v>
      </c>
      <c r="L856" s="0" t="s">
        <v>2891</v>
      </c>
      <c r="M856" s="0" t="s">
        <v>637</v>
      </c>
      <c r="N856" s="0" t="s">
        <v>2892</v>
      </c>
      <c r="O856" s="0" t="n">
        <v>1</v>
      </c>
      <c r="P856" s="0" t="s">
        <v>2893</v>
      </c>
      <c r="Q856" s="3" t="s">
        <v>2894</v>
      </c>
      <c r="R856" s="2" t="s">
        <v>2895</v>
      </c>
      <c r="S856" s="2" t="s">
        <v>45</v>
      </c>
    </row>
    <row r="857" customFormat="false" ht="15" hidden="false" customHeight="false" outlineLevel="0" collapsed="false">
      <c r="A857" s="0" t="n">
        <v>856</v>
      </c>
      <c r="D857" s="0" t="s">
        <v>2896</v>
      </c>
      <c r="E857" s="0" t="s">
        <v>20</v>
      </c>
      <c r="H857" s="0" t="s">
        <v>21</v>
      </c>
      <c r="I857" s="2" t="s">
        <v>22</v>
      </c>
      <c r="J857" s="2" t="s">
        <v>635</v>
      </c>
      <c r="K857" s="0" t="s">
        <v>636</v>
      </c>
      <c r="L857" s="0" t="s">
        <v>31</v>
      </c>
      <c r="M857" s="0" t="s">
        <v>637</v>
      </c>
      <c r="N857" s="0" t="s">
        <v>2897</v>
      </c>
      <c r="O857" s="0" t="n">
        <v>1</v>
      </c>
      <c r="P857" s="0" t="s">
        <v>2898</v>
      </c>
      <c r="Q857" s="3"/>
      <c r="S857" s="2" t="s">
        <v>29</v>
      </c>
    </row>
    <row r="858" customFormat="false" ht="15" hidden="false" customHeight="false" outlineLevel="0" collapsed="false">
      <c r="A858" s="0" t="n">
        <v>857</v>
      </c>
      <c r="D858" s="0" t="s">
        <v>2899</v>
      </c>
      <c r="E858" s="0" t="s">
        <v>492</v>
      </c>
      <c r="H858" s="0" t="s">
        <v>21</v>
      </c>
      <c r="I858" s="2" t="s">
        <v>22</v>
      </c>
      <c r="J858" s="2" t="s">
        <v>635</v>
      </c>
      <c r="K858" s="0" t="s">
        <v>636</v>
      </c>
      <c r="L858" s="0" t="s">
        <v>31</v>
      </c>
      <c r="M858" s="0" t="s">
        <v>637</v>
      </c>
      <c r="N858" s="0" t="s">
        <v>2900</v>
      </c>
      <c r="O858" s="0" t="n">
        <v>1</v>
      </c>
      <c r="P858" s="0" t="s">
        <v>2901</v>
      </c>
      <c r="Q858" s="3"/>
      <c r="S858" s="2" t="s">
        <v>29</v>
      </c>
    </row>
    <row r="859" customFormat="false" ht="15" hidden="false" customHeight="false" outlineLevel="0" collapsed="false">
      <c r="A859" s="0" t="n">
        <v>858</v>
      </c>
      <c r="D859" s="0" t="s">
        <v>2902</v>
      </c>
      <c r="E859" s="0" t="s">
        <v>20</v>
      </c>
      <c r="H859" s="0" t="s">
        <v>21</v>
      </c>
      <c r="I859" s="2" t="s">
        <v>22</v>
      </c>
      <c r="J859" s="2" t="s">
        <v>635</v>
      </c>
      <c r="K859" s="0" t="s">
        <v>636</v>
      </c>
      <c r="L859" s="0" t="s">
        <v>31</v>
      </c>
      <c r="M859" s="0" t="s">
        <v>637</v>
      </c>
      <c r="N859" s="0" t="s">
        <v>2903</v>
      </c>
      <c r="O859" s="0" t="n">
        <v>1</v>
      </c>
      <c r="P859" s="0" t="s">
        <v>2904</v>
      </c>
      <c r="Q859" s="3"/>
      <c r="S859" s="2" t="s">
        <v>29</v>
      </c>
    </row>
    <row r="860" customFormat="false" ht="15" hidden="false" customHeight="false" outlineLevel="0" collapsed="false">
      <c r="A860" s="0" t="n">
        <v>859</v>
      </c>
      <c r="D860" s="0" t="s">
        <v>2905</v>
      </c>
      <c r="E860" s="0" t="s">
        <v>20</v>
      </c>
      <c r="H860" s="0" t="s">
        <v>21</v>
      </c>
      <c r="I860" s="2" t="s">
        <v>22</v>
      </c>
      <c r="J860" s="2" t="s">
        <v>635</v>
      </c>
      <c r="K860" s="0" t="s">
        <v>636</v>
      </c>
      <c r="L860" s="0" t="s">
        <v>31</v>
      </c>
      <c r="M860" s="0" t="s">
        <v>637</v>
      </c>
      <c r="N860" s="0" t="s">
        <v>2906</v>
      </c>
      <c r="O860" s="0" t="n">
        <v>1</v>
      </c>
      <c r="P860" s="0" t="s">
        <v>2907</v>
      </c>
      <c r="Q860" s="3"/>
      <c r="S860" s="2" t="s">
        <v>29</v>
      </c>
    </row>
    <row r="861" customFormat="false" ht="15" hidden="false" customHeight="false" outlineLevel="0" collapsed="false">
      <c r="A861" s="0" t="n">
        <v>860</v>
      </c>
      <c r="D861" s="0" t="s">
        <v>2908</v>
      </c>
      <c r="E861" s="0" t="s">
        <v>20</v>
      </c>
      <c r="H861" s="0" t="s">
        <v>21</v>
      </c>
      <c r="I861" s="2" t="s">
        <v>22</v>
      </c>
      <c r="J861" s="2" t="s">
        <v>635</v>
      </c>
      <c r="K861" s="0" t="s">
        <v>636</v>
      </c>
      <c r="L861" s="0" t="s">
        <v>31</v>
      </c>
      <c r="M861" s="0" t="s">
        <v>637</v>
      </c>
      <c r="N861" s="0" t="s">
        <v>2909</v>
      </c>
      <c r="O861" s="0" t="n">
        <v>1</v>
      </c>
      <c r="P861" s="0" t="s">
        <v>2910</v>
      </c>
      <c r="Q861" s="3"/>
      <c r="S861" s="2" t="s">
        <v>29</v>
      </c>
    </row>
    <row r="862" customFormat="false" ht="15" hidden="false" customHeight="false" outlineLevel="0" collapsed="false">
      <c r="A862" s="0" t="n">
        <v>861</v>
      </c>
      <c r="D862" s="0" t="s">
        <v>2911</v>
      </c>
      <c r="E862" s="0" t="s">
        <v>20</v>
      </c>
      <c r="H862" s="0" t="s">
        <v>21</v>
      </c>
      <c r="I862" s="2" t="s">
        <v>22</v>
      </c>
      <c r="J862" s="2" t="s">
        <v>635</v>
      </c>
      <c r="K862" s="0" t="s">
        <v>636</v>
      </c>
      <c r="L862" s="0" t="s">
        <v>31</v>
      </c>
      <c r="M862" s="0" t="s">
        <v>637</v>
      </c>
      <c r="N862" s="0" t="s">
        <v>2912</v>
      </c>
      <c r="O862" s="0" t="n">
        <v>1</v>
      </c>
      <c r="P862" s="0" t="s">
        <v>2913</v>
      </c>
      <c r="Q862" s="3"/>
      <c r="S862" s="2" t="s">
        <v>29</v>
      </c>
    </row>
    <row r="863" customFormat="false" ht="15" hidden="false" customHeight="false" outlineLevel="0" collapsed="false">
      <c r="A863" s="0" t="n">
        <v>862</v>
      </c>
      <c r="D863" s="0" t="s">
        <v>2914</v>
      </c>
      <c r="E863" s="0" t="s">
        <v>20</v>
      </c>
      <c r="H863" s="0" t="s">
        <v>21</v>
      </c>
      <c r="I863" s="2" t="s">
        <v>22</v>
      </c>
      <c r="J863" s="2" t="s">
        <v>635</v>
      </c>
      <c r="K863" s="0" t="s">
        <v>636</v>
      </c>
      <c r="L863" s="0" t="s">
        <v>31</v>
      </c>
      <c r="M863" s="0" t="s">
        <v>637</v>
      </c>
      <c r="N863" s="0" t="s">
        <v>2915</v>
      </c>
      <c r="O863" s="0" t="n">
        <v>1</v>
      </c>
      <c r="P863" s="0" t="s">
        <v>2916</v>
      </c>
      <c r="Q863" s="3"/>
      <c r="S863" s="2" t="s">
        <v>29</v>
      </c>
    </row>
    <row r="864" customFormat="false" ht="15" hidden="false" customHeight="false" outlineLevel="0" collapsed="false">
      <c r="A864" s="0" t="n">
        <v>863</v>
      </c>
      <c r="D864" s="0" t="s">
        <v>2917</v>
      </c>
      <c r="E864" s="0" t="s">
        <v>492</v>
      </c>
      <c r="H864" s="0" t="s">
        <v>21</v>
      </c>
      <c r="I864" s="2" t="s">
        <v>22</v>
      </c>
      <c r="J864" s="2" t="s">
        <v>635</v>
      </c>
      <c r="K864" s="0" t="s">
        <v>636</v>
      </c>
      <c r="L864" s="0" t="s">
        <v>31</v>
      </c>
      <c r="M864" s="0" t="s">
        <v>637</v>
      </c>
      <c r="N864" s="0" t="s">
        <v>2918</v>
      </c>
      <c r="O864" s="0" t="n">
        <v>1</v>
      </c>
      <c r="P864" s="0" t="s">
        <v>2919</v>
      </c>
      <c r="Q864" s="3"/>
      <c r="S864" s="2" t="s">
        <v>29</v>
      </c>
    </row>
    <row r="865" customFormat="false" ht="15" hidden="false" customHeight="false" outlineLevel="0" collapsed="false">
      <c r="A865" s="0" t="n">
        <v>864</v>
      </c>
      <c r="D865" s="0" t="s">
        <v>2920</v>
      </c>
      <c r="E865" s="0" t="s">
        <v>20</v>
      </c>
      <c r="H865" s="0" t="s">
        <v>21</v>
      </c>
      <c r="I865" s="2" t="s">
        <v>22</v>
      </c>
      <c r="J865" s="2" t="s">
        <v>635</v>
      </c>
      <c r="K865" s="0" t="s">
        <v>636</v>
      </c>
      <c r="L865" s="0" t="s">
        <v>31</v>
      </c>
      <c r="M865" s="0" t="s">
        <v>637</v>
      </c>
      <c r="N865" s="0" t="s">
        <v>2921</v>
      </c>
      <c r="O865" s="0" t="n">
        <v>1</v>
      </c>
      <c r="P865" s="0" t="s">
        <v>2922</v>
      </c>
      <c r="Q865" s="3"/>
      <c r="S865" s="2" t="s">
        <v>29</v>
      </c>
    </row>
    <row r="866" customFormat="false" ht="15" hidden="false" customHeight="false" outlineLevel="0" collapsed="false">
      <c r="A866" s="0" t="n">
        <v>865</v>
      </c>
      <c r="D866" s="0" t="s">
        <v>2923</v>
      </c>
      <c r="E866" s="0" t="s">
        <v>492</v>
      </c>
      <c r="H866" s="0" t="s">
        <v>21</v>
      </c>
      <c r="I866" s="2" t="s">
        <v>22</v>
      </c>
      <c r="J866" s="2" t="s">
        <v>635</v>
      </c>
      <c r="K866" s="0" t="s">
        <v>636</v>
      </c>
      <c r="L866" s="0" t="s">
        <v>31</v>
      </c>
      <c r="M866" s="0" t="s">
        <v>637</v>
      </c>
      <c r="N866" s="0" t="s">
        <v>2924</v>
      </c>
      <c r="O866" s="0" t="n">
        <v>1</v>
      </c>
      <c r="P866" s="0" t="s">
        <v>2925</v>
      </c>
      <c r="Q866" s="3"/>
      <c r="S866" s="2" t="s">
        <v>29</v>
      </c>
    </row>
    <row r="867" customFormat="false" ht="15" hidden="false" customHeight="false" outlineLevel="0" collapsed="false">
      <c r="A867" s="0" t="n">
        <v>866</v>
      </c>
      <c r="D867" s="0" t="s">
        <v>2926</v>
      </c>
      <c r="E867" s="0" t="s">
        <v>20</v>
      </c>
      <c r="H867" s="0" t="s">
        <v>21</v>
      </c>
      <c r="I867" s="2" t="s">
        <v>22</v>
      </c>
      <c r="J867" s="2" t="s">
        <v>635</v>
      </c>
      <c r="K867" s="0" t="s">
        <v>636</v>
      </c>
      <c r="L867" s="0" t="s">
        <v>31</v>
      </c>
      <c r="M867" s="0" t="s">
        <v>637</v>
      </c>
      <c r="N867" s="0" t="s">
        <v>2927</v>
      </c>
      <c r="O867" s="0" t="n">
        <v>1</v>
      </c>
      <c r="P867" s="0" t="s">
        <v>2928</v>
      </c>
      <c r="Q867" s="3"/>
      <c r="S867" s="2" t="s">
        <v>29</v>
      </c>
    </row>
    <row r="868" customFormat="false" ht="15" hidden="false" customHeight="false" outlineLevel="0" collapsed="false">
      <c r="A868" s="0" t="n">
        <v>867</v>
      </c>
      <c r="D868" s="0" t="s">
        <v>2929</v>
      </c>
      <c r="E868" s="0" t="s">
        <v>20</v>
      </c>
      <c r="H868" s="0" t="s">
        <v>21</v>
      </c>
      <c r="I868" s="2" t="s">
        <v>22</v>
      </c>
      <c r="J868" s="2" t="s">
        <v>635</v>
      </c>
      <c r="K868" s="0" t="s">
        <v>636</v>
      </c>
      <c r="L868" s="0" t="s">
        <v>31</v>
      </c>
      <c r="M868" s="0" t="s">
        <v>637</v>
      </c>
      <c r="N868" s="0" t="s">
        <v>2930</v>
      </c>
      <c r="O868" s="0" t="n">
        <v>1</v>
      </c>
      <c r="P868" s="0" t="s">
        <v>2931</v>
      </c>
      <c r="Q868" s="3"/>
      <c r="S868" s="2" t="s">
        <v>29</v>
      </c>
    </row>
    <row r="869" customFormat="false" ht="15" hidden="false" customHeight="false" outlineLevel="0" collapsed="false">
      <c r="A869" s="0" t="n">
        <v>868</v>
      </c>
      <c r="D869" s="0" t="s">
        <v>2932</v>
      </c>
      <c r="E869" s="0" t="s">
        <v>20</v>
      </c>
      <c r="H869" s="0" t="s">
        <v>21</v>
      </c>
      <c r="I869" s="2" t="s">
        <v>22</v>
      </c>
      <c r="J869" s="2" t="s">
        <v>635</v>
      </c>
      <c r="K869" s="0" t="s">
        <v>636</v>
      </c>
      <c r="L869" s="0" t="s">
        <v>31</v>
      </c>
      <c r="M869" s="0" t="s">
        <v>637</v>
      </c>
      <c r="N869" s="0" t="s">
        <v>2933</v>
      </c>
      <c r="O869" s="0" t="n">
        <v>1</v>
      </c>
      <c r="P869" s="0" t="s">
        <v>2934</v>
      </c>
      <c r="Q869" s="3"/>
      <c r="S869" s="2" t="s">
        <v>29</v>
      </c>
    </row>
    <row r="870" customFormat="false" ht="15" hidden="false" customHeight="false" outlineLevel="0" collapsed="false">
      <c r="A870" s="0" t="n">
        <v>869</v>
      </c>
      <c r="D870" s="0" t="s">
        <v>2935</v>
      </c>
      <c r="E870" s="0" t="s">
        <v>63</v>
      </c>
      <c r="H870" s="0" t="s">
        <v>21</v>
      </c>
      <c r="I870" s="2" t="s">
        <v>22</v>
      </c>
      <c r="J870" s="2" t="s">
        <v>635</v>
      </c>
      <c r="K870" s="0" t="s">
        <v>636</v>
      </c>
      <c r="L870" s="0" t="s">
        <v>100</v>
      </c>
      <c r="M870" s="0" t="s">
        <v>637</v>
      </c>
      <c r="N870" s="0" t="s">
        <v>2936</v>
      </c>
      <c r="O870" s="0" t="n">
        <v>1</v>
      </c>
      <c r="Q870" s="3"/>
      <c r="S870" s="2" t="s">
        <v>29</v>
      </c>
    </row>
    <row r="871" customFormat="false" ht="15" hidden="false" customHeight="false" outlineLevel="0" collapsed="false">
      <c r="A871" s="0" t="n">
        <v>870</v>
      </c>
      <c r="D871" s="0" t="s">
        <v>2937</v>
      </c>
      <c r="E871" s="0" t="s">
        <v>20</v>
      </c>
      <c r="H871" s="0" t="s">
        <v>21</v>
      </c>
      <c r="I871" s="2" t="s">
        <v>22</v>
      </c>
      <c r="J871" s="2" t="s">
        <v>635</v>
      </c>
      <c r="K871" s="0" t="s">
        <v>636</v>
      </c>
      <c r="L871" s="0" t="s">
        <v>31</v>
      </c>
      <c r="M871" s="0" t="s">
        <v>637</v>
      </c>
      <c r="N871" s="0" t="s">
        <v>2938</v>
      </c>
      <c r="O871" s="0" t="n">
        <v>1</v>
      </c>
      <c r="P871" s="0" t="s">
        <v>2939</v>
      </c>
      <c r="Q871" s="3"/>
      <c r="S871" s="2" t="s">
        <v>29</v>
      </c>
    </row>
    <row r="872" customFormat="false" ht="15" hidden="false" customHeight="false" outlineLevel="0" collapsed="false">
      <c r="A872" s="0" t="n">
        <v>871</v>
      </c>
      <c r="D872" s="0" t="s">
        <v>2940</v>
      </c>
      <c r="E872" s="0" t="s">
        <v>20</v>
      </c>
      <c r="H872" s="0" t="s">
        <v>21</v>
      </c>
      <c r="I872" s="2" t="s">
        <v>22</v>
      </c>
      <c r="J872" s="2" t="s">
        <v>635</v>
      </c>
      <c r="K872" s="0" t="s">
        <v>636</v>
      </c>
      <c r="L872" s="0" t="s">
        <v>31</v>
      </c>
      <c r="M872" s="0" t="s">
        <v>637</v>
      </c>
      <c r="N872" s="0" t="s">
        <v>2941</v>
      </c>
      <c r="O872" s="0" t="n">
        <v>1</v>
      </c>
      <c r="P872" s="0" t="s">
        <v>2942</v>
      </c>
      <c r="Q872" s="3"/>
      <c r="S872" s="2" t="s">
        <v>29</v>
      </c>
    </row>
    <row r="873" customFormat="false" ht="15" hidden="false" customHeight="false" outlineLevel="0" collapsed="false">
      <c r="A873" s="0" t="n">
        <v>872</v>
      </c>
      <c r="D873" s="0" t="s">
        <v>2943</v>
      </c>
      <c r="E873" s="0" t="s">
        <v>20</v>
      </c>
      <c r="H873" s="0" t="s">
        <v>21</v>
      </c>
      <c r="I873" s="2" t="s">
        <v>22</v>
      </c>
      <c r="J873" s="2" t="s">
        <v>635</v>
      </c>
      <c r="K873" s="0" t="s">
        <v>636</v>
      </c>
      <c r="L873" s="0" t="s">
        <v>31</v>
      </c>
      <c r="M873" s="0" t="s">
        <v>637</v>
      </c>
      <c r="N873" s="0" t="s">
        <v>2944</v>
      </c>
      <c r="O873" s="0" t="n">
        <v>1</v>
      </c>
      <c r="P873" s="0" t="s">
        <v>2945</v>
      </c>
      <c r="Q873" s="3"/>
      <c r="S873" s="2" t="s">
        <v>29</v>
      </c>
    </row>
    <row r="874" customFormat="false" ht="15" hidden="false" customHeight="false" outlineLevel="0" collapsed="false">
      <c r="A874" s="0" t="n">
        <v>873</v>
      </c>
      <c r="D874" s="0" t="s">
        <v>2946</v>
      </c>
      <c r="E874" s="0" t="s">
        <v>20</v>
      </c>
      <c r="H874" s="0" t="s">
        <v>21</v>
      </c>
      <c r="I874" s="2" t="s">
        <v>22</v>
      </c>
      <c r="J874" s="2" t="s">
        <v>635</v>
      </c>
      <c r="K874" s="0" t="s">
        <v>636</v>
      </c>
      <c r="L874" s="0" t="s">
        <v>31</v>
      </c>
      <c r="M874" s="0" t="s">
        <v>637</v>
      </c>
      <c r="N874" s="0" t="s">
        <v>2947</v>
      </c>
      <c r="O874" s="0" t="n">
        <v>1</v>
      </c>
      <c r="P874" s="0" t="s">
        <v>2948</v>
      </c>
      <c r="Q874" s="3"/>
      <c r="S874" s="2" t="s">
        <v>29</v>
      </c>
    </row>
    <row r="875" customFormat="false" ht="15" hidden="false" customHeight="false" outlineLevel="0" collapsed="false">
      <c r="A875" s="0" t="n">
        <v>874</v>
      </c>
      <c r="D875" s="0" t="s">
        <v>2949</v>
      </c>
      <c r="E875" s="0" t="s">
        <v>20</v>
      </c>
      <c r="H875" s="0" t="s">
        <v>21</v>
      </c>
      <c r="I875" s="2" t="s">
        <v>22</v>
      </c>
      <c r="J875" s="2" t="s">
        <v>635</v>
      </c>
      <c r="K875" s="0" t="s">
        <v>636</v>
      </c>
      <c r="L875" s="0" t="s">
        <v>31</v>
      </c>
      <c r="M875" s="0" t="s">
        <v>637</v>
      </c>
      <c r="N875" s="0" t="s">
        <v>2950</v>
      </c>
      <c r="O875" s="0" t="n">
        <v>1</v>
      </c>
      <c r="P875" s="0" t="s">
        <v>2951</v>
      </c>
      <c r="Q875" s="3"/>
      <c r="S875" s="2" t="s">
        <v>29</v>
      </c>
    </row>
    <row r="876" customFormat="false" ht="15" hidden="false" customHeight="false" outlineLevel="0" collapsed="false">
      <c r="A876" s="0" t="n">
        <v>875</v>
      </c>
      <c r="D876" s="0" t="s">
        <v>2952</v>
      </c>
      <c r="E876" s="0" t="s">
        <v>20</v>
      </c>
      <c r="H876" s="0" t="s">
        <v>21</v>
      </c>
      <c r="I876" s="2" t="s">
        <v>22</v>
      </c>
      <c r="J876" s="2" t="s">
        <v>635</v>
      </c>
      <c r="K876" s="0" t="s">
        <v>636</v>
      </c>
      <c r="L876" s="0" t="s">
        <v>31</v>
      </c>
      <c r="M876" s="0" t="s">
        <v>637</v>
      </c>
      <c r="N876" s="0" t="s">
        <v>2953</v>
      </c>
      <c r="O876" s="0" t="n">
        <v>1</v>
      </c>
      <c r="P876" s="0" t="s">
        <v>2954</v>
      </c>
      <c r="Q876" s="3"/>
      <c r="S876" s="2" t="s">
        <v>29</v>
      </c>
    </row>
    <row r="877" customFormat="false" ht="15" hidden="false" customHeight="false" outlineLevel="0" collapsed="false">
      <c r="A877" s="0" t="n">
        <v>876</v>
      </c>
      <c r="D877" s="0" t="s">
        <v>2955</v>
      </c>
      <c r="E877" s="0" t="s">
        <v>20</v>
      </c>
      <c r="H877" s="0" t="s">
        <v>21</v>
      </c>
      <c r="I877" s="2" t="s">
        <v>22</v>
      </c>
      <c r="J877" s="2" t="s">
        <v>635</v>
      </c>
      <c r="K877" s="0" t="s">
        <v>636</v>
      </c>
      <c r="L877" s="0" t="s">
        <v>31</v>
      </c>
      <c r="M877" s="0" t="s">
        <v>637</v>
      </c>
      <c r="N877" s="0" t="s">
        <v>2956</v>
      </c>
      <c r="O877" s="0" t="n">
        <v>1</v>
      </c>
      <c r="P877" s="0" t="s">
        <v>2957</v>
      </c>
      <c r="Q877" s="3"/>
      <c r="S877" s="2" t="s">
        <v>29</v>
      </c>
    </row>
    <row r="878" customFormat="false" ht="15" hidden="false" customHeight="false" outlineLevel="0" collapsed="false">
      <c r="A878" s="0" t="n">
        <v>877</v>
      </c>
      <c r="D878" s="0" t="s">
        <v>2958</v>
      </c>
      <c r="E878" s="0" t="s">
        <v>20</v>
      </c>
      <c r="H878" s="0" t="s">
        <v>21</v>
      </c>
      <c r="I878" s="2" t="s">
        <v>22</v>
      </c>
      <c r="J878" s="2" t="s">
        <v>635</v>
      </c>
      <c r="K878" s="0" t="s">
        <v>636</v>
      </c>
      <c r="L878" s="0" t="s">
        <v>31</v>
      </c>
      <c r="M878" s="0" t="s">
        <v>637</v>
      </c>
      <c r="N878" s="0" t="s">
        <v>2959</v>
      </c>
      <c r="O878" s="0" t="n">
        <v>1</v>
      </c>
      <c r="P878" s="0" t="s">
        <v>2960</v>
      </c>
      <c r="Q878" s="3"/>
      <c r="S878" s="2" t="s">
        <v>29</v>
      </c>
    </row>
    <row r="879" customFormat="false" ht="15" hidden="false" customHeight="false" outlineLevel="0" collapsed="false">
      <c r="A879" s="0" t="n">
        <v>878</v>
      </c>
      <c r="D879" s="0" t="s">
        <v>2961</v>
      </c>
      <c r="E879" s="0" t="s">
        <v>63</v>
      </c>
      <c r="H879" s="0" t="s">
        <v>21</v>
      </c>
      <c r="I879" s="2" t="s">
        <v>22</v>
      </c>
      <c r="J879" s="2" t="s">
        <v>635</v>
      </c>
      <c r="K879" s="0" t="s">
        <v>636</v>
      </c>
      <c r="L879" s="0" t="s">
        <v>100</v>
      </c>
      <c r="M879" s="0" t="s">
        <v>637</v>
      </c>
      <c r="N879" s="0" t="s">
        <v>2962</v>
      </c>
      <c r="O879" s="0" t="n">
        <v>1</v>
      </c>
      <c r="P879" s="0" t="s">
        <v>2963</v>
      </c>
      <c r="Q879" s="3"/>
      <c r="S879" s="2" t="s">
        <v>29</v>
      </c>
    </row>
    <row r="880" customFormat="false" ht="15" hidden="false" customHeight="false" outlineLevel="0" collapsed="false">
      <c r="A880" s="0" t="n">
        <v>879</v>
      </c>
      <c r="D880" s="0" t="s">
        <v>2964</v>
      </c>
      <c r="E880" s="0" t="s">
        <v>99</v>
      </c>
      <c r="H880" s="0" t="s">
        <v>21</v>
      </c>
      <c r="I880" s="2" t="s">
        <v>22</v>
      </c>
      <c r="J880" s="2" t="s">
        <v>635</v>
      </c>
      <c r="K880" s="0" t="s">
        <v>636</v>
      </c>
      <c r="L880" s="0" t="s">
        <v>100</v>
      </c>
      <c r="M880" s="0" t="s">
        <v>637</v>
      </c>
      <c r="N880" s="0" t="s">
        <v>2965</v>
      </c>
      <c r="O880" s="0" t="n">
        <v>1</v>
      </c>
      <c r="P880" s="0" t="s">
        <v>2966</v>
      </c>
      <c r="Q880" s="3"/>
      <c r="S880" s="2" t="s">
        <v>29</v>
      </c>
    </row>
    <row r="881" customFormat="false" ht="15" hidden="false" customHeight="false" outlineLevel="0" collapsed="false">
      <c r="A881" s="0" t="n">
        <v>880</v>
      </c>
      <c r="D881" s="0" t="s">
        <v>2967</v>
      </c>
      <c r="E881" s="0" t="s">
        <v>20</v>
      </c>
      <c r="H881" s="0" t="s">
        <v>21</v>
      </c>
      <c r="I881" s="2" t="s">
        <v>22</v>
      </c>
      <c r="J881" s="2" t="s">
        <v>635</v>
      </c>
      <c r="K881" s="0" t="s">
        <v>636</v>
      </c>
      <c r="L881" s="0" t="s">
        <v>31</v>
      </c>
      <c r="M881" s="0" t="s">
        <v>637</v>
      </c>
      <c r="N881" s="0" t="s">
        <v>2968</v>
      </c>
      <c r="O881" s="0" t="n">
        <v>1</v>
      </c>
      <c r="P881" s="0" t="s">
        <v>2969</v>
      </c>
      <c r="Q881" s="3"/>
      <c r="S881" s="2" t="s">
        <v>29</v>
      </c>
    </row>
    <row r="882" customFormat="false" ht="15" hidden="false" customHeight="false" outlineLevel="0" collapsed="false">
      <c r="A882" s="0" t="n">
        <v>881</v>
      </c>
      <c r="D882" s="0" t="s">
        <v>2970</v>
      </c>
      <c r="E882" s="0" t="s">
        <v>20</v>
      </c>
      <c r="H882" s="0" t="s">
        <v>21</v>
      </c>
      <c r="I882" s="2" t="s">
        <v>22</v>
      </c>
      <c r="J882" s="2" t="s">
        <v>635</v>
      </c>
      <c r="K882" s="0" t="s">
        <v>636</v>
      </c>
      <c r="L882" s="0" t="s">
        <v>31</v>
      </c>
      <c r="M882" s="0" t="s">
        <v>637</v>
      </c>
      <c r="N882" s="0" t="s">
        <v>2971</v>
      </c>
      <c r="O882" s="0" t="n">
        <v>1</v>
      </c>
      <c r="Q882" s="3"/>
      <c r="S882" s="2" t="s">
        <v>29</v>
      </c>
    </row>
    <row r="883" customFormat="false" ht="15" hidden="false" customHeight="false" outlineLevel="0" collapsed="false">
      <c r="A883" s="0" t="n">
        <v>882</v>
      </c>
      <c r="D883" s="0" t="s">
        <v>2972</v>
      </c>
      <c r="E883" s="0" t="s">
        <v>20</v>
      </c>
      <c r="H883" s="0" t="s">
        <v>21</v>
      </c>
      <c r="I883" s="2" t="s">
        <v>22</v>
      </c>
      <c r="J883" s="2" t="s">
        <v>635</v>
      </c>
      <c r="K883" s="0" t="s">
        <v>636</v>
      </c>
      <c r="L883" s="0" t="s">
        <v>31</v>
      </c>
      <c r="M883" s="0" t="s">
        <v>637</v>
      </c>
      <c r="N883" s="0" t="s">
        <v>2973</v>
      </c>
      <c r="O883" s="0" t="n">
        <v>1</v>
      </c>
      <c r="P883" s="0" t="s">
        <v>2974</v>
      </c>
      <c r="Q883" s="3"/>
      <c r="S883" s="2" t="s">
        <v>29</v>
      </c>
    </row>
    <row r="884" customFormat="false" ht="15" hidden="false" customHeight="false" outlineLevel="0" collapsed="false">
      <c r="A884" s="0" t="n">
        <v>883</v>
      </c>
      <c r="D884" s="0" t="s">
        <v>2975</v>
      </c>
      <c r="E884" s="0" t="s">
        <v>99</v>
      </c>
      <c r="H884" s="0" t="s">
        <v>21</v>
      </c>
      <c r="I884" s="2" t="s">
        <v>22</v>
      </c>
      <c r="J884" s="2" t="s">
        <v>635</v>
      </c>
      <c r="K884" s="0" t="s">
        <v>636</v>
      </c>
      <c r="L884" s="0" t="s">
        <v>100</v>
      </c>
      <c r="M884" s="0" t="s">
        <v>637</v>
      </c>
      <c r="N884" s="0" t="s">
        <v>2976</v>
      </c>
      <c r="O884" s="0" t="n">
        <v>1</v>
      </c>
      <c r="P884" s="0" t="s">
        <v>2977</v>
      </c>
      <c r="Q884" s="3"/>
      <c r="S884" s="2" t="s">
        <v>29</v>
      </c>
    </row>
    <row r="885" customFormat="false" ht="15" hidden="false" customHeight="false" outlineLevel="0" collapsed="false">
      <c r="A885" s="0" t="n">
        <v>884</v>
      </c>
      <c r="D885" s="0" t="s">
        <v>2978</v>
      </c>
      <c r="E885" s="0" t="s">
        <v>236</v>
      </c>
      <c r="H885" s="0" t="s">
        <v>21</v>
      </c>
      <c r="I885" s="2" t="s">
        <v>22</v>
      </c>
      <c r="J885" s="2" t="s">
        <v>635</v>
      </c>
      <c r="K885" s="0" t="s">
        <v>636</v>
      </c>
      <c r="L885" s="0" t="s">
        <v>31</v>
      </c>
      <c r="M885" s="0" t="s">
        <v>637</v>
      </c>
      <c r="N885" s="0" t="s">
        <v>2979</v>
      </c>
      <c r="O885" s="0" t="n">
        <v>1</v>
      </c>
      <c r="P885" s="0" t="s">
        <v>2980</v>
      </c>
      <c r="Q885" s="3"/>
      <c r="S885" s="2" t="s">
        <v>29</v>
      </c>
    </row>
    <row r="886" customFormat="false" ht="15" hidden="false" customHeight="false" outlineLevel="0" collapsed="false">
      <c r="A886" s="0" t="n">
        <v>885</v>
      </c>
      <c r="D886" s="0" t="s">
        <v>2981</v>
      </c>
      <c r="E886" s="0" t="s">
        <v>492</v>
      </c>
      <c r="H886" s="0" t="s">
        <v>21</v>
      </c>
      <c r="I886" s="2" t="s">
        <v>22</v>
      </c>
      <c r="J886" s="2" t="s">
        <v>635</v>
      </c>
      <c r="K886" s="0" t="s">
        <v>636</v>
      </c>
      <c r="L886" s="0" t="s">
        <v>31</v>
      </c>
      <c r="M886" s="0" t="s">
        <v>637</v>
      </c>
      <c r="N886" s="0" t="s">
        <v>2982</v>
      </c>
      <c r="O886" s="0" t="n">
        <v>1</v>
      </c>
      <c r="P886" s="0" t="s">
        <v>2983</v>
      </c>
      <c r="Q886" s="3"/>
      <c r="S886" s="2" t="s">
        <v>29</v>
      </c>
    </row>
    <row r="887" customFormat="false" ht="15" hidden="false" customHeight="false" outlineLevel="0" collapsed="false">
      <c r="A887" s="0" t="n">
        <v>886</v>
      </c>
      <c r="D887" s="0" t="s">
        <v>2984</v>
      </c>
      <c r="E887" s="0" t="s">
        <v>492</v>
      </c>
      <c r="H887" s="0" t="s">
        <v>21</v>
      </c>
      <c r="I887" s="2" t="s">
        <v>22</v>
      </c>
      <c r="J887" s="2" t="s">
        <v>635</v>
      </c>
      <c r="K887" s="0" t="s">
        <v>636</v>
      </c>
      <c r="L887" s="0" t="s">
        <v>31</v>
      </c>
      <c r="M887" s="0" t="s">
        <v>637</v>
      </c>
      <c r="N887" s="0" t="s">
        <v>2985</v>
      </c>
      <c r="O887" s="0" t="n">
        <v>1</v>
      </c>
      <c r="P887" s="0" t="s">
        <v>2986</v>
      </c>
      <c r="Q887" s="3"/>
      <c r="S887" s="2" t="s">
        <v>29</v>
      </c>
    </row>
    <row r="888" customFormat="false" ht="15" hidden="false" customHeight="false" outlineLevel="0" collapsed="false">
      <c r="A888" s="0" t="n">
        <v>887</v>
      </c>
      <c r="D888" s="0" t="s">
        <v>2987</v>
      </c>
      <c r="E888" s="0" t="s">
        <v>492</v>
      </c>
      <c r="H888" s="0" t="s">
        <v>21</v>
      </c>
      <c r="I888" s="2" t="s">
        <v>22</v>
      </c>
      <c r="J888" s="2" t="s">
        <v>635</v>
      </c>
      <c r="K888" s="0" t="s">
        <v>636</v>
      </c>
      <c r="L888" s="0" t="s">
        <v>31</v>
      </c>
      <c r="M888" s="0" t="s">
        <v>637</v>
      </c>
      <c r="N888" s="0" t="s">
        <v>2988</v>
      </c>
      <c r="O888" s="0" t="n">
        <v>1</v>
      </c>
      <c r="P888" s="0" t="s">
        <v>2989</v>
      </c>
      <c r="Q888" s="3"/>
      <c r="S888" s="2" t="s">
        <v>29</v>
      </c>
    </row>
    <row r="889" customFormat="false" ht="15" hidden="false" customHeight="false" outlineLevel="0" collapsed="false">
      <c r="A889" s="0" t="n">
        <v>888</v>
      </c>
      <c r="D889" s="0" t="s">
        <v>2990</v>
      </c>
      <c r="E889" s="0" t="s">
        <v>20</v>
      </c>
      <c r="H889" s="0" t="s">
        <v>21</v>
      </c>
      <c r="I889" s="2" t="s">
        <v>22</v>
      </c>
      <c r="J889" s="2" t="s">
        <v>635</v>
      </c>
      <c r="K889" s="0" t="s">
        <v>636</v>
      </c>
      <c r="L889" s="0" t="s">
        <v>31</v>
      </c>
      <c r="M889" s="0" t="s">
        <v>637</v>
      </c>
      <c r="N889" s="0" t="s">
        <v>2991</v>
      </c>
      <c r="O889" s="0" t="n">
        <v>1</v>
      </c>
      <c r="P889" s="0" t="s">
        <v>2992</v>
      </c>
      <c r="Q889" s="3"/>
      <c r="S889" s="2" t="s">
        <v>29</v>
      </c>
    </row>
    <row r="890" customFormat="false" ht="15" hidden="false" customHeight="false" outlineLevel="0" collapsed="false">
      <c r="A890" s="0" t="n">
        <v>889</v>
      </c>
      <c r="D890" s="0" t="s">
        <v>2993</v>
      </c>
      <c r="E890" s="0" t="s">
        <v>20</v>
      </c>
      <c r="H890" s="0" t="s">
        <v>21</v>
      </c>
      <c r="I890" s="2" t="s">
        <v>22</v>
      </c>
      <c r="J890" s="2" t="s">
        <v>635</v>
      </c>
      <c r="K890" s="0" t="s">
        <v>636</v>
      </c>
      <c r="L890" s="0" t="s">
        <v>31</v>
      </c>
      <c r="M890" s="0" t="s">
        <v>637</v>
      </c>
      <c r="N890" s="0" t="s">
        <v>2994</v>
      </c>
      <c r="O890" s="0" t="n">
        <v>1</v>
      </c>
      <c r="P890" s="0" t="s">
        <v>2995</v>
      </c>
      <c r="Q890" s="3"/>
      <c r="S890" s="2" t="s">
        <v>29</v>
      </c>
    </row>
    <row r="891" customFormat="false" ht="15" hidden="false" customHeight="false" outlineLevel="0" collapsed="false">
      <c r="A891" s="0" t="n">
        <v>890</v>
      </c>
      <c r="D891" s="0" t="s">
        <v>2996</v>
      </c>
      <c r="E891" s="0" t="s">
        <v>20</v>
      </c>
      <c r="H891" s="0" t="s">
        <v>21</v>
      </c>
      <c r="I891" s="2" t="s">
        <v>22</v>
      </c>
      <c r="J891" s="2" t="s">
        <v>635</v>
      </c>
      <c r="K891" s="0" t="s">
        <v>636</v>
      </c>
      <c r="L891" s="0" t="s">
        <v>31</v>
      </c>
      <c r="M891" s="0" t="s">
        <v>637</v>
      </c>
      <c r="N891" s="0" t="s">
        <v>2997</v>
      </c>
      <c r="O891" s="0" t="n">
        <v>1</v>
      </c>
      <c r="P891" s="0" t="s">
        <v>2998</v>
      </c>
      <c r="Q891" s="3"/>
      <c r="S891" s="2" t="s">
        <v>29</v>
      </c>
    </row>
    <row r="892" customFormat="false" ht="15" hidden="false" customHeight="false" outlineLevel="0" collapsed="false">
      <c r="A892" s="0" t="n">
        <v>891</v>
      </c>
      <c r="D892" s="0" t="s">
        <v>2999</v>
      </c>
      <c r="E892" s="0" t="s">
        <v>2320</v>
      </c>
      <c r="H892" s="0" t="s">
        <v>21</v>
      </c>
      <c r="I892" s="2" t="s">
        <v>22</v>
      </c>
      <c r="J892" s="2" t="s">
        <v>635</v>
      </c>
      <c r="K892" s="0" t="s">
        <v>636</v>
      </c>
      <c r="L892" s="0" t="s">
        <v>100</v>
      </c>
      <c r="M892" s="0" t="s">
        <v>637</v>
      </c>
      <c r="N892" s="0" t="s">
        <v>3000</v>
      </c>
      <c r="O892" s="0" t="n">
        <v>1</v>
      </c>
      <c r="P892" s="0" t="s">
        <v>3001</v>
      </c>
      <c r="Q892" s="3"/>
      <c r="S892" s="2" t="s">
        <v>29</v>
      </c>
    </row>
    <row r="893" customFormat="false" ht="15" hidden="false" customHeight="false" outlineLevel="0" collapsed="false">
      <c r="A893" s="0" t="n">
        <v>892</v>
      </c>
      <c r="D893" s="0" t="s">
        <v>3002</v>
      </c>
      <c r="E893" s="0" t="s">
        <v>492</v>
      </c>
      <c r="H893" s="0" t="s">
        <v>21</v>
      </c>
      <c r="I893" s="2" t="s">
        <v>22</v>
      </c>
      <c r="J893" s="2" t="s">
        <v>635</v>
      </c>
      <c r="K893" s="0" t="s">
        <v>636</v>
      </c>
      <c r="L893" s="0" t="s">
        <v>31</v>
      </c>
      <c r="M893" s="0" t="s">
        <v>637</v>
      </c>
      <c r="N893" s="0" t="s">
        <v>3003</v>
      </c>
      <c r="O893" s="0" t="n">
        <v>1</v>
      </c>
      <c r="P893" s="0" t="s">
        <v>3004</v>
      </c>
      <c r="Q893" s="3"/>
      <c r="S893" s="2" t="s">
        <v>29</v>
      </c>
    </row>
    <row r="894" customFormat="false" ht="15" hidden="false" customHeight="false" outlineLevel="0" collapsed="false">
      <c r="A894" s="0" t="n">
        <v>893</v>
      </c>
      <c r="D894" s="0" t="s">
        <v>3005</v>
      </c>
      <c r="E894" s="0" t="s">
        <v>99</v>
      </c>
      <c r="H894" s="0" t="s">
        <v>21</v>
      </c>
      <c r="I894" s="2" t="s">
        <v>22</v>
      </c>
      <c r="J894" s="2" t="s">
        <v>635</v>
      </c>
      <c r="K894" s="0" t="s">
        <v>636</v>
      </c>
      <c r="L894" s="0" t="s">
        <v>100</v>
      </c>
      <c r="M894" s="0" t="s">
        <v>637</v>
      </c>
      <c r="N894" s="0" t="s">
        <v>3006</v>
      </c>
      <c r="O894" s="0" t="n">
        <v>1</v>
      </c>
      <c r="P894" s="0" t="s">
        <v>3007</v>
      </c>
      <c r="Q894" s="3"/>
      <c r="S894" s="2" t="s">
        <v>29</v>
      </c>
    </row>
    <row r="895" customFormat="false" ht="15" hidden="false" customHeight="false" outlineLevel="0" collapsed="false">
      <c r="A895" s="0" t="n">
        <v>894</v>
      </c>
      <c r="D895" s="0" t="s">
        <v>3008</v>
      </c>
      <c r="E895" s="0" t="s">
        <v>20</v>
      </c>
      <c r="H895" s="0" t="s">
        <v>21</v>
      </c>
      <c r="I895" s="2" t="s">
        <v>22</v>
      </c>
      <c r="J895" s="2" t="s">
        <v>635</v>
      </c>
      <c r="K895" s="0" t="s">
        <v>636</v>
      </c>
      <c r="L895" s="0" t="s">
        <v>31</v>
      </c>
      <c r="M895" s="0" t="s">
        <v>637</v>
      </c>
      <c r="N895" s="0" t="s">
        <v>3009</v>
      </c>
      <c r="O895" s="0" t="n">
        <v>1</v>
      </c>
      <c r="P895" s="0" t="s">
        <v>3010</v>
      </c>
      <c r="Q895" s="3"/>
      <c r="S895" s="2" t="s">
        <v>29</v>
      </c>
    </row>
    <row r="896" customFormat="false" ht="15" hidden="false" customHeight="false" outlineLevel="0" collapsed="false">
      <c r="A896" s="0" t="n">
        <v>895</v>
      </c>
      <c r="D896" s="0" t="s">
        <v>3011</v>
      </c>
      <c r="E896" s="0" t="s">
        <v>20</v>
      </c>
      <c r="H896" s="0" t="s">
        <v>21</v>
      </c>
      <c r="I896" s="2" t="s">
        <v>22</v>
      </c>
      <c r="J896" s="2" t="s">
        <v>635</v>
      </c>
      <c r="K896" s="0" t="s">
        <v>636</v>
      </c>
      <c r="L896" s="0" t="s">
        <v>31</v>
      </c>
      <c r="M896" s="0" t="s">
        <v>637</v>
      </c>
      <c r="N896" s="0" t="s">
        <v>3012</v>
      </c>
      <c r="O896" s="0" t="n">
        <v>1</v>
      </c>
      <c r="P896" s="0" t="s">
        <v>3013</v>
      </c>
      <c r="Q896" s="3"/>
      <c r="S896" s="2" t="s">
        <v>29</v>
      </c>
    </row>
    <row r="897" customFormat="false" ht="15" hidden="false" customHeight="false" outlineLevel="0" collapsed="false">
      <c r="A897" s="0" t="n">
        <v>896</v>
      </c>
      <c r="D897" s="0" t="s">
        <v>3014</v>
      </c>
      <c r="E897" s="0" t="s">
        <v>20</v>
      </c>
      <c r="H897" s="0" t="s">
        <v>21</v>
      </c>
      <c r="I897" s="2" t="s">
        <v>22</v>
      </c>
      <c r="J897" s="2" t="s">
        <v>635</v>
      </c>
      <c r="K897" s="0" t="s">
        <v>636</v>
      </c>
      <c r="L897" s="0" t="s">
        <v>31</v>
      </c>
      <c r="M897" s="0" t="s">
        <v>637</v>
      </c>
      <c r="N897" s="0" t="s">
        <v>3015</v>
      </c>
      <c r="O897" s="0" t="n">
        <v>1</v>
      </c>
      <c r="P897" s="0" t="s">
        <v>3016</v>
      </c>
      <c r="Q897" s="3"/>
      <c r="S897" s="2" t="s">
        <v>29</v>
      </c>
    </row>
    <row r="898" customFormat="false" ht="15" hidden="false" customHeight="false" outlineLevel="0" collapsed="false">
      <c r="A898" s="0" t="n">
        <v>897</v>
      </c>
      <c r="D898" s="0" t="s">
        <v>3017</v>
      </c>
      <c r="E898" s="0" t="s">
        <v>20</v>
      </c>
      <c r="F898" s="0" t="s">
        <v>3018</v>
      </c>
      <c r="H898" s="0" t="s">
        <v>21</v>
      </c>
      <c r="I898" s="2" t="s">
        <v>22</v>
      </c>
      <c r="J898" s="2" t="s">
        <v>635</v>
      </c>
      <c r="K898" s="0" t="s">
        <v>636</v>
      </c>
      <c r="L898" s="0" t="s">
        <v>3019</v>
      </c>
      <c r="M898" s="0" t="s">
        <v>637</v>
      </c>
      <c r="N898" s="0" t="s">
        <v>3020</v>
      </c>
      <c r="O898" s="0" t="n">
        <v>1</v>
      </c>
      <c r="Q898" s="3" t="s">
        <v>3021</v>
      </c>
      <c r="R898" s="2" t="s">
        <v>3022</v>
      </c>
      <c r="S898" s="2" t="s">
        <v>45</v>
      </c>
    </row>
    <row r="899" customFormat="false" ht="15" hidden="false" customHeight="false" outlineLevel="0" collapsed="false">
      <c r="A899" s="0" t="n">
        <v>898</v>
      </c>
      <c r="D899" s="0" t="s">
        <v>3023</v>
      </c>
      <c r="E899" s="0" t="s">
        <v>20</v>
      </c>
      <c r="H899" s="0" t="s">
        <v>21</v>
      </c>
      <c r="I899" s="2" t="s">
        <v>22</v>
      </c>
      <c r="J899" s="2" t="s">
        <v>635</v>
      </c>
      <c r="K899" s="0" t="s">
        <v>636</v>
      </c>
      <c r="L899" s="0" t="s">
        <v>31</v>
      </c>
      <c r="M899" s="0" t="s">
        <v>637</v>
      </c>
      <c r="N899" s="0" t="s">
        <v>3024</v>
      </c>
      <c r="O899" s="0" t="n">
        <v>1</v>
      </c>
      <c r="P899" s="0" t="s">
        <v>3025</v>
      </c>
      <c r="Q899" s="3"/>
      <c r="S899" s="2" t="s">
        <v>29</v>
      </c>
    </row>
    <row r="900" customFormat="false" ht="15" hidden="false" customHeight="false" outlineLevel="0" collapsed="false">
      <c r="A900" s="0" t="n">
        <v>899</v>
      </c>
      <c r="D900" s="0" t="s">
        <v>3026</v>
      </c>
      <c r="E900" s="0" t="s">
        <v>20</v>
      </c>
      <c r="H900" s="0" t="s">
        <v>21</v>
      </c>
      <c r="I900" s="2" t="s">
        <v>22</v>
      </c>
      <c r="J900" s="2" t="s">
        <v>635</v>
      </c>
      <c r="K900" s="0" t="s">
        <v>636</v>
      </c>
      <c r="L900" s="0" t="s">
        <v>31</v>
      </c>
      <c r="M900" s="0" t="s">
        <v>637</v>
      </c>
      <c r="N900" s="0" t="s">
        <v>3027</v>
      </c>
      <c r="O900" s="0" t="n">
        <v>1</v>
      </c>
      <c r="P900" s="0" t="s">
        <v>3028</v>
      </c>
      <c r="Q900" s="3"/>
      <c r="S900" s="2" t="s">
        <v>29</v>
      </c>
    </row>
    <row r="901" customFormat="false" ht="15" hidden="false" customHeight="false" outlineLevel="0" collapsed="false">
      <c r="A901" s="0" t="n">
        <v>900</v>
      </c>
      <c r="D901" s="0" t="s">
        <v>3029</v>
      </c>
      <c r="E901" s="0" t="s">
        <v>20</v>
      </c>
      <c r="H901" s="0" t="s">
        <v>21</v>
      </c>
      <c r="I901" s="2" t="s">
        <v>22</v>
      </c>
      <c r="J901" s="2" t="s">
        <v>635</v>
      </c>
      <c r="K901" s="0" t="s">
        <v>636</v>
      </c>
      <c r="L901" s="0" t="s">
        <v>31</v>
      </c>
      <c r="M901" s="0" t="s">
        <v>637</v>
      </c>
      <c r="N901" s="0" t="s">
        <v>3030</v>
      </c>
      <c r="O901" s="0" t="n">
        <v>1</v>
      </c>
      <c r="P901" s="0" t="s">
        <v>3031</v>
      </c>
      <c r="Q901" s="3"/>
      <c r="S901" s="2" t="s">
        <v>29</v>
      </c>
    </row>
    <row r="902" customFormat="false" ht="15" hidden="false" customHeight="false" outlineLevel="0" collapsed="false">
      <c r="A902" s="0" t="n">
        <v>901</v>
      </c>
      <c r="D902" s="0" t="s">
        <v>3032</v>
      </c>
      <c r="E902" s="0" t="s">
        <v>20</v>
      </c>
      <c r="H902" s="0" t="s">
        <v>21</v>
      </c>
      <c r="I902" s="2" t="s">
        <v>22</v>
      </c>
      <c r="J902" s="2" t="s">
        <v>635</v>
      </c>
      <c r="K902" s="0" t="s">
        <v>636</v>
      </c>
      <c r="L902" s="0" t="s">
        <v>31</v>
      </c>
      <c r="M902" s="0" t="s">
        <v>637</v>
      </c>
      <c r="N902" s="0" t="s">
        <v>3033</v>
      </c>
      <c r="O902" s="0" t="n">
        <v>1</v>
      </c>
      <c r="P902" s="0" t="s">
        <v>3034</v>
      </c>
      <c r="Q902" s="3"/>
      <c r="S902" s="2" t="s">
        <v>29</v>
      </c>
    </row>
    <row r="903" customFormat="false" ht="15" hidden="false" customHeight="false" outlineLevel="0" collapsed="false">
      <c r="A903" s="0" t="n">
        <v>902</v>
      </c>
      <c r="D903" s="0" t="s">
        <v>3035</v>
      </c>
      <c r="E903" s="0" t="s">
        <v>3036</v>
      </c>
      <c r="H903" s="0" t="s">
        <v>21</v>
      </c>
      <c r="I903" s="2" t="s">
        <v>22</v>
      </c>
      <c r="J903" s="2" t="s">
        <v>635</v>
      </c>
      <c r="K903" s="0" t="s">
        <v>636</v>
      </c>
      <c r="L903" s="0" t="s">
        <v>31</v>
      </c>
      <c r="M903" s="0" t="s">
        <v>637</v>
      </c>
      <c r="N903" s="0" t="s">
        <v>3037</v>
      </c>
      <c r="O903" s="0" t="n">
        <v>1</v>
      </c>
      <c r="P903" s="0" t="s">
        <v>3038</v>
      </c>
      <c r="Q903" s="3"/>
      <c r="S903" s="2" t="s">
        <v>29</v>
      </c>
    </row>
    <row r="904" customFormat="false" ht="15" hidden="false" customHeight="false" outlineLevel="0" collapsed="false">
      <c r="A904" s="0" t="n">
        <v>903</v>
      </c>
      <c r="D904" s="0" t="s">
        <v>3039</v>
      </c>
      <c r="E904" s="0" t="s">
        <v>2320</v>
      </c>
      <c r="H904" s="0" t="s">
        <v>21</v>
      </c>
      <c r="I904" s="2" t="s">
        <v>22</v>
      </c>
      <c r="J904" s="2" t="s">
        <v>635</v>
      </c>
      <c r="K904" s="0" t="s">
        <v>636</v>
      </c>
      <c r="L904" s="0" t="s">
        <v>100</v>
      </c>
      <c r="M904" s="0" t="s">
        <v>637</v>
      </c>
      <c r="N904" s="0" t="s">
        <v>3040</v>
      </c>
      <c r="O904" s="0" t="n">
        <v>1</v>
      </c>
      <c r="P904" s="0" t="s">
        <v>3041</v>
      </c>
      <c r="Q904" s="3"/>
      <c r="S904" s="2" t="s">
        <v>29</v>
      </c>
    </row>
    <row r="905" customFormat="false" ht="15" hidden="false" customHeight="false" outlineLevel="0" collapsed="false">
      <c r="A905" s="0" t="n">
        <v>904</v>
      </c>
      <c r="D905" s="0" t="s">
        <v>3042</v>
      </c>
      <c r="E905" s="0" t="s">
        <v>20</v>
      </c>
      <c r="H905" s="0" t="s">
        <v>21</v>
      </c>
      <c r="I905" s="2" t="s">
        <v>22</v>
      </c>
      <c r="J905" s="2" t="s">
        <v>635</v>
      </c>
      <c r="K905" s="0" t="s">
        <v>636</v>
      </c>
      <c r="L905" s="0" t="s">
        <v>31</v>
      </c>
      <c r="M905" s="0" t="s">
        <v>637</v>
      </c>
      <c r="N905" s="0" t="s">
        <v>3043</v>
      </c>
      <c r="O905" s="0" t="n">
        <v>1</v>
      </c>
      <c r="P905" s="0" t="s">
        <v>3044</v>
      </c>
      <c r="Q905" s="3"/>
      <c r="S905" s="2" t="s">
        <v>29</v>
      </c>
    </row>
    <row r="906" customFormat="false" ht="15" hidden="false" customHeight="false" outlineLevel="0" collapsed="false">
      <c r="A906" s="0" t="n">
        <v>905</v>
      </c>
      <c r="D906" s="0" t="s">
        <v>3045</v>
      </c>
      <c r="E906" s="0" t="s">
        <v>492</v>
      </c>
      <c r="H906" s="0" t="s">
        <v>21</v>
      </c>
      <c r="I906" s="2" t="s">
        <v>22</v>
      </c>
      <c r="J906" s="2" t="s">
        <v>635</v>
      </c>
      <c r="K906" s="0" t="s">
        <v>636</v>
      </c>
      <c r="L906" s="0" t="s">
        <v>31</v>
      </c>
      <c r="M906" s="0" t="s">
        <v>637</v>
      </c>
      <c r="N906" s="0" t="s">
        <v>3046</v>
      </c>
      <c r="O906" s="0" t="n">
        <v>1</v>
      </c>
      <c r="P906" s="0" t="s">
        <v>3047</v>
      </c>
      <c r="Q906" s="3"/>
      <c r="S906" s="2" t="s">
        <v>29</v>
      </c>
    </row>
    <row r="907" customFormat="false" ht="15" hidden="false" customHeight="false" outlineLevel="0" collapsed="false">
      <c r="A907" s="0" t="n">
        <v>906</v>
      </c>
      <c r="D907" s="0" t="s">
        <v>3048</v>
      </c>
      <c r="E907" s="0" t="s">
        <v>20</v>
      </c>
      <c r="H907" s="0" t="s">
        <v>21</v>
      </c>
      <c r="I907" s="2" t="s">
        <v>22</v>
      </c>
      <c r="J907" s="2" t="s">
        <v>635</v>
      </c>
      <c r="K907" s="0" t="s">
        <v>636</v>
      </c>
      <c r="L907" s="0" t="s">
        <v>31</v>
      </c>
      <c r="M907" s="0" t="s">
        <v>637</v>
      </c>
      <c r="N907" s="0" t="s">
        <v>3049</v>
      </c>
      <c r="O907" s="0" t="n">
        <v>1</v>
      </c>
      <c r="P907" s="0" t="s">
        <v>3050</v>
      </c>
      <c r="Q907" s="3"/>
      <c r="S907" s="2" t="s">
        <v>29</v>
      </c>
    </row>
    <row r="908" customFormat="false" ht="15" hidden="false" customHeight="false" outlineLevel="0" collapsed="false">
      <c r="A908" s="0" t="n">
        <v>907</v>
      </c>
      <c r="D908" s="0" t="s">
        <v>3051</v>
      </c>
      <c r="E908" s="0" t="s">
        <v>20</v>
      </c>
      <c r="H908" s="0" t="s">
        <v>21</v>
      </c>
      <c r="I908" s="2" t="s">
        <v>22</v>
      </c>
      <c r="J908" s="2" t="s">
        <v>635</v>
      </c>
      <c r="K908" s="0" t="s">
        <v>636</v>
      </c>
      <c r="L908" s="0" t="s">
        <v>31</v>
      </c>
      <c r="M908" s="0" t="s">
        <v>637</v>
      </c>
      <c r="N908" s="0" t="s">
        <v>3052</v>
      </c>
      <c r="O908" s="0" t="n">
        <v>1</v>
      </c>
      <c r="P908" s="0" t="s">
        <v>3053</v>
      </c>
      <c r="Q908" s="3"/>
      <c r="S908" s="2" t="s">
        <v>29</v>
      </c>
    </row>
    <row r="909" customFormat="false" ht="15" hidden="false" customHeight="false" outlineLevel="0" collapsed="false">
      <c r="A909" s="0" t="n">
        <v>908</v>
      </c>
      <c r="D909" s="0" t="s">
        <v>3054</v>
      </c>
      <c r="E909" s="0" t="s">
        <v>20</v>
      </c>
      <c r="H909" s="0" t="s">
        <v>21</v>
      </c>
      <c r="I909" s="2" t="s">
        <v>22</v>
      </c>
      <c r="J909" s="2" t="s">
        <v>635</v>
      </c>
      <c r="K909" s="0" t="s">
        <v>636</v>
      </c>
      <c r="L909" s="0" t="s">
        <v>31</v>
      </c>
      <c r="M909" s="0" t="s">
        <v>637</v>
      </c>
      <c r="N909" s="0" t="s">
        <v>3055</v>
      </c>
      <c r="O909" s="0" t="n">
        <v>1</v>
      </c>
      <c r="P909" s="0" t="s">
        <v>3056</v>
      </c>
      <c r="Q909" s="3"/>
      <c r="S909" s="2" t="s">
        <v>29</v>
      </c>
    </row>
    <row r="910" customFormat="false" ht="15" hidden="false" customHeight="false" outlineLevel="0" collapsed="false">
      <c r="A910" s="0" t="n">
        <v>909</v>
      </c>
      <c r="D910" s="0" t="s">
        <v>3057</v>
      </c>
      <c r="E910" s="0" t="s">
        <v>20</v>
      </c>
      <c r="H910" s="0" t="s">
        <v>21</v>
      </c>
      <c r="I910" s="2" t="s">
        <v>22</v>
      </c>
      <c r="J910" s="2" t="s">
        <v>635</v>
      </c>
      <c r="K910" s="0" t="s">
        <v>636</v>
      </c>
      <c r="L910" s="0" t="s">
        <v>31</v>
      </c>
      <c r="M910" s="0" t="s">
        <v>637</v>
      </c>
      <c r="N910" s="0" t="s">
        <v>3058</v>
      </c>
      <c r="O910" s="0" t="n">
        <v>1</v>
      </c>
      <c r="P910" s="0" t="s">
        <v>3059</v>
      </c>
      <c r="Q910" s="3"/>
      <c r="S910" s="2" t="s">
        <v>29</v>
      </c>
    </row>
    <row r="911" customFormat="false" ht="15" hidden="false" customHeight="false" outlineLevel="0" collapsed="false">
      <c r="A911" s="0" t="n">
        <v>910</v>
      </c>
      <c r="D911" s="0" t="s">
        <v>3060</v>
      </c>
      <c r="E911" s="0" t="s">
        <v>20</v>
      </c>
      <c r="H911" s="0" t="s">
        <v>21</v>
      </c>
      <c r="I911" s="2" t="s">
        <v>22</v>
      </c>
      <c r="J911" s="2" t="s">
        <v>635</v>
      </c>
      <c r="K911" s="0" t="s">
        <v>636</v>
      </c>
      <c r="L911" s="0" t="s">
        <v>31</v>
      </c>
      <c r="M911" s="0" t="s">
        <v>637</v>
      </c>
      <c r="N911" s="0" t="s">
        <v>3061</v>
      </c>
      <c r="O911" s="0" t="n">
        <v>1</v>
      </c>
      <c r="P911" s="0" t="s">
        <v>3062</v>
      </c>
      <c r="Q911" s="3"/>
      <c r="S911" s="2" t="s">
        <v>29</v>
      </c>
    </row>
    <row r="912" customFormat="false" ht="15" hidden="false" customHeight="false" outlineLevel="0" collapsed="false">
      <c r="A912" s="0" t="n">
        <v>911</v>
      </c>
      <c r="D912" s="0" t="s">
        <v>3063</v>
      </c>
      <c r="E912" s="0" t="s">
        <v>20</v>
      </c>
      <c r="H912" s="0" t="s">
        <v>21</v>
      </c>
      <c r="I912" s="2" t="s">
        <v>22</v>
      </c>
      <c r="J912" s="2" t="s">
        <v>635</v>
      </c>
      <c r="K912" s="0" t="s">
        <v>636</v>
      </c>
      <c r="L912" s="0" t="s">
        <v>31</v>
      </c>
      <c r="M912" s="0" t="s">
        <v>637</v>
      </c>
      <c r="N912" s="0" t="s">
        <v>3064</v>
      </c>
      <c r="O912" s="0" t="n">
        <v>1</v>
      </c>
      <c r="P912" s="0" t="s">
        <v>3065</v>
      </c>
      <c r="Q912" s="3"/>
      <c r="S912" s="2" t="s">
        <v>29</v>
      </c>
    </row>
    <row r="913" customFormat="false" ht="15" hidden="false" customHeight="false" outlineLevel="0" collapsed="false">
      <c r="A913" s="0" t="n">
        <v>912</v>
      </c>
      <c r="D913" s="0" t="s">
        <v>3066</v>
      </c>
      <c r="E913" s="0" t="s">
        <v>20</v>
      </c>
      <c r="H913" s="0" t="s">
        <v>21</v>
      </c>
      <c r="I913" s="2" t="s">
        <v>22</v>
      </c>
      <c r="J913" s="2" t="s">
        <v>635</v>
      </c>
      <c r="K913" s="0" t="s">
        <v>636</v>
      </c>
      <c r="L913" s="0" t="s">
        <v>31</v>
      </c>
      <c r="M913" s="0" t="s">
        <v>637</v>
      </c>
      <c r="N913" s="0" t="s">
        <v>3067</v>
      </c>
      <c r="O913" s="0" t="n">
        <v>1</v>
      </c>
      <c r="P913" s="0" t="s">
        <v>3068</v>
      </c>
      <c r="Q913" s="3"/>
      <c r="S913" s="2" t="s">
        <v>29</v>
      </c>
    </row>
    <row r="914" customFormat="false" ht="15" hidden="false" customHeight="false" outlineLevel="0" collapsed="false">
      <c r="A914" s="0" t="n">
        <v>913</v>
      </c>
      <c r="D914" s="0" t="s">
        <v>3069</v>
      </c>
      <c r="E914" s="0" t="s">
        <v>20</v>
      </c>
      <c r="H914" s="0" t="s">
        <v>21</v>
      </c>
      <c r="I914" s="2" t="s">
        <v>22</v>
      </c>
      <c r="J914" s="2" t="s">
        <v>635</v>
      </c>
      <c r="K914" s="0" t="s">
        <v>636</v>
      </c>
      <c r="L914" s="0" t="s">
        <v>31</v>
      </c>
      <c r="M914" s="0" t="s">
        <v>637</v>
      </c>
      <c r="N914" s="0" t="s">
        <v>3070</v>
      </c>
      <c r="O914" s="0" t="n">
        <v>1</v>
      </c>
      <c r="P914" s="0" t="s">
        <v>3025</v>
      </c>
      <c r="Q914" s="3"/>
      <c r="S914" s="2" t="s">
        <v>29</v>
      </c>
    </row>
    <row r="915" customFormat="false" ht="15" hidden="false" customHeight="false" outlineLevel="0" collapsed="false">
      <c r="A915" s="0" t="n">
        <v>914</v>
      </c>
      <c r="D915" s="0" t="s">
        <v>3071</v>
      </c>
      <c r="E915" s="0" t="s">
        <v>3072</v>
      </c>
      <c r="H915" s="0" t="s">
        <v>21</v>
      </c>
      <c r="I915" s="2" t="s">
        <v>22</v>
      </c>
      <c r="J915" s="2" t="s">
        <v>635</v>
      </c>
      <c r="K915" s="0" t="s">
        <v>636</v>
      </c>
      <c r="L915" s="0" t="s">
        <v>31</v>
      </c>
      <c r="M915" s="0" t="s">
        <v>637</v>
      </c>
      <c r="N915" s="0" t="s">
        <v>3073</v>
      </c>
      <c r="O915" s="0" t="n">
        <v>1</v>
      </c>
      <c r="P915" s="0" t="s">
        <v>3074</v>
      </c>
      <c r="Q915" s="3"/>
      <c r="S915" s="2" t="s">
        <v>29</v>
      </c>
    </row>
    <row r="916" customFormat="false" ht="15" hidden="false" customHeight="false" outlineLevel="0" collapsed="false">
      <c r="A916" s="0" t="n">
        <v>915</v>
      </c>
      <c r="D916" s="0" t="s">
        <v>3075</v>
      </c>
      <c r="E916" s="0" t="s">
        <v>20</v>
      </c>
      <c r="H916" s="0" t="s">
        <v>21</v>
      </c>
      <c r="I916" s="2" t="s">
        <v>22</v>
      </c>
      <c r="J916" s="2" t="s">
        <v>635</v>
      </c>
      <c r="K916" s="0" t="s">
        <v>636</v>
      </c>
      <c r="L916" s="0" t="s">
        <v>31</v>
      </c>
      <c r="M916" s="0" t="s">
        <v>637</v>
      </c>
      <c r="N916" s="0" t="s">
        <v>3076</v>
      </c>
      <c r="O916" s="0" t="n">
        <v>1</v>
      </c>
      <c r="P916" s="0" t="s">
        <v>3077</v>
      </c>
      <c r="Q916" s="3"/>
      <c r="S916" s="2" t="s">
        <v>29</v>
      </c>
    </row>
    <row r="917" customFormat="false" ht="15" hidden="false" customHeight="false" outlineLevel="0" collapsed="false">
      <c r="A917" s="0" t="n">
        <v>916</v>
      </c>
      <c r="D917" s="0" t="s">
        <v>3078</v>
      </c>
      <c r="E917" s="0" t="s">
        <v>20</v>
      </c>
      <c r="H917" s="0" t="s">
        <v>21</v>
      </c>
      <c r="I917" s="2" t="s">
        <v>22</v>
      </c>
      <c r="J917" s="2" t="s">
        <v>635</v>
      </c>
      <c r="K917" s="0" t="s">
        <v>636</v>
      </c>
      <c r="L917" s="0" t="s">
        <v>31</v>
      </c>
      <c r="M917" s="0" t="s">
        <v>637</v>
      </c>
      <c r="N917" s="0" t="s">
        <v>3079</v>
      </c>
      <c r="O917" s="0" t="n">
        <v>1</v>
      </c>
      <c r="P917" s="0" t="s">
        <v>3080</v>
      </c>
      <c r="Q917" s="3"/>
      <c r="S917" s="2" t="s">
        <v>29</v>
      </c>
    </row>
    <row r="918" customFormat="false" ht="15" hidden="false" customHeight="false" outlineLevel="0" collapsed="false">
      <c r="A918" s="0" t="n">
        <v>917</v>
      </c>
      <c r="D918" s="0" t="s">
        <v>3081</v>
      </c>
      <c r="E918" s="0" t="s">
        <v>20</v>
      </c>
      <c r="H918" s="0" t="s">
        <v>21</v>
      </c>
      <c r="I918" s="2" t="s">
        <v>22</v>
      </c>
      <c r="J918" s="2" t="s">
        <v>635</v>
      </c>
      <c r="K918" s="0" t="s">
        <v>636</v>
      </c>
      <c r="L918" s="0" t="s">
        <v>31</v>
      </c>
      <c r="M918" s="0" t="s">
        <v>637</v>
      </c>
      <c r="N918" s="0" t="s">
        <v>3082</v>
      </c>
      <c r="O918" s="0" t="n">
        <v>1</v>
      </c>
      <c r="P918" s="0" t="s">
        <v>3083</v>
      </c>
      <c r="Q918" s="3"/>
      <c r="S918" s="2" t="s">
        <v>29</v>
      </c>
    </row>
    <row r="919" customFormat="false" ht="15" hidden="false" customHeight="false" outlineLevel="0" collapsed="false">
      <c r="A919" s="0" t="n">
        <v>918</v>
      </c>
      <c r="D919" s="0" t="s">
        <v>3084</v>
      </c>
      <c r="E919" s="0" t="s">
        <v>20</v>
      </c>
      <c r="H919" s="0" t="s">
        <v>21</v>
      </c>
      <c r="I919" s="2" t="s">
        <v>22</v>
      </c>
      <c r="J919" s="2" t="s">
        <v>635</v>
      </c>
      <c r="K919" s="0" t="s">
        <v>636</v>
      </c>
      <c r="L919" s="0" t="s">
        <v>31</v>
      </c>
      <c r="M919" s="0" t="s">
        <v>637</v>
      </c>
      <c r="N919" s="0" t="s">
        <v>3085</v>
      </c>
      <c r="O919" s="0" t="n">
        <v>1</v>
      </c>
      <c r="P919" s="0" t="s">
        <v>3086</v>
      </c>
      <c r="Q919" s="3"/>
      <c r="S919" s="2" t="s">
        <v>29</v>
      </c>
    </row>
    <row r="920" customFormat="false" ht="15" hidden="false" customHeight="false" outlineLevel="0" collapsed="false">
      <c r="A920" s="0" t="n">
        <v>919</v>
      </c>
      <c r="D920" s="0" t="s">
        <v>3087</v>
      </c>
      <c r="E920" s="0" t="s">
        <v>492</v>
      </c>
      <c r="H920" s="0" t="s">
        <v>21</v>
      </c>
      <c r="I920" s="2" t="s">
        <v>22</v>
      </c>
      <c r="J920" s="2" t="s">
        <v>635</v>
      </c>
      <c r="K920" s="0" t="s">
        <v>636</v>
      </c>
      <c r="L920" s="0" t="s">
        <v>31</v>
      </c>
      <c r="M920" s="0" t="s">
        <v>637</v>
      </c>
      <c r="N920" s="0" t="s">
        <v>3088</v>
      </c>
      <c r="O920" s="0" t="n">
        <v>1</v>
      </c>
      <c r="P920" s="0" t="s">
        <v>3089</v>
      </c>
      <c r="Q920" s="3"/>
      <c r="S920" s="2" t="s">
        <v>29</v>
      </c>
    </row>
    <row r="921" customFormat="false" ht="15" hidden="false" customHeight="false" outlineLevel="0" collapsed="false">
      <c r="A921" s="0" t="n">
        <v>920</v>
      </c>
      <c r="D921" s="0" t="s">
        <v>3090</v>
      </c>
      <c r="E921" s="0" t="s">
        <v>492</v>
      </c>
      <c r="H921" s="0" t="s">
        <v>21</v>
      </c>
      <c r="I921" s="2" t="s">
        <v>22</v>
      </c>
      <c r="J921" s="2" t="s">
        <v>635</v>
      </c>
      <c r="K921" s="0" t="s">
        <v>636</v>
      </c>
      <c r="L921" s="0" t="s">
        <v>31</v>
      </c>
      <c r="M921" s="0" t="s">
        <v>637</v>
      </c>
      <c r="N921" s="0" t="s">
        <v>3091</v>
      </c>
      <c r="O921" s="0" t="n">
        <v>1</v>
      </c>
      <c r="P921" s="0" t="s">
        <v>3092</v>
      </c>
      <c r="Q921" s="3"/>
      <c r="S921" s="2" t="s">
        <v>29</v>
      </c>
    </row>
    <row r="922" customFormat="false" ht="15" hidden="false" customHeight="false" outlineLevel="0" collapsed="false">
      <c r="A922" s="0" t="n">
        <v>921</v>
      </c>
      <c r="D922" s="0" t="s">
        <v>3093</v>
      </c>
      <c r="E922" s="0" t="s">
        <v>492</v>
      </c>
      <c r="H922" s="0" t="s">
        <v>21</v>
      </c>
      <c r="I922" s="2" t="s">
        <v>22</v>
      </c>
      <c r="J922" s="2" t="s">
        <v>635</v>
      </c>
      <c r="K922" s="0" t="s">
        <v>636</v>
      </c>
      <c r="L922" s="0" t="s">
        <v>31</v>
      </c>
      <c r="M922" s="0" t="s">
        <v>637</v>
      </c>
      <c r="N922" s="0" t="s">
        <v>3094</v>
      </c>
      <c r="O922" s="0" t="n">
        <v>1</v>
      </c>
      <c r="P922" s="0" t="s">
        <v>3095</v>
      </c>
      <c r="Q922" s="3"/>
      <c r="S922" s="2" t="s">
        <v>29</v>
      </c>
    </row>
    <row r="923" customFormat="false" ht="15" hidden="false" customHeight="false" outlineLevel="0" collapsed="false">
      <c r="A923" s="0" t="n">
        <v>922</v>
      </c>
      <c r="D923" s="0" t="s">
        <v>3096</v>
      </c>
      <c r="E923" s="0" t="s">
        <v>492</v>
      </c>
      <c r="H923" s="0" t="s">
        <v>21</v>
      </c>
      <c r="I923" s="2" t="s">
        <v>22</v>
      </c>
      <c r="J923" s="2" t="s">
        <v>635</v>
      </c>
      <c r="K923" s="0" t="s">
        <v>636</v>
      </c>
      <c r="L923" s="0" t="s">
        <v>31</v>
      </c>
      <c r="M923" s="0" t="s">
        <v>637</v>
      </c>
      <c r="N923" s="0" t="s">
        <v>3097</v>
      </c>
      <c r="O923" s="0" t="n">
        <v>1</v>
      </c>
      <c r="P923" s="0" t="s">
        <v>3098</v>
      </c>
      <c r="Q923" s="3"/>
      <c r="S923" s="2" t="s">
        <v>29</v>
      </c>
    </row>
    <row r="924" customFormat="false" ht="15" hidden="false" customHeight="false" outlineLevel="0" collapsed="false">
      <c r="A924" s="0" t="n">
        <v>923</v>
      </c>
      <c r="D924" s="0" t="s">
        <v>3099</v>
      </c>
      <c r="E924" s="0" t="s">
        <v>20</v>
      </c>
      <c r="H924" s="0" t="s">
        <v>21</v>
      </c>
      <c r="I924" s="2" t="s">
        <v>22</v>
      </c>
      <c r="J924" s="2" t="s">
        <v>635</v>
      </c>
      <c r="K924" s="0" t="s">
        <v>636</v>
      </c>
      <c r="L924" s="0" t="s">
        <v>31</v>
      </c>
      <c r="M924" s="0" t="s">
        <v>637</v>
      </c>
      <c r="N924" s="0" t="s">
        <v>3100</v>
      </c>
      <c r="O924" s="0" t="n">
        <v>1</v>
      </c>
      <c r="P924" s="0" t="s">
        <v>3101</v>
      </c>
      <c r="Q924" s="3"/>
      <c r="S924" s="2" t="s">
        <v>29</v>
      </c>
    </row>
    <row r="925" customFormat="false" ht="15" hidden="false" customHeight="false" outlineLevel="0" collapsed="false">
      <c r="A925" s="0" t="n">
        <v>924</v>
      </c>
      <c r="D925" s="0" t="s">
        <v>3102</v>
      </c>
      <c r="E925" s="0" t="s">
        <v>492</v>
      </c>
      <c r="H925" s="0" t="s">
        <v>21</v>
      </c>
      <c r="I925" s="2" t="s">
        <v>22</v>
      </c>
      <c r="J925" s="2" t="s">
        <v>635</v>
      </c>
      <c r="K925" s="0" t="s">
        <v>636</v>
      </c>
      <c r="L925" s="0" t="s">
        <v>31</v>
      </c>
      <c r="M925" s="0" t="s">
        <v>637</v>
      </c>
      <c r="N925" s="0" t="s">
        <v>3103</v>
      </c>
      <c r="O925" s="0" t="n">
        <v>1</v>
      </c>
      <c r="P925" s="0" t="s">
        <v>3104</v>
      </c>
      <c r="Q925" s="3"/>
      <c r="S925" s="2" t="s">
        <v>29</v>
      </c>
    </row>
    <row r="926" customFormat="false" ht="15" hidden="false" customHeight="false" outlineLevel="0" collapsed="false">
      <c r="A926" s="0" t="n">
        <v>925</v>
      </c>
      <c r="D926" s="0" t="s">
        <v>3105</v>
      </c>
      <c r="E926" s="0" t="s">
        <v>492</v>
      </c>
      <c r="H926" s="0" t="s">
        <v>21</v>
      </c>
      <c r="I926" s="2" t="s">
        <v>22</v>
      </c>
      <c r="J926" s="2" t="s">
        <v>635</v>
      </c>
      <c r="K926" s="0" t="s">
        <v>636</v>
      </c>
      <c r="L926" s="0" t="s">
        <v>31</v>
      </c>
      <c r="M926" s="0" t="s">
        <v>637</v>
      </c>
      <c r="N926" s="0" t="s">
        <v>3106</v>
      </c>
      <c r="O926" s="0" t="n">
        <v>1</v>
      </c>
      <c r="P926" s="0" t="s">
        <v>3107</v>
      </c>
      <c r="Q926" s="3"/>
      <c r="S926" s="2" t="s">
        <v>29</v>
      </c>
    </row>
    <row r="927" customFormat="false" ht="15" hidden="false" customHeight="false" outlineLevel="0" collapsed="false">
      <c r="A927" s="0" t="n">
        <v>926</v>
      </c>
      <c r="D927" s="0" t="s">
        <v>3108</v>
      </c>
      <c r="E927" s="0" t="s">
        <v>20</v>
      </c>
      <c r="H927" s="0" t="s">
        <v>21</v>
      </c>
      <c r="I927" s="2" t="s">
        <v>22</v>
      </c>
      <c r="J927" s="2" t="s">
        <v>635</v>
      </c>
      <c r="K927" s="0" t="s">
        <v>636</v>
      </c>
      <c r="L927" s="0" t="s">
        <v>31</v>
      </c>
      <c r="M927" s="0" t="s">
        <v>637</v>
      </c>
      <c r="N927" s="0" t="s">
        <v>3109</v>
      </c>
      <c r="O927" s="0" t="n">
        <v>1</v>
      </c>
      <c r="P927" s="0" t="s">
        <v>3110</v>
      </c>
      <c r="Q927" s="3"/>
      <c r="S927" s="2" t="s">
        <v>29</v>
      </c>
    </row>
    <row r="928" customFormat="false" ht="15" hidden="false" customHeight="false" outlineLevel="0" collapsed="false">
      <c r="A928" s="0" t="n">
        <v>927</v>
      </c>
      <c r="D928" s="0" t="s">
        <v>3111</v>
      </c>
      <c r="E928" s="0" t="s">
        <v>20</v>
      </c>
      <c r="H928" s="0" t="s">
        <v>21</v>
      </c>
      <c r="I928" s="2" t="s">
        <v>22</v>
      </c>
      <c r="J928" s="2" t="s">
        <v>635</v>
      </c>
      <c r="K928" s="0" t="s">
        <v>636</v>
      </c>
      <c r="L928" s="0" t="s">
        <v>31</v>
      </c>
      <c r="M928" s="0" t="s">
        <v>637</v>
      </c>
      <c r="N928" s="0" t="s">
        <v>3112</v>
      </c>
      <c r="O928" s="0" t="n">
        <v>1</v>
      </c>
      <c r="P928" s="0" t="s">
        <v>3113</v>
      </c>
      <c r="Q928" s="3"/>
      <c r="S928" s="2" t="s">
        <v>29</v>
      </c>
    </row>
    <row r="929" customFormat="false" ht="15" hidden="false" customHeight="false" outlineLevel="0" collapsed="false">
      <c r="A929" s="0" t="n">
        <v>928</v>
      </c>
      <c r="D929" s="0" t="s">
        <v>3114</v>
      </c>
      <c r="E929" s="0" t="s">
        <v>99</v>
      </c>
      <c r="H929" s="0" t="s">
        <v>21</v>
      </c>
      <c r="I929" s="2" t="s">
        <v>22</v>
      </c>
      <c r="J929" s="2" t="s">
        <v>635</v>
      </c>
      <c r="K929" s="0" t="s">
        <v>636</v>
      </c>
      <c r="L929" s="0" t="s">
        <v>100</v>
      </c>
      <c r="M929" s="0" t="s">
        <v>637</v>
      </c>
      <c r="N929" s="0" t="s">
        <v>3115</v>
      </c>
      <c r="O929" s="0" t="n">
        <v>1</v>
      </c>
      <c r="P929" s="0" t="s">
        <v>3116</v>
      </c>
      <c r="Q929" s="3"/>
      <c r="S929" s="2" t="s">
        <v>29</v>
      </c>
    </row>
    <row r="930" customFormat="false" ht="15" hidden="false" customHeight="false" outlineLevel="0" collapsed="false">
      <c r="A930" s="0" t="n">
        <v>929</v>
      </c>
      <c r="D930" s="0" t="s">
        <v>3117</v>
      </c>
      <c r="E930" s="0" t="s">
        <v>492</v>
      </c>
      <c r="H930" s="0" t="s">
        <v>21</v>
      </c>
      <c r="I930" s="2" t="s">
        <v>22</v>
      </c>
      <c r="J930" s="2" t="s">
        <v>635</v>
      </c>
      <c r="K930" s="0" t="s">
        <v>636</v>
      </c>
      <c r="L930" s="0" t="s">
        <v>31</v>
      </c>
      <c r="M930" s="0" t="s">
        <v>637</v>
      </c>
      <c r="N930" s="0" t="s">
        <v>3118</v>
      </c>
      <c r="O930" s="0" t="n">
        <v>1</v>
      </c>
      <c r="P930" s="0" t="s">
        <v>3119</v>
      </c>
      <c r="Q930" s="3"/>
      <c r="S930" s="2" t="s">
        <v>29</v>
      </c>
    </row>
    <row r="931" customFormat="false" ht="15" hidden="false" customHeight="false" outlineLevel="0" collapsed="false">
      <c r="A931" s="0" t="n">
        <v>930</v>
      </c>
      <c r="D931" s="0" t="s">
        <v>3120</v>
      </c>
      <c r="E931" s="0" t="s">
        <v>492</v>
      </c>
      <c r="H931" s="0" t="s">
        <v>21</v>
      </c>
      <c r="I931" s="2" t="s">
        <v>22</v>
      </c>
      <c r="J931" s="2" t="s">
        <v>635</v>
      </c>
      <c r="K931" s="0" t="s">
        <v>636</v>
      </c>
      <c r="L931" s="0" t="s">
        <v>31</v>
      </c>
      <c r="M931" s="0" t="s">
        <v>637</v>
      </c>
      <c r="N931" s="0" t="s">
        <v>3121</v>
      </c>
      <c r="O931" s="0" t="n">
        <v>1</v>
      </c>
      <c r="P931" s="0" t="s">
        <v>3122</v>
      </c>
      <c r="Q931" s="3"/>
      <c r="S931" s="2" t="s">
        <v>29</v>
      </c>
    </row>
    <row r="932" customFormat="false" ht="15" hidden="false" customHeight="false" outlineLevel="0" collapsed="false">
      <c r="A932" s="0" t="n">
        <v>931</v>
      </c>
      <c r="D932" s="0" t="s">
        <v>3123</v>
      </c>
      <c r="E932" s="0" t="s">
        <v>492</v>
      </c>
      <c r="H932" s="0" t="s">
        <v>21</v>
      </c>
      <c r="I932" s="2" t="s">
        <v>22</v>
      </c>
      <c r="J932" s="2" t="s">
        <v>635</v>
      </c>
      <c r="K932" s="0" t="s">
        <v>636</v>
      </c>
      <c r="L932" s="0" t="s">
        <v>31</v>
      </c>
      <c r="M932" s="0" t="s">
        <v>637</v>
      </c>
      <c r="N932" s="0" t="s">
        <v>3124</v>
      </c>
      <c r="O932" s="0" t="n">
        <v>1</v>
      </c>
      <c r="P932" s="0" t="s">
        <v>3125</v>
      </c>
      <c r="Q932" s="3"/>
      <c r="S932" s="2" t="s">
        <v>29</v>
      </c>
    </row>
    <row r="933" customFormat="false" ht="15" hidden="false" customHeight="false" outlineLevel="0" collapsed="false">
      <c r="A933" s="0" t="n">
        <v>932</v>
      </c>
      <c r="D933" s="0" t="s">
        <v>3126</v>
      </c>
      <c r="E933" s="0" t="s">
        <v>492</v>
      </c>
      <c r="H933" s="0" t="s">
        <v>21</v>
      </c>
      <c r="I933" s="2" t="s">
        <v>22</v>
      </c>
      <c r="J933" s="2" t="s">
        <v>635</v>
      </c>
      <c r="K933" s="0" t="s">
        <v>636</v>
      </c>
      <c r="L933" s="0" t="s">
        <v>31</v>
      </c>
      <c r="M933" s="0" t="s">
        <v>637</v>
      </c>
      <c r="N933" s="0" t="s">
        <v>3127</v>
      </c>
      <c r="O933" s="0" t="n">
        <v>1</v>
      </c>
      <c r="P933" s="0" t="s">
        <v>3128</v>
      </c>
      <c r="Q933" s="3"/>
      <c r="S933" s="2" t="s">
        <v>29</v>
      </c>
    </row>
    <row r="934" customFormat="false" ht="15" hidden="false" customHeight="false" outlineLevel="0" collapsed="false">
      <c r="A934" s="0" t="n">
        <v>933</v>
      </c>
      <c r="D934" s="0" t="s">
        <v>3129</v>
      </c>
      <c r="E934" s="0" t="s">
        <v>492</v>
      </c>
      <c r="H934" s="0" t="s">
        <v>21</v>
      </c>
      <c r="I934" s="2" t="s">
        <v>22</v>
      </c>
      <c r="J934" s="2" t="s">
        <v>635</v>
      </c>
      <c r="K934" s="0" t="s">
        <v>636</v>
      </c>
      <c r="L934" s="0" t="s">
        <v>31</v>
      </c>
      <c r="M934" s="0" t="s">
        <v>637</v>
      </c>
      <c r="N934" s="0" t="s">
        <v>3130</v>
      </c>
      <c r="O934" s="0" t="n">
        <v>1</v>
      </c>
      <c r="P934" s="0" t="s">
        <v>3131</v>
      </c>
      <c r="Q934" s="3"/>
      <c r="S934" s="2" t="s">
        <v>29</v>
      </c>
    </row>
    <row r="935" customFormat="false" ht="15" hidden="false" customHeight="false" outlineLevel="0" collapsed="false">
      <c r="A935" s="0" t="n">
        <v>934</v>
      </c>
      <c r="D935" s="0" t="s">
        <v>3132</v>
      </c>
      <c r="E935" s="0" t="s">
        <v>492</v>
      </c>
      <c r="H935" s="0" t="s">
        <v>21</v>
      </c>
      <c r="I935" s="2" t="s">
        <v>22</v>
      </c>
      <c r="J935" s="2" t="s">
        <v>635</v>
      </c>
      <c r="K935" s="0" t="s">
        <v>636</v>
      </c>
      <c r="L935" s="0" t="s">
        <v>31</v>
      </c>
      <c r="M935" s="0" t="s">
        <v>637</v>
      </c>
      <c r="N935" s="0" t="s">
        <v>3133</v>
      </c>
      <c r="O935" s="0" t="n">
        <v>1</v>
      </c>
      <c r="P935" s="0" t="s">
        <v>3134</v>
      </c>
      <c r="Q935" s="3"/>
      <c r="S935" s="2" t="s">
        <v>29</v>
      </c>
    </row>
    <row r="936" customFormat="false" ht="15" hidden="false" customHeight="false" outlineLevel="0" collapsed="false">
      <c r="A936" s="0" t="n">
        <v>935</v>
      </c>
      <c r="D936" s="0" t="s">
        <v>3135</v>
      </c>
      <c r="E936" s="0" t="s">
        <v>492</v>
      </c>
      <c r="H936" s="0" t="s">
        <v>21</v>
      </c>
      <c r="I936" s="2" t="s">
        <v>22</v>
      </c>
      <c r="J936" s="2" t="s">
        <v>635</v>
      </c>
      <c r="K936" s="0" t="s">
        <v>636</v>
      </c>
      <c r="L936" s="0" t="s">
        <v>31</v>
      </c>
      <c r="M936" s="0" t="s">
        <v>637</v>
      </c>
      <c r="N936" s="0" t="s">
        <v>3136</v>
      </c>
      <c r="O936" s="0" t="n">
        <v>1</v>
      </c>
      <c r="P936" s="0" t="s">
        <v>3137</v>
      </c>
      <c r="Q936" s="3"/>
      <c r="S936" s="2" t="s">
        <v>29</v>
      </c>
    </row>
    <row r="937" customFormat="false" ht="15" hidden="false" customHeight="false" outlineLevel="0" collapsed="false">
      <c r="A937" s="0" t="n">
        <v>936</v>
      </c>
      <c r="D937" s="0" t="s">
        <v>3138</v>
      </c>
      <c r="E937" s="0" t="s">
        <v>492</v>
      </c>
      <c r="H937" s="0" t="s">
        <v>21</v>
      </c>
      <c r="I937" s="2" t="s">
        <v>22</v>
      </c>
      <c r="J937" s="2" t="s">
        <v>635</v>
      </c>
      <c r="K937" s="0" t="s">
        <v>636</v>
      </c>
      <c r="L937" s="0" t="s">
        <v>31</v>
      </c>
      <c r="M937" s="0" t="s">
        <v>637</v>
      </c>
      <c r="N937" s="0" t="s">
        <v>3139</v>
      </c>
      <c r="O937" s="0" t="n">
        <v>1</v>
      </c>
      <c r="P937" s="0" t="s">
        <v>3140</v>
      </c>
      <c r="Q937" s="3"/>
      <c r="S937" s="2" t="s">
        <v>29</v>
      </c>
    </row>
    <row r="938" customFormat="false" ht="15" hidden="false" customHeight="false" outlineLevel="0" collapsed="false">
      <c r="A938" s="0" t="n">
        <v>937</v>
      </c>
      <c r="D938" s="0" t="s">
        <v>3141</v>
      </c>
      <c r="E938" s="0" t="s">
        <v>492</v>
      </c>
      <c r="H938" s="0" t="s">
        <v>21</v>
      </c>
      <c r="I938" s="2" t="s">
        <v>22</v>
      </c>
      <c r="J938" s="2" t="s">
        <v>635</v>
      </c>
      <c r="K938" s="0" t="s">
        <v>636</v>
      </c>
      <c r="L938" s="0" t="s">
        <v>31</v>
      </c>
      <c r="M938" s="0" t="s">
        <v>637</v>
      </c>
      <c r="N938" s="0" t="s">
        <v>3142</v>
      </c>
      <c r="O938" s="0" t="n">
        <v>1</v>
      </c>
      <c r="P938" s="0" t="s">
        <v>3143</v>
      </c>
      <c r="Q938" s="3"/>
      <c r="S938" s="2" t="s">
        <v>29</v>
      </c>
    </row>
    <row r="939" customFormat="false" ht="15" hidden="false" customHeight="false" outlineLevel="0" collapsed="false">
      <c r="A939" s="0" t="n">
        <v>938</v>
      </c>
      <c r="D939" s="0" t="s">
        <v>3144</v>
      </c>
      <c r="E939" s="0" t="s">
        <v>492</v>
      </c>
      <c r="H939" s="0" t="s">
        <v>21</v>
      </c>
      <c r="I939" s="2" t="s">
        <v>22</v>
      </c>
      <c r="J939" s="2" t="s">
        <v>635</v>
      </c>
      <c r="K939" s="0" t="s">
        <v>636</v>
      </c>
      <c r="L939" s="0" t="s">
        <v>31</v>
      </c>
      <c r="M939" s="0" t="s">
        <v>637</v>
      </c>
      <c r="N939" s="0" t="s">
        <v>3145</v>
      </c>
      <c r="O939" s="0" t="n">
        <v>1</v>
      </c>
      <c r="P939" s="0" t="s">
        <v>3146</v>
      </c>
      <c r="Q939" s="3"/>
      <c r="S939" s="2" t="s">
        <v>29</v>
      </c>
    </row>
    <row r="940" customFormat="false" ht="15" hidden="false" customHeight="false" outlineLevel="0" collapsed="false">
      <c r="A940" s="0" t="n">
        <v>939</v>
      </c>
      <c r="D940" s="0" t="s">
        <v>3147</v>
      </c>
      <c r="E940" s="0" t="s">
        <v>492</v>
      </c>
      <c r="H940" s="0" t="s">
        <v>21</v>
      </c>
      <c r="I940" s="2" t="s">
        <v>22</v>
      </c>
      <c r="J940" s="2" t="s">
        <v>635</v>
      </c>
      <c r="K940" s="0" t="s">
        <v>636</v>
      </c>
      <c r="L940" s="0" t="s">
        <v>31</v>
      </c>
      <c r="M940" s="0" t="s">
        <v>637</v>
      </c>
      <c r="N940" s="0" t="s">
        <v>3148</v>
      </c>
      <c r="O940" s="0" t="n">
        <v>1</v>
      </c>
      <c r="P940" s="0" t="s">
        <v>3149</v>
      </c>
      <c r="Q940" s="3"/>
      <c r="S940" s="2" t="s">
        <v>29</v>
      </c>
    </row>
    <row r="941" customFormat="false" ht="15" hidden="false" customHeight="false" outlineLevel="0" collapsed="false">
      <c r="A941" s="0" t="n">
        <v>940</v>
      </c>
      <c r="D941" s="0" t="s">
        <v>3150</v>
      </c>
      <c r="E941" s="0" t="s">
        <v>492</v>
      </c>
      <c r="H941" s="0" t="s">
        <v>21</v>
      </c>
      <c r="I941" s="2" t="s">
        <v>22</v>
      </c>
      <c r="J941" s="2" t="s">
        <v>635</v>
      </c>
      <c r="K941" s="0" t="s">
        <v>636</v>
      </c>
      <c r="L941" s="0" t="s">
        <v>31</v>
      </c>
      <c r="M941" s="0" t="s">
        <v>637</v>
      </c>
      <c r="N941" s="0" t="s">
        <v>3151</v>
      </c>
      <c r="O941" s="0" t="n">
        <v>1</v>
      </c>
      <c r="P941" s="0" t="s">
        <v>3152</v>
      </c>
      <c r="Q941" s="3"/>
      <c r="S941" s="2" t="s">
        <v>29</v>
      </c>
    </row>
    <row r="942" customFormat="false" ht="15" hidden="false" customHeight="false" outlineLevel="0" collapsed="false">
      <c r="A942" s="0" t="n">
        <v>941</v>
      </c>
      <c r="D942" s="0" t="s">
        <v>3153</v>
      </c>
      <c r="E942" s="0" t="s">
        <v>492</v>
      </c>
      <c r="H942" s="0" t="s">
        <v>21</v>
      </c>
      <c r="I942" s="2" t="s">
        <v>22</v>
      </c>
      <c r="J942" s="2" t="s">
        <v>635</v>
      </c>
      <c r="K942" s="0" t="s">
        <v>636</v>
      </c>
      <c r="L942" s="0" t="s">
        <v>31</v>
      </c>
      <c r="M942" s="0" t="s">
        <v>637</v>
      </c>
      <c r="N942" s="0" t="s">
        <v>3154</v>
      </c>
      <c r="O942" s="0" t="n">
        <v>1</v>
      </c>
      <c r="P942" s="0" t="s">
        <v>3155</v>
      </c>
      <c r="Q942" s="3"/>
      <c r="S942" s="2" t="s">
        <v>29</v>
      </c>
    </row>
    <row r="943" customFormat="false" ht="15" hidden="false" customHeight="false" outlineLevel="0" collapsed="false">
      <c r="A943" s="0" t="n">
        <v>942</v>
      </c>
      <c r="D943" s="0" t="s">
        <v>3156</v>
      </c>
      <c r="E943" s="0" t="s">
        <v>492</v>
      </c>
      <c r="H943" s="0" t="s">
        <v>21</v>
      </c>
      <c r="I943" s="2" t="s">
        <v>22</v>
      </c>
      <c r="J943" s="2" t="s">
        <v>635</v>
      </c>
      <c r="K943" s="0" t="s">
        <v>636</v>
      </c>
      <c r="L943" s="0" t="s">
        <v>31</v>
      </c>
      <c r="M943" s="0" t="s">
        <v>637</v>
      </c>
      <c r="N943" s="0" t="s">
        <v>3157</v>
      </c>
      <c r="O943" s="0" t="n">
        <v>1</v>
      </c>
      <c r="P943" s="0" t="s">
        <v>3158</v>
      </c>
      <c r="Q943" s="3"/>
      <c r="S943" s="2" t="s">
        <v>29</v>
      </c>
    </row>
    <row r="944" customFormat="false" ht="15" hidden="false" customHeight="false" outlineLevel="0" collapsed="false">
      <c r="A944" s="0" t="n">
        <v>943</v>
      </c>
      <c r="D944" s="0" t="s">
        <v>3159</v>
      </c>
      <c r="E944" s="0" t="s">
        <v>492</v>
      </c>
      <c r="H944" s="0" t="s">
        <v>21</v>
      </c>
      <c r="I944" s="2" t="s">
        <v>22</v>
      </c>
      <c r="J944" s="2" t="s">
        <v>635</v>
      </c>
      <c r="K944" s="0" t="s">
        <v>636</v>
      </c>
      <c r="L944" s="0" t="s">
        <v>31</v>
      </c>
      <c r="M944" s="0" t="s">
        <v>637</v>
      </c>
      <c r="N944" s="0" t="s">
        <v>3160</v>
      </c>
      <c r="O944" s="0" t="n">
        <v>1</v>
      </c>
      <c r="P944" s="0" t="s">
        <v>3161</v>
      </c>
      <c r="Q944" s="3"/>
      <c r="S944" s="2" t="s">
        <v>29</v>
      </c>
    </row>
    <row r="945" customFormat="false" ht="15" hidden="false" customHeight="false" outlineLevel="0" collapsed="false">
      <c r="A945" s="0" t="n">
        <v>944</v>
      </c>
      <c r="D945" s="0" t="s">
        <v>3162</v>
      </c>
      <c r="E945" s="0" t="s">
        <v>20</v>
      </c>
      <c r="H945" s="0" t="s">
        <v>21</v>
      </c>
      <c r="I945" s="2" t="s">
        <v>22</v>
      </c>
      <c r="J945" s="2" t="s">
        <v>635</v>
      </c>
      <c r="K945" s="0" t="s">
        <v>636</v>
      </c>
      <c r="L945" s="0" t="s">
        <v>31</v>
      </c>
      <c r="M945" s="0" t="s">
        <v>637</v>
      </c>
      <c r="N945" s="0" t="s">
        <v>3163</v>
      </c>
      <c r="O945" s="0" t="n">
        <v>1</v>
      </c>
      <c r="P945" s="0" t="s">
        <v>3164</v>
      </c>
      <c r="Q945" s="3"/>
      <c r="S945" s="2" t="s">
        <v>29</v>
      </c>
    </row>
    <row r="946" customFormat="false" ht="15" hidden="false" customHeight="false" outlineLevel="0" collapsed="false">
      <c r="A946" s="0" t="n">
        <v>945</v>
      </c>
      <c r="D946" s="0" t="s">
        <v>3165</v>
      </c>
      <c r="E946" s="0" t="s">
        <v>20</v>
      </c>
      <c r="H946" s="0" t="s">
        <v>21</v>
      </c>
      <c r="I946" s="2" t="s">
        <v>22</v>
      </c>
      <c r="J946" s="2" t="s">
        <v>635</v>
      </c>
      <c r="K946" s="0" t="s">
        <v>636</v>
      </c>
      <c r="L946" s="0" t="s">
        <v>31</v>
      </c>
      <c r="M946" s="0" t="s">
        <v>637</v>
      </c>
      <c r="N946" s="0" t="s">
        <v>3166</v>
      </c>
      <c r="O946" s="0" t="n">
        <v>1</v>
      </c>
      <c r="P946" s="0" t="s">
        <v>3167</v>
      </c>
      <c r="Q946" s="3"/>
      <c r="S946" s="2" t="s">
        <v>29</v>
      </c>
    </row>
    <row r="947" customFormat="false" ht="15" hidden="false" customHeight="false" outlineLevel="0" collapsed="false">
      <c r="A947" s="0" t="n">
        <v>946</v>
      </c>
      <c r="D947" s="0" t="s">
        <v>3168</v>
      </c>
      <c r="E947" s="0" t="s">
        <v>492</v>
      </c>
      <c r="H947" s="0" t="s">
        <v>21</v>
      </c>
      <c r="I947" s="2" t="s">
        <v>22</v>
      </c>
      <c r="J947" s="2" t="s">
        <v>635</v>
      </c>
      <c r="K947" s="0" t="s">
        <v>636</v>
      </c>
      <c r="L947" s="0" t="s">
        <v>31</v>
      </c>
      <c r="M947" s="0" t="s">
        <v>637</v>
      </c>
      <c r="N947" s="0" t="s">
        <v>3169</v>
      </c>
      <c r="O947" s="0" t="n">
        <v>1</v>
      </c>
      <c r="P947" s="0" t="s">
        <v>3170</v>
      </c>
      <c r="Q947" s="3"/>
      <c r="S947" s="2" t="s">
        <v>29</v>
      </c>
    </row>
    <row r="948" customFormat="false" ht="15" hidden="false" customHeight="false" outlineLevel="0" collapsed="false">
      <c r="A948" s="0" t="n">
        <v>947</v>
      </c>
      <c r="D948" s="0" t="s">
        <v>3171</v>
      </c>
      <c r="E948" s="0" t="s">
        <v>492</v>
      </c>
      <c r="H948" s="0" t="s">
        <v>21</v>
      </c>
      <c r="I948" s="2" t="s">
        <v>22</v>
      </c>
      <c r="J948" s="2" t="s">
        <v>635</v>
      </c>
      <c r="K948" s="0" t="s">
        <v>636</v>
      </c>
      <c r="L948" s="0" t="s">
        <v>31</v>
      </c>
      <c r="M948" s="0" t="s">
        <v>637</v>
      </c>
      <c r="N948" s="0" t="s">
        <v>3172</v>
      </c>
      <c r="O948" s="0" t="n">
        <v>1</v>
      </c>
      <c r="P948" s="0" t="s">
        <v>3173</v>
      </c>
      <c r="Q948" s="3"/>
      <c r="S948" s="2" t="s">
        <v>29</v>
      </c>
    </row>
    <row r="949" customFormat="false" ht="15" hidden="false" customHeight="false" outlineLevel="0" collapsed="false">
      <c r="A949" s="0" t="n">
        <v>948</v>
      </c>
      <c r="D949" s="0" t="s">
        <v>3174</v>
      </c>
      <c r="E949" s="0" t="s">
        <v>492</v>
      </c>
      <c r="H949" s="0" t="s">
        <v>21</v>
      </c>
      <c r="I949" s="2" t="s">
        <v>22</v>
      </c>
      <c r="J949" s="2" t="s">
        <v>635</v>
      </c>
      <c r="K949" s="0" t="s">
        <v>636</v>
      </c>
      <c r="L949" s="0" t="s">
        <v>31</v>
      </c>
      <c r="M949" s="0" t="s">
        <v>637</v>
      </c>
      <c r="N949" s="0" t="s">
        <v>3175</v>
      </c>
      <c r="O949" s="0" t="n">
        <v>1</v>
      </c>
      <c r="P949" s="0" t="s">
        <v>3176</v>
      </c>
      <c r="Q949" s="3"/>
      <c r="S949" s="2" t="s">
        <v>29</v>
      </c>
    </row>
    <row r="950" customFormat="false" ht="15" hidden="false" customHeight="false" outlineLevel="0" collapsed="false">
      <c r="A950" s="0" t="n">
        <v>949</v>
      </c>
      <c r="D950" s="0" t="s">
        <v>3177</v>
      </c>
      <c r="E950" s="0" t="s">
        <v>492</v>
      </c>
      <c r="H950" s="0" t="s">
        <v>21</v>
      </c>
      <c r="I950" s="2" t="s">
        <v>22</v>
      </c>
      <c r="J950" s="2" t="s">
        <v>635</v>
      </c>
      <c r="K950" s="0" t="s">
        <v>636</v>
      </c>
      <c r="L950" s="0" t="s">
        <v>31</v>
      </c>
      <c r="M950" s="0" t="s">
        <v>637</v>
      </c>
      <c r="N950" s="0" t="s">
        <v>3178</v>
      </c>
      <c r="O950" s="0" t="n">
        <v>1</v>
      </c>
      <c r="P950" s="0" t="s">
        <v>3179</v>
      </c>
      <c r="Q950" s="3"/>
      <c r="S950" s="2" t="s">
        <v>29</v>
      </c>
    </row>
    <row r="951" customFormat="false" ht="15" hidden="false" customHeight="false" outlineLevel="0" collapsed="false">
      <c r="A951" s="0" t="n">
        <v>950</v>
      </c>
      <c r="D951" s="0" t="s">
        <v>3180</v>
      </c>
      <c r="E951" s="0" t="s">
        <v>492</v>
      </c>
      <c r="H951" s="0" t="s">
        <v>21</v>
      </c>
      <c r="I951" s="2" t="s">
        <v>22</v>
      </c>
      <c r="J951" s="2" t="s">
        <v>635</v>
      </c>
      <c r="K951" s="0" t="s">
        <v>636</v>
      </c>
      <c r="L951" s="0" t="s">
        <v>31</v>
      </c>
      <c r="M951" s="0" t="s">
        <v>637</v>
      </c>
      <c r="N951" s="0" t="s">
        <v>3181</v>
      </c>
      <c r="O951" s="0" t="n">
        <v>1</v>
      </c>
      <c r="P951" s="0" t="s">
        <v>3182</v>
      </c>
      <c r="Q951" s="3"/>
      <c r="S951" s="2" t="s">
        <v>29</v>
      </c>
    </row>
    <row r="952" customFormat="false" ht="15" hidden="false" customHeight="false" outlineLevel="0" collapsed="false">
      <c r="A952" s="0" t="n">
        <v>951</v>
      </c>
      <c r="D952" s="0" t="s">
        <v>3183</v>
      </c>
      <c r="E952" s="0" t="s">
        <v>492</v>
      </c>
      <c r="H952" s="0" t="s">
        <v>21</v>
      </c>
      <c r="I952" s="2" t="s">
        <v>22</v>
      </c>
      <c r="J952" s="2" t="s">
        <v>635</v>
      </c>
      <c r="K952" s="0" t="s">
        <v>636</v>
      </c>
      <c r="L952" s="0" t="s">
        <v>31</v>
      </c>
      <c r="M952" s="0" t="s">
        <v>637</v>
      </c>
      <c r="N952" s="0" t="s">
        <v>3184</v>
      </c>
      <c r="O952" s="0" t="n">
        <v>1</v>
      </c>
      <c r="P952" s="0" t="s">
        <v>3185</v>
      </c>
      <c r="Q952" s="3"/>
      <c r="S952" s="2" t="s">
        <v>29</v>
      </c>
    </row>
    <row r="953" customFormat="false" ht="15" hidden="false" customHeight="false" outlineLevel="0" collapsed="false">
      <c r="A953" s="0" t="n">
        <v>952</v>
      </c>
      <c r="D953" s="0" t="s">
        <v>3186</v>
      </c>
      <c r="E953" s="0" t="s">
        <v>492</v>
      </c>
      <c r="H953" s="0" t="s">
        <v>21</v>
      </c>
      <c r="I953" s="2" t="s">
        <v>22</v>
      </c>
      <c r="J953" s="2" t="s">
        <v>635</v>
      </c>
      <c r="K953" s="0" t="s">
        <v>636</v>
      </c>
      <c r="L953" s="0" t="s">
        <v>31</v>
      </c>
      <c r="M953" s="0" t="s">
        <v>637</v>
      </c>
      <c r="N953" s="0" t="s">
        <v>3187</v>
      </c>
      <c r="O953" s="0" t="n">
        <v>1</v>
      </c>
      <c r="P953" s="0" t="s">
        <v>3188</v>
      </c>
      <c r="Q953" s="3"/>
      <c r="S953" s="2" t="s">
        <v>29</v>
      </c>
    </row>
    <row r="954" customFormat="false" ht="15" hidden="false" customHeight="false" outlineLevel="0" collapsed="false">
      <c r="A954" s="0" t="n">
        <v>953</v>
      </c>
      <c r="D954" s="0" t="s">
        <v>3189</v>
      </c>
      <c r="E954" s="0" t="s">
        <v>99</v>
      </c>
      <c r="H954" s="0" t="s">
        <v>21</v>
      </c>
      <c r="I954" s="2" t="s">
        <v>22</v>
      </c>
      <c r="J954" s="2" t="s">
        <v>635</v>
      </c>
      <c r="K954" s="0" t="s">
        <v>636</v>
      </c>
      <c r="L954" s="0" t="s">
        <v>100</v>
      </c>
      <c r="M954" s="0" t="s">
        <v>637</v>
      </c>
      <c r="N954" s="0" t="s">
        <v>3190</v>
      </c>
      <c r="O954" s="0" t="n">
        <v>1</v>
      </c>
      <c r="P954" s="0" t="s">
        <v>3191</v>
      </c>
      <c r="Q954" s="3"/>
      <c r="S954" s="2" t="s">
        <v>29</v>
      </c>
    </row>
    <row r="955" customFormat="false" ht="15" hidden="false" customHeight="false" outlineLevel="0" collapsed="false">
      <c r="A955" s="0" t="n">
        <v>954</v>
      </c>
      <c r="D955" s="0" t="s">
        <v>3192</v>
      </c>
      <c r="E955" s="0" t="s">
        <v>20</v>
      </c>
      <c r="H955" s="0" t="s">
        <v>21</v>
      </c>
      <c r="I955" s="2" t="s">
        <v>22</v>
      </c>
      <c r="J955" s="2" t="s">
        <v>635</v>
      </c>
      <c r="K955" s="0" t="s">
        <v>636</v>
      </c>
      <c r="L955" s="0" t="s">
        <v>31</v>
      </c>
      <c r="M955" s="0" t="s">
        <v>637</v>
      </c>
      <c r="N955" s="0" t="s">
        <v>3193</v>
      </c>
      <c r="O955" s="0" t="n">
        <v>1</v>
      </c>
      <c r="P955" s="0" t="s">
        <v>3194</v>
      </c>
      <c r="Q955" s="3"/>
      <c r="S955" s="2" t="s">
        <v>29</v>
      </c>
    </row>
    <row r="956" customFormat="false" ht="15" hidden="false" customHeight="false" outlineLevel="0" collapsed="false">
      <c r="A956" s="0" t="n">
        <v>955</v>
      </c>
      <c r="D956" s="0" t="s">
        <v>3195</v>
      </c>
      <c r="E956" s="0" t="s">
        <v>20</v>
      </c>
      <c r="H956" s="0" t="s">
        <v>21</v>
      </c>
      <c r="I956" s="2" t="s">
        <v>22</v>
      </c>
      <c r="J956" s="2" t="s">
        <v>635</v>
      </c>
      <c r="K956" s="0" t="s">
        <v>636</v>
      </c>
      <c r="L956" s="0" t="s">
        <v>31</v>
      </c>
      <c r="M956" s="0" t="s">
        <v>637</v>
      </c>
      <c r="N956" s="0" t="s">
        <v>3196</v>
      </c>
      <c r="O956" s="0" t="n">
        <v>1</v>
      </c>
      <c r="P956" s="0" t="s">
        <v>3197</v>
      </c>
      <c r="Q956" s="3"/>
      <c r="S956" s="2" t="s">
        <v>29</v>
      </c>
    </row>
    <row r="957" customFormat="false" ht="15" hidden="false" customHeight="false" outlineLevel="0" collapsed="false">
      <c r="A957" s="0" t="n">
        <v>956</v>
      </c>
      <c r="D957" s="0" t="s">
        <v>3198</v>
      </c>
      <c r="E957" s="0" t="s">
        <v>3072</v>
      </c>
      <c r="H957" s="0" t="s">
        <v>21</v>
      </c>
      <c r="I957" s="2" t="s">
        <v>22</v>
      </c>
      <c r="J957" s="2" t="s">
        <v>635</v>
      </c>
      <c r="K957" s="0" t="s">
        <v>636</v>
      </c>
      <c r="L957" s="0" t="s">
        <v>31</v>
      </c>
      <c r="M957" s="0" t="s">
        <v>637</v>
      </c>
      <c r="N957" s="0" t="s">
        <v>3199</v>
      </c>
      <c r="O957" s="0" t="n">
        <v>1</v>
      </c>
      <c r="P957" s="0" t="s">
        <v>3200</v>
      </c>
      <c r="Q957" s="3"/>
      <c r="S957" s="2" t="s">
        <v>29</v>
      </c>
    </row>
    <row r="958" customFormat="false" ht="15" hidden="false" customHeight="false" outlineLevel="0" collapsed="false">
      <c r="A958" s="0" t="n">
        <v>957</v>
      </c>
      <c r="D958" s="0" t="s">
        <v>3201</v>
      </c>
      <c r="E958" s="0" t="s">
        <v>492</v>
      </c>
      <c r="H958" s="0" t="s">
        <v>21</v>
      </c>
      <c r="I958" s="2" t="s">
        <v>22</v>
      </c>
      <c r="J958" s="2" t="s">
        <v>635</v>
      </c>
      <c r="K958" s="0" t="s">
        <v>636</v>
      </c>
      <c r="L958" s="0" t="s">
        <v>31</v>
      </c>
      <c r="M958" s="0" t="s">
        <v>637</v>
      </c>
      <c r="N958" s="0" t="s">
        <v>3202</v>
      </c>
      <c r="O958" s="0" t="n">
        <v>1</v>
      </c>
      <c r="P958" s="0" t="s">
        <v>3203</v>
      </c>
      <c r="Q958" s="3"/>
      <c r="S958" s="2" t="s">
        <v>29</v>
      </c>
    </row>
    <row r="959" customFormat="false" ht="15" hidden="false" customHeight="false" outlineLevel="0" collapsed="false">
      <c r="A959" s="0" t="n">
        <v>958</v>
      </c>
      <c r="D959" s="0" t="s">
        <v>3204</v>
      </c>
      <c r="E959" s="0" t="s">
        <v>99</v>
      </c>
      <c r="H959" s="0" t="s">
        <v>21</v>
      </c>
      <c r="I959" s="2" t="s">
        <v>22</v>
      </c>
      <c r="J959" s="2" t="s">
        <v>635</v>
      </c>
      <c r="K959" s="0" t="s">
        <v>636</v>
      </c>
      <c r="L959" s="0" t="s">
        <v>100</v>
      </c>
      <c r="M959" s="0" t="s">
        <v>637</v>
      </c>
      <c r="N959" s="0" t="s">
        <v>3205</v>
      </c>
      <c r="O959" s="0" t="n">
        <v>1</v>
      </c>
      <c r="P959" s="0" t="s">
        <v>3206</v>
      </c>
      <c r="Q959" s="3"/>
      <c r="S959" s="2" t="s">
        <v>29</v>
      </c>
    </row>
    <row r="960" customFormat="false" ht="15" hidden="false" customHeight="false" outlineLevel="0" collapsed="false">
      <c r="A960" s="0" t="n">
        <v>959</v>
      </c>
      <c r="D960" s="0" t="s">
        <v>3207</v>
      </c>
      <c r="E960" s="0" t="s">
        <v>492</v>
      </c>
      <c r="H960" s="0" t="s">
        <v>21</v>
      </c>
      <c r="I960" s="2" t="s">
        <v>22</v>
      </c>
      <c r="J960" s="2" t="s">
        <v>635</v>
      </c>
      <c r="K960" s="0" t="s">
        <v>636</v>
      </c>
      <c r="L960" s="0" t="s">
        <v>31</v>
      </c>
      <c r="M960" s="0" t="s">
        <v>637</v>
      </c>
      <c r="N960" s="0" t="s">
        <v>3208</v>
      </c>
      <c r="O960" s="0" t="n">
        <v>1</v>
      </c>
      <c r="P960" s="0" t="s">
        <v>3209</v>
      </c>
      <c r="Q960" s="3"/>
      <c r="S960" s="2" t="s">
        <v>29</v>
      </c>
    </row>
    <row r="961" customFormat="false" ht="15" hidden="false" customHeight="false" outlineLevel="0" collapsed="false">
      <c r="A961" s="0" t="n">
        <v>960</v>
      </c>
      <c r="D961" s="0" t="s">
        <v>3210</v>
      </c>
      <c r="E961" s="0" t="s">
        <v>492</v>
      </c>
      <c r="H961" s="0" t="s">
        <v>21</v>
      </c>
      <c r="I961" s="2" t="s">
        <v>22</v>
      </c>
      <c r="J961" s="2" t="s">
        <v>635</v>
      </c>
      <c r="K961" s="0" t="s">
        <v>636</v>
      </c>
      <c r="L961" s="0" t="s">
        <v>31</v>
      </c>
      <c r="M961" s="0" t="s">
        <v>637</v>
      </c>
      <c r="N961" s="0" t="s">
        <v>3211</v>
      </c>
      <c r="O961" s="0" t="n">
        <v>1</v>
      </c>
      <c r="P961" s="0" t="s">
        <v>3212</v>
      </c>
      <c r="Q961" s="3"/>
      <c r="S961" s="2" t="s">
        <v>29</v>
      </c>
    </row>
    <row r="962" customFormat="false" ht="15" hidden="false" customHeight="false" outlineLevel="0" collapsed="false">
      <c r="A962" s="0" t="n">
        <v>961</v>
      </c>
      <c r="D962" s="0" t="s">
        <v>3213</v>
      </c>
      <c r="E962" s="0" t="s">
        <v>492</v>
      </c>
      <c r="H962" s="0" t="s">
        <v>21</v>
      </c>
      <c r="I962" s="2" t="s">
        <v>22</v>
      </c>
      <c r="J962" s="2" t="s">
        <v>635</v>
      </c>
      <c r="K962" s="0" t="s">
        <v>636</v>
      </c>
      <c r="L962" s="0" t="s">
        <v>31</v>
      </c>
      <c r="M962" s="0" t="s">
        <v>637</v>
      </c>
      <c r="N962" s="0" t="s">
        <v>3214</v>
      </c>
      <c r="O962" s="0" t="n">
        <v>1</v>
      </c>
      <c r="P962" s="0" t="s">
        <v>3215</v>
      </c>
      <c r="Q962" s="3"/>
      <c r="S962" s="2" t="s">
        <v>29</v>
      </c>
    </row>
    <row r="963" customFormat="false" ht="15" hidden="false" customHeight="false" outlineLevel="0" collapsed="false">
      <c r="A963" s="0" t="n">
        <v>962</v>
      </c>
      <c r="D963" s="0" t="s">
        <v>3216</v>
      </c>
      <c r="E963" s="0" t="s">
        <v>492</v>
      </c>
      <c r="H963" s="0" t="s">
        <v>21</v>
      </c>
      <c r="I963" s="2" t="s">
        <v>22</v>
      </c>
      <c r="J963" s="2" t="s">
        <v>635</v>
      </c>
      <c r="K963" s="0" t="s">
        <v>636</v>
      </c>
      <c r="L963" s="0" t="s">
        <v>31</v>
      </c>
      <c r="M963" s="0" t="s">
        <v>637</v>
      </c>
      <c r="N963" s="0" t="s">
        <v>3217</v>
      </c>
      <c r="O963" s="0" t="n">
        <v>1</v>
      </c>
      <c r="P963" s="0" t="s">
        <v>3218</v>
      </c>
      <c r="Q963" s="3"/>
      <c r="S963" s="2" t="s">
        <v>29</v>
      </c>
    </row>
    <row r="964" customFormat="false" ht="15" hidden="false" customHeight="false" outlineLevel="0" collapsed="false">
      <c r="A964" s="0" t="n">
        <v>963</v>
      </c>
      <c r="D964" s="0" t="s">
        <v>3219</v>
      </c>
      <c r="E964" s="0" t="s">
        <v>492</v>
      </c>
      <c r="H964" s="0" t="s">
        <v>21</v>
      </c>
      <c r="I964" s="2" t="s">
        <v>22</v>
      </c>
      <c r="J964" s="2" t="s">
        <v>635</v>
      </c>
      <c r="K964" s="0" t="s">
        <v>636</v>
      </c>
      <c r="L964" s="0" t="s">
        <v>31</v>
      </c>
      <c r="M964" s="0" t="s">
        <v>637</v>
      </c>
      <c r="N964" s="0" t="s">
        <v>3220</v>
      </c>
      <c r="O964" s="0" t="n">
        <v>1</v>
      </c>
      <c r="P964" s="0" t="s">
        <v>3221</v>
      </c>
      <c r="Q964" s="3"/>
      <c r="S964" s="2" t="s">
        <v>29</v>
      </c>
    </row>
    <row r="965" customFormat="false" ht="15" hidden="false" customHeight="false" outlineLevel="0" collapsed="false">
      <c r="A965" s="0" t="n">
        <v>964</v>
      </c>
      <c r="D965" s="0" t="s">
        <v>3222</v>
      </c>
      <c r="E965" s="0" t="s">
        <v>492</v>
      </c>
      <c r="H965" s="0" t="s">
        <v>21</v>
      </c>
      <c r="I965" s="2" t="s">
        <v>22</v>
      </c>
      <c r="J965" s="2" t="s">
        <v>635</v>
      </c>
      <c r="K965" s="0" t="s">
        <v>636</v>
      </c>
      <c r="L965" s="0" t="s">
        <v>31</v>
      </c>
      <c r="M965" s="0" t="s">
        <v>637</v>
      </c>
      <c r="N965" s="0" t="s">
        <v>3223</v>
      </c>
      <c r="O965" s="0" t="n">
        <v>1</v>
      </c>
      <c r="P965" s="0" t="s">
        <v>3224</v>
      </c>
      <c r="Q965" s="3"/>
      <c r="S965" s="2" t="s">
        <v>29</v>
      </c>
    </row>
    <row r="966" customFormat="false" ht="15" hidden="false" customHeight="false" outlineLevel="0" collapsed="false">
      <c r="A966" s="0" t="n">
        <v>965</v>
      </c>
      <c r="D966" s="0" t="s">
        <v>3225</v>
      </c>
      <c r="E966" s="0" t="s">
        <v>492</v>
      </c>
      <c r="H966" s="0" t="s">
        <v>21</v>
      </c>
      <c r="I966" s="2" t="s">
        <v>22</v>
      </c>
      <c r="J966" s="2" t="s">
        <v>635</v>
      </c>
      <c r="K966" s="0" t="s">
        <v>636</v>
      </c>
      <c r="L966" s="0" t="s">
        <v>31</v>
      </c>
      <c r="M966" s="0" t="s">
        <v>637</v>
      </c>
      <c r="N966" s="0" t="s">
        <v>3226</v>
      </c>
      <c r="O966" s="0" t="n">
        <v>1</v>
      </c>
      <c r="P966" s="0" t="s">
        <v>3227</v>
      </c>
      <c r="Q966" s="3"/>
      <c r="S966" s="2" t="s">
        <v>29</v>
      </c>
    </row>
    <row r="967" customFormat="false" ht="15" hidden="false" customHeight="false" outlineLevel="0" collapsed="false">
      <c r="A967" s="0" t="n">
        <v>966</v>
      </c>
      <c r="D967" s="0" t="s">
        <v>3228</v>
      </c>
      <c r="E967" s="0" t="s">
        <v>492</v>
      </c>
      <c r="H967" s="0" t="s">
        <v>21</v>
      </c>
      <c r="I967" s="2" t="s">
        <v>22</v>
      </c>
      <c r="J967" s="2" t="s">
        <v>635</v>
      </c>
      <c r="K967" s="0" t="s">
        <v>636</v>
      </c>
      <c r="L967" s="0" t="s">
        <v>31</v>
      </c>
      <c r="M967" s="0" t="s">
        <v>637</v>
      </c>
      <c r="N967" s="0" t="s">
        <v>3229</v>
      </c>
      <c r="O967" s="0" t="n">
        <v>1</v>
      </c>
      <c r="P967" s="0" t="s">
        <v>3230</v>
      </c>
      <c r="Q967" s="3"/>
      <c r="S967" s="2" t="s">
        <v>29</v>
      </c>
    </row>
    <row r="968" customFormat="false" ht="15" hidden="false" customHeight="false" outlineLevel="0" collapsed="false">
      <c r="A968" s="0" t="n">
        <v>967</v>
      </c>
      <c r="D968" s="0" t="s">
        <v>3231</v>
      </c>
      <c r="E968" s="0" t="s">
        <v>492</v>
      </c>
      <c r="H968" s="0" t="s">
        <v>21</v>
      </c>
      <c r="I968" s="2" t="s">
        <v>22</v>
      </c>
      <c r="J968" s="2" t="s">
        <v>635</v>
      </c>
      <c r="K968" s="0" t="s">
        <v>636</v>
      </c>
      <c r="L968" s="0" t="s">
        <v>31</v>
      </c>
      <c r="M968" s="0" t="s">
        <v>637</v>
      </c>
      <c r="N968" s="0" t="s">
        <v>3232</v>
      </c>
      <c r="O968" s="0" t="n">
        <v>1</v>
      </c>
      <c r="P968" s="0" t="s">
        <v>3233</v>
      </c>
      <c r="Q968" s="3"/>
      <c r="S968" s="2" t="s">
        <v>29</v>
      </c>
    </row>
    <row r="969" customFormat="false" ht="15" hidden="false" customHeight="false" outlineLevel="0" collapsed="false">
      <c r="A969" s="0" t="n">
        <v>968</v>
      </c>
      <c r="D969" s="0" t="s">
        <v>3234</v>
      </c>
      <c r="E969" s="0" t="s">
        <v>492</v>
      </c>
      <c r="H969" s="0" t="s">
        <v>21</v>
      </c>
      <c r="I969" s="2" t="s">
        <v>22</v>
      </c>
      <c r="J969" s="2" t="s">
        <v>635</v>
      </c>
      <c r="K969" s="0" t="s">
        <v>636</v>
      </c>
      <c r="L969" s="0" t="s">
        <v>31</v>
      </c>
      <c r="M969" s="0" t="s">
        <v>637</v>
      </c>
      <c r="N969" s="0" t="s">
        <v>3235</v>
      </c>
      <c r="O969" s="0" t="n">
        <v>1</v>
      </c>
      <c r="P969" s="0" t="s">
        <v>3236</v>
      </c>
      <c r="Q969" s="3"/>
      <c r="S969" s="2" t="s">
        <v>29</v>
      </c>
    </row>
    <row r="970" customFormat="false" ht="15" hidden="false" customHeight="false" outlineLevel="0" collapsed="false">
      <c r="A970" s="0" t="n">
        <v>969</v>
      </c>
      <c r="D970" s="0" t="s">
        <v>3237</v>
      </c>
      <c r="E970" s="0" t="s">
        <v>492</v>
      </c>
      <c r="H970" s="0" t="s">
        <v>21</v>
      </c>
      <c r="I970" s="2" t="s">
        <v>22</v>
      </c>
      <c r="J970" s="2" t="s">
        <v>635</v>
      </c>
      <c r="K970" s="0" t="s">
        <v>636</v>
      </c>
      <c r="L970" s="0" t="s">
        <v>31</v>
      </c>
      <c r="M970" s="0" t="s">
        <v>637</v>
      </c>
      <c r="N970" s="0" t="s">
        <v>3238</v>
      </c>
      <c r="O970" s="0" t="n">
        <v>1</v>
      </c>
      <c r="P970" s="0" t="s">
        <v>3239</v>
      </c>
      <c r="Q970" s="3"/>
      <c r="S970" s="2" t="s">
        <v>29</v>
      </c>
    </row>
    <row r="971" customFormat="false" ht="15" hidden="false" customHeight="false" outlineLevel="0" collapsed="false">
      <c r="A971" s="0" t="n">
        <v>970</v>
      </c>
      <c r="D971" s="0" t="s">
        <v>3240</v>
      </c>
      <c r="E971" s="0" t="s">
        <v>492</v>
      </c>
      <c r="H971" s="0" t="s">
        <v>21</v>
      </c>
      <c r="I971" s="2" t="s">
        <v>22</v>
      </c>
      <c r="J971" s="2" t="s">
        <v>635</v>
      </c>
      <c r="K971" s="0" t="s">
        <v>636</v>
      </c>
      <c r="L971" s="0" t="s">
        <v>31</v>
      </c>
      <c r="M971" s="0" t="s">
        <v>637</v>
      </c>
      <c r="N971" s="0" t="s">
        <v>3241</v>
      </c>
      <c r="O971" s="0" t="n">
        <v>1</v>
      </c>
      <c r="P971" s="0" t="s">
        <v>3242</v>
      </c>
      <c r="Q971" s="3"/>
      <c r="S971" s="2" t="s">
        <v>29</v>
      </c>
    </row>
    <row r="972" customFormat="false" ht="15" hidden="false" customHeight="false" outlineLevel="0" collapsed="false">
      <c r="A972" s="0" t="n">
        <v>971</v>
      </c>
      <c r="D972" s="0" t="s">
        <v>3243</v>
      </c>
      <c r="E972" s="0" t="s">
        <v>492</v>
      </c>
      <c r="H972" s="0" t="s">
        <v>21</v>
      </c>
      <c r="I972" s="2" t="s">
        <v>22</v>
      </c>
      <c r="J972" s="2" t="s">
        <v>635</v>
      </c>
      <c r="K972" s="0" t="s">
        <v>636</v>
      </c>
      <c r="L972" s="0" t="s">
        <v>31</v>
      </c>
      <c r="M972" s="0" t="s">
        <v>637</v>
      </c>
      <c r="N972" s="0" t="s">
        <v>3244</v>
      </c>
      <c r="O972" s="0" t="n">
        <v>1</v>
      </c>
      <c r="P972" s="0" t="s">
        <v>3245</v>
      </c>
      <c r="Q972" s="3"/>
      <c r="S972" s="2" t="s">
        <v>29</v>
      </c>
    </row>
    <row r="973" customFormat="false" ht="15" hidden="false" customHeight="false" outlineLevel="0" collapsed="false">
      <c r="A973" s="0" t="n">
        <v>972</v>
      </c>
      <c r="D973" s="0" t="s">
        <v>3246</v>
      </c>
      <c r="E973" s="0" t="s">
        <v>492</v>
      </c>
      <c r="H973" s="0" t="s">
        <v>21</v>
      </c>
      <c r="I973" s="2" t="s">
        <v>22</v>
      </c>
      <c r="J973" s="2" t="s">
        <v>635</v>
      </c>
      <c r="K973" s="0" t="s">
        <v>636</v>
      </c>
      <c r="L973" s="0" t="s">
        <v>31</v>
      </c>
      <c r="M973" s="0" t="s">
        <v>637</v>
      </c>
      <c r="N973" s="0" t="s">
        <v>3247</v>
      </c>
      <c r="O973" s="0" t="n">
        <v>1</v>
      </c>
      <c r="P973" s="0" t="s">
        <v>3248</v>
      </c>
      <c r="Q973" s="3"/>
      <c r="S973" s="2" t="s">
        <v>29</v>
      </c>
    </row>
    <row r="974" customFormat="false" ht="15" hidden="false" customHeight="false" outlineLevel="0" collapsed="false">
      <c r="A974" s="0" t="n">
        <v>973</v>
      </c>
      <c r="D974" s="0" t="s">
        <v>3249</v>
      </c>
      <c r="E974" s="0" t="s">
        <v>492</v>
      </c>
      <c r="H974" s="0" t="s">
        <v>21</v>
      </c>
      <c r="I974" s="2" t="s">
        <v>22</v>
      </c>
      <c r="J974" s="2" t="s">
        <v>635</v>
      </c>
      <c r="K974" s="0" t="s">
        <v>636</v>
      </c>
      <c r="L974" s="0" t="s">
        <v>31</v>
      </c>
      <c r="M974" s="0" t="s">
        <v>637</v>
      </c>
      <c r="N974" s="0" t="s">
        <v>3250</v>
      </c>
      <c r="O974" s="0" t="n">
        <v>1</v>
      </c>
      <c r="P974" s="0" t="s">
        <v>3251</v>
      </c>
      <c r="Q974" s="3"/>
      <c r="S974" s="2" t="s">
        <v>29</v>
      </c>
    </row>
    <row r="975" customFormat="false" ht="15" hidden="false" customHeight="false" outlineLevel="0" collapsed="false">
      <c r="A975" s="0" t="n">
        <v>974</v>
      </c>
      <c r="D975" s="0" t="s">
        <v>3252</v>
      </c>
      <c r="E975" s="0" t="s">
        <v>492</v>
      </c>
      <c r="H975" s="0" t="s">
        <v>21</v>
      </c>
      <c r="I975" s="2" t="s">
        <v>22</v>
      </c>
      <c r="J975" s="2" t="s">
        <v>635</v>
      </c>
      <c r="K975" s="0" t="s">
        <v>636</v>
      </c>
      <c r="L975" s="0" t="s">
        <v>31</v>
      </c>
      <c r="M975" s="0" t="s">
        <v>637</v>
      </c>
      <c r="N975" s="0" t="s">
        <v>3253</v>
      </c>
      <c r="O975" s="0" t="n">
        <v>1</v>
      </c>
      <c r="P975" s="0" t="s">
        <v>3254</v>
      </c>
      <c r="Q975" s="3"/>
      <c r="S975" s="2" t="s">
        <v>29</v>
      </c>
    </row>
    <row r="976" customFormat="false" ht="15" hidden="false" customHeight="false" outlineLevel="0" collapsed="false">
      <c r="A976" s="0" t="n">
        <v>975</v>
      </c>
      <c r="D976" s="0" t="s">
        <v>3255</v>
      </c>
      <c r="E976" s="0" t="s">
        <v>492</v>
      </c>
      <c r="H976" s="0" t="s">
        <v>21</v>
      </c>
      <c r="I976" s="2" t="s">
        <v>22</v>
      </c>
      <c r="J976" s="2" t="s">
        <v>635</v>
      </c>
      <c r="K976" s="0" t="s">
        <v>636</v>
      </c>
      <c r="L976" s="0" t="s">
        <v>31</v>
      </c>
      <c r="M976" s="0" t="s">
        <v>637</v>
      </c>
      <c r="N976" s="0" t="s">
        <v>3256</v>
      </c>
      <c r="O976" s="0" t="n">
        <v>1</v>
      </c>
      <c r="P976" s="0" t="s">
        <v>1830</v>
      </c>
      <c r="Q976" s="3"/>
      <c r="S976" s="2" t="s">
        <v>29</v>
      </c>
    </row>
    <row r="977" customFormat="false" ht="15" hidden="false" customHeight="false" outlineLevel="0" collapsed="false">
      <c r="A977" s="0" t="n">
        <v>976</v>
      </c>
      <c r="D977" s="0" t="s">
        <v>3257</v>
      </c>
      <c r="E977" s="0" t="s">
        <v>492</v>
      </c>
      <c r="H977" s="0" t="s">
        <v>21</v>
      </c>
      <c r="I977" s="2" t="s">
        <v>22</v>
      </c>
      <c r="J977" s="2" t="s">
        <v>635</v>
      </c>
      <c r="K977" s="0" t="s">
        <v>636</v>
      </c>
      <c r="L977" s="0" t="s">
        <v>31</v>
      </c>
      <c r="M977" s="0" t="s">
        <v>637</v>
      </c>
      <c r="N977" s="0" t="s">
        <v>3258</v>
      </c>
      <c r="O977" s="0" t="n">
        <v>1</v>
      </c>
      <c r="P977" s="0" t="s">
        <v>3259</v>
      </c>
      <c r="Q977" s="3"/>
      <c r="S977" s="2" t="s">
        <v>29</v>
      </c>
    </row>
    <row r="978" customFormat="false" ht="15" hidden="false" customHeight="false" outlineLevel="0" collapsed="false">
      <c r="A978" s="0" t="n">
        <v>977</v>
      </c>
      <c r="D978" s="0" t="s">
        <v>3260</v>
      </c>
      <c r="E978" s="0" t="s">
        <v>492</v>
      </c>
      <c r="H978" s="0" t="s">
        <v>21</v>
      </c>
      <c r="I978" s="2" t="s">
        <v>22</v>
      </c>
      <c r="J978" s="2" t="s">
        <v>635</v>
      </c>
      <c r="K978" s="0" t="s">
        <v>636</v>
      </c>
      <c r="L978" s="0" t="s">
        <v>31</v>
      </c>
      <c r="M978" s="0" t="s">
        <v>637</v>
      </c>
      <c r="N978" s="0" t="s">
        <v>3261</v>
      </c>
      <c r="O978" s="0" t="n">
        <v>1</v>
      </c>
      <c r="P978" s="0" t="s">
        <v>3262</v>
      </c>
      <c r="Q978" s="3"/>
      <c r="S978" s="2" t="s">
        <v>29</v>
      </c>
    </row>
    <row r="979" customFormat="false" ht="15" hidden="false" customHeight="false" outlineLevel="0" collapsed="false">
      <c r="A979" s="0" t="n">
        <v>978</v>
      </c>
      <c r="D979" s="0" t="s">
        <v>3263</v>
      </c>
      <c r="E979" s="0" t="s">
        <v>226</v>
      </c>
      <c r="H979" s="0" t="s">
        <v>21</v>
      </c>
      <c r="I979" s="2" t="s">
        <v>22</v>
      </c>
      <c r="J979" s="2" t="s">
        <v>635</v>
      </c>
      <c r="K979" s="0" t="s">
        <v>636</v>
      </c>
      <c r="L979" s="0" t="s">
        <v>100</v>
      </c>
      <c r="M979" s="0" t="s">
        <v>637</v>
      </c>
      <c r="N979" s="0" t="s">
        <v>3264</v>
      </c>
      <c r="O979" s="0" t="n">
        <v>1</v>
      </c>
      <c r="P979" s="0" t="s">
        <v>3265</v>
      </c>
      <c r="Q979" s="3"/>
      <c r="S979" s="2" t="s">
        <v>29</v>
      </c>
    </row>
    <row r="980" customFormat="false" ht="15" hidden="false" customHeight="false" outlineLevel="0" collapsed="false">
      <c r="A980" s="0" t="n">
        <v>979</v>
      </c>
      <c r="D980" s="0" t="s">
        <v>3266</v>
      </c>
      <c r="E980" s="0" t="s">
        <v>20</v>
      </c>
      <c r="H980" s="0" t="s">
        <v>21</v>
      </c>
      <c r="I980" s="2" t="s">
        <v>22</v>
      </c>
      <c r="J980" s="2" t="s">
        <v>635</v>
      </c>
      <c r="K980" s="0" t="s">
        <v>636</v>
      </c>
      <c r="L980" s="0" t="s">
        <v>31</v>
      </c>
      <c r="M980" s="0" t="s">
        <v>637</v>
      </c>
      <c r="N980" s="0" t="s">
        <v>3267</v>
      </c>
      <c r="O980" s="0" t="n">
        <v>1</v>
      </c>
      <c r="P980" s="0" t="s">
        <v>3268</v>
      </c>
      <c r="Q980" s="3"/>
      <c r="S980" s="2" t="s">
        <v>29</v>
      </c>
    </row>
    <row r="981" customFormat="false" ht="15" hidden="false" customHeight="false" outlineLevel="0" collapsed="false">
      <c r="I981" s="2"/>
      <c r="J981" s="2"/>
    </row>
    <row r="982" customFormat="false" ht="15" hidden="false" customHeight="false" outlineLevel="0" collapsed="false">
      <c r="I982" s="2"/>
      <c r="J982" s="2"/>
    </row>
    <row r="983" customFormat="false" ht="15" hidden="false" customHeight="false" outlineLevel="0" collapsed="false">
      <c r="I983" s="2"/>
      <c r="J983" s="2"/>
    </row>
    <row r="984" customFormat="false" ht="15" hidden="false" customHeight="false" outlineLevel="0" collapsed="false">
      <c r="I984" s="2"/>
      <c r="J984" s="2"/>
    </row>
    <row r="985" customFormat="false" ht="15" hidden="false" customHeight="false" outlineLevel="0" collapsed="false">
      <c r="I985" s="2"/>
      <c r="J985" s="2"/>
    </row>
    <row r="986" customFormat="false" ht="15" hidden="false" customHeight="false" outlineLevel="0" collapsed="false">
      <c r="I986" s="2"/>
      <c r="J986" s="2"/>
    </row>
    <row r="987" customFormat="false" ht="15" hidden="false" customHeight="false" outlineLevel="0" collapsed="false">
      <c r="I987" s="2"/>
      <c r="J987" s="2"/>
    </row>
    <row r="988" customFormat="false" ht="15" hidden="false" customHeight="false" outlineLevel="0" collapsed="false">
      <c r="I988" s="2"/>
      <c r="J988" s="2"/>
    </row>
    <row r="989" customFormat="false" ht="15" hidden="false" customHeight="false" outlineLevel="0" collapsed="false">
      <c r="I989" s="2"/>
      <c r="J989" s="2"/>
    </row>
    <row r="990" customFormat="false" ht="15" hidden="false" customHeight="false" outlineLevel="0" collapsed="false">
      <c r="I990" s="2"/>
      <c r="J990" s="2"/>
    </row>
    <row r="991" customFormat="false" ht="15" hidden="false" customHeight="false" outlineLevel="0" collapsed="false">
      <c r="I991" s="2"/>
      <c r="J991" s="2"/>
    </row>
    <row r="992" customFormat="false" ht="15" hidden="false" customHeight="false" outlineLevel="0" collapsed="false">
      <c r="I992" s="2"/>
      <c r="J992" s="2"/>
    </row>
    <row r="993" customFormat="false" ht="15" hidden="false" customHeight="false" outlineLevel="0" collapsed="false">
      <c r="I993" s="2"/>
      <c r="J993" s="2"/>
    </row>
    <row r="994" customFormat="false" ht="15" hidden="false" customHeight="false" outlineLevel="0" collapsed="false">
      <c r="I994" s="2"/>
      <c r="J994" s="2"/>
    </row>
    <row r="995" customFormat="false" ht="15" hidden="false" customHeight="false" outlineLevel="0" collapsed="false">
      <c r="I995" s="2"/>
      <c r="J995" s="2"/>
    </row>
    <row r="996" customFormat="false" ht="15" hidden="false" customHeight="false" outlineLevel="0" collapsed="false">
      <c r="I996" s="2"/>
      <c r="J996" s="2"/>
    </row>
    <row r="997" customFormat="false" ht="15" hidden="false" customHeight="false" outlineLevel="0" collapsed="false">
      <c r="I997" s="2"/>
      <c r="J997" s="2"/>
    </row>
    <row r="998" customFormat="false" ht="15" hidden="false" customHeight="false" outlineLevel="0" collapsed="false">
      <c r="I998" s="2"/>
      <c r="J998" s="2"/>
    </row>
    <row r="999" customFormat="false" ht="15" hidden="false" customHeight="false" outlineLevel="0" collapsed="false">
      <c r="I999" s="2"/>
      <c r="J999" s="2"/>
    </row>
    <row r="1000" customFormat="false" ht="15" hidden="false" customHeight="false" outlineLevel="0" collapsed="false">
      <c r="I1000" s="2"/>
      <c r="J1000" s="2"/>
    </row>
    <row r="1001" customFormat="false" ht="15" hidden="false" customHeight="false" outlineLevel="0" collapsed="false">
      <c r="I1001" s="2"/>
      <c r="J1001" s="2"/>
    </row>
    <row r="1002" customFormat="false" ht="15" hidden="false" customHeight="false" outlineLevel="0" collapsed="false">
      <c r="I1002" s="2"/>
      <c r="J1002" s="2"/>
    </row>
    <row r="1003" customFormat="false" ht="15" hidden="false" customHeight="false" outlineLevel="0" collapsed="false">
      <c r="I1003" s="2"/>
      <c r="J1003" s="2"/>
    </row>
    <row r="1004" customFormat="false" ht="15" hidden="false" customHeight="false" outlineLevel="0" collapsed="false">
      <c r="I1004" s="2"/>
      <c r="J1004" s="2"/>
    </row>
    <row r="1005" customFormat="false" ht="15" hidden="false" customHeight="false" outlineLevel="0" collapsed="false">
      <c r="I1005" s="2"/>
      <c r="J1005" s="2"/>
    </row>
    <row r="1006" customFormat="false" ht="15" hidden="false" customHeight="false" outlineLevel="0" collapsed="false">
      <c r="I1006" s="2"/>
      <c r="J1006" s="2"/>
    </row>
    <row r="1007" customFormat="false" ht="15" hidden="false" customHeight="false" outlineLevel="0" collapsed="false">
      <c r="I1007" s="2"/>
      <c r="J1007" s="2"/>
    </row>
    <row r="1008" customFormat="false" ht="15" hidden="false" customHeight="false" outlineLevel="0" collapsed="false">
      <c r="I1008" s="2"/>
      <c r="J1008" s="2"/>
    </row>
    <row r="1009" customFormat="false" ht="15" hidden="false" customHeight="false" outlineLevel="0" collapsed="false">
      <c r="I1009" s="2"/>
      <c r="J1009" s="2"/>
    </row>
    <row r="1010" customFormat="false" ht="15" hidden="false" customHeight="false" outlineLevel="0" collapsed="false">
      <c r="I1010" s="2"/>
      <c r="J1010" s="2"/>
    </row>
    <row r="1011" customFormat="false" ht="15" hidden="false" customHeight="false" outlineLevel="0" collapsed="false">
      <c r="I1011" s="2"/>
      <c r="J1011" s="2"/>
    </row>
    <row r="1012" customFormat="false" ht="15" hidden="false" customHeight="false" outlineLevel="0" collapsed="false">
      <c r="I1012" s="2"/>
      <c r="J1012" s="2"/>
    </row>
    <row r="1013" customFormat="false" ht="15" hidden="false" customHeight="false" outlineLevel="0" collapsed="false">
      <c r="I1013" s="2"/>
      <c r="J1013" s="2"/>
    </row>
    <row r="1014" customFormat="false" ht="15" hidden="false" customHeight="false" outlineLevel="0" collapsed="false">
      <c r="I1014" s="2"/>
      <c r="J1014" s="2"/>
    </row>
    <row r="1015" customFormat="false" ht="15" hidden="false" customHeight="false" outlineLevel="0" collapsed="false">
      <c r="I1015" s="2"/>
      <c r="J1015" s="2"/>
    </row>
    <row r="1016" customFormat="false" ht="15" hidden="false" customHeight="false" outlineLevel="0" collapsed="false">
      <c r="I1016" s="2"/>
      <c r="J1016" s="2"/>
    </row>
    <row r="1017" customFormat="false" ht="15" hidden="false" customHeight="false" outlineLevel="0" collapsed="false">
      <c r="I1017" s="2"/>
      <c r="J1017" s="2"/>
    </row>
    <row r="1018" customFormat="false" ht="15" hidden="false" customHeight="false" outlineLevel="0" collapsed="false">
      <c r="I1018" s="2"/>
      <c r="J1018" s="2"/>
    </row>
    <row r="1019" customFormat="false" ht="15" hidden="false" customHeight="false" outlineLevel="0" collapsed="false">
      <c r="I1019" s="2"/>
      <c r="J1019" s="2"/>
    </row>
    <row r="1020" customFormat="false" ht="15" hidden="false" customHeight="false" outlineLevel="0" collapsed="false">
      <c r="I1020" s="2"/>
      <c r="J1020" s="2"/>
    </row>
    <row r="1021" customFormat="false" ht="15" hidden="false" customHeight="false" outlineLevel="0" collapsed="false">
      <c r="I1021" s="2"/>
      <c r="J1021" s="2"/>
    </row>
    <row r="1022" customFormat="false" ht="15" hidden="false" customHeight="false" outlineLevel="0" collapsed="false">
      <c r="I1022" s="2"/>
      <c r="J1022" s="2"/>
    </row>
    <row r="1023" customFormat="false" ht="15" hidden="false" customHeight="false" outlineLevel="0" collapsed="false">
      <c r="I1023" s="2"/>
      <c r="J1023" s="2"/>
    </row>
    <row r="1024" customFormat="false" ht="15" hidden="false" customHeight="false" outlineLevel="0" collapsed="false">
      <c r="I1024" s="2"/>
      <c r="J1024" s="2"/>
    </row>
    <row r="1025" customFormat="false" ht="15" hidden="false" customHeight="false" outlineLevel="0" collapsed="false">
      <c r="I1025" s="2"/>
      <c r="J1025" s="2"/>
    </row>
    <row r="1026" customFormat="false" ht="15" hidden="false" customHeight="false" outlineLevel="0" collapsed="false">
      <c r="I1026" s="2"/>
      <c r="J1026" s="2"/>
    </row>
    <row r="1027" customFormat="false" ht="15" hidden="false" customHeight="false" outlineLevel="0" collapsed="false">
      <c r="I1027" s="2"/>
      <c r="J1027" s="2"/>
    </row>
    <row r="1028" customFormat="false" ht="15" hidden="false" customHeight="false" outlineLevel="0" collapsed="false">
      <c r="I1028" s="2"/>
      <c r="J1028" s="2"/>
    </row>
    <row r="1029" customFormat="false" ht="15" hidden="false" customHeight="false" outlineLevel="0" collapsed="false">
      <c r="I1029" s="2"/>
      <c r="J1029" s="2"/>
    </row>
    <row r="1030" customFormat="false" ht="15" hidden="false" customHeight="false" outlineLevel="0" collapsed="false">
      <c r="I1030" s="2"/>
      <c r="J1030" s="2"/>
    </row>
    <row r="1031" customFormat="false" ht="15" hidden="false" customHeight="false" outlineLevel="0" collapsed="false">
      <c r="I1031" s="2"/>
      <c r="J1031" s="2"/>
    </row>
    <row r="1032" customFormat="false" ht="15" hidden="false" customHeight="false" outlineLevel="0" collapsed="false">
      <c r="I1032" s="2"/>
      <c r="J1032" s="2"/>
    </row>
    <row r="1033" customFormat="false" ht="15" hidden="false" customHeight="false" outlineLevel="0" collapsed="false">
      <c r="I1033" s="2"/>
      <c r="J1033" s="2"/>
    </row>
    <row r="1034" customFormat="false" ht="15" hidden="false" customHeight="false" outlineLevel="0" collapsed="false">
      <c r="I1034" s="2"/>
      <c r="J1034" s="2"/>
    </row>
    <row r="1035" customFormat="false" ht="15" hidden="false" customHeight="false" outlineLevel="0" collapsed="false">
      <c r="I1035" s="2"/>
      <c r="J1035" s="2"/>
    </row>
    <row r="1036" customFormat="false" ht="15" hidden="false" customHeight="false" outlineLevel="0" collapsed="false">
      <c r="I1036" s="2"/>
      <c r="J1036" s="2"/>
    </row>
    <row r="1037" customFormat="false" ht="15" hidden="false" customHeight="false" outlineLevel="0" collapsed="false">
      <c r="I1037" s="2"/>
      <c r="J1037" s="2"/>
    </row>
    <row r="1038" customFormat="false" ht="15" hidden="false" customHeight="false" outlineLevel="0" collapsed="false">
      <c r="I1038" s="2"/>
      <c r="J1038" s="2"/>
    </row>
    <row r="1039" customFormat="false" ht="15" hidden="false" customHeight="false" outlineLevel="0" collapsed="false">
      <c r="I1039" s="2"/>
      <c r="J1039" s="2"/>
    </row>
    <row r="1040" customFormat="false" ht="15" hidden="false" customHeight="false" outlineLevel="0" collapsed="false">
      <c r="I1040" s="2"/>
      <c r="J1040" s="2"/>
    </row>
    <row r="1041" customFormat="false" ht="15" hidden="false" customHeight="false" outlineLevel="0" collapsed="false">
      <c r="I1041" s="2"/>
      <c r="J1041" s="2"/>
    </row>
    <row r="1042" customFormat="false" ht="15" hidden="false" customHeight="false" outlineLevel="0" collapsed="false">
      <c r="I1042" s="2"/>
      <c r="J1042" s="2"/>
    </row>
    <row r="1043" customFormat="false" ht="15" hidden="false" customHeight="false" outlineLevel="0" collapsed="false">
      <c r="I1043" s="2"/>
      <c r="J1043" s="2"/>
    </row>
    <row r="1044" customFormat="false" ht="15" hidden="false" customHeight="false" outlineLevel="0" collapsed="false">
      <c r="I1044" s="2"/>
      <c r="J1044" s="2"/>
    </row>
    <row r="1045" customFormat="false" ht="15" hidden="false" customHeight="false" outlineLevel="0" collapsed="false">
      <c r="I1045" s="2"/>
      <c r="J1045" s="2"/>
    </row>
    <row r="1046" customFormat="false" ht="15" hidden="false" customHeight="false" outlineLevel="0" collapsed="false">
      <c r="I1046" s="2"/>
      <c r="J1046" s="2"/>
    </row>
    <row r="1047" customFormat="false" ht="15" hidden="false" customHeight="false" outlineLevel="0" collapsed="false">
      <c r="I1047" s="2"/>
      <c r="J1047" s="2"/>
    </row>
    <row r="1048" customFormat="false" ht="15" hidden="false" customHeight="false" outlineLevel="0" collapsed="false">
      <c r="I1048" s="2"/>
      <c r="J1048" s="2"/>
    </row>
    <row r="1049" customFormat="false" ht="15" hidden="false" customHeight="false" outlineLevel="0" collapsed="false">
      <c r="I1049" s="2"/>
      <c r="J1049" s="2"/>
    </row>
    <row r="1050" customFormat="false" ht="15" hidden="false" customHeight="false" outlineLevel="0" collapsed="false">
      <c r="I1050" s="2"/>
      <c r="J1050" s="2"/>
    </row>
    <row r="1051" customFormat="false" ht="15" hidden="false" customHeight="false" outlineLevel="0" collapsed="false">
      <c r="I1051" s="2"/>
      <c r="J1051" s="2"/>
    </row>
    <row r="1052" customFormat="false" ht="15" hidden="false" customHeight="false" outlineLevel="0" collapsed="false">
      <c r="I1052" s="2"/>
      <c r="J1052" s="2"/>
    </row>
    <row r="1053" customFormat="false" ht="15" hidden="false" customHeight="false" outlineLevel="0" collapsed="false">
      <c r="I1053" s="2"/>
      <c r="J1053" s="2"/>
    </row>
    <row r="1054" customFormat="false" ht="15" hidden="false" customHeight="false" outlineLevel="0" collapsed="false">
      <c r="I1054" s="2"/>
      <c r="J1054" s="2"/>
    </row>
    <row r="1055" customFormat="false" ht="15" hidden="false" customHeight="false" outlineLevel="0" collapsed="false">
      <c r="I1055" s="2"/>
      <c r="J1055" s="2"/>
    </row>
    <row r="1056" customFormat="false" ht="15" hidden="false" customHeight="false" outlineLevel="0" collapsed="false">
      <c r="I1056" s="2"/>
      <c r="J1056" s="2"/>
    </row>
    <row r="1057" customFormat="false" ht="15" hidden="false" customHeight="false" outlineLevel="0" collapsed="false">
      <c r="I1057" s="2"/>
      <c r="J1057" s="2"/>
    </row>
    <row r="1058" customFormat="false" ht="15" hidden="false" customHeight="false" outlineLevel="0" collapsed="false">
      <c r="I1058" s="2"/>
      <c r="J1058" s="2"/>
    </row>
    <row r="1059" customFormat="false" ht="15" hidden="false" customHeight="false" outlineLevel="0" collapsed="false">
      <c r="I1059" s="2"/>
      <c r="J1059" s="2"/>
    </row>
    <row r="1060" customFormat="false" ht="15" hidden="false" customHeight="false" outlineLevel="0" collapsed="false">
      <c r="I1060" s="2"/>
      <c r="J1060" s="2"/>
    </row>
    <row r="1061" customFormat="false" ht="15" hidden="false" customHeight="false" outlineLevel="0" collapsed="false">
      <c r="I1061" s="2"/>
      <c r="J1061" s="2"/>
    </row>
    <row r="1062" customFormat="false" ht="15" hidden="false" customHeight="false" outlineLevel="0" collapsed="false">
      <c r="I1062" s="2"/>
      <c r="J1062" s="2"/>
    </row>
    <row r="1063" customFormat="false" ht="15" hidden="false" customHeight="false" outlineLevel="0" collapsed="false">
      <c r="I1063" s="2"/>
      <c r="J1063" s="2"/>
    </row>
    <row r="1064" customFormat="false" ht="15" hidden="false" customHeight="false" outlineLevel="0" collapsed="false">
      <c r="I1064" s="2"/>
      <c r="J1064" s="2"/>
    </row>
    <row r="1065" customFormat="false" ht="15" hidden="false" customHeight="false" outlineLevel="0" collapsed="false">
      <c r="I1065" s="2"/>
      <c r="J1065" s="2"/>
    </row>
    <row r="1066" customFormat="false" ht="15" hidden="false" customHeight="false" outlineLevel="0" collapsed="false">
      <c r="I1066" s="2"/>
      <c r="J1066" s="2"/>
    </row>
    <row r="1067" customFormat="false" ht="15" hidden="false" customHeight="false" outlineLevel="0" collapsed="false">
      <c r="I1067" s="2"/>
      <c r="J1067" s="2"/>
    </row>
    <row r="1068" customFormat="false" ht="15" hidden="false" customHeight="false" outlineLevel="0" collapsed="false">
      <c r="I1068" s="2"/>
      <c r="J1068" s="2"/>
    </row>
    <row r="1069" customFormat="false" ht="15" hidden="false" customHeight="false" outlineLevel="0" collapsed="false">
      <c r="I1069" s="2"/>
      <c r="J1069" s="2"/>
    </row>
    <row r="1070" customFormat="false" ht="15" hidden="false" customHeight="false" outlineLevel="0" collapsed="false">
      <c r="I1070" s="2"/>
      <c r="J1070" s="2"/>
    </row>
    <row r="1071" customFormat="false" ht="15" hidden="false" customHeight="false" outlineLevel="0" collapsed="false">
      <c r="I1071" s="2"/>
      <c r="J1071" s="2"/>
    </row>
    <row r="1072" customFormat="false" ht="15" hidden="false" customHeight="false" outlineLevel="0" collapsed="false">
      <c r="I1072" s="2"/>
      <c r="J1072" s="2"/>
    </row>
    <row r="1073" customFormat="false" ht="15" hidden="false" customHeight="false" outlineLevel="0" collapsed="false">
      <c r="I1073" s="2"/>
      <c r="J1073" s="2"/>
    </row>
    <row r="1074" customFormat="false" ht="15" hidden="false" customHeight="false" outlineLevel="0" collapsed="false">
      <c r="I1074" s="2"/>
      <c r="J1074" s="2"/>
    </row>
    <row r="1075" customFormat="false" ht="15" hidden="false" customHeight="false" outlineLevel="0" collapsed="false">
      <c r="I1075" s="2"/>
      <c r="J1075" s="2"/>
    </row>
    <row r="1076" customFormat="false" ht="15" hidden="false" customHeight="false" outlineLevel="0" collapsed="false">
      <c r="I1076" s="2"/>
      <c r="J1076" s="2"/>
    </row>
    <row r="1077" customFormat="false" ht="15" hidden="false" customHeight="false" outlineLevel="0" collapsed="false">
      <c r="I1077" s="2"/>
      <c r="J1077" s="2"/>
    </row>
    <row r="1078" customFormat="false" ht="15" hidden="false" customHeight="false" outlineLevel="0" collapsed="false">
      <c r="I1078" s="2"/>
      <c r="J1078" s="2"/>
    </row>
    <row r="1079" customFormat="false" ht="15" hidden="false" customHeight="false" outlineLevel="0" collapsed="false">
      <c r="I1079" s="2"/>
      <c r="J1079" s="2"/>
    </row>
    <row r="1080" customFormat="false" ht="15" hidden="false" customHeight="false" outlineLevel="0" collapsed="false">
      <c r="I1080" s="2"/>
      <c r="J1080" s="2"/>
    </row>
    <row r="1081" customFormat="false" ht="15" hidden="false" customHeight="false" outlineLevel="0" collapsed="false">
      <c r="I1081" s="2"/>
      <c r="J1081" s="2"/>
    </row>
    <row r="1082" customFormat="false" ht="15" hidden="false" customHeight="false" outlineLevel="0" collapsed="false">
      <c r="I1082" s="2"/>
      <c r="J1082" s="2"/>
    </row>
    <row r="1083" customFormat="false" ht="15" hidden="false" customHeight="false" outlineLevel="0" collapsed="false">
      <c r="I1083" s="2"/>
      <c r="J1083" s="2"/>
    </row>
    <row r="1084" customFormat="false" ht="15" hidden="false" customHeight="false" outlineLevel="0" collapsed="false">
      <c r="I1084" s="2"/>
      <c r="J1084" s="2"/>
    </row>
    <row r="1085" customFormat="false" ht="15" hidden="false" customHeight="false" outlineLevel="0" collapsed="false">
      <c r="I1085" s="2"/>
      <c r="J1085" s="2"/>
    </row>
    <row r="1086" customFormat="false" ht="15" hidden="false" customHeight="false" outlineLevel="0" collapsed="false">
      <c r="I1086" s="2"/>
      <c r="J1086" s="2"/>
    </row>
    <row r="1087" customFormat="false" ht="15" hidden="false" customHeight="false" outlineLevel="0" collapsed="false">
      <c r="I1087" s="2"/>
      <c r="J1087" s="2"/>
    </row>
    <row r="1088" customFormat="false" ht="15" hidden="false" customHeight="false" outlineLevel="0" collapsed="false">
      <c r="I1088" s="2"/>
      <c r="J1088" s="2"/>
    </row>
    <row r="1089" customFormat="false" ht="15" hidden="false" customHeight="false" outlineLevel="0" collapsed="false">
      <c r="I1089" s="2"/>
      <c r="J1089" s="2"/>
    </row>
    <row r="1090" customFormat="false" ht="15" hidden="false" customHeight="false" outlineLevel="0" collapsed="false">
      <c r="I1090" s="2"/>
      <c r="J1090" s="2"/>
    </row>
    <row r="1091" customFormat="false" ht="15" hidden="false" customHeight="false" outlineLevel="0" collapsed="false">
      <c r="I1091" s="2"/>
      <c r="J1091" s="2"/>
    </row>
    <row r="1092" customFormat="false" ht="15" hidden="false" customHeight="false" outlineLevel="0" collapsed="false">
      <c r="I1092" s="2"/>
      <c r="J1092" s="2"/>
    </row>
    <row r="1093" customFormat="false" ht="15" hidden="false" customHeight="false" outlineLevel="0" collapsed="false">
      <c r="I1093" s="2"/>
      <c r="J1093" s="2"/>
    </row>
    <row r="1094" customFormat="false" ht="15" hidden="false" customHeight="false" outlineLevel="0" collapsed="false">
      <c r="I1094" s="2"/>
      <c r="J1094" s="2"/>
    </row>
    <row r="1095" customFormat="false" ht="15" hidden="false" customHeight="false" outlineLevel="0" collapsed="false">
      <c r="I1095" s="2"/>
      <c r="J1095" s="2"/>
    </row>
    <row r="1096" customFormat="false" ht="15" hidden="false" customHeight="false" outlineLevel="0" collapsed="false">
      <c r="I1096" s="2"/>
      <c r="J1096" s="2"/>
    </row>
    <row r="1097" customFormat="false" ht="15" hidden="false" customHeight="false" outlineLevel="0" collapsed="false">
      <c r="I1097" s="2"/>
      <c r="J1097" s="2"/>
    </row>
    <row r="1098" customFormat="false" ht="15" hidden="false" customHeight="false" outlineLevel="0" collapsed="false">
      <c r="I1098" s="2"/>
      <c r="J1098" s="2"/>
    </row>
    <row r="1099" customFormat="false" ht="15" hidden="false" customHeight="false" outlineLevel="0" collapsed="false">
      <c r="I1099" s="2"/>
      <c r="J1099" s="2"/>
    </row>
    <row r="1100" customFormat="false" ht="15" hidden="false" customHeight="false" outlineLevel="0" collapsed="false">
      <c r="I1100" s="2"/>
      <c r="J1100" s="2"/>
    </row>
    <row r="1101" customFormat="false" ht="15" hidden="false" customHeight="false" outlineLevel="0" collapsed="false">
      <c r="I1101" s="2"/>
      <c r="J1101" s="2"/>
    </row>
    <row r="1102" customFormat="false" ht="15" hidden="false" customHeight="false" outlineLevel="0" collapsed="false">
      <c r="I1102" s="2"/>
      <c r="J1102" s="2"/>
    </row>
    <row r="1103" customFormat="false" ht="15" hidden="false" customHeight="false" outlineLevel="0" collapsed="false">
      <c r="I1103" s="2"/>
      <c r="J1103" s="2"/>
    </row>
    <row r="1104" customFormat="false" ht="15" hidden="false" customHeight="false" outlineLevel="0" collapsed="false">
      <c r="I1104" s="2"/>
      <c r="J1104" s="2"/>
    </row>
    <row r="1105" customFormat="false" ht="15" hidden="false" customHeight="false" outlineLevel="0" collapsed="false">
      <c r="I1105" s="2"/>
      <c r="J1105" s="2"/>
    </row>
    <row r="1106" customFormat="false" ht="15" hidden="false" customHeight="false" outlineLevel="0" collapsed="false">
      <c r="I1106" s="2"/>
      <c r="J1106" s="2"/>
    </row>
    <row r="1107" customFormat="false" ht="15" hidden="false" customHeight="false" outlineLevel="0" collapsed="false">
      <c r="I1107" s="2"/>
      <c r="J1107" s="2"/>
    </row>
    <row r="1108" customFormat="false" ht="15" hidden="false" customHeight="false" outlineLevel="0" collapsed="false">
      <c r="I1108" s="2"/>
      <c r="J1108" s="2"/>
    </row>
    <row r="1109" customFormat="false" ht="15" hidden="false" customHeight="false" outlineLevel="0" collapsed="false">
      <c r="I1109" s="2"/>
      <c r="J1109" s="2"/>
    </row>
    <row r="1110" customFormat="false" ht="15" hidden="false" customHeight="false" outlineLevel="0" collapsed="false">
      <c r="I1110" s="2"/>
      <c r="J1110" s="2"/>
    </row>
    <row r="1111" customFormat="false" ht="15" hidden="false" customHeight="false" outlineLevel="0" collapsed="false">
      <c r="I1111" s="2"/>
      <c r="J1111" s="2"/>
    </row>
    <row r="1112" customFormat="false" ht="15" hidden="false" customHeight="false" outlineLevel="0" collapsed="false">
      <c r="I1112" s="2"/>
      <c r="J1112" s="2"/>
    </row>
    <row r="1113" customFormat="false" ht="15" hidden="false" customHeight="false" outlineLevel="0" collapsed="false">
      <c r="I1113" s="2"/>
      <c r="J1113" s="2"/>
    </row>
    <row r="1114" customFormat="false" ht="15" hidden="false" customHeight="false" outlineLevel="0" collapsed="false">
      <c r="I1114" s="2"/>
      <c r="J1114" s="2"/>
    </row>
    <row r="1115" customFormat="false" ht="15" hidden="false" customHeight="false" outlineLevel="0" collapsed="false">
      <c r="I1115" s="2"/>
      <c r="J1115" s="2"/>
    </row>
    <row r="1116" customFormat="false" ht="15" hidden="false" customHeight="false" outlineLevel="0" collapsed="false">
      <c r="I1116" s="2"/>
      <c r="J1116" s="2"/>
    </row>
    <row r="1117" customFormat="false" ht="15" hidden="false" customHeight="false" outlineLevel="0" collapsed="false">
      <c r="I1117" s="2"/>
      <c r="J1117" s="2"/>
    </row>
    <row r="1118" customFormat="false" ht="15" hidden="false" customHeight="false" outlineLevel="0" collapsed="false">
      <c r="I1118" s="2"/>
      <c r="J1118" s="2"/>
    </row>
    <row r="1119" customFormat="false" ht="15" hidden="false" customHeight="false" outlineLevel="0" collapsed="false">
      <c r="I1119" s="2"/>
      <c r="J1119" s="2"/>
    </row>
    <row r="1120" customFormat="false" ht="15" hidden="false" customHeight="false" outlineLevel="0" collapsed="false">
      <c r="I1120" s="2"/>
      <c r="J1120" s="2"/>
    </row>
    <row r="1121" customFormat="false" ht="15" hidden="false" customHeight="false" outlineLevel="0" collapsed="false">
      <c r="I1121" s="2"/>
      <c r="J1121" s="2"/>
    </row>
    <row r="1122" customFormat="false" ht="15" hidden="false" customHeight="false" outlineLevel="0" collapsed="false">
      <c r="I1122" s="2"/>
      <c r="J1122" s="2"/>
    </row>
    <row r="1123" customFormat="false" ht="15" hidden="false" customHeight="false" outlineLevel="0" collapsed="false">
      <c r="I1123" s="2"/>
      <c r="J1123" s="2"/>
    </row>
    <row r="1124" customFormat="false" ht="15" hidden="false" customHeight="false" outlineLevel="0" collapsed="false">
      <c r="I1124" s="2"/>
      <c r="J1124" s="2"/>
    </row>
    <row r="1125" customFormat="false" ht="15" hidden="false" customHeight="false" outlineLevel="0" collapsed="false">
      <c r="I1125" s="2"/>
      <c r="J1125" s="2"/>
    </row>
    <row r="1126" customFormat="false" ht="15" hidden="false" customHeight="false" outlineLevel="0" collapsed="false">
      <c r="I1126" s="2"/>
      <c r="J1126" s="2"/>
    </row>
    <row r="1127" customFormat="false" ht="15" hidden="false" customHeight="false" outlineLevel="0" collapsed="false">
      <c r="I1127" s="2"/>
      <c r="J1127" s="2"/>
    </row>
    <row r="1128" customFormat="false" ht="15" hidden="false" customHeight="false" outlineLevel="0" collapsed="false">
      <c r="I1128" s="2"/>
      <c r="J1128" s="2"/>
    </row>
    <row r="1129" customFormat="false" ht="15" hidden="false" customHeight="false" outlineLevel="0" collapsed="false">
      <c r="I1129" s="2"/>
      <c r="J1129" s="2"/>
    </row>
    <row r="1130" customFormat="false" ht="15" hidden="false" customHeight="false" outlineLevel="0" collapsed="false">
      <c r="I1130" s="2"/>
      <c r="J1130" s="2"/>
    </row>
    <row r="1131" customFormat="false" ht="15" hidden="false" customHeight="false" outlineLevel="0" collapsed="false">
      <c r="I1131" s="2"/>
      <c r="J1131" s="2"/>
    </row>
    <row r="1132" customFormat="false" ht="15" hidden="false" customHeight="false" outlineLevel="0" collapsed="false">
      <c r="I1132" s="2"/>
      <c r="J1132" s="2"/>
    </row>
    <row r="1133" customFormat="false" ht="15" hidden="false" customHeight="false" outlineLevel="0" collapsed="false">
      <c r="I1133" s="2"/>
      <c r="J1133" s="2"/>
    </row>
    <row r="1134" customFormat="false" ht="15" hidden="false" customHeight="false" outlineLevel="0" collapsed="false">
      <c r="I1134" s="2"/>
      <c r="J1134" s="2"/>
    </row>
    <row r="1135" customFormat="false" ht="15" hidden="false" customHeight="false" outlineLevel="0" collapsed="false">
      <c r="I1135" s="2"/>
      <c r="J1135" s="2"/>
    </row>
    <row r="1136" customFormat="false" ht="15" hidden="false" customHeight="false" outlineLevel="0" collapsed="false">
      <c r="I1136" s="2"/>
      <c r="J1136" s="2"/>
    </row>
    <row r="1137" customFormat="false" ht="15" hidden="false" customHeight="false" outlineLevel="0" collapsed="false">
      <c r="I1137" s="2"/>
      <c r="J1137" s="2"/>
    </row>
    <row r="1138" customFormat="false" ht="15" hidden="false" customHeight="false" outlineLevel="0" collapsed="false">
      <c r="I1138" s="2"/>
      <c r="J1138" s="2"/>
    </row>
    <row r="1139" customFormat="false" ht="15" hidden="false" customHeight="false" outlineLevel="0" collapsed="false">
      <c r="I1139" s="2"/>
      <c r="J1139" s="2"/>
    </row>
    <row r="1140" customFormat="false" ht="15" hidden="false" customHeight="false" outlineLevel="0" collapsed="false">
      <c r="I1140" s="2"/>
      <c r="J1140" s="2"/>
    </row>
    <row r="1141" customFormat="false" ht="15" hidden="false" customHeight="false" outlineLevel="0" collapsed="false">
      <c r="I1141" s="2"/>
      <c r="J1141" s="2"/>
    </row>
    <row r="1142" customFormat="false" ht="15" hidden="false" customHeight="false" outlineLevel="0" collapsed="false">
      <c r="I1142" s="2"/>
      <c r="J1142" s="2"/>
    </row>
    <row r="1143" customFormat="false" ht="15" hidden="false" customHeight="false" outlineLevel="0" collapsed="false">
      <c r="I1143" s="2"/>
      <c r="J1143" s="2"/>
    </row>
    <row r="1144" customFormat="false" ht="15" hidden="false" customHeight="false" outlineLevel="0" collapsed="false">
      <c r="I1144" s="2"/>
      <c r="J1144" s="2"/>
    </row>
    <row r="1145" customFormat="false" ht="15" hidden="false" customHeight="false" outlineLevel="0" collapsed="false">
      <c r="I1145" s="2"/>
      <c r="J1145" s="2"/>
    </row>
    <row r="1146" customFormat="false" ht="15" hidden="false" customHeight="false" outlineLevel="0" collapsed="false">
      <c r="I1146" s="2"/>
      <c r="J1146" s="2"/>
    </row>
    <row r="1147" customFormat="false" ht="15" hidden="false" customHeight="false" outlineLevel="0" collapsed="false">
      <c r="I1147" s="2"/>
      <c r="J1147" s="2"/>
    </row>
    <row r="1148" customFormat="false" ht="15" hidden="false" customHeight="false" outlineLevel="0" collapsed="false">
      <c r="I1148" s="2"/>
      <c r="J1148" s="2"/>
    </row>
    <row r="1149" customFormat="false" ht="15" hidden="false" customHeight="false" outlineLevel="0" collapsed="false">
      <c r="I1149" s="2"/>
      <c r="J1149" s="2"/>
    </row>
    <row r="1150" customFormat="false" ht="15" hidden="false" customHeight="false" outlineLevel="0" collapsed="false">
      <c r="I1150" s="2"/>
      <c r="J1150" s="2"/>
    </row>
    <row r="1151" customFormat="false" ht="15" hidden="false" customHeight="false" outlineLevel="0" collapsed="false">
      <c r="I1151" s="2"/>
      <c r="J1151" s="2"/>
    </row>
    <row r="1152" customFormat="false" ht="15" hidden="false" customHeight="false" outlineLevel="0" collapsed="false">
      <c r="I1152" s="2"/>
      <c r="J1152" s="2"/>
    </row>
    <row r="1153" customFormat="false" ht="15" hidden="false" customHeight="false" outlineLevel="0" collapsed="false">
      <c r="I1153" s="2"/>
      <c r="J1153" s="2"/>
    </row>
    <row r="1154" customFormat="false" ht="15" hidden="false" customHeight="false" outlineLevel="0" collapsed="false">
      <c r="I1154" s="2"/>
      <c r="J1154" s="2"/>
    </row>
    <row r="1155" customFormat="false" ht="15" hidden="false" customHeight="false" outlineLevel="0" collapsed="false">
      <c r="I1155" s="2"/>
      <c r="J1155" s="2"/>
    </row>
    <row r="1156" customFormat="false" ht="15" hidden="false" customHeight="false" outlineLevel="0" collapsed="false">
      <c r="I1156" s="2"/>
      <c r="J1156" s="2"/>
    </row>
    <row r="1157" customFormat="false" ht="15" hidden="false" customHeight="false" outlineLevel="0" collapsed="false">
      <c r="I1157" s="2"/>
      <c r="J1157" s="2"/>
    </row>
    <row r="1158" customFormat="false" ht="15" hidden="false" customHeight="false" outlineLevel="0" collapsed="false">
      <c r="I1158" s="2"/>
      <c r="J1158" s="2"/>
    </row>
    <row r="1159" customFormat="false" ht="15" hidden="false" customHeight="false" outlineLevel="0" collapsed="false">
      <c r="I1159" s="2"/>
      <c r="J1159" s="2"/>
    </row>
    <row r="1160" customFormat="false" ht="15" hidden="false" customHeight="false" outlineLevel="0" collapsed="false">
      <c r="I1160" s="2"/>
      <c r="J1160" s="2"/>
    </row>
    <row r="1161" customFormat="false" ht="15" hidden="false" customHeight="false" outlineLevel="0" collapsed="false">
      <c r="I1161" s="2"/>
      <c r="J1161" s="2"/>
    </row>
    <row r="1162" customFormat="false" ht="15" hidden="false" customHeight="false" outlineLevel="0" collapsed="false">
      <c r="I1162" s="2"/>
      <c r="J1162" s="2"/>
    </row>
    <row r="1163" customFormat="false" ht="15" hidden="false" customHeight="false" outlineLevel="0" collapsed="false">
      <c r="I1163" s="2"/>
      <c r="J1163" s="2"/>
    </row>
    <row r="1164" customFormat="false" ht="15" hidden="false" customHeight="false" outlineLevel="0" collapsed="false">
      <c r="I1164" s="2"/>
      <c r="J1164" s="2"/>
    </row>
    <row r="1165" customFormat="false" ht="15" hidden="false" customHeight="false" outlineLevel="0" collapsed="false">
      <c r="I1165" s="2"/>
      <c r="J1165" s="2"/>
    </row>
    <row r="1166" customFormat="false" ht="15" hidden="false" customHeight="false" outlineLevel="0" collapsed="false">
      <c r="I1166" s="2"/>
      <c r="J1166" s="2"/>
    </row>
    <row r="1167" customFormat="false" ht="15" hidden="false" customHeight="false" outlineLevel="0" collapsed="false">
      <c r="I1167" s="2"/>
      <c r="J1167" s="2"/>
    </row>
    <row r="1168" customFormat="false" ht="15" hidden="false" customHeight="false" outlineLevel="0" collapsed="false">
      <c r="I1168" s="2"/>
      <c r="J1168" s="2"/>
    </row>
    <row r="1169" customFormat="false" ht="15" hidden="false" customHeight="false" outlineLevel="0" collapsed="false">
      <c r="I1169" s="2"/>
      <c r="J1169" s="2"/>
    </row>
    <row r="1170" customFormat="false" ht="15" hidden="false" customHeight="false" outlineLevel="0" collapsed="false">
      <c r="I1170" s="2"/>
      <c r="J1170" s="2"/>
    </row>
    <row r="1171" customFormat="false" ht="15" hidden="false" customHeight="false" outlineLevel="0" collapsed="false">
      <c r="I1171" s="2"/>
      <c r="J1171" s="2"/>
    </row>
    <row r="1172" customFormat="false" ht="15" hidden="false" customHeight="false" outlineLevel="0" collapsed="false">
      <c r="I1172" s="2"/>
      <c r="J1172" s="2"/>
    </row>
    <row r="1173" customFormat="false" ht="15" hidden="false" customHeight="false" outlineLevel="0" collapsed="false">
      <c r="I1173" s="2"/>
      <c r="J1173" s="2"/>
    </row>
    <row r="1174" customFormat="false" ht="15" hidden="false" customHeight="false" outlineLevel="0" collapsed="false">
      <c r="I1174" s="2"/>
      <c r="J1174" s="2"/>
    </row>
    <row r="1175" customFormat="false" ht="15" hidden="false" customHeight="false" outlineLevel="0" collapsed="false">
      <c r="I1175" s="2"/>
      <c r="J1175" s="2"/>
    </row>
    <row r="1176" customFormat="false" ht="15" hidden="false" customHeight="false" outlineLevel="0" collapsed="false">
      <c r="I1176" s="2"/>
      <c r="J1176" s="2"/>
    </row>
    <row r="1177" customFormat="false" ht="15" hidden="false" customHeight="false" outlineLevel="0" collapsed="false">
      <c r="I1177" s="2"/>
      <c r="J1177" s="2"/>
    </row>
    <row r="1178" customFormat="false" ht="15" hidden="false" customHeight="false" outlineLevel="0" collapsed="false">
      <c r="I1178" s="2"/>
      <c r="J1178" s="2"/>
    </row>
    <row r="1179" customFormat="false" ht="15" hidden="false" customHeight="false" outlineLevel="0" collapsed="false">
      <c r="I1179" s="2"/>
      <c r="J1179" s="2"/>
    </row>
    <row r="1180" customFormat="false" ht="15" hidden="false" customHeight="false" outlineLevel="0" collapsed="false">
      <c r="I1180" s="2"/>
      <c r="J1180" s="2"/>
    </row>
    <row r="1181" customFormat="false" ht="15" hidden="false" customHeight="false" outlineLevel="0" collapsed="false">
      <c r="I1181" s="2"/>
      <c r="J1181" s="2"/>
    </row>
    <row r="1182" customFormat="false" ht="15" hidden="false" customHeight="false" outlineLevel="0" collapsed="false">
      <c r="I1182" s="2"/>
      <c r="J1182" s="2"/>
    </row>
    <row r="1183" customFormat="false" ht="15" hidden="false" customHeight="false" outlineLevel="0" collapsed="false">
      <c r="I1183" s="2"/>
      <c r="J1183" s="2"/>
    </row>
    <row r="1184" customFormat="false" ht="15" hidden="false" customHeight="false" outlineLevel="0" collapsed="false">
      <c r="I1184" s="2"/>
      <c r="J1184" s="2"/>
    </row>
    <row r="1185" customFormat="false" ht="15" hidden="false" customHeight="false" outlineLevel="0" collapsed="false">
      <c r="I1185" s="2"/>
      <c r="J1185" s="2"/>
    </row>
    <row r="1186" customFormat="false" ht="15" hidden="false" customHeight="false" outlineLevel="0" collapsed="false">
      <c r="I1186" s="2"/>
      <c r="J1186" s="2"/>
    </row>
    <row r="1187" customFormat="false" ht="15" hidden="false" customHeight="false" outlineLevel="0" collapsed="false">
      <c r="I1187" s="2"/>
      <c r="J1187" s="2"/>
    </row>
    <row r="1188" customFormat="false" ht="15" hidden="false" customHeight="false" outlineLevel="0" collapsed="false">
      <c r="I1188" s="2"/>
      <c r="J1188" s="2"/>
    </row>
    <row r="1189" customFormat="false" ht="15" hidden="false" customHeight="false" outlineLevel="0" collapsed="false">
      <c r="I1189" s="2"/>
      <c r="J1189" s="2"/>
    </row>
    <row r="1190" customFormat="false" ht="15" hidden="false" customHeight="false" outlineLevel="0" collapsed="false">
      <c r="I1190" s="2"/>
      <c r="J1190" s="2"/>
    </row>
    <row r="1191" customFormat="false" ht="15" hidden="false" customHeight="false" outlineLevel="0" collapsed="false">
      <c r="I1191" s="2"/>
      <c r="J1191" s="2"/>
    </row>
    <row r="1192" customFormat="false" ht="15" hidden="false" customHeight="false" outlineLevel="0" collapsed="false">
      <c r="I1192" s="2"/>
      <c r="J1192" s="2"/>
    </row>
    <row r="1193" customFormat="false" ht="15" hidden="false" customHeight="false" outlineLevel="0" collapsed="false">
      <c r="I1193" s="2"/>
      <c r="J1193" s="2"/>
    </row>
    <row r="1194" customFormat="false" ht="15" hidden="false" customHeight="false" outlineLevel="0" collapsed="false">
      <c r="I1194" s="2"/>
      <c r="J1194" s="2"/>
    </row>
    <row r="1195" customFormat="false" ht="15" hidden="false" customHeight="false" outlineLevel="0" collapsed="false">
      <c r="I1195" s="2"/>
      <c r="J1195" s="2"/>
    </row>
    <row r="1196" customFormat="false" ht="15" hidden="false" customHeight="false" outlineLevel="0" collapsed="false">
      <c r="I1196" s="2"/>
      <c r="J1196" s="2"/>
    </row>
    <row r="1197" customFormat="false" ht="15" hidden="false" customHeight="false" outlineLevel="0" collapsed="false">
      <c r="I1197" s="2"/>
      <c r="J1197" s="2"/>
    </row>
    <row r="1198" customFormat="false" ht="15" hidden="false" customHeight="false" outlineLevel="0" collapsed="false">
      <c r="I1198" s="2"/>
      <c r="J1198" s="2"/>
    </row>
    <row r="1199" customFormat="false" ht="15" hidden="false" customHeight="false" outlineLevel="0" collapsed="false">
      <c r="I1199" s="2"/>
      <c r="J1199" s="2"/>
    </row>
    <row r="1200" customFormat="false" ht="15" hidden="false" customHeight="false" outlineLevel="0" collapsed="false">
      <c r="I1200" s="2"/>
      <c r="J1200" s="2"/>
    </row>
    <row r="1201" customFormat="false" ht="15" hidden="false" customHeight="false" outlineLevel="0" collapsed="false">
      <c r="I1201" s="2"/>
      <c r="J1201" s="2"/>
    </row>
    <row r="1202" customFormat="false" ht="15" hidden="false" customHeight="false" outlineLevel="0" collapsed="false">
      <c r="I1202" s="2"/>
      <c r="J1202" s="2"/>
    </row>
    <row r="1203" customFormat="false" ht="15" hidden="false" customHeight="false" outlineLevel="0" collapsed="false">
      <c r="I1203" s="2"/>
      <c r="J1203" s="2"/>
    </row>
    <row r="1204" customFormat="false" ht="15" hidden="false" customHeight="false" outlineLevel="0" collapsed="false">
      <c r="I1204" s="2"/>
      <c r="J1204" s="2"/>
    </row>
    <row r="1205" customFormat="false" ht="15" hidden="false" customHeight="false" outlineLevel="0" collapsed="false">
      <c r="I1205" s="2"/>
      <c r="J1205" s="2"/>
    </row>
    <row r="1206" customFormat="false" ht="15" hidden="false" customHeight="false" outlineLevel="0" collapsed="false">
      <c r="I1206" s="2"/>
      <c r="J1206" s="2"/>
    </row>
    <row r="1207" customFormat="false" ht="15" hidden="false" customHeight="false" outlineLevel="0" collapsed="false">
      <c r="I1207" s="2"/>
      <c r="J1207" s="2"/>
    </row>
    <row r="1208" customFormat="false" ht="15" hidden="false" customHeight="false" outlineLevel="0" collapsed="false">
      <c r="I1208" s="2"/>
      <c r="J1208" s="2"/>
    </row>
    <row r="1209" customFormat="false" ht="15" hidden="false" customHeight="false" outlineLevel="0" collapsed="false">
      <c r="I1209" s="2"/>
      <c r="J1209" s="2"/>
    </row>
    <row r="1210" customFormat="false" ht="15" hidden="false" customHeight="false" outlineLevel="0" collapsed="false">
      <c r="I1210" s="2"/>
      <c r="J1210" s="2"/>
    </row>
    <row r="1211" customFormat="false" ht="15" hidden="false" customHeight="false" outlineLevel="0" collapsed="false">
      <c r="I1211" s="2"/>
      <c r="J1211" s="2"/>
    </row>
    <row r="1212" customFormat="false" ht="15" hidden="false" customHeight="false" outlineLevel="0" collapsed="false">
      <c r="I1212" s="2"/>
      <c r="J1212" s="2"/>
    </row>
    <row r="1213" customFormat="false" ht="15" hidden="false" customHeight="false" outlineLevel="0" collapsed="false">
      <c r="I1213" s="2"/>
      <c r="J1213" s="2"/>
    </row>
    <row r="1214" customFormat="false" ht="15" hidden="false" customHeight="false" outlineLevel="0" collapsed="false">
      <c r="I1214" s="2"/>
      <c r="J1214" s="2"/>
    </row>
    <row r="1215" customFormat="false" ht="15" hidden="false" customHeight="false" outlineLevel="0" collapsed="false">
      <c r="I1215" s="2"/>
      <c r="J1215" s="2"/>
    </row>
    <row r="1216" customFormat="false" ht="15" hidden="false" customHeight="false" outlineLevel="0" collapsed="false">
      <c r="I1216" s="2"/>
      <c r="J1216" s="2"/>
    </row>
    <row r="1217" customFormat="false" ht="15" hidden="false" customHeight="false" outlineLevel="0" collapsed="false">
      <c r="I1217" s="2"/>
      <c r="J1217" s="2"/>
    </row>
    <row r="1218" customFormat="false" ht="15" hidden="false" customHeight="false" outlineLevel="0" collapsed="false">
      <c r="I1218" s="2"/>
      <c r="J1218" s="2"/>
    </row>
    <row r="1219" customFormat="false" ht="15" hidden="false" customHeight="false" outlineLevel="0" collapsed="false">
      <c r="I1219" s="2"/>
      <c r="J1219" s="2"/>
    </row>
    <row r="1220" customFormat="false" ht="15" hidden="false" customHeight="false" outlineLevel="0" collapsed="false">
      <c r="I1220" s="2"/>
      <c r="J1220" s="2"/>
    </row>
    <row r="1221" customFormat="false" ht="15" hidden="false" customHeight="false" outlineLevel="0" collapsed="false">
      <c r="I1221" s="2"/>
      <c r="J1221" s="2"/>
    </row>
    <row r="1222" customFormat="false" ht="15" hidden="false" customHeight="false" outlineLevel="0" collapsed="false">
      <c r="I1222" s="2"/>
      <c r="J1222" s="2"/>
    </row>
    <row r="1223" customFormat="false" ht="15" hidden="false" customHeight="false" outlineLevel="0" collapsed="false">
      <c r="I1223" s="2"/>
      <c r="J1223" s="2"/>
    </row>
    <row r="1224" customFormat="false" ht="15" hidden="false" customHeight="false" outlineLevel="0" collapsed="false">
      <c r="I1224" s="2"/>
      <c r="J1224" s="2"/>
    </row>
    <row r="1225" customFormat="false" ht="15" hidden="false" customHeight="false" outlineLevel="0" collapsed="false">
      <c r="I1225" s="2"/>
      <c r="J1225" s="2"/>
    </row>
    <row r="1226" customFormat="false" ht="15" hidden="false" customHeight="false" outlineLevel="0" collapsed="false">
      <c r="I1226" s="2"/>
      <c r="J1226" s="2"/>
    </row>
    <row r="1227" customFormat="false" ht="15" hidden="false" customHeight="false" outlineLevel="0" collapsed="false">
      <c r="I1227" s="2"/>
      <c r="J1227" s="2"/>
    </row>
    <row r="1228" customFormat="false" ht="15" hidden="false" customHeight="false" outlineLevel="0" collapsed="false">
      <c r="I1228" s="2"/>
      <c r="J1228" s="2"/>
    </row>
    <row r="1229" customFormat="false" ht="15" hidden="false" customHeight="false" outlineLevel="0" collapsed="false">
      <c r="I1229" s="2"/>
      <c r="J1229" s="2"/>
    </row>
    <row r="1230" customFormat="false" ht="15" hidden="false" customHeight="false" outlineLevel="0" collapsed="false">
      <c r="I1230" s="2"/>
      <c r="J1230" s="2"/>
    </row>
    <row r="1231" customFormat="false" ht="15" hidden="false" customHeight="false" outlineLevel="0" collapsed="false">
      <c r="I1231" s="2"/>
      <c r="J1231" s="2"/>
    </row>
    <row r="1232" customFormat="false" ht="15" hidden="false" customHeight="false" outlineLevel="0" collapsed="false">
      <c r="I1232" s="2"/>
      <c r="J1232" s="2"/>
    </row>
    <row r="1233" customFormat="false" ht="15" hidden="false" customHeight="false" outlineLevel="0" collapsed="false">
      <c r="I1233" s="2"/>
      <c r="J1233" s="2"/>
    </row>
    <row r="1234" customFormat="false" ht="15" hidden="false" customHeight="false" outlineLevel="0" collapsed="false">
      <c r="I1234" s="2"/>
      <c r="J1234" s="2"/>
    </row>
    <row r="1235" customFormat="false" ht="15" hidden="false" customHeight="false" outlineLevel="0" collapsed="false">
      <c r="I1235" s="2"/>
      <c r="J1235" s="2"/>
    </row>
    <row r="1236" customFormat="false" ht="15" hidden="false" customHeight="false" outlineLevel="0" collapsed="false">
      <c r="I1236" s="2"/>
      <c r="J1236" s="2"/>
    </row>
    <row r="1237" customFormat="false" ht="15" hidden="false" customHeight="false" outlineLevel="0" collapsed="false">
      <c r="I1237" s="2"/>
      <c r="J1237" s="2"/>
    </row>
    <row r="1238" customFormat="false" ht="15" hidden="false" customHeight="false" outlineLevel="0" collapsed="false">
      <c r="I1238" s="2"/>
      <c r="J1238" s="2"/>
    </row>
    <row r="1239" customFormat="false" ht="15" hidden="false" customHeight="false" outlineLevel="0" collapsed="false">
      <c r="I1239" s="2"/>
      <c r="J1239" s="2"/>
    </row>
    <row r="1240" customFormat="false" ht="15" hidden="false" customHeight="false" outlineLevel="0" collapsed="false">
      <c r="I1240" s="2"/>
      <c r="J1240" s="2"/>
    </row>
    <row r="1241" customFormat="false" ht="15" hidden="false" customHeight="false" outlineLevel="0" collapsed="false">
      <c r="I1241" s="2"/>
      <c r="J1241" s="2"/>
    </row>
    <row r="1242" customFormat="false" ht="15" hidden="false" customHeight="false" outlineLevel="0" collapsed="false">
      <c r="I1242" s="2"/>
      <c r="J1242" s="2"/>
    </row>
    <row r="1243" customFormat="false" ht="15" hidden="false" customHeight="false" outlineLevel="0" collapsed="false">
      <c r="I1243" s="2"/>
      <c r="J1243" s="2"/>
    </row>
    <row r="1244" customFormat="false" ht="15" hidden="false" customHeight="false" outlineLevel="0" collapsed="false">
      <c r="I1244" s="2"/>
      <c r="J1244" s="2"/>
    </row>
    <row r="1245" customFormat="false" ht="15" hidden="false" customHeight="false" outlineLevel="0" collapsed="false">
      <c r="I1245" s="2"/>
      <c r="J1245" s="2"/>
    </row>
    <row r="1246" customFormat="false" ht="15" hidden="false" customHeight="false" outlineLevel="0" collapsed="false">
      <c r="I1246" s="2"/>
      <c r="J1246" s="2"/>
    </row>
    <row r="1247" customFormat="false" ht="15" hidden="false" customHeight="false" outlineLevel="0" collapsed="false">
      <c r="I1247" s="2"/>
      <c r="J1247" s="2"/>
    </row>
    <row r="1248" customFormat="false" ht="15" hidden="false" customHeight="false" outlineLevel="0" collapsed="false">
      <c r="I1248" s="2"/>
      <c r="J1248" s="2"/>
    </row>
    <row r="1249" customFormat="false" ht="15" hidden="false" customHeight="false" outlineLevel="0" collapsed="false">
      <c r="I1249" s="2"/>
      <c r="J1249" s="2"/>
    </row>
    <row r="1250" customFormat="false" ht="15" hidden="false" customHeight="false" outlineLevel="0" collapsed="false">
      <c r="I1250" s="2"/>
      <c r="J1250" s="2"/>
    </row>
    <row r="1251" customFormat="false" ht="15" hidden="false" customHeight="false" outlineLevel="0" collapsed="false">
      <c r="I1251" s="2"/>
      <c r="J1251" s="2"/>
    </row>
    <row r="1252" customFormat="false" ht="15" hidden="false" customHeight="false" outlineLevel="0" collapsed="false">
      <c r="I1252" s="2"/>
      <c r="J1252" s="2"/>
    </row>
    <row r="1253" customFormat="false" ht="15" hidden="false" customHeight="false" outlineLevel="0" collapsed="false">
      <c r="I1253" s="2"/>
      <c r="J1253" s="2"/>
    </row>
    <row r="1254" customFormat="false" ht="15" hidden="false" customHeight="false" outlineLevel="0" collapsed="false">
      <c r="I1254" s="2"/>
      <c r="J1254" s="2"/>
    </row>
    <row r="1255" customFormat="false" ht="15" hidden="false" customHeight="false" outlineLevel="0" collapsed="false">
      <c r="I1255" s="2"/>
      <c r="J1255" s="2"/>
    </row>
    <row r="1256" customFormat="false" ht="15" hidden="false" customHeight="false" outlineLevel="0" collapsed="false">
      <c r="I1256" s="2"/>
      <c r="J1256" s="2"/>
    </row>
    <row r="1257" customFormat="false" ht="15" hidden="false" customHeight="false" outlineLevel="0" collapsed="false">
      <c r="I1257" s="2"/>
      <c r="J1257" s="2"/>
    </row>
    <row r="1258" customFormat="false" ht="15" hidden="false" customHeight="false" outlineLevel="0" collapsed="false">
      <c r="I1258" s="2"/>
      <c r="J1258" s="2"/>
    </row>
    <row r="1259" customFormat="false" ht="15" hidden="false" customHeight="false" outlineLevel="0" collapsed="false">
      <c r="I1259" s="2"/>
      <c r="J1259" s="2"/>
    </row>
    <row r="1260" customFormat="false" ht="15" hidden="false" customHeight="false" outlineLevel="0" collapsed="false">
      <c r="I1260" s="2"/>
      <c r="J1260" s="2"/>
    </row>
    <row r="1261" customFormat="false" ht="15" hidden="false" customHeight="false" outlineLevel="0" collapsed="false">
      <c r="I1261" s="2"/>
      <c r="J1261" s="2"/>
    </row>
    <row r="1262" customFormat="false" ht="15" hidden="false" customHeight="false" outlineLevel="0" collapsed="false">
      <c r="I1262" s="2"/>
      <c r="J1262" s="2"/>
    </row>
    <row r="1263" customFormat="false" ht="15" hidden="false" customHeight="false" outlineLevel="0" collapsed="false">
      <c r="I1263" s="2"/>
      <c r="J1263" s="2"/>
    </row>
    <row r="1264" customFormat="false" ht="15" hidden="false" customHeight="false" outlineLevel="0" collapsed="false">
      <c r="I1264" s="2"/>
      <c r="J1264" s="2"/>
    </row>
    <row r="1265" customFormat="false" ht="15" hidden="false" customHeight="false" outlineLevel="0" collapsed="false">
      <c r="I1265" s="2"/>
      <c r="J1265" s="2"/>
    </row>
    <row r="1266" customFormat="false" ht="15" hidden="false" customHeight="false" outlineLevel="0" collapsed="false">
      <c r="I1266" s="2"/>
      <c r="J1266" s="2"/>
    </row>
    <row r="1267" customFormat="false" ht="15" hidden="false" customHeight="false" outlineLevel="0" collapsed="false">
      <c r="I1267" s="2"/>
      <c r="J1267" s="2"/>
    </row>
    <row r="1268" customFormat="false" ht="15" hidden="false" customHeight="false" outlineLevel="0" collapsed="false">
      <c r="I1268" s="2"/>
      <c r="J1268" s="2"/>
    </row>
    <row r="1269" customFormat="false" ht="15" hidden="false" customHeight="false" outlineLevel="0" collapsed="false">
      <c r="I1269" s="2"/>
      <c r="J1269" s="2"/>
    </row>
    <row r="1270" customFormat="false" ht="15" hidden="false" customHeight="false" outlineLevel="0" collapsed="false">
      <c r="I1270" s="2"/>
      <c r="J1270" s="2"/>
    </row>
    <row r="1271" customFormat="false" ht="15" hidden="false" customHeight="false" outlineLevel="0" collapsed="false">
      <c r="I1271" s="2"/>
      <c r="J1271" s="2"/>
    </row>
    <row r="1272" customFormat="false" ht="15" hidden="false" customHeight="false" outlineLevel="0" collapsed="false">
      <c r="I1272" s="2"/>
      <c r="J1272" s="2"/>
    </row>
    <row r="1273" customFormat="false" ht="15" hidden="false" customHeight="false" outlineLevel="0" collapsed="false">
      <c r="I1273" s="2"/>
      <c r="J1273" s="2"/>
    </row>
    <row r="1274" customFormat="false" ht="15" hidden="false" customHeight="false" outlineLevel="0" collapsed="false">
      <c r="I1274" s="2"/>
      <c r="J1274" s="2"/>
    </row>
    <row r="1275" customFormat="false" ht="15" hidden="false" customHeight="false" outlineLevel="0" collapsed="false">
      <c r="I1275" s="2"/>
      <c r="J1275" s="2"/>
    </row>
    <row r="1276" customFormat="false" ht="15" hidden="false" customHeight="false" outlineLevel="0" collapsed="false">
      <c r="I1276" s="2"/>
      <c r="J1276" s="2"/>
    </row>
    <row r="1277" customFormat="false" ht="15" hidden="false" customHeight="false" outlineLevel="0" collapsed="false">
      <c r="I1277" s="2"/>
      <c r="J1277" s="2"/>
    </row>
    <row r="1278" customFormat="false" ht="15" hidden="false" customHeight="false" outlineLevel="0" collapsed="false">
      <c r="I1278" s="2"/>
      <c r="J1278" s="2"/>
    </row>
    <row r="1279" customFormat="false" ht="15" hidden="false" customHeight="false" outlineLevel="0" collapsed="false">
      <c r="I1279" s="2"/>
      <c r="J1279" s="2"/>
    </row>
    <row r="1280" customFormat="false" ht="15" hidden="false" customHeight="false" outlineLevel="0" collapsed="false">
      <c r="I1280" s="2"/>
      <c r="J1280" s="2"/>
    </row>
    <row r="1281" customFormat="false" ht="15" hidden="false" customHeight="false" outlineLevel="0" collapsed="false">
      <c r="I1281" s="2"/>
      <c r="J1281" s="2"/>
    </row>
    <row r="1282" customFormat="false" ht="15" hidden="false" customHeight="false" outlineLevel="0" collapsed="false">
      <c r="I1282" s="2"/>
      <c r="J1282" s="2"/>
    </row>
    <row r="1283" customFormat="false" ht="15" hidden="false" customHeight="false" outlineLevel="0" collapsed="false">
      <c r="I1283" s="2"/>
      <c r="J1283" s="2"/>
    </row>
    <row r="1284" customFormat="false" ht="15" hidden="false" customHeight="false" outlineLevel="0" collapsed="false">
      <c r="I1284" s="2"/>
      <c r="J1284" s="2"/>
    </row>
    <row r="1285" customFormat="false" ht="15" hidden="false" customHeight="false" outlineLevel="0" collapsed="false">
      <c r="I1285" s="2"/>
      <c r="J1285" s="2"/>
    </row>
    <row r="1286" customFormat="false" ht="15" hidden="false" customHeight="false" outlineLevel="0" collapsed="false">
      <c r="I1286" s="2"/>
      <c r="J1286" s="2"/>
    </row>
    <row r="1287" customFormat="false" ht="15" hidden="false" customHeight="false" outlineLevel="0" collapsed="false">
      <c r="I1287" s="2"/>
      <c r="J1287" s="2"/>
    </row>
    <row r="1288" customFormat="false" ht="15" hidden="false" customHeight="false" outlineLevel="0" collapsed="false">
      <c r="I1288" s="2"/>
      <c r="J1288" s="2"/>
    </row>
    <row r="1289" customFormat="false" ht="15" hidden="false" customHeight="false" outlineLevel="0" collapsed="false">
      <c r="I1289" s="2"/>
      <c r="J1289" s="2"/>
    </row>
    <row r="1290" customFormat="false" ht="15" hidden="false" customHeight="false" outlineLevel="0" collapsed="false">
      <c r="I1290" s="2"/>
      <c r="J1290" s="2"/>
    </row>
    <row r="1291" customFormat="false" ht="15" hidden="false" customHeight="false" outlineLevel="0" collapsed="false">
      <c r="I1291" s="2"/>
      <c r="J1291" s="2"/>
    </row>
    <row r="1292" customFormat="false" ht="15" hidden="false" customHeight="false" outlineLevel="0" collapsed="false">
      <c r="I1292" s="2"/>
      <c r="J1292" s="2"/>
    </row>
    <row r="1293" customFormat="false" ht="15" hidden="false" customHeight="false" outlineLevel="0" collapsed="false">
      <c r="I1293" s="2"/>
      <c r="J1293" s="2"/>
    </row>
    <row r="1294" customFormat="false" ht="15" hidden="false" customHeight="false" outlineLevel="0" collapsed="false">
      <c r="I1294" s="2"/>
      <c r="J1294" s="2"/>
    </row>
    <row r="1295" customFormat="false" ht="15" hidden="false" customHeight="false" outlineLevel="0" collapsed="false">
      <c r="I1295" s="2"/>
      <c r="J1295" s="2"/>
    </row>
    <row r="1296" customFormat="false" ht="15" hidden="false" customHeight="false" outlineLevel="0" collapsed="false">
      <c r="I1296" s="2"/>
      <c r="J1296" s="2"/>
    </row>
    <row r="1297" customFormat="false" ht="15" hidden="false" customHeight="false" outlineLevel="0" collapsed="false">
      <c r="I1297" s="2"/>
      <c r="J1297" s="2"/>
    </row>
    <row r="1298" customFormat="false" ht="15" hidden="false" customHeight="false" outlineLevel="0" collapsed="false">
      <c r="I1298" s="2"/>
      <c r="J1298" s="2"/>
    </row>
    <row r="1299" customFormat="false" ht="15" hidden="false" customHeight="false" outlineLevel="0" collapsed="false">
      <c r="I1299" s="2"/>
      <c r="J1299" s="2"/>
    </row>
    <row r="1300" customFormat="false" ht="15" hidden="false" customHeight="false" outlineLevel="0" collapsed="false">
      <c r="I1300" s="2"/>
      <c r="J1300" s="2"/>
    </row>
    <row r="1301" customFormat="false" ht="15" hidden="false" customHeight="false" outlineLevel="0" collapsed="false">
      <c r="I1301" s="2"/>
      <c r="J1301" s="2"/>
    </row>
    <row r="1302" customFormat="false" ht="15" hidden="false" customHeight="false" outlineLevel="0" collapsed="false">
      <c r="I1302" s="2"/>
      <c r="J1302" s="2"/>
    </row>
    <row r="1303" customFormat="false" ht="15" hidden="false" customHeight="false" outlineLevel="0" collapsed="false">
      <c r="I1303" s="2"/>
      <c r="J1303" s="2"/>
    </row>
    <row r="1304" customFormat="false" ht="15" hidden="false" customHeight="false" outlineLevel="0" collapsed="false">
      <c r="I1304" s="2"/>
      <c r="J1304" s="2"/>
    </row>
    <row r="1305" customFormat="false" ht="15" hidden="false" customHeight="false" outlineLevel="0" collapsed="false">
      <c r="I1305" s="2"/>
      <c r="J1305" s="2"/>
    </row>
    <row r="1306" customFormat="false" ht="15" hidden="false" customHeight="false" outlineLevel="0" collapsed="false">
      <c r="I1306" s="2"/>
      <c r="J1306" s="2"/>
    </row>
    <row r="1307" customFormat="false" ht="15" hidden="false" customHeight="false" outlineLevel="0" collapsed="false">
      <c r="I1307" s="2"/>
      <c r="J1307" s="2"/>
    </row>
    <row r="1308" customFormat="false" ht="15" hidden="false" customHeight="false" outlineLevel="0" collapsed="false">
      <c r="I1308" s="2"/>
      <c r="J1308" s="2"/>
    </row>
    <row r="1309" customFormat="false" ht="15" hidden="false" customHeight="false" outlineLevel="0" collapsed="false">
      <c r="I1309" s="2"/>
      <c r="J1309" s="2"/>
    </row>
    <row r="1310" customFormat="false" ht="15" hidden="false" customHeight="false" outlineLevel="0" collapsed="false">
      <c r="I1310" s="2"/>
      <c r="J1310" s="2"/>
    </row>
    <row r="1311" customFormat="false" ht="15" hidden="false" customHeight="false" outlineLevel="0" collapsed="false">
      <c r="I1311" s="2"/>
      <c r="J1311" s="2"/>
    </row>
    <row r="1312" customFormat="false" ht="15" hidden="false" customHeight="false" outlineLevel="0" collapsed="false">
      <c r="I1312" s="2"/>
      <c r="J1312" s="2"/>
    </row>
    <row r="1313" customFormat="false" ht="15" hidden="false" customHeight="false" outlineLevel="0" collapsed="false">
      <c r="I1313" s="2"/>
      <c r="J1313" s="2"/>
    </row>
    <row r="1314" customFormat="false" ht="15" hidden="false" customHeight="false" outlineLevel="0" collapsed="false">
      <c r="I1314" s="2"/>
      <c r="J1314" s="2"/>
    </row>
    <row r="1315" customFormat="false" ht="15" hidden="false" customHeight="false" outlineLevel="0" collapsed="false">
      <c r="I1315" s="2"/>
      <c r="J1315" s="2"/>
    </row>
    <row r="1316" customFormat="false" ht="15" hidden="false" customHeight="false" outlineLevel="0" collapsed="false">
      <c r="I1316" s="2"/>
      <c r="J1316" s="2"/>
    </row>
    <row r="1317" customFormat="false" ht="15" hidden="false" customHeight="false" outlineLevel="0" collapsed="false">
      <c r="I1317" s="2"/>
      <c r="J1317" s="2"/>
    </row>
    <row r="1318" customFormat="false" ht="15" hidden="false" customHeight="false" outlineLevel="0" collapsed="false">
      <c r="I1318" s="2"/>
      <c r="J1318" s="2"/>
    </row>
    <row r="1319" customFormat="false" ht="15" hidden="false" customHeight="false" outlineLevel="0" collapsed="false">
      <c r="I1319" s="2"/>
      <c r="J1319" s="2"/>
    </row>
    <row r="1320" customFormat="false" ht="15" hidden="false" customHeight="false" outlineLevel="0" collapsed="false">
      <c r="I1320" s="2"/>
      <c r="J1320" s="2"/>
    </row>
    <row r="1321" customFormat="false" ht="15" hidden="false" customHeight="false" outlineLevel="0" collapsed="false">
      <c r="I1321" s="2"/>
      <c r="J1321" s="2"/>
    </row>
    <row r="1322" customFormat="false" ht="15" hidden="false" customHeight="false" outlineLevel="0" collapsed="false">
      <c r="I1322" s="2"/>
      <c r="J1322" s="2"/>
    </row>
    <row r="1323" customFormat="false" ht="15" hidden="false" customHeight="false" outlineLevel="0" collapsed="false">
      <c r="I1323" s="2"/>
      <c r="J1323" s="2"/>
    </row>
    <row r="1324" customFormat="false" ht="15" hidden="false" customHeight="false" outlineLevel="0" collapsed="false">
      <c r="I1324" s="2"/>
      <c r="J1324" s="2"/>
    </row>
    <row r="1325" customFormat="false" ht="15" hidden="false" customHeight="false" outlineLevel="0" collapsed="false">
      <c r="I1325" s="2"/>
      <c r="J1325" s="2"/>
    </row>
    <row r="1326" customFormat="false" ht="15" hidden="false" customHeight="false" outlineLevel="0" collapsed="false">
      <c r="I1326" s="2"/>
      <c r="J1326" s="2"/>
    </row>
    <row r="1327" customFormat="false" ht="15" hidden="false" customHeight="false" outlineLevel="0" collapsed="false">
      <c r="I1327" s="2"/>
      <c r="J1327" s="2"/>
    </row>
    <row r="1328" customFormat="false" ht="15" hidden="false" customHeight="false" outlineLevel="0" collapsed="false">
      <c r="I1328" s="2"/>
      <c r="J1328" s="2"/>
    </row>
    <row r="1329" customFormat="false" ht="15" hidden="false" customHeight="false" outlineLevel="0" collapsed="false">
      <c r="I1329" s="2"/>
      <c r="J1329" s="2"/>
    </row>
    <row r="1330" customFormat="false" ht="15" hidden="false" customHeight="false" outlineLevel="0" collapsed="false">
      <c r="I1330" s="2"/>
      <c r="J1330" s="2"/>
    </row>
    <row r="1331" customFormat="false" ht="15" hidden="false" customHeight="false" outlineLevel="0" collapsed="false">
      <c r="I1331" s="2"/>
      <c r="J1331" s="2"/>
    </row>
    <row r="1332" customFormat="false" ht="15" hidden="false" customHeight="false" outlineLevel="0" collapsed="false">
      <c r="I1332" s="2"/>
      <c r="J1332" s="2"/>
    </row>
    <row r="1333" customFormat="false" ht="15" hidden="false" customHeight="false" outlineLevel="0" collapsed="false">
      <c r="I1333" s="2"/>
      <c r="J1333" s="2"/>
    </row>
    <row r="1334" customFormat="false" ht="15" hidden="false" customHeight="false" outlineLevel="0" collapsed="false">
      <c r="I1334" s="2"/>
      <c r="J1334" s="2"/>
    </row>
    <row r="1335" customFormat="false" ht="15" hidden="false" customHeight="false" outlineLevel="0" collapsed="false">
      <c r="I1335" s="2"/>
      <c r="J1335" s="2"/>
    </row>
    <row r="1336" customFormat="false" ht="15" hidden="false" customHeight="false" outlineLevel="0" collapsed="false">
      <c r="I1336" s="2"/>
      <c r="J1336" s="2"/>
    </row>
    <row r="1337" customFormat="false" ht="15" hidden="false" customHeight="false" outlineLevel="0" collapsed="false">
      <c r="I1337" s="2"/>
      <c r="J1337" s="2"/>
    </row>
    <row r="1338" customFormat="false" ht="15" hidden="false" customHeight="false" outlineLevel="0" collapsed="false">
      <c r="I1338" s="2"/>
      <c r="J1338" s="2"/>
    </row>
    <row r="1339" customFormat="false" ht="15" hidden="false" customHeight="false" outlineLevel="0" collapsed="false">
      <c r="I1339" s="2"/>
      <c r="J1339" s="2"/>
    </row>
    <row r="1340" customFormat="false" ht="15" hidden="false" customHeight="false" outlineLevel="0" collapsed="false">
      <c r="I1340" s="2"/>
      <c r="J1340" s="2"/>
    </row>
    <row r="1341" customFormat="false" ht="15" hidden="false" customHeight="false" outlineLevel="0" collapsed="false">
      <c r="I1341" s="2"/>
      <c r="J1341" s="2"/>
    </row>
    <row r="1342" customFormat="false" ht="15" hidden="false" customHeight="false" outlineLevel="0" collapsed="false">
      <c r="I1342" s="2"/>
      <c r="J1342" s="2"/>
    </row>
    <row r="1343" customFormat="false" ht="15" hidden="false" customHeight="false" outlineLevel="0" collapsed="false">
      <c r="I1343" s="2"/>
      <c r="J1343" s="2"/>
    </row>
    <row r="1344" customFormat="false" ht="15" hidden="false" customHeight="false" outlineLevel="0" collapsed="false">
      <c r="I1344" s="2"/>
      <c r="J1344" s="2"/>
    </row>
    <row r="1345" customFormat="false" ht="15" hidden="false" customHeight="false" outlineLevel="0" collapsed="false">
      <c r="I1345" s="2"/>
      <c r="J1345" s="2"/>
    </row>
    <row r="1346" customFormat="false" ht="15" hidden="false" customHeight="false" outlineLevel="0" collapsed="false">
      <c r="I1346" s="2"/>
      <c r="J1346" s="2"/>
    </row>
    <row r="1347" customFormat="false" ht="15" hidden="false" customHeight="false" outlineLevel="0" collapsed="false">
      <c r="I1347" s="2"/>
      <c r="J1347" s="2"/>
    </row>
    <row r="1348" customFormat="false" ht="15" hidden="false" customHeight="false" outlineLevel="0" collapsed="false">
      <c r="I1348" s="2"/>
      <c r="J1348" s="2"/>
    </row>
    <row r="1349" customFormat="false" ht="15" hidden="false" customHeight="false" outlineLevel="0" collapsed="false">
      <c r="I1349" s="2"/>
      <c r="J1349" s="2"/>
    </row>
    <row r="1350" customFormat="false" ht="15" hidden="false" customHeight="false" outlineLevel="0" collapsed="false">
      <c r="I1350" s="2"/>
      <c r="J1350" s="2"/>
    </row>
    <row r="1351" customFormat="false" ht="15" hidden="false" customHeight="false" outlineLevel="0" collapsed="false">
      <c r="I1351" s="2"/>
      <c r="J1351" s="2"/>
    </row>
    <row r="1352" customFormat="false" ht="15" hidden="false" customHeight="false" outlineLevel="0" collapsed="false">
      <c r="I1352" s="2"/>
      <c r="J1352" s="2"/>
    </row>
    <row r="1353" customFormat="false" ht="15" hidden="false" customHeight="false" outlineLevel="0" collapsed="false">
      <c r="I1353" s="2"/>
      <c r="J1353" s="2"/>
    </row>
    <row r="1354" customFormat="false" ht="15" hidden="false" customHeight="false" outlineLevel="0" collapsed="false">
      <c r="I1354" s="2"/>
      <c r="J1354" s="2"/>
    </row>
    <row r="1355" customFormat="false" ht="15" hidden="false" customHeight="false" outlineLevel="0" collapsed="false">
      <c r="I1355" s="2"/>
      <c r="J1355" s="2"/>
    </row>
    <row r="1356" customFormat="false" ht="15" hidden="false" customHeight="false" outlineLevel="0" collapsed="false">
      <c r="I1356" s="2"/>
      <c r="J1356" s="2"/>
    </row>
    <row r="1357" customFormat="false" ht="15" hidden="false" customHeight="false" outlineLevel="0" collapsed="false">
      <c r="I1357" s="2"/>
      <c r="J1357" s="2"/>
    </row>
    <row r="1358" customFormat="false" ht="15" hidden="false" customHeight="false" outlineLevel="0" collapsed="false">
      <c r="I1358" s="2"/>
      <c r="J1358" s="2"/>
    </row>
    <row r="1359" customFormat="false" ht="15" hidden="false" customHeight="false" outlineLevel="0" collapsed="false">
      <c r="I1359" s="2"/>
      <c r="J1359" s="2"/>
    </row>
    <row r="1360" customFormat="false" ht="15" hidden="false" customHeight="false" outlineLevel="0" collapsed="false">
      <c r="I1360" s="2"/>
      <c r="J1360" s="2"/>
    </row>
    <row r="1361" customFormat="false" ht="15" hidden="false" customHeight="false" outlineLevel="0" collapsed="false">
      <c r="I1361" s="2"/>
      <c r="J1361" s="2"/>
    </row>
    <row r="1362" customFormat="false" ht="15" hidden="false" customHeight="false" outlineLevel="0" collapsed="false">
      <c r="I1362" s="2"/>
      <c r="J1362" s="2"/>
    </row>
    <row r="1363" customFormat="false" ht="15" hidden="false" customHeight="false" outlineLevel="0" collapsed="false">
      <c r="I1363" s="2"/>
      <c r="J1363" s="2"/>
    </row>
    <row r="1364" customFormat="false" ht="15" hidden="false" customHeight="false" outlineLevel="0" collapsed="false">
      <c r="I1364" s="2"/>
      <c r="J1364" s="2"/>
    </row>
    <row r="1365" customFormat="false" ht="15" hidden="false" customHeight="false" outlineLevel="0" collapsed="false">
      <c r="I1365" s="2"/>
      <c r="J1365" s="2"/>
    </row>
    <row r="1366" customFormat="false" ht="15" hidden="false" customHeight="false" outlineLevel="0" collapsed="false">
      <c r="I1366" s="2"/>
      <c r="J1366" s="2"/>
    </row>
    <row r="1367" customFormat="false" ht="15" hidden="false" customHeight="false" outlineLevel="0" collapsed="false">
      <c r="I1367" s="2"/>
      <c r="J1367" s="2"/>
    </row>
    <row r="1368" customFormat="false" ht="15" hidden="false" customHeight="false" outlineLevel="0" collapsed="false">
      <c r="I1368" s="2"/>
      <c r="J1368" s="2"/>
    </row>
    <row r="1369" customFormat="false" ht="15" hidden="false" customHeight="false" outlineLevel="0" collapsed="false">
      <c r="I1369" s="2"/>
      <c r="J1369" s="2"/>
    </row>
    <row r="1370" customFormat="false" ht="15" hidden="false" customHeight="false" outlineLevel="0" collapsed="false">
      <c r="I1370" s="2"/>
      <c r="J1370" s="2"/>
    </row>
    <row r="1371" customFormat="false" ht="15" hidden="false" customHeight="false" outlineLevel="0" collapsed="false">
      <c r="I1371" s="2"/>
      <c r="J1371" s="2"/>
    </row>
    <row r="1372" customFormat="false" ht="15" hidden="false" customHeight="false" outlineLevel="0" collapsed="false">
      <c r="I1372" s="2"/>
      <c r="J1372" s="2"/>
    </row>
    <row r="1373" customFormat="false" ht="15" hidden="false" customHeight="false" outlineLevel="0" collapsed="false">
      <c r="I1373" s="2"/>
      <c r="J1373" s="2"/>
    </row>
    <row r="1374" customFormat="false" ht="15" hidden="false" customHeight="false" outlineLevel="0" collapsed="false">
      <c r="I1374" s="2"/>
      <c r="J1374" s="2"/>
    </row>
    <row r="1375" customFormat="false" ht="15" hidden="false" customHeight="false" outlineLevel="0" collapsed="false">
      <c r="I1375" s="2"/>
      <c r="J1375" s="2"/>
    </row>
    <row r="1376" customFormat="false" ht="15" hidden="false" customHeight="false" outlineLevel="0" collapsed="false">
      <c r="I1376" s="2"/>
      <c r="J1376" s="2"/>
    </row>
    <row r="1377" customFormat="false" ht="15" hidden="false" customHeight="false" outlineLevel="0" collapsed="false">
      <c r="I1377" s="2"/>
      <c r="J1377" s="2"/>
    </row>
    <row r="1378" customFormat="false" ht="15" hidden="false" customHeight="false" outlineLevel="0" collapsed="false">
      <c r="I1378" s="2"/>
      <c r="J1378" s="2"/>
    </row>
    <row r="1379" customFormat="false" ht="15" hidden="false" customHeight="false" outlineLevel="0" collapsed="false">
      <c r="I1379" s="2"/>
      <c r="J1379" s="2"/>
    </row>
    <row r="1380" customFormat="false" ht="15" hidden="false" customHeight="false" outlineLevel="0" collapsed="false">
      <c r="I1380" s="2"/>
      <c r="J1380" s="2"/>
    </row>
    <row r="1381" customFormat="false" ht="15" hidden="false" customHeight="false" outlineLevel="0" collapsed="false">
      <c r="I1381" s="2"/>
      <c r="J1381" s="2"/>
    </row>
    <row r="1382" customFormat="false" ht="15" hidden="false" customHeight="false" outlineLevel="0" collapsed="false">
      <c r="I1382" s="2"/>
      <c r="J1382" s="2"/>
    </row>
    <row r="1383" customFormat="false" ht="15" hidden="false" customHeight="false" outlineLevel="0" collapsed="false">
      <c r="I1383" s="2"/>
      <c r="J1383" s="2"/>
    </row>
    <row r="1384" customFormat="false" ht="15" hidden="false" customHeight="false" outlineLevel="0" collapsed="false">
      <c r="I1384" s="2"/>
      <c r="J1384" s="2"/>
    </row>
    <row r="1385" customFormat="false" ht="15" hidden="false" customHeight="false" outlineLevel="0" collapsed="false">
      <c r="I1385" s="2"/>
      <c r="J1385" s="2"/>
    </row>
    <row r="1386" customFormat="false" ht="15" hidden="false" customHeight="false" outlineLevel="0" collapsed="false">
      <c r="I1386" s="2"/>
      <c r="J1386" s="2"/>
    </row>
    <row r="1387" customFormat="false" ht="15" hidden="false" customHeight="false" outlineLevel="0" collapsed="false">
      <c r="I1387" s="2"/>
      <c r="J1387" s="2"/>
    </row>
    <row r="1388" customFormat="false" ht="15" hidden="false" customHeight="false" outlineLevel="0" collapsed="false">
      <c r="I1388" s="2"/>
      <c r="J1388" s="2"/>
    </row>
    <row r="1389" customFormat="false" ht="15" hidden="false" customHeight="false" outlineLevel="0" collapsed="false">
      <c r="I1389" s="2"/>
      <c r="J1389" s="2"/>
    </row>
    <row r="1390" customFormat="false" ht="15" hidden="false" customHeight="false" outlineLevel="0" collapsed="false">
      <c r="I1390" s="2"/>
      <c r="J1390" s="2"/>
    </row>
    <row r="1391" customFormat="false" ht="15" hidden="false" customHeight="false" outlineLevel="0" collapsed="false">
      <c r="I1391" s="2"/>
      <c r="J1391" s="2"/>
    </row>
    <row r="1392" customFormat="false" ht="15" hidden="false" customHeight="false" outlineLevel="0" collapsed="false">
      <c r="I1392" s="2"/>
      <c r="J1392" s="2"/>
    </row>
    <row r="1393" customFormat="false" ht="15" hidden="false" customHeight="false" outlineLevel="0" collapsed="false">
      <c r="I1393" s="2"/>
      <c r="J1393" s="2"/>
    </row>
    <row r="1394" customFormat="false" ht="15" hidden="false" customHeight="false" outlineLevel="0" collapsed="false">
      <c r="I1394" s="2"/>
      <c r="J1394" s="2"/>
    </row>
    <row r="1395" customFormat="false" ht="15" hidden="false" customHeight="false" outlineLevel="0" collapsed="false">
      <c r="I1395" s="2"/>
      <c r="J1395" s="2"/>
    </row>
    <row r="1396" customFormat="false" ht="15" hidden="false" customHeight="false" outlineLevel="0" collapsed="false">
      <c r="I1396" s="2"/>
      <c r="J1396" s="2"/>
    </row>
    <row r="1397" customFormat="false" ht="15" hidden="false" customHeight="false" outlineLevel="0" collapsed="false">
      <c r="I1397" s="2"/>
      <c r="J1397" s="2"/>
    </row>
    <row r="1398" customFormat="false" ht="15" hidden="false" customHeight="false" outlineLevel="0" collapsed="false">
      <c r="I1398" s="2"/>
      <c r="J1398" s="2"/>
    </row>
    <row r="1399" customFormat="false" ht="15" hidden="false" customHeight="false" outlineLevel="0" collapsed="false">
      <c r="I1399" s="2"/>
      <c r="J1399" s="2"/>
    </row>
    <row r="1400" customFormat="false" ht="15" hidden="false" customHeight="false" outlineLevel="0" collapsed="false">
      <c r="I1400" s="2"/>
      <c r="J1400" s="2"/>
    </row>
    <row r="1401" customFormat="false" ht="15" hidden="false" customHeight="false" outlineLevel="0" collapsed="false">
      <c r="I1401" s="2"/>
      <c r="J1401" s="2"/>
    </row>
    <row r="1402" customFormat="false" ht="15" hidden="false" customHeight="false" outlineLevel="0" collapsed="false">
      <c r="I1402" s="2"/>
      <c r="J1402" s="2"/>
    </row>
    <row r="1403" customFormat="false" ht="15" hidden="false" customHeight="false" outlineLevel="0" collapsed="false">
      <c r="I1403" s="2"/>
      <c r="J1403" s="2"/>
    </row>
    <row r="1404" customFormat="false" ht="15" hidden="false" customHeight="false" outlineLevel="0" collapsed="false">
      <c r="I1404" s="2"/>
      <c r="J1404" s="2"/>
    </row>
    <row r="1405" customFormat="false" ht="15" hidden="false" customHeight="false" outlineLevel="0" collapsed="false">
      <c r="I1405" s="2"/>
      <c r="J1405" s="2"/>
    </row>
    <row r="1406" customFormat="false" ht="15" hidden="false" customHeight="false" outlineLevel="0" collapsed="false">
      <c r="I1406" s="2"/>
      <c r="J1406" s="2"/>
    </row>
    <row r="1407" customFormat="false" ht="15" hidden="false" customHeight="false" outlineLevel="0" collapsed="false">
      <c r="I1407" s="2"/>
      <c r="J1407" s="2"/>
    </row>
    <row r="1408" customFormat="false" ht="15" hidden="false" customHeight="false" outlineLevel="0" collapsed="false">
      <c r="I1408" s="2"/>
      <c r="J1408" s="2"/>
    </row>
    <row r="1409" customFormat="false" ht="15" hidden="false" customHeight="false" outlineLevel="0" collapsed="false">
      <c r="I1409" s="2"/>
      <c r="J1409" s="2"/>
    </row>
    <row r="1410" customFormat="false" ht="15" hidden="false" customHeight="false" outlineLevel="0" collapsed="false">
      <c r="I1410" s="2"/>
      <c r="J1410" s="2"/>
    </row>
    <row r="1411" customFormat="false" ht="15" hidden="false" customHeight="false" outlineLevel="0" collapsed="false">
      <c r="I1411" s="2"/>
      <c r="J1411" s="2"/>
    </row>
    <row r="1412" customFormat="false" ht="15" hidden="false" customHeight="false" outlineLevel="0" collapsed="false">
      <c r="I1412" s="2"/>
      <c r="J1412" s="2"/>
    </row>
    <row r="1413" customFormat="false" ht="15" hidden="false" customHeight="false" outlineLevel="0" collapsed="false">
      <c r="I1413" s="2"/>
      <c r="J1413" s="2"/>
    </row>
    <row r="1414" customFormat="false" ht="15" hidden="false" customHeight="false" outlineLevel="0" collapsed="false">
      <c r="I1414" s="2"/>
      <c r="J1414" s="2"/>
    </row>
    <row r="1415" customFormat="false" ht="15" hidden="false" customHeight="false" outlineLevel="0" collapsed="false">
      <c r="I1415" s="2"/>
      <c r="J1415" s="2"/>
    </row>
    <row r="1416" customFormat="false" ht="15" hidden="false" customHeight="false" outlineLevel="0" collapsed="false">
      <c r="I1416" s="2"/>
      <c r="J1416" s="2"/>
    </row>
    <row r="1417" customFormat="false" ht="15" hidden="false" customHeight="false" outlineLevel="0" collapsed="false">
      <c r="I1417" s="2"/>
      <c r="J1417" s="2"/>
    </row>
    <row r="1418" customFormat="false" ht="15" hidden="false" customHeight="false" outlineLevel="0" collapsed="false">
      <c r="I1418" s="2"/>
      <c r="J1418" s="2"/>
    </row>
    <row r="1419" customFormat="false" ht="15" hidden="false" customHeight="false" outlineLevel="0" collapsed="false">
      <c r="I1419" s="2"/>
      <c r="J1419" s="2"/>
    </row>
    <row r="1420" customFormat="false" ht="15" hidden="false" customHeight="false" outlineLevel="0" collapsed="false">
      <c r="I1420" s="2"/>
      <c r="J1420" s="2"/>
    </row>
    <row r="1421" customFormat="false" ht="15" hidden="false" customHeight="false" outlineLevel="0" collapsed="false">
      <c r="I1421" s="2"/>
      <c r="J1421" s="2"/>
    </row>
    <row r="1422" customFormat="false" ht="15" hidden="false" customHeight="false" outlineLevel="0" collapsed="false">
      <c r="I1422" s="2"/>
      <c r="J1422" s="2"/>
    </row>
    <row r="1423" customFormat="false" ht="15" hidden="false" customHeight="false" outlineLevel="0" collapsed="false">
      <c r="I1423" s="2"/>
      <c r="J1423" s="2"/>
    </row>
    <row r="1424" customFormat="false" ht="15" hidden="false" customHeight="false" outlineLevel="0" collapsed="false">
      <c r="I1424" s="2"/>
      <c r="J1424" s="2"/>
    </row>
    <row r="1425" customFormat="false" ht="15" hidden="false" customHeight="false" outlineLevel="0" collapsed="false">
      <c r="I1425" s="2"/>
      <c r="J1425" s="2"/>
    </row>
    <row r="1426" customFormat="false" ht="15" hidden="false" customHeight="false" outlineLevel="0" collapsed="false">
      <c r="I1426" s="2"/>
      <c r="J1426" s="2"/>
    </row>
    <row r="1427" customFormat="false" ht="15" hidden="false" customHeight="false" outlineLevel="0" collapsed="false">
      <c r="I1427" s="2"/>
      <c r="J1427" s="2"/>
    </row>
    <row r="1428" customFormat="false" ht="15" hidden="false" customHeight="false" outlineLevel="0" collapsed="false">
      <c r="I1428" s="2"/>
      <c r="J1428" s="2"/>
    </row>
    <row r="1429" customFormat="false" ht="15" hidden="false" customHeight="false" outlineLevel="0" collapsed="false">
      <c r="I1429" s="2"/>
      <c r="J1429" s="2"/>
    </row>
    <row r="1430" customFormat="false" ht="15" hidden="false" customHeight="false" outlineLevel="0" collapsed="false">
      <c r="I1430" s="2"/>
      <c r="J1430" s="2"/>
    </row>
    <row r="1431" customFormat="false" ht="15" hidden="false" customHeight="false" outlineLevel="0" collapsed="false">
      <c r="I1431" s="2"/>
      <c r="J1431" s="2"/>
    </row>
    <row r="1432" customFormat="false" ht="15" hidden="false" customHeight="false" outlineLevel="0" collapsed="false">
      <c r="I1432" s="2"/>
      <c r="J1432" s="2"/>
    </row>
    <row r="1433" customFormat="false" ht="15" hidden="false" customHeight="false" outlineLevel="0" collapsed="false">
      <c r="I1433" s="2"/>
      <c r="J1433" s="2"/>
    </row>
    <row r="1434" customFormat="false" ht="15" hidden="false" customHeight="false" outlineLevel="0" collapsed="false">
      <c r="I1434" s="2"/>
      <c r="J1434" s="2"/>
    </row>
    <row r="1435" customFormat="false" ht="15" hidden="false" customHeight="false" outlineLevel="0" collapsed="false">
      <c r="I1435" s="2"/>
      <c r="J1435" s="2"/>
    </row>
    <row r="1436" customFormat="false" ht="15" hidden="false" customHeight="false" outlineLevel="0" collapsed="false">
      <c r="I1436" s="2"/>
      <c r="J1436" s="2"/>
    </row>
    <row r="1437" customFormat="false" ht="15" hidden="false" customHeight="false" outlineLevel="0" collapsed="false">
      <c r="I1437" s="2"/>
      <c r="J1437" s="2"/>
    </row>
    <row r="1438" customFormat="false" ht="15" hidden="false" customHeight="false" outlineLevel="0" collapsed="false">
      <c r="I1438" s="2"/>
      <c r="J1438" s="2"/>
    </row>
    <row r="1439" customFormat="false" ht="15" hidden="false" customHeight="false" outlineLevel="0" collapsed="false">
      <c r="I1439" s="2"/>
      <c r="J1439" s="2"/>
    </row>
    <row r="1440" customFormat="false" ht="15" hidden="false" customHeight="false" outlineLevel="0" collapsed="false">
      <c r="I1440" s="2"/>
      <c r="J1440" s="2"/>
    </row>
    <row r="1441" customFormat="false" ht="15" hidden="false" customHeight="false" outlineLevel="0" collapsed="false">
      <c r="I1441" s="2"/>
      <c r="J1441" s="2"/>
    </row>
    <row r="1442" customFormat="false" ht="15" hidden="false" customHeight="false" outlineLevel="0" collapsed="false">
      <c r="I1442" s="2"/>
      <c r="J1442" s="2"/>
    </row>
    <row r="1443" customFormat="false" ht="15" hidden="false" customHeight="false" outlineLevel="0" collapsed="false">
      <c r="I1443" s="2"/>
      <c r="J1443" s="2"/>
    </row>
    <row r="1444" customFormat="false" ht="15" hidden="false" customHeight="false" outlineLevel="0" collapsed="false">
      <c r="I1444" s="2"/>
      <c r="J1444" s="2"/>
    </row>
    <row r="1445" customFormat="false" ht="15" hidden="false" customHeight="false" outlineLevel="0" collapsed="false">
      <c r="I1445" s="2"/>
      <c r="J1445" s="2"/>
    </row>
    <row r="1446" customFormat="false" ht="15" hidden="false" customHeight="false" outlineLevel="0" collapsed="false">
      <c r="I1446" s="2"/>
      <c r="J1446" s="2"/>
    </row>
    <row r="1447" customFormat="false" ht="15" hidden="false" customHeight="false" outlineLevel="0" collapsed="false">
      <c r="I1447" s="2"/>
      <c r="J1447" s="2"/>
    </row>
    <row r="1448" customFormat="false" ht="15" hidden="false" customHeight="false" outlineLevel="0" collapsed="false">
      <c r="I1448" s="2"/>
      <c r="J1448" s="2"/>
    </row>
    <row r="1449" customFormat="false" ht="15" hidden="false" customHeight="false" outlineLevel="0" collapsed="false">
      <c r="I1449" s="2"/>
      <c r="J1449" s="2"/>
    </row>
    <row r="1450" customFormat="false" ht="15" hidden="false" customHeight="false" outlineLevel="0" collapsed="false">
      <c r="I1450" s="2"/>
      <c r="J1450" s="2"/>
    </row>
    <row r="1451" customFormat="false" ht="15" hidden="false" customHeight="false" outlineLevel="0" collapsed="false">
      <c r="I1451" s="2"/>
      <c r="J1451" s="2"/>
    </row>
    <row r="1452" customFormat="false" ht="15" hidden="false" customHeight="false" outlineLevel="0" collapsed="false">
      <c r="I1452" s="2"/>
      <c r="J1452" s="2"/>
    </row>
    <row r="1453" customFormat="false" ht="15" hidden="false" customHeight="false" outlineLevel="0" collapsed="false">
      <c r="I1453" s="2"/>
      <c r="J1453" s="2"/>
    </row>
    <row r="1454" customFormat="false" ht="15" hidden="false" customHeight="false" outlineLevel="0" collapsed="false">
      <c r="I1454" s="2"/>
      <c r="J1454" s="2"/>
    </row>
    <row r="1455" customFormat="false" ht="15" hidden="false" customHeight="false" outlineLevel="0" collapsed="false">
      <c r="I1455" s="2"/>
      <c r="J1455" s="2"/>
    </row>
    <row r="1456" customFormat="false" ht="15" hidden="false" customHeight="false" outlineLevel="0" collapsed="false">
      <c r="I1456" s="2"/>
      <c r="J1456" s="2"/>
    </row>
    <row r="1457" customFormat="false" ht="15" hidden="false" customHeight="false" outlineLevel="0" collapsed="false">
      <c r="I1457" s="2"/>
      <c r="J1457" s="2"/>
    </row>
    <row r="1458" customFormat="false" ht="15" hidden="false" customHeight="false" outlineLevel="0" collapsed="false">
      <c r="I1458" s="2"/>
      <c r="J1458" s="2"/>
    </row>
    <row r="1459" customFormat="false" ht="15" hidden="false" customHeight="false" outlineLevel="0" collapsed="false">
      <c r="I1459" s="2"/>
      <c r="J1459" s="2"/>
    </row>
    <row r="1460" customFormat="false" ht="15" hidden="false" customHeight="false" outlineLevel="0" collapsed="false">
      <c r="I1460" s="2"/>
      <c r="J1460" s="2"/>
    </row>
    <row r="1461" customFormat="false" ht="15" hidden="false" customHeight="false" outlineLevel="0" collapsed="false">
      <c r="I1461" s="2"/>
      <c r="J1461" s="2"/>
    </row>
    <row r="1462" customFormat="false" ht="15" hidden="false" customHeight="false" outlineLevel="0" collapsed="false">
      <c r="I1462" s="2"/>
      <c r="J1462" s="2"/>
    </row>
    <row r="1463" customFormat="false" ht="15" hidden="false" customHeight="false" outlineLevel="0" collapsed="false">
      <c r="I1463" s="2"/>
      <c r="J1463" s="2"/>
    </row>
    <row r="1464" customFormat="false" ht="15" hidden="false" customHeight="false" outlineLevel="0" collapsed="false">
      <c r="I1464" s="2"/>
      <c r="J1464" s="2"/>
    </row>
    <row r="1465" customFormat="false" ht="15" hidden="false" customHeight="false" outlineLevel="0" collapsed="false">
      <c r="I1465" s="2"/>
      <c r="J1465" s="2"/>
    </row>
    <row r="1466" customFormat="false" ht="15" hidden="false" customHeight="false" outlineLevel="0" collapsed="false">
      <c r="I1466" s="2"/>
      <c r="J1466" s="2"/>
    </row>
    <row r="1467" customFormat="false" ht="15" hidden="false" customHeight="false" outlineLevel="0" collapsed="false">
      <c r="I1467" s="2"/>
      <c r="J1467" s="2"/>
    </row>
    <row r="1468" customFormat="false" ht="15" hidden="false" customHeight="false" outlineLevel="0" collapsed="false">
      <c r="I1468" s="2"/>
      <c r="J1468" s="2"/>
    </row>
    <row r="1469" customFormat="false" ht="15" hidden="false" customHeight="false" outlineLevel="0" collapsed="false">
      <c r="I1469" s="2"/>
      <c r="J1469" s="2"/>
    </row>
    <row r="1470" customFormat="false" ht="15" hidden="false" customHeight="false" outlineLevel="0" collapsed="false">
      <c r="I1470" s="2"/>
      <c r="J1470" s="2"/>
    </row>
    <row r="1471" customFormat="false" ht="15" hidden="false" customHeight="false" outlineLevel="0" collapsed="false">
      <c r="I1471" s="2"/>
      <c r="J1471" s="2"/>
    </row>
    <row r="1472" customFormat="false" ht="15" hidden="false" customHeight="false" outlineLevel="0" collapsed="false">
      <c r="I1472" s="2"/>
      <c r="J1472" s="2"/>
    </row>
    <row r="1473" customFormat="false" ht="15" hidden="false" customHeight="false" outlineLevel="0" collapsed="false">
      <c r="I1473" s="2"/>
      <c r="J1473" s="2"/>
    </row>
    <row r="1474" customFormat="false" ht="15" hidden="false" customHeight="false" outlineLevel="0" collapsed="false">
      <c r="I1474" s="2"/>
      <c r="J1474" s="2"/>
    </row>
    <row r="1475" customFormat="false" ht="15" hidden="false" customHeight="false" outlineLevel="0" collapsed="false">
      <c r="I1475" s="2"/>
      <c r="J1475" s="2"/>
    </row>
    <row r="1476" customFormat="false" ht="15" hidden="false" customHeight="false" outlineLevel="0" collapsed="false">
      <c r="I1476" s="2"/>
      <c r="J1476" s="2"/>
    </row>
    <row r="1477" customFormat="false" ht="15" hidden="false" customHeight="false" outlineLevel="0" collapsed="false">
      <c r="I1477" s="2"/>
      <c r="J1477" s="2"/>
    </row>
    <row r="1478" customFormat="false" ht="15" hidden="false" customHeight="false" outlineLevel="0" collapsed="false">
      <c r="I1478" s="2"/>
      <c r="J1478" s="2"/>
    </row>
    <row r="1479" customFormat="false" ht="15" hidden="false" customHeight="false" outlineLevel="0" collapsed="false">
      <c r="I1479" s="2"/>
      <c r="J1479" s="2"/>
    </row>
    <row r="1480" customFormat="false" ht="15" hidden="false" customHeight="false" outlineLevel="0" collapsed="false">
      <c r="I1480" s="2"/>
      <c r="J1480" s="2"/>
    </row>
  </sheetData>
  <dataValidations count="2">
    <dataValidation allowBlank="true" errorStyle="stop" operator="between" showDropDown="false" showErrorMessage="false" showInputMessage="false" sqref="I2:I1480" type="list">
      <formula1>"Prospecto,Contactado,Reunión,Propuesta,Cliente,No interesado"</formula1>
      <formula2>0</formula2>
    </dataValidation>
    <dataValidation allowBlank="true" errorStyle="stop" operator="between" showDropDown="false" showErrorMessage="false" showInputMessage="false" sqref="J2:J1480" type="list">
      <formula1>"Alta,Media,Baja,Por calificar"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4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8.35" hidden="false" customHeight="false" outlineLevel="0" collapsed="false">
      <c r="A1" s="1" t="s">
        <v>3269</v>
      </c>
      <c r="B1" s="1" t="s">
        <v>3270</v>
      </c>
      <c r="C1" s="1" t="s">
        <v>3</v>
      </c>
      <c r="D1" s="1" t="s">
        <v>3271</v>
      </c>
      <c r="E1" s="1" t="s">
        <v>3272</v>
      </c>
      <c r="F1" s="1" t="s">
        <v>3273</v>
      </c>
      <c r="G1" s="1" t="s">
        <v>3274</v>
      </c>
      <c r="H1" s="1" t="s">
        <v>3275</v>
      </c>
      <c r="I1" s="1" t="s">
        <v>10</v>
      </c>
      <c r="J1" s="1" t="s">
        <v>3276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1" t="s">
        <v>3277</v>
      </c>
      <c r="B1" s="1" t="s">
        <v>4</v>
      </c>
      <c r="C1" s="1" t="s">
        <v>3278</v>
      </c>
      <c r="D1" s="1"/>
      <c r="E1" s="1"/>
    </row>
    <row r="2" customFormat="false" ht="15" hidden="false" customHeight="false" outlineLevel="0" collapsed="false">
      <c r="A2" s="0" t="s">
        <v>21</v>
      </c>
      <c r="B2" s="0" t="s">
        <v>20</v>
      </c>
      <c r="C2" s="0" t="n">
        <f aca="false">COUNTIFS(Contactos!$H:$H,$A2,Contactos!$E:$E,$B2)</f>
        <v>593</v>
      </c>
    </row>
    <row r="3" customFormat="false" ht="15" hidden="false" customHeight="false" outlineLevel="0" collapsed="false">
      <c r="A3" s="0" t="s">
        <v>21</v>
      </c>
      <c r="B3" s="0" t="s">
        <v>492</v>
      </c>
      <c r="C3" s="0" t="n">
        <f aca="false">COUNTIFS(Contactos!$H:$H,$A3,Contactos!$E:$E,$B3)</f>
        <v>258</v>
      </c>
    </row>
    <row r="4" customFormat="false" ht="15" hidden="false" customHeight="false" outlineLevel="0" collapsed="false">
      <c r="A4" s="0" t="s">
        <v>21</v>
      </c>
      <c r="B4" s="0" t="s">
        <v>99</v>
      </c>
      <c r="C4" s="0" t="n">
        <f aca="false">COUNTIFS(Contactos!$H:$H,$A4,Contactos!$E:$E,$B4)</f>
        <v>55</v>
      </c>
    </row>
    <row r="5" customFormat="false" ht="15" hidden="false" customHeight="false" outlineLevel="0" collapsed="false">
      <c r="A5" s="0" t="s">
        <v>21</v>
      </c>
      <c r="B5" s="0" t="s">
        <v>63</v>
      </c>
      <c r="C5" s="0" t="n">
        <f aca="false">COUNTIFS(Contactos!$H:$H,$A5,Contactos!$E:$E,$B5)</f>
        <v>33</v>
      </c>
    </row>
    <row r="6" customFormat="false" ht="15" hidden="false" customHeight="false" outlineLevel="0" collapsed="false">
      <c r="A6" s="0" t="s">
        <v>21</v>
      </c>
      <c r="B6" s="0" t="s">
        <v>226</v>
      </c>
      <c r="C6" s="0" t="n">
        <f aca="false">COUNTIFS(Contactos!$H:$H,$A6,Contactos!$E:$E,$B6)</f>
        <v>11</v>
      </c>
    </row>
    <row r="7" customFormat="false" ht="15" hidden="false" customHeight="false" outlineLevel="0" collapsed="false">
      <c r="A7" s="0" t="s">
        <v>21</v>
      </c>
      <c r="B7" s="0" t="s">
        <v>267</v>
      </c>
      <c r="C7" s="0" t="n">
        <f aca="false">COUNTIFS(Contactos!$H:$H,$A7,Contactos!$E:$E,$B7)</f>
        <v>8</v>
      </c>
    </row>
    <row r="8" customFormat="false" ht="15" hidden="false" customHeight="false" outlineLevel="0" collapsed="false">
      <c r="A8" s="0" t="s">
        <v>21</v>
      </c>
      <c r="B8" s="0" t="s">
        <v>2320</v>
      </c>
      <c r="C8" s="0" t="n">
        <f aca="false">COUNTIFS(Contactos!$H:$H,$A8,Contactos!$E:$E,$B8)</f>
        <v>5</v>
      </c>
    </row>
    <row r="9" customFormat="false" ht="15" hidden="false" customHeight="false" outlineLevel="0" collapsed="false">
      <c r="A9" s="0" t="s">
        <v>21</v>
      </c>
      <c r="B9" s="0" t="s">
        <v>236</v>
      </c>
      <c r="C9" s="0" t="n">
        <f aca="false">COUNTIFS(Contactos!$H:$H,$A9,Contactos!$E:$E,$B9)</f>
        <v>3</v>
      </c>
    </row>
    <row r="10" customFormat="false" ht="15" hidden="false" customHeight="false" outlineLevel="0" collapsed="false">
      <c r="A10" s="0" t="s">
        <v>21</v>
      </c>
      <c r="B10" s="0" t="s">
        <v>437</v>
      </c>
      <c r="C10" s="0" t="n">
        <f aca="false">COUNTIFS(Contactos!$H:$H,$A10,Contactos!$E:$E,$B10)</f>
        <v>2</v>
      </c>
    </row>
    <row r="11" customFormat="false" ht="15" hidden="false" customHeight="false" outlineLevel="0" collapsed="false">
      <c r="A11" s="0" t="s">
        <v>21</v>
      </c>
      <c r="B11" s="0" t="s">
        <v>651</v>
      </c>
      <c r="C11" s="0" t="n">
        <f aca="false">COUNTIFS(Contactos!$H:$H,$A11,Contactos!$E:$E,$B11)</f>
        <v>2</v>
      </c>
    </row>
    <row r="12" customFormat="false" ht="15" hidden="false" customHeight="false" outlineLevel="0" collapsed="false">
      <c r="A12" s="0" t="s">
        <v>21</v>
      </c>
      <c r="B12" s="0" t="s">
        <v>925</v>
      </c>
      <c r="C12" s="0" t="n">
        <f aca="false">COUNTIFS(Contactos!$H:$H,$A12,Contactos!$E:$E,$B12)</f>
        <v>2</v>
      </c>
    </row>
    <row r="13" customFormat="false" ht="15" hidden="false" customHeight="false" outlineLevel="0" collapsed="false">
      <c r="A13" s="0" t="s">
        <v>21</v>
      </c>
      <c r="B13" s="0" t="s">
        <v>1371</v>
      </c>
      <c r="C13" s="0" t="n">
        <f aca="false">COUNTIFS(Contactos!$H:$H,$A13,Contactos!$E:$E,$B13)</f>
        <v>2</v>
      </c>
    </row>
    <row r="14" customFormat="false" ht="15" hidden="false" customHeight="false" outlineLevel="0" collapsed="false">
      <c r="A14" s="0" t="s">
        <v>21</v>
      </c>
      <c r="B14" s="0" t="s">
        <v>3072</v>
      </c>
      <c r="C14" s="0" t="n">
        <f aca="false">COUNTIFS(Contactos!$H:$H,$A14,Contactos!$E:$E,$B14)</f>
        <v>2</v>
      </c>
    </row>
    <row r="15" customFormat="false" ht="15" hidden="false" customHeight="false" outlineLevel="0" collapsed="false">
      <c r="A15" s="0" t="s">
        <v>21</v>
      </c>
      <c r="B15" s="0" t="s">
        <v>616</v>
      </c>
      <c r="C15" s="0" t="n">
        <f aca="false">COUNTIFS(Contactos!$H:$H,$A15,Contactos!$E:$E,$B15)</f>
        <v>1</v>
      </c>
    </row>
    <row r="16" customFormat="false" ht="15" hidden="false" customHeight="false" outlineLevel="0" collapsed="false">
      <c r="A16" s="0" t="s">
        <v>21</v>
      </c>
      <c r="B16" s="0" t="s">
        <v>1663</v>
      </c>
      <c r="C16" s="0" t="n">
        <f aca="false">COUNTIFS(Contactos!$H:$H,$A16,Contactos!$E:$E,$B16)</f>
        <v>1</v>
      </c>
    </row>
    <row r="17" customFormat="false" ht="15" hidden="false" customHeight="false" outlineLevel="0" collapsed="false">
      <c r="A17" s="0" t="s">
        <v>21</v>
      </c>
      <c r="B17" s="0" t="s">
        <v>3036</v>
      </c>
      <c r="C17" s="0" t="n">
        <f aca="false">COUNTIFS(Contactos!$H:$H,$A17,Contactos!$E:$E,$B17)</f>
        <v>1</v>
      </c>
    </row>
    <row r="18" customFormat="false" ht="15" hidden="false" customHeight="false" outlineLevel="0" collapsed="false">
      <c r="A18" s="0" t="s">
        <v>3279</v>
      </c>
      <c r="C18" s="0" t="n">
        <f aca="false">SUM(C2:C17)</f>
        <v>979</v>
      </c>
    </row>
    <row r="20" customFormat="false" ht="15" hidden="false" customHeight="false" outlineLevel="0" collapsed="false">
      <c r="A20" s="4" t="s">
        <v>12</v>
      </c>
      <c r="B20" s="4" t="s">
        <v>23</v>
      </c>
      <c r="C20" s="4" t="s">
        <v>391</v>
      </c>
      <c r="D20" s="4" t="s">
        <v>635</v>
      </c>
      <c r="E20" s="4" t="s">
        <v>3279</v>
      </c>
    </row>
    <row r="21" customFormat="false" ht="15" hidden="false" customHeight="false" outlineLevel="0" collapsed="false">
      <c r="A21" s="0" t="s">
        <v>26</v>
      </c>
      <c r="B21" s="0" t="n">
        <f aca="false">COUNTIFS(Contactos!$M:$M,$A21,Contactos!$J:$J,B$20)</f>
        <v>3</v>
      </c>
      <c r="C21" s="0" t="n">
        <f aca="false">COUNTIFS(Contactos!$M:$M,$A21,Contactos!$J:$J,C$20)</f>
        <v>0</v>
      </c>
      <c r="D21" s="0" t="n">
        <f aca="false">COUNTIFS(Contactos!$M:$M,$A21,Contactos!$J:$J,D$20)</f>
        <v>0</v>
      </c>
      <c r="E21" s="0" t="n">
        <f aca="false">SUM(B21:D21)</f>
        <v>3</v>
      </c>
    </row>
    <row r="22" customFormat="false" ht="15" hidden="false" customHeight="false" outlineLevel="0" collapsed="false">
      <c r="A22" s="0" t="s">
        <v>41</v>
      </c>
      <c r="B22" s="0" t="n">
        <f aca="false">COUNTIFS(Contactos!$M:$M,$A22,Contactos!$J:$J,B$20)</f>
        <v>37</v>
      </c>
      <c r="C22" s="0" t="n">
        <f aca="false">COUNTIFS(Contactos!$M:$M,$A22,Contactos!$J:$J,C$20)</f>
        <v>0</v>
      </c>
      <c r="D22" s="0" t="n">
        <f aca="false">COUNTIFS(Contactos!$M:$M,$A22,Contactos!$J:$J,D$20)</f>
        <v>0</v>
      </c>
      <c r="E22" s="0" t="n">
        <f aca="false">SUM(B22:D22)</f>
        <v>37</v>
      </c>
    </row>
    <row r="23" customFormat="false" ht="15" hidden="false" customHeight="false" outlineLevel="0" collapsed="false">
      <c r="A23" s="0" t="s">
        <v>208</v>
      </c>
      <c r="B23" s="0" t="n">
        <f aca="false">COUNTIFS(Contactos!$M:$M,$A23,Contactos!$J:$J,B$20)</f>
        <v>25</v>
      </c>
      <c r="C23" s="0" t="n">
        <f aca="false">COUNTIFS(Contactos!$M:$M,$A23,Contactos!$J:$J,C$20)</f>
        <v>0</v>
      </c>
      <c r="D23" s="0" t="n">
        <f aca="false">COUNTIFS(Contactos!$M:$M,$A23,Contactos!$J:$J,D$20)</f>
        <v>0</v>
      </c>
      <c r="E23" s="0" t="n">
        <f aca="false">SUM(B23:D23)</f>
        <v>25</v>
      </c>
    </row>
    <row r="24" customFormat="false" ht="15" hidden="false" customHeight="false" outlineLevel="0" collapsed="false">
      <c r="A24" s="0" t="s">
        <v>303</v>
      </c>
      <c r="B24" s="0" t="n">
        <f aca="false">COUNTIFS(Contactos!$M:$M,$A24,Contactos!$J:$J,B$20)</f>
        <v>15</v>
      </c>
      <c r="C24" s="0" t="n">
        <f aca="false">COUNTIFS(Contactos!$M:$M,$A24,Contactos!$J:$J,C$20)</f>
        <v>0</v>
      </c>
      <c r="D24" s="0" t="n">
        <f aca="false">COUNTIFS(Contactos!$M:$M,$A24,Contactos!$J:$J,D$20)</f>
        <v>0</v>
      </c>
      <c r="E24" s="0" t="n">
        <f aca="false">SUM(B24:D24)</f>
        <v>15</v>
      </c>
    </row>
    <row r="25" customFormat="false" ht="15" hidden="false" customHeight="false" outlineLevel="0" collapsed="false">
      <c r="A25" s="0" t="s">
        <v>393</v>
      </c>
      <c r="B25" s="0" t="n">
        <f aca="false">COUNTIFS(Contactos!$M:$M,$A25,Contactos!$J:$J,B$20)</f>
        <v>0</v>
      </c>
      <c r="C25" s="0" t="n">
        <f aca="false">COUNTIFS(Contactos!$M:$M,$A25,Contactos!$J:$J,C$20)</f>
        <v>12</v>
      </c>
      <c r="D25" s="0" t="n">
        <f aca="false">COUNTIFS(Contactos!$M:$M,$A25,Contactos!$J:$J,D$20)</f>
        <v>0</v>
      </c>
      <c r="E25" s="0" t="n">
        <f aca="false">SUM(B25:D25)</f>
        <v>12</v>
      </c>
    </row>
    <row r="26" customFormat="false" ht="15" hidden="false" customHeight="false" outlineLevel="0" collapsed="false">
      <c r="A26" s="0" t="s">
        <v>366</v>
      </c>
      <c r="B26" s="0" t="n">
        <f aca="false">COUNTIFS(Contactos!$M:$M,$A26,Contactos!$J:$J,B$20)</f>
        <v>2</v>
      </c>
      <c r="C26" s="0" t="n">
        <f aca="false">COUNTIFS(Contactos!$M:$M,$A26,Contactos!$J:$J,C$20)</f>
        <v>20</v>
      </c>
      <c r="D26" s="0" t="n">
        <f aca="false">COUNTIFS(Contactos!$M:$M,$A26,Contactos!$J:$J,D$20)</f>
        <v>0</v>
      </c>
      <c r="E26" s="0" t="n">
        <f aca="false">SUM(B26:D26)</f>
        <v>22</v>
      </c>
    </row>
    <row r="27" customFormat="false" ht="15" hidden="false" customHeight="false" outlineLevel="0" collapsed="false">
      <c r="A27" s="0" t="s">
        <v>385</v>
      </c>
      <c r="B27" s="0" t="n">
        <f aca="false">COUNTIFS(Contactos!$M:$M,$A27,Contactos!$J:$J,B$20)</f>
        <v>1</v>
      </c>
      <c r="C27" s="0" t="n">
        <f aca="false">COUNTIFS(Contactos!$M:$M,$A27,Contactos!$J:$J,C$20)</f>
        <v>11</v>
      </c>
      <c r="D27" s="0" t="n">
        <f aca="false">COUNTIFS(Contactos!$M:$M,$A27,Contactos!$J:$J,D$20)</f>
        <v>0</v>
      </c>
      <c r="E27" s="0" t="n">
        <f aca="false">SUM(B27:D27)</f>
        <v>12</v>
      </c>
    </row>
    <row r="28" customFormat="false" ht="15" hidden="false" customHeight="false" outlineLevel="0" collapsed="false">
      <c r="A28" s="0" t="s">
        <v>608</v>
      </c>
      <c r="B28" s="0" t="n">
        <f aca="false">COUNTIFS(Contactos!$M:$M,$A28,Contactos!$J:$J,B$20)</f>
        <v>0</v>
      </c>
      <c r="C28" s="0" t="n">
        <f aca="false">COUNTIFS(Contactos!$M:$M,$A28,Contactos!$J:$J,C$20)</f>
        <v>1</v>
      </c>
      <c r="D28" s="0" t="n">
        <f aca="false">COUNTIFS(Contactos!$M:$M,$A28,Contactos!$J:$J,D$20)</f>
        <v>0</v>
      </c>
      <c r="E28" s="0" t="n">
        <f aca="false">SUM(B28:D28)</f>
        <v>1</v>
      </c>
    </row>
    <row r="29" customFormat="false" ht="15" hidden="false" customHeight="false" outlineLevel="0" collapsed="false">
      <c r="A29" s="0" t="s">
        <v>613</v>
      </c>
      <c r="B29" s="0" t="n">
        <f aca="false">COUNTIFS(Contactos!$M:$M,$A29,Contactos!$J:$J,B$20)</f>
        <v>0</v>
      </c>
      <c r="C29" s="0" t="n">
        <f aca="false">COUNTIFS(Contactos!$M:$M,$A29,Contactos!$J:$J,C$20)</f>
        <v>7</v>
      </c>
      <c r="D29" s="0" t="n">
        <f aca="false">COUNTIFS(Contactos!$M:$M,$A29,Contactos!$J:$J,D$20)</f>
        <v>0</v>
      </c>
      <c r="E29" s="0" t="n">
        <f aca="false">SUM(B29:D29)</f>
        <v>7</v>
      </c>
    </row>
    <row r="30" customFormat="false" ht="15" hidden="false" customHeight="false" outlineLevel="0" collapsed="false">
      <c r="A30" s="0" t="s">
        <v>637</v>
      </c>
      <c r="B30" s="0" t="n">
        <f aca="false">COUNTIFS(Contactos!$M:$M,$A30,Contactos!$J:$J,B$20)</f>
        <v>0</v>
      </c>
      <c r="C30" s="0" t="n">
        <f aca="false">COUNTIFS(Contactos!$M:$M,$A30,Contactos!$J:$J,C$20)</f>
        <v>0</v>
      </c>
      <c r="D30" s="0" t="n">
        <f aca="false">COUNTIFS(Contactos!$M:$M,$A30,Contactos!$J:$J,D$20)</f>
        <v>845</v>
      </c>
      <c r="E30" s="0" t="n">
        <f aca="false">SUM(B30:D30)</f>
        <v>845</v>
      </c>
    </row>
    <row r="31" customFormat="false" ht="15" hidden="false" customHeight="false" outlineLevel="0" collapsed="false">
      <c r="A31" s="0" t="s">
        <v>3279</v>
      </c>
      <c r="B31" s="0" t="n">
        <f aca="false">SUM(B21:B30)</f>
        <v>83</v>
      </c>
      <c r="C31" s="0" t="n">
        <f aca="false">SUM(C21:C30)</f>
        <v>51</v>
      </c>
      <c r="D31" s="0" t="n">
        <f aca="false">SUM(D21:D30)</f>
        <v>845</v>
      </c>
      <c r="E31" s="0" t="n">
        <f aca="false">SUM(E21:E30)</f>
        <v>979</v>
      </c>
    </row>
    <row r="33" customFormat="false" ht="15" hidden="false" customHeight="false" outlineLevel="0" collapsed="false">
      <c r="A33" s="4" t="s">
        <v>3280</v>
      </c>
      <c r="B33" s="4" t="s">
        <v>3278</v>
      </c>
    </row>
    <row r="34" customFormat="false" ht="15" hidden="false" customHeight="false" outlineLevel="0" collapsed="false">
      <c r="A34" s="0" t="s">
        <v>22</v>
      </c>
      <c r="B34" s="0" t="n">
        <f aca="false">COUNTIF(Contactos!$I:$I,A34)</f>
        <v>979</v>
      </c>
    </row>
    <row r="35" customFormat="false" ht="15" hidden="false" customHeight="false" outlineLevel="0" collapsed="false">
      <c r="A35" s="0" t="s">
        <v>3281</v>
      </c>
      <c r="B35" s="0" t="n">
        <f aca="false">COUNTIF(Contactos!$I:$I,A35)</f>
        <v>0</v>
      </c>
    </row>
    <row r="36" customFormat="false" ht="15" hidden="false" customHeight="false" outlineLevel="0" collapsed="false">
      <c r="A36" s="0" t="s">
        <v>3282</v>
      </c>
      <c r="B36" s="0" t="n">
        <f aca="false">COUNTIF(Contactos!$I:$I,A36)</f>
        <v>0</v>
      </c>
    </row>
    <row r="37" customFormat="false" ht="15" hidden="false" customHeight="false" outlineLevel="0" collapsed="false">
      <c r="A37" s="0" t="s">
        <v>3283</v>
      </c>
      <c r="B37" s="0" t="n">
        <f aca="false">COUNTIF(Contactos!$I:$I,A37)</f>
        <v>0</v>
      </c>
    </row>
    <row r="38" customFormat="false" ht="15" hidden="false" customHeight="false" outlineLevel="0" collapsed="false">
      <c r="A38" s="0" t="s">
        <v>3284</v>
      </c>
      <c r="B38" s="0" t="n">
        <f aca="false">COUNTIF(Contactos!$I:$I,A38)</f>
        <v>0</v>
      </c>
    </row>
    <row r="39" customFormat="false" ht="15" hidden="false" customHeight="false" outlineLevel="0" collapsed="false">
      <c r="A39" s="0" t="s">
        <v>3285</v>
      </c>
      <c r="B39" s="0" t="n">
        <f aca="false">COUNTIF(Contactos!$I:$I,A39)</f>
        <v>0</v>
      </c>
    </row>
    <row r="41" customFormat="false" ht="15" hidden="false" customHeight="false" outlineLevel="0" collapsed="false">
      <c r="A41" s="4" t="s">
        <v>3286</v>
      </c>
      <c r="B41" s="4" t="s">
        <v>3278</v>
      </c>
    </row>
    <row r="42" customFormat="false" ht="15" hidden="false" customHeight="false" outlineLevel="0" collapsed="false">
      <c r="A42" s="0" t="s">
        <v>3287</v>
      </c>
      <c r="B42" s="0" t="n">
        <v>1209</v>
      </c>
    </row>
    <row r="43" customFormat="false" ht="15" hidden="false" customHeight="false" outlineLevel="0" collapsed="false">
      <c r="A43" s="0" t="s">
        <v>3288</v>
      </c>
      <c r="B43" s="0" t="n">
        <f aca="false">COUNTA(Contactos!$D$2:$D$3000)</f>
        <v>979</v>
      </c>
    </row>
    <row r="44" customFormat="false" ht="15" hidden="false" customHeight="false" outlineLevel="0" collapsed="false">
      <c r="A44" s="0" t="s">
        <v>3289</v>
      </c>
      <c r="B44" s="0" t="n">
        <f aca="false">COUNTIF(Contactos!$P$2:$P$3000,"?*")</f>
        <v>952</v>
      </c>
    </row>
    <row r="45" customFormat="false" ht="15" hidden="false" customHeight="false" outlineLevel="0" collapsed="false">
      <c r="A45" s="0" t="s">
        <v>3290</v>
      </c>
      <c r="B45" s="0" t="n">
        <f aca="false">COUNTIF(Contactos!$S:$S,"Sí")</f>
        <v>74</v>
      </c>
    </row>
    <row r="46" customFormat="false" ht="15" hidden="false" customHeight="false" outlineLevel="0" collapsed="false">
      <c r="A46" s="0" t="s">
        <v>3291</v>
      </c>
      <c r="B46" s="0" t="n">
        <f aca="false">COUNTIF(Contactos!$F$2:$F$3000,"?*")</f>
        <v>69</v>
      </c>
    </row>
    <row r="47" customFormat="false" ht="15" hidden="false" customHeight="false" outlineLevel="0" collapsed="false">
      <c r="A47" s="0" t="s">
        <v>3292</v>
      </c>
      <c r="B47" s="0" t="n">
        <f aca="false">COUNTIF(Contactos!$O$2:$O$3000,"&gt;1")</f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3293</v>
      </c>
      <c r="B1" s="1" t="s">
        <v>4</v>
      </c>
      <c r="C1" s="1" t="s">
        <v>3294</v>
      </c>
    </row>
    <row r="2" customFormat="false" ht="15" hidden="false" customHeight="false" outlineLevel="0" collapsed="false">
      <c r="A2" s="0" t="s">
        <v>3295</v>
      </c>
      <c r="B2" s="0" t="s">
        <v>20</v>
      </c>
      <c r="C2" s="0" t="s">
        <v>3296</v>
      </c>
    </row>
    <row r="3" customFormat="false" ht="15" hidden="false" customHeight="false" outlineLevel="0" collapsed="false">
      <c r="A3" s="0" t="s">
        <v>3297</v>
      </c>
      <c r="B3" s="0" t="s">
        <v>20</v>
      </c>
      <c r="C3" s="0" t="s">
        <v>3298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2026-10-07T03:05:01Z</dcterms:created>
  <dc:creator>openpyxl</dc:creator>
  <dc:description/>
  <dc:language>en-US</dc:language>
  <cp:lastModifiedBy/>
  <dcterms:modified xsi:type="dcterms:W3CDTF">2026-10-07T03:05:01Z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