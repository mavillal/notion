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ntactos" sheetId="1" state="visible" r:id="rId3"/>
    <sheet name="Oportunidades" sheetId="2" state="visible" r:id="rId4"/>
    <sheet name="Resumen" sheetId="3" state="visible" r:id="rId5"/>
    <sheet name="Evento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<sst xmlns="http://schemas.openxmlformats.org/spreadsheetml/2006/main" count="10114" uniqueCount="3768">
  <si>
    <t xml:space="preserve">ID</t>
  </si>
  <si>
    <t xml:space="preserve">Nombre</t>
  </si>
  <si>
    <t xml:space="preserve">Cargo</t>
  </si>
  <si>
    <t xml:space="preserve">Empresa</t>
  </si>
  <si>
    <t xml:space="preserve">País</t>
  </si>
  <si>
    <t xml:space="preserve">Email</t>
  </si>
  <si>
    <t xml:space="preserve">LinkedIn</t>
  </si>
  <si>
    <t xml:space="preserve">Origen</t>
  </si>
  <si>
    <t xml:space="preserve">Estado</t>
  </si>
  <si>
    <t xml:space="preserve">Prioridad</t>
  </si>
  <si>
    <t xml:space="preserve">Próxima acción</t>
  </si>
  <si>
    <t xml:space="preserve">Notas</t>
  </si>
  <si>
    <t xml:space="preserve">Rubro(s)</t>
  </si>
  <si>
    <t xml:space="preserve">Segmento SafetyMind</t>
  </si>
  <si>
    <t xml:space="preserve">Teléfono(s)</t>
  </si>
  <si>
    <t xml:space="preserve">Web</t>
  </si>
  <si>
    <t xml:space="preserve">Dirección</t>
  </si>
  <si>
    <t xml:space="preserve">Ciudad/Región</t>
  </si>
  <si>
    <t xml:space="preserve">Anunciante</t>
  </si>
  <si>
    <t xml:space="preserve">Administración de Empresas S.A.C.</t>
  </si>
  <si>
    <t xml:space="preserve">Perú</t>
  </si>
  <si>
    <t xml:space="preserve">dpalacios@aesa.com.pe</t>
  </si>
  <si>
    <t xml:space="preserve">Directorio SSO 2026</t>
  </si>
  <si>
    <t xml:space="preserve">Prospecto</t>
  </si>
  <si>
    <t xml:space="preserve">Alta</t>
  </si>
  <si>
    <t xml:space="preserve">Identificar Gerente SSOMA/HSE en LinkedIn y proponer demo</t>
  </si>
  <si>
    <t xml:space="preserve">Directorio SSO 2026, pág. PDF 37. Sin contacto nominal; no inventar decisor.</t>
  </si>
  <si>
    <t xml:space="preserve">Empresas contratistas y conexas</t>
  </si>
  <si>
    <t xml:space="preserve">Cliente potencial – operación de alto riesgo</t>
  </si>
  <si>
    <t xml:space="preserve">7062230</t>
  </si>
  <si>
    <t xml:space="preserve">www.aesa.com.pe</t>
  </si>
  <si>
    <t xml:space="preserve">Cl. Las Begonias 441 Of. 1401 Urb. Jardín - San Isidro - Lima</t>
  </si>
  <si>
    <t xml:space="preserve">Lima</t>
  </si>
  <si>
    <t xml:space="preserve">No</t>
  </si>
  <si>
    <t xml:space="preserve">Ahorro de Energía y Mantenimiento Industrial S.A.C.</t>
  </si>
  <si>
    <t xml:space="preserve">ademinsa@ademinsa.com</t>
  </si>
  <si>
    <t xml:space="preserve">Directorio SSO 2026, pág. PDF 18. Sin contacto nominal; no inventar decisor. Otros emails: atencionalcliente@ademinsa.com.</t>
  </si>
  <si>
    <t xml:space="preserve">Mantenimiento industrial</t>
  </si>
  <si>
    <t xml:space="preserve">2750082</t>
  </si>
  <si>
    <t xml:space="preserve">www.ademinsa.com</t>
  </si>
  <si>
    <t xml:space="preserve">Cl. Cerro Azul 479 Of. 101A Urb. San Ignacio de Loyola Santiago de Surco - Lima</t>
  </si>
  <si>
    <t xml:space="preserve">AiD Ingenieros S.A.C.</t>
  </si>
  <si>
    <t xml:space="preserve">aidingenieros@aidingenieros.com.pe</t>
  </si>
  <si>
    <t xml:space="preserve">Directorio SSO 2026, pág. PDF 18, 37. Sin contacto nominal; no inventar decisor.</t>
  </si>
  <si>
    <t xml:space="preserve">Mantenimiento industrial; Empresas contratistas y conexas</t>
  </si>
  <si>
    <t xml:space="preserve">(054) 446162</t>
  </si>
  <si>
    <t xml:space="preserve">www.aidingenieros.com.pe</t>
  </si>
  <si>
    <t xml:space="preserve">Mz. C Lt. 5B Urb. Magisterial II Etapa Yanahuara - Arequipa</t>
  </si>
  <si>
    <t xml:space="preserve">Arequipa</t>
  </si>
  <si>
    <t xml:space="preserve">AK Drilling International S.A.</t>
  </si>
  <si>
    <t xml:space="preserve">global@akdint.com</t>
  </si>
  <si>
    <t xml:space="preserve">Directorio SSO 2026, pág. PDF 20, 37. Sin contacto nominal; no inventar decisor.</t>
  </si>
  <si>
    <t xml:space="preserve">Perforación geológica; Empresas contratistas y conexas</t>
  </si>
  <si>
    <t xml:space="preserve">2513380</t>
  </si>
  <si>
    <t xml:space="preserve">www.akdrillinginternational.com</t>
  </si>
  <si>
    <t xml:space="preserve">Cl. Perseo Mz. J Lt. 12 Urb. La Campiña Chorrillos - Lima</t>
  </si>
  <si>
    <t xml:space="preserve">Alicomser Contratistas S.A.C.</t>
  </si>
  <si>
    <t xml:space="preserve">alicomser@alicomser.com</t>
  </si>
  <si>
    <t xml:space="preserve">Directorio SSO 2026, pág. PDF 32, 35, 37. Sin contacto nominal; no inventar decisor.</t>
  </si>
  <si>
    <t xml:space="preserve">Sostenimiento de rocas y suelos; Ventilación industrial y subterránea; Empresas contratistas y conexas</t>
  </si>
  <si>
    <t xml:space="preserve">5310928 / 914946043</t>
  </si>
  <si>
    <t xml:space="preserve">www.alicomser.com</t>
  </si>
  <si>
    <t xml:space="preserve">Av. Universitaria Mz. H Lt. 7 P. 2 Asoc. Daniel Alcides Carrión II Los Olivos - Lima</t>
  </si>
  <si>
    <t xml:space="preserve">Almacenera Pacífico S.A.C.</t>
  </si>
  <si>
    <t xml:space="preserve">ventas@alpa.com.pe</t>
  </si>
  <si>
    <t xml:space="preserve">Directorio SSO 2026, pág. PDF 34. Sin contacto nominal; no inventar decisor.</t>
  </si>
  <si>
    <t xml:space="preserve">Transporte de combustibles y materiales peligrosos</t>
  </si>
  <si>
    <t xml:space="preserve">6181620 / 983283750</t>
  </si>
  <si>
    <t xml:space="preserve">www.alpa.com.pe</t>
  </si>
  <si>
    <t xml:space="preserve">Carretera Antigua Panamericana Sur km 29.5 - Lurín - Lima</t>
  </si>
  <si>
    <t xml:space="preserve">Almasa S.R.L.</t>
  </si>
  <si>
    <t xml:space="preserve">almasa@almasa.com.pe</t>
  </si>
  <si>
    <t xml:space="preserve">3720204</t>
  </si>
  <si>
    <t xml:space="preserve">www.almasa.com.pe</t>
  </si>
  <si>
    <t xml:space="preserve">Jr. Monterosa 270 Of. 602 Urb. Chacarilla del Estanque Santiago de Surco - Lima</t>
  </si>
  <si>
    <t xml:space="preserve">American Sur Internacional S.A.C.</t>
  </si>
  <si>
    <t xml:space="preserve">info@americasurinternacional.com</t>
  </si>
  <si>
    <t xml:space="preserve">Directorio SSO 2026, pág. PDF 20. Sin contacto nominal; no inventar decisor.</t>
  </si>
  <si>
    <t xml:space="preserve">Perforación geológica</t>
  </si>
  <si>
    <t xml:space="preserve">2190700</t>
  </si>
  <si>
    <t xml:space="preserve">www.americasurinternacional.com</t>
  </si>
  <si>
    <t xml:space="preserve">Av. Alameda Sur 568 Urb. Villa Marina Chorrillos - Lima</t>
  </si>
  <si>
    <t xml:space="preserve">Anddes Asociados S.A.C.</t>
  </si>
  <si>
    <t xml:space="preserve">info@anddes.com</t>
  </si>
  <si>
    <t xml:space="preserve">Medioambiente: productos y servicios; Empresas contratistas y conexas</t>
  </si>
  <si>
    <t xml:space="preserve">3174900</t>
  </si>
  <si>
    <t xml:space="preserve">www.anddes.com</t>
  </si>
  <si>
    <t xml:space="preserve">Av. Javier Prado Este Cdra.48, Edificio Capital Golf Of. 1301 - Santiago de Surco Lima</t>
  </si>
  <si>
    <t xml:space="preserve">AOM Suministros Industriales S.A.C.</t>
  </si>
  <si>
    <t xml:space="preserve">info@aom.pe</t>
  </si>
  <si>
    <t xml:space="preserve">Directorio SSO 2026, pág. PDF 7, 14, 19, 20. Sin contacto nominal; no inventar decisor.</t>
  </si>
  <si>
    <t xml:space="preserve">Campamentos e instalaciones; Equipos de protección personal; Máquinas, herramientas y repuestos; Perforación geológica</t>
  </si>
  <si>
    <t xml:space="preserve">www.aom.pe</t>
  </si>
  <si>
    <t xml:space="preserve">Jr. Cruz del Sur 140 Of.1503, Santiago de Surco - Lima</t>
  </si>
  <si>
    <t xml:space="preserve">APM Terminals Inland Services S.A.</t>
  </si>
  <si>
    <t xml:space="preserve">apmtcservicios@apmterminals.com</t>
  </si>
  <si>
    <t xml:space="preserve">2008800</t>
  </si>
  <si>
    <t xml:space="preserve">www.apmterminals.com</t>
  </si>
  <si>
    <t xml:space="preserve">Av. Néstor Gambetta km 4.5 - Callao</t>
  </si>
  <si>
    <t xml:space="preserve">Callao</t>
  </si>
  <si>
    <t xml:space="preserve">Arkel Perú S.A.C.</t>
  </si>
  <si>
    <t xml:space="preserve">info@arkel.pe</t>
  </si>
  <si>
    <t xml:space="preserve">Directorio SSO 2026, pág. PDF 32. Sin contacto nominal; no inventar decisor.</t>
  </si>
  <si>
    <t xml:space="preserve">Sostenimiento de rocas y suelos</t>
  </si>
  <si>
    <t xml:space="preserve">901284293</t>
  </si>
  <si>
    <t xml:space="preserve">www.arkel.pe</t>
  </si>
  <si>
    <t xml:space="preserve">Jr. Ricardo Palma 174 Primera Zona Collique - Comas Lima</t>
  </si>
  <si>
    <t xml:space="preserve">Beagle Shipping S.A.</t>
  </si>
  <si>
    <t xml:space="preserve">servicioalcliente@beagle.com.pe</t>
  </si>
  <si>
    <t xml:space="preserve">6168585</t>
  </si>
  <si>
    <t xml:space="preserve">www.beagle.com.pe</t>
  </si>
  <si>
    <t xml:space="preserve">Jr. Comandante Jiménez 120 Of. B Magdalena del Mar - Lima</t>
  </si>
  <si>
    <t xml:space="preserve">Beton Terra Ingenieros S.A.C.</t>
  </si>
  <si>
    <t xml:space="preserve">contacto@betonterra.com</t>
  </si>
  <si>
    <t xml:space="preserve">991888076</t>
  </si>
  <si>
    <t xml:space="preserve">www.betonterra.pe</t>
  </si>
  <si>
    <t xml:space="preserve">Jr. Pablo Picasso Mz. B1 Lt. 13 Of. 201, Los Álamos de Monterrico Etapa 3 - Santiago de Surco - Lima</t>
  </si>
  <si>
    <t xml:space="preserve">BISA</t>
  </si>
  <si>
    <t xml:space="preserve">comercial@bisa.com.pe</t>
  </si>
  <si>
    <t xml:space="preserve">6266200</t>
  </si>
  <si>
    <t xml:space="preserve">www.bisa.com.pe</t>
  </si>
  <si>
    <t xml:space="preserve">Av. Andrés Reyes 338 Of. Piso 5 - San Isidro - Lima</t>
  </si>
  <si>
    <t xml:space="preserve">Boart Longyear S.A.C.</t>
  </si>
  <si>
    <t xml:space="preserve">info@boartlongyear.com</t>
  </si>
  <si>
    <t xml:space="preserve">Directorio SSO 2026, pág. PDF 19, 20, 37. Sin contacto nominal; no inventar decisor.</t>
  </si>
  <si>
    <t xml:space="preserve">Máquinas, herramientas y repuestos; Perforación geológica; Empresas contratistas y conexas</t>
  </si>
  <si>
    <t xml:space="preserve">2034200</t>
  </si>
  <si>
    <t xml:space="preserve">www.boartlongyear.com</t>
  </si>
  <si>
    <t xml:space="preserve">Av. El Derby 055 Torre 1 Of. 601 Centro de Negocios Cronos - Santiago de Surco Lima</t>
  </si>
  <si>
    <t xml:space="preserve">Bouby S.A.C.</t>
  </si>
  <si>
    <t xml:space="preserve">boubysac@boubysac.com</t>
  </si>
  <si>
    <t xml:space="preserve">3482991</t>
  </si>
  <si>
    <t xml:space="preserve">www.boubysac.com</t>
  </si>
  <si>
    <t xml:space="preserve">Av. La Mar 267, Santa Anita - Lima</t>
  </si>
  <si>
    <t xml:space="preserve">C&amp;V International SRL</t>
  </si>
  <si>
    <t xml:space="preserve">ventas@cvinternational.com.pe</t>
  </si>
  <si>
    <t xml:space="preserve">5156714</t>
  </si>
  <si>
    <t xml:space="preserve">www.cvinternational.com.pe</t>
  </si>
  <si>
    <t xml:space="preserve">Cl. Emiliano Tenorio Gadea 260 Urb. San Amadeo de Garagay San Martin de Porres - Lima</t>
  </si>
  <si>
    <t xml:space="preserve">Canchanya Ingenieros S.R.L.</t>
  </si>
  <si>
    <t xml:space="preserve">hcanchanya@cis.com.pe</t>
  </si>
  <si>
    <t xml:space="preserve">Directorio SSO 2026, pág. PDF 20, 32, 36, 37. Sin contacto nominal; no inventar decisor.</t>
  </si>
  <si>
    <t xml:space="preserve">Perforación geológica; Sostenimiento de rocas y suelos; Voladura, explosivos y polvorines; Empresas contratistas y conexas</t>
  </si>
  <si>
    <t xml:space="preserve">7172709</t>
  </si>
  <si>
    <t xml:space="preserve">www.cis.com.pe</t>
  </si>
  <si>
    <t xml:space="preserve">Av. Separadora Industrial 1910 Urb. Residencial Monterrico - La Molina Lima</t>
  </si>
  <si>
    <t xml:space="preserve">Gisella Ojeda</t>
  </si>
  <si>
    <t xml:space="preserve">Castem E.I.R.L.</t>
  </si>
  <si>
    <t xml:space="preserve">gojeda@castem.com.pe</t>
  </si>
  <si>
    <t xml:space="preserve">Directorio SSO 2026, pág. PDF 32, 37. Anunciante (inversión activa en SST). Contacto publicado; validar vigencia.</t>
  </si>
  <si>
    <t xml:space="preserve">Sostenimiento de rocas y suelos; Empresas contratistas y conexas</t>
  </si>
  <si>
    <t xml:space="preserve">(01) 5274146 / 946084469</t>
  </si>
  <si>
    <t xml:space="preserve">www.castem.com.pe</t>
  </si>
  <si>
    <t xml:space="preserve">Cl. San Francisco Mz.G Lt. 88 Urb. Leoncio Prado, Puente Piedra - Lima</t>
  </si>
  <si>
    <t xml:space="preserve">Sí</t>
  </si>
  <si>
    <t xml:space="preserve">CEMPROTEC S.A.C.</t>
  </si>
  <si>
    <t xml:space="preserve">comercial@cemprotec.com.pe</t>
  </si>
  <si>
    <t xml:space="preserve">989156472</t>
  </si>
  <si>
    <t xml:space="preserve">www.cemprotec.com.pe</t>
  </si>
  <si>
    <t xml:space="preserve">Av. Las Praderas de Lurín Mz.A Lt.9 Grupo D Panamericana Sur km 37.22 Lurín - Lima</t>
  </si>
  <si>
    <t xml:space="preserve">CERV / Certus S.A.C.</t>
  </si>
  <si>
    <t xml:space="preserve">comercial@cerv.com.pe</t>
  </si>
  <si>
    <t xml:space="preserve">Directorio SSO 2026, pág. PDF 9, 18. Sin contacto nominal; no inventar decisor.</t>
  </si>
  <si>
    <t xml:space="preserve">Capacitación, consultoría y auditoría; Mantenimiento industrial</t>
  </si>
  <si>
    <t xml:space="preserve">980508948</t>
  </si>
  <si>
    <t xml:space="preserve">www.cerv.com.pe</t>
  </si>
  <si>
    <t xml:space="preserve">Cl. Melgar 620 Of. 201 Cerro Colorado - Arequipa</t>
  </si>
  <si>
    <t xml:space="preserve">Cesel Ingenieros</t>
  </si>
  <si>
    <t xml:space="preserve">cesel@cesel.com.pe</t>
  </si>
  <si>
    <t xml:space="preserve">7055000</t>
  </si>
  <si>
    <t xml:space="preserve">www.cesel.com.pe</t>
  </si>
  <si>
    <t xml:space="preserve">Av. José Gálvez Barrenechea 646 Urb. Córpac - San Isidro - Lima</t>
  </si>
  <si>
    <t xml:space="preserve">Cime Ingenieros S.R.L.</t>
  </si>
  <si>
    <t xml:space="preserve">info@cimeingenieros.com</t>
  </si>
  <si>
    <t xml:space="preserve">5623571 / 4521115</t>
  </si>
  <si>
    <t xml:space="preserve">www.cimeingenieros.com</t>
  </si>
  <si>
    <t xml:space="preserve">Cl. Gamma 180 Urb. Parque Internacional de Industria y Comercio Callao</t>
  </si>
  <si>
    <t xml:space="preserve">Cimec Ingenieros S.A.</t>
  </si>
  <si>
    <t xml:space="preserve">info@cimec.com</t>
  </si>
  <si>
    <t xml:space="preserve">Directorio SSO 2026, pág. PDF 37. Sin contacto nominal; no inventar decisor. Otros emails: noticimec@cimec.com.</t>
  </si>
  <si>
    <t xml:space="preserve">7193630 / 995746542</t>
  </si>
  <si>
    <t xml:space="preserve">www.cimec.com</t>
  </si>
  <si>
    <t xml:space="preserve">Cl. Ismael Bielich Flores 753 Urb. Benavides - Santiago de Surco - Lima</t>
  </si>
  <si>
    <t xml:space="preserve">CN Minería y Construcción S.A.C.</t>
  </si>
  <si>
    <t xml:space="preserve">cnsac@cnsac.com.pe</t>
  </si>
  <si>
    <t xml:space="preserve">6128989</t>
  </si>
  <si>
    <t xml:space="preserve">www.cnsac.com.pe</t>
  </si>
  <si>
    <t xml:space="preserve">Av. Mariscal Nieto 119 Urb. El Pino Industrial - San Luis - Lima</t>
  </si>
  <si>
    <t xml:space="preserve">Coansa del Perú Ingenieros S.A.C.</t>
  </si>
  <si>
    <t xml:space="preserve">asistente.gerencia@coansadelperu.com</t>
  </si>
  <si>
    <t xml:space="preserve">(076) 348759</t>
  </si>
  <si>
    <t xml:space="preserve">www.coansadelperu.com</t>
  </si>
  <si>
    <t xml:space="preserve">Av. Javier Prado Este 560 Of. 2302 San Isidro - Lima</t>
  </si>
  <si>
    <t xml:space="preserve">Comercial del Acero S.A.</t>
  </si>
  <si>
    <t xml:space="preserve">ventas@comasa.com.pe</t>
  </si>
  <si>
    <t xml:space="preserve">6193000</t>
  </si>
  <si>
    <t xml:space="preserve">www.comasa.com.pe</t>
  </si>
  <si>
    <t xml:space="preserve">Av. Argentina 2051 - Cercado de Lima Lima</t>
  </si>
  <si>
    <t xml:space="preserve">Concremax S.A.</t>
  </si>
  <si>
    <t xml:space="preserve">2172700 / 905454100</t>
  </si>
  <si>
    <t xml:space="preserve">www.concremax.com.pe</t>
  </si>
  <si>
    <t xml:space="preserve">Cooperativa Las Vertientes Mz. F Lt. 3A Villa El Salvador - Lima</t>
  </si>
  <si>
    <t xml:space="preserve">Confipetrol Andina S.A.</t>
  </si>
  <si>
    <t xml:space="preserve">7106100</t>
  </si>
  <si>
    <t xml:space="preserve">www.confipetrol.com</t>
  </si>
  <si>
    <t xml:space="preserve">Av. Santo Toribio 173 Edf. Real 8 Of.1002 - San Isidro - Lima</t>
  </si>
  <si>
    <t xml:space="preserve">CONGEMIN JH S.A.C.</t>
  </si>
  <si>
    <t xml:space="preserve">contacto@congemin.com</t>
  </si>
  <si>
    <t xml:space="preserve">3496849</t>
  </si>
  <si>
    <t xml:space="preserve">www.congemin.com</t>
  </si>
  <si>
    <t xml:space="preserve">Cl. Las Acacias Mz.I Lt.5A Urb. La Capitana, Huachipa - Lurigancho Lima</t>
  </si>
  <si>
    <t xml:space="preserve">Consorcio Metalúrgico S.A.</t>
  </si>
  <si>
    <t xml:space="preserve">ventas@comesa.com.pe</t>
  </si>
  <si>
    <t xml:space="preserve">4648000</t>
  </si>
  <si>
    <t xml:space="preserve">www.comesa.com.pe</t>
  </si>
  <si>
    <t xml:space="preserve">Av. Maquinarias 3150 - Cercado de Lima - Lima</t>
  </si>
  <si>
    <t xml:space="preserve">Contrans S.A.C.</t>
  </si>
  <si>
    <t xml:space="preserve">ventas@contrans.com.pe</t>
  </si>
  <si>
    <t xml:space="preserve">6123500</t>
  </si>
  <si>
    <t xml:space="preserve">www.contrans.com.pe</t>
  </si>
  <si>
    <t xml:space="preserve">Av. A Nº204 ex Fundo Oquendo Alt. km 8.5 de Av. Néstor Gambetta Callao</t>
  </si>
  <si>
    <t xml:space="preserve">Contrata Minera Cristóbal S.A.C.</t>
  </si>
  <si>
    <t xml:space="preserve">contacto.cristobal@cmcristobal.com</t>
  </si>
  <si>
    <t xml:space="preserve">Directorio SSO 2026, pág. PDF 37. Sin contacto nominal; no inventar decisor. Otros emails: info.cristobal@cmcristobal.com.</t>
  </si>
  <si>
    <t xml:space="preserve">2608282</t>
  </si>
  <si>
    <t xml:space="preserve">www.cmcristobal.com</t>
  </si>
  <si>
    <t xml:space="preserve">Jr. Sevilla 283 - Santiago de Surco Lima</t>
  </si>
  <si>
    <t xml:space="preserve">Contratos Mineros e Inversiones S.A.C.</t>
  </si>
  <si>
    <t xml:space="preserve">info@contmin.pe</t>
  </si>
  <si>
    <t xml:space="preserve">7356273</t>
  </si>
  <si>
    <t xml:space="preserve">www.contmin.pe</t>
  </si>
  <si>
    <t xml:space="preserve">Av. Coronel Andrés Reyes 437 Of. 601 San Isidro - Lima</t>
  </si>
  <si>
    <t xml:space="preserve">Coopsol Minería y Petróleo S.A.</t>
  </si>
  <si>
    <t xml:space="preserve">informes@coopsol.com</t>
  </si>
  <si>
    <t xml:space="preserve">4223344 / 4409882 / 6178800</t>
  </si>
  <si>
    <t xml:space="preserve">www.coopsolmineria.com</t>
  </si>
  <si>
    <t xml:space="preserve">Cl. Federico Villareal 555 Urb. Chacarilla de Santa Cruz - San Isidro - Lima</t>
  </si>
  <si>
    <t xml:space="preserve">Corimayo Servicios Mineros S.A.C.</t>
  </si>
  <si>
    <t xml:space="preserve">Directorio SSO 2026, pág. PDF 20, 36. Sin contacto nominal; no inventar decisor.</t>
  </si>
  <si>
    <t xml:space="preserve">Perforación geológica; Voladura, explosivos y polvorines</t>
  </si>
  <si>
    <t xml:space="preserve">2717153</t>
  </si>
  <si>
    <t xml:space="preserve">Cl. Albert Einstein 334 Urb. La Calera de la Merced - Surquillo - Lima</t>
  </si>
  <si>
    <t xml:space="preserve">Corporación Aceros Arequipa S.A.</t>
  </si>
  <si>
    <t xml:space="preserve">5171800</t>
  </si>
  <si>
    <t xml:space="preserve">www.acerosarequipa.com</t>
  </si>
  <si>
    <t xml:space="preserve">Carretera Panamericana Sur km 229 - Pisco - Ica</t>
  </si>
  <si>
    <t xml:space="preserve">Ica</t>
  </si>
  <si>
    <t xml:space="preserve">Corporación ADHARA</t>
  </si>
  <si>
    <t xml:space="preserve">ventas@adhara.pe</t>
  </si>
  <si>
    <t xml:space="preserve">Directorio SSO 2026, pág. PDF 33. Sin contacto nominal; no inventar decisor.</t>
  </si>
  <si>
    <t xml:space="preserve">(+51) 900704108</t>
  </si>
  <si>
    <t xml:space="preserve">www.adhara.pe</t>
  </si>
  <si>
    <t xml:space="preserve">Mza. N Lt. 25 Urb. Santo Domingo II Etapa, Carabayllo - Lima</t>
  </si>
  <si>
    <t xml:space="preserve">Corporación Oroya S.R.L.</t>
  </si>
  <si>
    <t xml:space="preserve">gerenciag@corpor.com.pe</t>
  </si>
  <si>
    <t xml:space="preserve">964108474</t>
  </si>
  <si>
    <t xml:space="preserve">www.corpor.com.pe</t>
  </si>
  <si>
    <t xml:space="preserve">Av. Cajamarquilla Mz. A Lt. 24 A.V. Señor de Muruhuay - Lurigancho - Lima</t>
  </si>
  <si>
    <t xml:space="preserve">Cosapi Minería S.A.C.</t>
  </si>
  <si>
    <t xml:space="preserve">comunicaciones@cosapi.com.pe</t>
  </si>
  <si>
    <t xml:space="preserve">2113500</t>
  </si>
  <si>
    <t xml:space="preserve">www.cosapi.com.pe</t>
  </si>
  <si>
    <t xml:space="preserve">Av. República de Colombia 791 San Isidro - Lima</t>
  </si>
  <si>
    <t xml:space="preserve">DCR Minería y Construcción S.A.C.</t>
  </si>
  <si>
    <t xml:space="preserve">Directorio SSO 2026, pág. PDF 34, 37. Sin contacto nominal; no inventar decisor.</t>
  </si>
  <si>
    <t xml:space="preserve">Transporte de combustibles y materiales peligrosos; Empresas contratistas y conexas</t>
  </si>
  <si>
    <t xml:space="preserve">6513232</t>
  </si>
  <si>
    <t xml:space="preserve">dcrmineriayconstruccion.com; www.dcrmineriayconstruccion.com</t>
  </si>
  <si>
    <t xml:space="preserve">Lima: Av. Nicolás Arriola 791 Santa Catalina - La Victoria Arequipa: Variante de Uchumayo km 2.5 Cerro Colorado - Lima</t>
  </si>
  <si>
    <t xml:space="preserve">Dinet S.A.</t>
  </si>
  <si>
    <t xml:space="preserve">contactodinet@dinet.com.pe</t>
  </si>
  <si>
    <t xml:space="preserve">Directorio SSO 2026, pág. PDF 34. Sin contacto nominal; no inventar decisor. Otros emails: atencion.ecommerce@dinet.com.pe.</t>
  </si>
  <si>
    <t xml:space="preserve">5170100</t>
  </si>
  <si>
    <t xml:space="preserve">www.dinet.com.pe</t>
  </si>
  <si>
    <t xml:space="preserve">Jr. Domenico Morelli 110 Of. 601 C.C. La Rambla Torre 1 San Borja - Lima</t>
  </si>
  <si>
    <t xml:space="preserve">Díaz Acarreos Generales S.A.C.</t>
  </si>
  <si>
    <t xml:space="preserve">informes@dag.com.pe</t>
  </si>
  <si>
    <t xml:space="preserve">044491121 / 942633146 / 942629279</t>
  </si>
  <si>
    <t xml:space="preserve">www.dag.com.pe</t>
  </si>
  <si>
    <t xml:space="preserve">Av. Evitamiento s/n Fundo La Encalada Trujillo - La Libertad</t>
  </si>
  <si>
    <t xml:space="preserve">La Libertad</t>
  </si>
  <si>
    <t xml:space="preserve">E &amp; E Bolt Service and Solutions E.I.R.L.</t>
  </si>
  <si>
    <t xml:space="preserve">gestioncomercial@eeboltservice.com</t>
  </si>
  <si>
    <t xml:space="preserve">973598628 / 968618227 / 977138963</t>
  </si>
  <si>
    <t xml:space="preserve">www.eeboltservice.com</t>
  </si>
  <si>
    <t xml:space="preserve">Jr. Ángela Podestá 447 Urb. Colmenares Pueblo Libre - Lima</t>
  </si>
  <si>
    <t xml:space="preserve">Edewit S.R.L.</t>
  </si>
  <si>
    <t xml:space="preserve">edgarv@edewit.com</t>
  </si>
  <si>
    <t xml:space="preserve">996285856</t>
  </si>
  <si>
    <t xml:space="preserve">www.edewit.com</t>
  </si>
  <si>
    <t xml:space="preserve">Cl. Río Caplina 158 Urb Santa Isolina Comas - Lima</t>
  </si>
  <si>
    <t xml:space="preserve">EMER S.A.C.</t>
  </si>
  <si>
    <t xml:space="preserve">ventas@emerperu.com</t>
  </si>
  <si>
    <t xml:space="preserve">989282734</t>
  </si>
  <si>
    <t xml:space="preserve">www.emerperu.com</t>
  </si>
  <si>
    <t xml:space="preserve">Jr. Cajamarquilla 1372, Urb. Zárate San Juan de Lurigancho - Lima</t>
  </si>
  <si>
    <t xml:space="preserve">Emergenza Ingeniería y Servicios E.I.R.L.</t>
  </si>
  <si>
    <t xml:space="preserve">contacto@emergenzaingenieria.com</t>
  </si>
  <si>
    <t xml:space="preserve">Directorio SSO 2026, pág. PDF 18, 21, 24. Sin contacto nominal; no inventar decisor.</t>
  </si>
  <si>
    <t xml:space="preserve">Mantenimiento industrial; Protección contra incendios; Reflectivos y señalización</t>
  </si>
  <si>
    <t xml:space="preserve">998928325</t>
  </si>
  <si>
    <t xml:space="preserve">Cl. 35 Mz.B6 Lt.14Urb. La Planicie VI Etapa, Ventiseis de Octubre - Piura</t>
  </si>
  <si>
    <t xml:space="preserve">Piura</t>
  </si>
  <si>
    <t xml:space="preserve">Eminec S.A.C.</t>
  </si>
  <si>
    <t xml:space="preserve">contacto@eminecsac.com</t>
  </si>
  <si>
    <t xml:space="preserve">Directorio SSO 2026, pág. PDF 21, 33, 37. Sin contacto nominal; no inventar decisor.</t>
  </si>
  <si>
    <t xml:space="preserve">Perforación geológica; Sostenimiento de rocas y suelos; Empresas contratistas y conexas</t>
  </si>
  <si>
    <t xml:space="preserve">2414986</t>
  </si>
  <si>
    <t xml:space="preserve">www.eminecsac.com</t>
  </si>
  <si>
    <t xml:space="preserve">Jr. Los Pinos 114 Of. 906 - Miraflores Lima</t>
  </si>
  <si>
    <t xml:space="preserve">Empresa de Transportes N&amp;V S.A.C.</t>
  </si>
  <si>
    <t xml:space="preserve">gerenciaoperaciones@nvsac.com.pe</t>
  </si>
  <si>
    <t xml:space="preserve">992367652</t>
  </si>
  <si>
    <t xml:space="preserve">Carretera Industrial km 560 Sector Primavera- Trujillo - La Libertad</t>
  </si>
  <si>
    <t xml:space="preserve">Epiroc</t>
  </si>
  <si>
    <t xml:space="preserve">contacto.andina@epiroc.com</t>
  </si>
  <si>
    <t xml:space="preserve">4116100</t>
  </si>
  <si>
    <t xml:space="preserve">www.epiroc.com</t>
  </si>
  <si>
    <t xml:space="preserve">Cl. Francisco Graña Urb. Santa Catalina, La Victoria - Lima</t>
  </si>
  <si>
    <t xml:space="preserve">Equans Services Perú S.A.</t>
  </si>
  <si>
    <t xml:space="preserve">contacto.espe@equans.com</t>
  </si>
  <si>
    <t xml:space="preserve">Directorio SSO 2026, pág. PDF 18. Sin contacto nominal; no inventar decisor.</t>
  </si>
  <si>
    <t xml:space="preserve">www.equans.pe</t>
  </si>
  <si>
    <t xml:space="preserve">Av. Paseo de la República 3617 San Isidro - Lima</t>
  </si>
  <si>
    <t xml:space="preserve">Esso Technologies S.A.C.</t>
  </si>
  <si>
    <t xml:space="preserve">ventas@essotechnologies.com</t>
  </si>
  <si>
    <t xml:space="preserve">Directorio SSO 2026, pág. PDF 18, 19, 21, 35. Sin contacto nominal; no inventar decisor.</t>
  </si>
  <si>
    <t xml:space="preserve">Iluminación industrial; Máquinas, herramientas y repuestos; Perforación geológica; Ventilación industrial y subterránea</t>
  </si>
  <si>
    <t xml:space="preserve">2501013 / 998763199</t>
  </si>
  <si>
    <t xml:space="preserve">www.essotechnologies.com</t>
  </si>
  <si>
    <t xml:space="preserve">Av. Separadora Industrial 980 Urb. Olimpo - Ate - Lima</t>
  </si>
  <si>
    <t xml:space="preserve">ETRAMIM S.R.L.</t>
  </si>
  <si>
    <t xml:space="preserve">(054) 384537 / 958331651</t>
  </si>
  <si>
    <t xml:space="preserve">www.etramim.com</t>
  </si>
  <si>
    <t xml:space="preserve">Urb. Señorial Mz.H Lt.5, Cayma Arequipa</t>
  </si>
  <si>
    <t xml:space="preserve">Explo Drilling Perú S.C.R.L.</t>
  </si>
  <si>
    <t xml:space="preserve">explo@explodrillingperu.pe</t>
  </si>
  <si>
    <t xml:space="preserve">(054) 464101 / 958545971</t>
  </si>
  <si>
    <t xml:space="preserve">www.explodrillingperu.pe</t>
  </si>
  <si>
    <t xml:space="preserve">Urb. Industrial Cayro Mz. C Lt. 3 Paucarpata - Arequipa</t>
  </si>
  <si>
    <t xml:space="preserve">Explomin del Perú S.A.</t>
  </si>
  <si>
    <t xml:space="preserve">contacto@explomin.com</t>
  </si>
  <si>
    <t xml:space="preserve">Directorio SSO 2026, pág. PDF 21, 37. Sin contacto nominal; no inventar decisor.</t>
  </si>
  <si>
    <t xml:space="preserve">2957070</t>
  </si>
  <si>
    <t xml:space="preserve">www.explomin.com</t>
  </si>
  <si>
    <t xml:space="preserve">Mz.A Lt.2 A.V. Villa El Milagro (km 22.5 Panamericana Sur-Conchán) Villa El Salvador - Lima</t>
  </si>
  <si>
    <t xml:space="preserve">Exploraciones Mineras EA &amp; T S.A.C.</t>
  </si>
  <si>
    <t xml:space="preserve">informes@exminsac.com</t>
  </si>
  <si>
    <t xml:space="preserve">985652654</t>
  </si>
  <si>
    <t xml:space="preserve">www.exminsac.com</t>
  </si>
  <si>
    <t xml:space="preserve">Cl. Nueva York 302 Urb. San Nicolás Trujillo- La Libertad</t>
  </si>
  <si>
    <t xml:space="preserve">Explosupport S.A.C.</t>
  </si>
  <si>
    <t xml:space="preserve">contacto@explosupport.com</t>
  </si>
  <si>
    <t xml:space="preserve">4761410</t>
  </si>
  <si>
    <t xml:space="preserve">www.explosupport.com</t>
  </si>
  <si>
    <t xml:space="preserve">Av. Javier Prado Este 1238, Urb. Córpac San Isidro - Lima</t>
  </si>
  <si>
    <t xml:space="preserve">EXSA S.A.</t>
  </si>
  <si>
    <t xml:space="preserve">Directorio SSO 2026, pág. PDF 36. Sin contacto nominal; no inventar decisor.</t>
  </si>
  <si>
    <t xml:space="preserve">Voladura, explosivos y polvorines</t>
  </si>
  <si>
    <t xml:space="preserve">2176000</t>
  </si>
  <si>
    <t xml:space="preserve">www.orica.com</t>
  </si>
  <si>
    <t xml:space="preserve">Av. Dionisio Derteano 144 Piso 19 San Isidro - Lima</t>
  </si>
  <si>
    <t xml:space="preserve">Famesa Explosivos S.A.C.</t>
  </si>
  <si>
    <t xml:space="preserve">ventas@famesa.com.pe</t>
  </si>
  <si>
    <t xml:space="preserve">Directorio SSO 2026, pág. PDF 36, 37. Sin contacto nominal; no inventar decisor.</t>
  </si>
  <si>
    <t xml:space="preserve">Voladura, explosivos y polvorines; Empresas contratistas y conexas</t>
  </si>
  <si>
    <t xml:space="preserve">6139800</t>
  </si>
  <si>
    <t xml:space="preserve">www.famesa.com.pe</t>
  </si>
  <si>
    <t xml:space="preserve">Panamericana Norte km 28 Puente Piedra - Lima</t>
  </si>
  <si>
    <t xml:space="preserve">Fixa S.A.</t>
  </si>
  <si>
    <t xml:space="preserve">4517854 / 4511688 / 4514548</t>
  </si>
  <si>
    <t xml:space="preserve">Cl. Omega 261, Parque Industrial y Comercio - Callao</t>
  </si>
  <si>
    <t xml:space="preserve">FLSMIDTH S.A.C.</t>
  </si>
  <si>
    <t xml:space="preserve">info@flsidth.com</t>
  </si>
  <si>
    <t xml:space="preserve">Directorio SSO 2026, pág. PDF 12, 18, 37. Sin contacto nominal; no inventar decisor.</t>
  </si>
  <si>
    <t xml:space="preserve">Electricidad industrial; Mantenimiento industrial; Empresas contratistas y conexas</t>
  </si>
  <si>
    <t xml:space="preserve">7080500</t>
  </si>
  <si>
    <t xml:space="preserve">www.flsmidth.com</t>
  </si>
  <si>
    <t xml:space="preserve">Av. Juan de Arona 755 (Piso 9, Of. 9 116), San Isidro - Lima</t>
  </si>
  <si>
    <t xml:space="preserve">GC Ground S.A.C.</t>
  </si>
  <si>
    <t xml:space="preserve">infogcground@gcground.com</t>
  </si>
  <si>
    <t xml:space="preserve">2566056 / 996284660</t>
  </si>
  <si>
    <t xml:space="preserve">www.gcground.com</t>
  </si>
  <si>
    <t xml:space="preserve">Cl. Monterosa 240 Of. 903 Urb. Chacarilla del Estanque Santiago de Surco - Lima</t>
  </si>
  <si>
    <t xml:space="preserve">Geodrill S.A.C.</t>
  </si>
  <si>
    <t xml:space="preserve">info@geodrill.com.pe</t>
  </si>
  <si>
    <t xml:space="preserve">(054) 568111</t>
  </si>
  <si>
    <t xml:space="preserve">www.geo-drill.com</t>
  </si>
  <si>
    <t xml:space="preserve">Juan Barcleay 261, Parque Industrial Arequipa</t>
  </si>
  <si>
    <t xml:space="preserve">Geodrilling E.I.R.L.</t>
  </si>
  <si>
    <t xml:space="preserve">geo@geodrillingperu.pe</t>
  </si>
  <si>
    <t xml:space="preserve">7291995 / 985691930</t>
  </si>
  <si>
    <t xml:space="preserve">www.geodrillingperu.pe</t>
  </si>
  <si>
    <t xml:space="preserve">Cl. Garcilaso de la Vega 346 Urb. San Joaquín - Bellavista - Callao</t>
  </si>
  <si>
    <t xml:space="preserve">Geofundaciones del Perú S.A.C.</t>
  </si>
  <si>
    <t xml:space="preserve">comercial@geofundaciones.pe</t>
  </si>
  <si>
    <t xml:space="preserve">4697376 / 946381153</t>
  </si>
  <si>
    <t xml:space="preserve">www.geofundaciones.pe</t>
  </si>
  <si>
    <t xml:space="preserve">Av. Los Faisanes 170 Of. D Urb. La Campiña, Chorrillos - Lima</t>
  </si>
  <si>
    <t xml:space="preserve">Geomecánica Latina S.A.</t>
  </si>
  <si>
    <t xml:space="preserve">info@geomecanicalatina.com</t>
  </si>
  <si>
    <t xml:space="preserve">4351969 / 963870698</t>
  </si>
  <si>
    <t xml:space="preserve">www.geomecanicalatina.com</t>
  </si>
  <si>
    <t xml:space="preserve">Av. Marginal 467 Urb. Salamanca Ate - Lima</t>
  </si>
  <si>
    <t xml:space="preserve">Geotec S.A.</t>
  </si>
  <si>
    <t xml:space="preserve">geotec@geotec.com.pe</t>
  </si>
  <si>
    <t xml:space="preserve">989138078</t>
  </si>
  <si>
    <t xml:space="preserve">www.geotec.com.pe</t>
  </si>
  <si>
    <t xml:space="preserve">Av. Industrial 228 Urb. Aurora Ate - Lima</t>
  </si>
  <si>
    <t xml:space="preserve">Geotecnia Peruana S.R.L.</t>
  </si>
  <si>
    <t xml:space="preserve">peruana@geotecnia.net</t>
  </si>
  <si>
    <t xml:space="preserve">Directorio SSO 2026, pág. PDF 21, 36, 37. Sin contacto nominal; no inventar decisor.</t>
  </si>
  <si>
    <t xml:space="preserve">Perforación geológica; Voladura, explosivos y polvorines; Empresas contratistas y conexas</t>
  </si>
  <si>
    <t xml:space="preserve">4366040 / 998735963</t>
  </si>
  <si>
    <t xml:space="preserve">www.geotecniaperuana.com</t>
  </si>
  <si>
    <t xml:space="preserve">Cl. Camino Real Mz.N Lt.2 Urb. San Francisco - Ate Vitarte - Lima</t>
  </si>
  <si>
    <t xml:space="preserve">Ginsumil Corporation</t>
  </si>
  <si>
    <t xml:space="preserve">ventas@ginsumilcorp.com</t>
  </si>
  <si>
    <t xml:space="preserve">Directorio SSO 2026, pág. PDF 21. Sin contacto nominal; no inventar decisor.</t>
  </si>
  <si>
    <t xml:space="preserve">993022915</t>
  </si>
  <si>
    <t xml:space="preserve">www.ginsumilcorp.com</t>
  </si>
  <si>
    <t xml:space="preserve">Av. Mariano Pastor Sevilla Mz.D Lt.40 Sector 5 San Juan de Miraflores - Lima</t>
  </si>
  <si>
    <t xml:space="preserve">Grupo Coopsol</t>
  </si>
  <si>
    <t xml:space="preserve">Directorio SSO 2026, pág. PDF 17, 18. Sin contacto nominal; no inventar decisor.</t>
  </si>
  <si>
    <t xml:space="preserve">Higiene industrial, saneamiento y limpieza; Mantenimiento industrial</t>
  </si>
  <si>
    <t xml:space="preserve">4223344</t>
  </si>
  <si>
    <t xml:space="preserve">www.grupocoopsol.com</t>
  </si>
  <si>
    <t xml:space="preserve">Cl. Federico Villarreal 555 - San Isidro Lima</t>
  </si>
  <si>
    <t xml:space="preserve">Grupo Vivargo S.A.C.</t>
  </si>
  <si>
    <t xml:space="preserve">centralperu@vivargo.com</t>
  </si>
  <si>
    <t xml:space="preserve">Directorio SSO 2026, pág. PDF 34, 35. Sin contacto nominal; no inventar decisor.</t>
  </si>
  <si>
    <t xml:space="preserve">Transporte de combustibles y materiales peligrosos; Vehículos: ventas, alquiler, repuestos y reparaciones</t>
  </si>
  <si>
    <t xml:space="preserve">7158000 / 959376659</t>
  </si>
  <si>
    <t xml:space="preserve">www.vivargo.com</t>
  </si>
  <si>
    <t xml:space="preserve">Av. Premio Real Mz. S1 Lt. 4 Urb. Los Huertos de Villa - Chorrillos - Lima</t>
  </si>
  <si>
    <t xml:space="preserve">GSH Genie</t>
  </si>
  <si>
    <t xml:space="preserve">ingenieria@gsh.pe</t>
  </si>
  <si>
    <t xml:space="preserve">966798391</t>
  </si>
  <si>
    <t xml:space="preserve">www.gsh.pe</t>
  </si>
  <si>
    <t xml:space="preserve">Jr. Johan Strauss 732 San Borja - Lima</t>
  </si>
  <si>
    <t xml:space="preserve">Gulda y Cía. S.A.C.</t>
  </si>
  <si>
    <t xml:space="preserve">atencionalcliente@gulda.com.pe</t>
  </si>
  <si>
    <t xml:space="preserve">Directorio SSO 2026, pág. PDF 12, 15, 18. Sin contacto nominal; no inventar decisor.</t>
  </si>
  <si>
    <t xml:space="preserve">Electricidad industrial; Equipos de protección personal; Mantenimiento industrial</t>
  </si>
  <si>
    <t xml:space="preserve">6176900 / 949498454</t>
  </si>
  <si>
    <t xml:space="preserve">www.gulda.screativa.com</t>
  </si>
  <si>
    <t xml:space="preserve">Cl. Electra 165 Urb. La Campiña Chorrillos - Lima</t>
  </si>
  <si>
    <t xml:space="preserve">H&amp;T Corporación Ingenieros S.C.R.L.</t>
  </si>
  <si>
    <t xml:space="preserve">cotizaciones@hytingenieros.pe</t>
  </si>
  <si>
    <t xml:space="preserve">993604040</t>
  </si>
  <si>
    <t xml:space="preserve">www.hytingenieros.pe</t>
  </si>
  <si>
    <t xml:space="preserve">Jr. Natalio Sánchez 244 Of. 702 Jesús María - Lima</t>
  </si>
  <si>
    <t xml:space="preserve">Haug S.A.</t>
  </si>
  <si>
    <t xml:space="preserve">comercial@haug.com.pe</t>
  </si>
  <si>
    <t xml:space="preserve">Directorio SSO 2026, pág. PDF 12, 18, 19. Sin contacto nominal; no inventar decisor.</t>
  </si>
  <si>
    <t xml:space="preserve">Electricidad industrial; Mantenimiento industrial; Máquinas, herramientas y repuestos</t>
  </si>
  <si>
    <t xml:space="preserve">6134545 / 6314545</t>
  </si>
  <si>
    <t xml:space="preserve">www.haug.com.pe</t>
  </si>
  <si>
    <t xml:space="preserve">Cl. José Gálvez 550, Of. 201 Miraflores - Lima</t>
  </si>
  <si>
    <t xml:space="preserve">HLC INGENIERIA Y CONSTRUCCION HLC S.A.C.</t>
  </si>
  <si>
    <t xml:space="preserve">proyectos@hlcsac.com</t>
  </si>
  <si>
    <t xml:space="preserve">7124900</t>
  </si>
  <si>
    <t xml:space="preserve">www.hlcsac.com</t>
  </si>
  <si>
    <t xml:space="preserve">Av. Manuel Olguín 335 Rsd. Link Tower Of. 1701 - Santiago de Surco - Lima Anexo 1918</t>
  </si>
  <si>
    <t xml:space="preserve">IESA S.A.</t>
  </si>
  <si>
    <t xml:space="preserve">comercial@iesa.com.pe</t>
  </si>
  <si>
    <t xml:space="preserve">6142121</t>
  </si>
  <si>
    <t xml:space="preserve">www.iesa.com.pe</t>
  </si>
  <si>
    <t xml:space="preserve">Av. Los Insurgentes 1075 La Perla - Callao</t>
  </si>
  <si>
    <t xml:space="preserve">IMECON</t>
  </si>
  <si>
    <t xml:space="preserve">7433222</t>
  </si>
  <si>
    <t xml:space="preserve">www.imecon.com.pe</t>
  </si>
  <si>
    <t xml:space="preserve">Autopista Panamericana Sur km 46 Punta Negra - Lima</t>
  </si>
  <si>
    <t xml:space="preserve">INCIMMET S.A.</t>
  </si>
  <si>
    <t xml:space="preserve">comercial_peru@incimmet.com</t>
  </si>
  <si>
    <t xml:space="preserve">963701111</t>
  </si>
  <si>
    <t xml:space="preserve">www.incimmet.com</t>
  </si>
  <si>
    <t xml:space="preserve">Av. Manuel Olguín 211, Piso 14 Of.1401 Santiago de Surco - Lima</t>
  </si>
  <si>
    <t xml:space="preserve">Ingeomin S.A.C.</t>
  </si>
  <si>
    <t xml:space="preserve">3513888</t>
  </si>
  <si>
    <t xml:space="preserve">Av. Prol. Javier Prado 9269 Urb. Los Portales de Javier Prado Ate - Lima</t>
  </si>
  <si>
    <t xml:space="preserve">Innova BS S.A.C.</t>
  </si>
  <si>
    <t xml:space="preserve">info@innovabs.com</t>
  </si>
  <si>
    <t xml:space="preserve">Directorio SSO 2026, pág. PDF 19. Sin contacto nominal; no inventar decisor.</t>
  </si>
  <si>
    <t xml:space="preserve">935841522</t>
  </si>
  <si>
    <t xml:space="preserve">www.innovabs.com</t>
  </si>
  <si>
    <t xml:space="preserve">Cl. Grimaldo del Solar 162 Of. 307 Miraflores - Lima</t>
  </si>
  <si>
    <t xml:space="preserve">Jaidor S.A.C.</t>
  </si>
  <si>
    <t xml:space="preserve">transportesjaidor@hotmail.com</t>
  </si>
  <si>
    <t xml:space="preserve">941751202</t>
  </si>
  <si>
    <t xml:space="preserve">Jr. Trujillo Sur 932 Chosica Lurigancho - Lima</t>
  </si>
  <si>
    <t xml:space="preserve">JC Portal Drilling Supplies S.A.C.</t>
  </si>
  <si>
    <t xml:space="preserve">ycaicedo@jcpds.pe</t>
  </si>
  <si>
    <t xml:space="preserve">992565590</t>
  </si>
  <si>
    <t xml:space="preserve">www.jcportalds.com</t>
  </si>
  <si>
    <t xml:space="preserve">Cl. Camino B Lt.17A Centro Logístico Servinegocios Almacén 01 Nº17A Urb. Villa Baja, Chorrillos - Lima</t>
  </si>
  <si>
    <t xml:space="preserve">JRC Ingeniería y Construcción S.A.C.</t>
  </si>
  <si>
    <t xml:space="preserve">info@jrcing.com.pe</t>
  </si>
  <si>
    <t xml:space="preserve">6301500</t>
  </si>
  <si>
    <t xml:space="preserve">www.jrc.com.pe</t>
  </si>
  <si>
    <t xml:space="preserve">Av. Jorge Basadre 233 Int.601 Centro Empresarial, San Isidro - Lima</t>
  </si>
  <si>
    <t xml:space="preserve">Layher Perú S.A.C.</t>
  </si>
  <si>
    <t xml:space="preserve">comercial@layher.pe</t>
  </si>
  <si>
    <t xml:space="preserve">Directorio SSO 2026, pág. PDF 6, 7, 37. Sin contacto nominal; no inventar decisor.</t>
  </si>
  <si>
    <t xml:space="preserve">Andamios y trabajos en altura; Campamentos e instalaciones; Empresas contratistas y conexas</t>
  </si>
  <si>
    <t xml:space="preserve">(01) 4303268 / (+51) 986672239</t>
  </si>
  <si>
    <t xml:space="preserve">www.layher.pe</t>
  </si>
  <si>
    <t xml:space="preserve">Av. Portillo Grande Mz.22 Lt.1 Urb. Macrópolis Etapa 1, Lurín - Lima</t>
  </si>
  <si>
    <t xml:space="preserve">MAC Transport S.A.C.</t>
  </si>
  <si>
    <t xml:space="preserve">contactos@mactransport.com.pe</t>
  </si>
  <si>
    <t xml:space="preserve">6238782</t>
  </si>
  <si>
    <t xml:space="preserve">www.mactransport.com.pe</t>
  </si>
  <si>
    <t xml:space="preserve">Cl. Monterosa 240 Of. 401 Urb. Chacarilla Santiago de Surco - Lima</t>
  </si>
  <si>
    <t xml:space="preserve">Maccaferri del Perú S.A.C.</t>
  </si>
  <si>
    <t xml:space="preserve">info.pe@maccaferri.com</t>
  </si>
  <si>
    <t xml:space="preserve">2011060</t>
  </si>
  <si>
    <t xml:space="preserve">www.maccaferri.com.pe</t>
  </si>
  <si>
    <t xml:space="preserve">Carretera Nueva Panamericana Sur Km 33 - Lurín - Lima</t>
  </si>
  <si>
    <t xml:space="preserve">Mainserv Ingenieros S.A.C.</t>
  </si>
  <si>
    <t xml:space="preserve">4899266</t>
  </si>
  <si>
    <t xml:space="preserve">www.mainservingenieros.com</t>
  </si>
  <si>
    <t xml:space="preserve">Av. Aviación 2695 Of.302 - San Borja Lima</t>
  </si>
  <si>
    <t xml:space="preserve">Manuchar Perú S.A.C.</t>
  </si>
  <si>
    <t xml:space="preserve">info@manuchar.com.pe</t>
  </si>
  <si>
    <t xml:space="preserve">Directorio SSO 2026, pág. PDF 5, 34. Sin contacto nominal; no inventar decisor.</t>
  </si>
  <si>
    <t xml:space="preserve">Agua, análisis, tecnología y productos; Transporte de combustibles y materiales peligrosos</t>
  </si>
  <si>
    <t xml:space="preserve">6185600</t>
  </si>
  <si>
    <t xml:space="preserve">www.manuchar.com</t>
  </si>
  <si>
    <t xml:space="preserve">Cl. 2 Nro.147 (Av. Néstor Gambetta ex Fundo Oquendo) Callao</t>
  </si>
  <si>
    <t xml:space="preserve">Mas Errazuriz del Perú S.A.C.</t>
  </si>
  <si>
    <t xml:space="preserve">consultas@maserrazuriz.com.pe</t>
  </si>
  <si>
    <t xml:space="preserve">Directorio SSO 2026, pág. PDF 33, 37. Sin contacto nominal; no inventar decisor.</t>
  </si>
  <si>
    <t xml:space="preserve">2022300</t>
  </si>
  <si>
    <t xml:space="preserve">www.maserrazuriz.cl</t>
  </si>
  <si>
    <t xml:space="preserve">Av. Alfredo Benavides 768 Int.1201 Urb. Leuro - Miraflores - Lima</t>
  </si>
  <si>
    <t xml:space="preserve">Master Drilling Perú S.A.C.</t>
  </si>
  <si>
    <t xml:space="preserve">info@masterdrilling.com</t>
  </si>
  <si>
    <t xml:space="preserve">3367474</t>
  </si>
  <si>
    <t xml:space="preserve">www.masterdrilling.com</t>
  </si>
  <si>
    <t xml:space="preserve">Urb. La Concordia Mz.B Lt.13 (Sublote 13A-13B) km 17 Antigua Panamericana Sur, Villa El Salvador - Lima</t>
  </si>
  <si>
    <t xml:space="preserve">MCA Perforaciones S.A.C.</t>
  </si>
  <si>
    <t xml:space="preserve">contacto@mca.la</t>
  </si>
  <si>
    <t xml:space="preserve">989102880</t>
  </si>
  <si>
    <t xml:space="preserve">www.mcaperforaciones.com</t>
  </si>
  <si>
    <t xml:space="preserve">Cl. Francia 173 Urb. Los Portales de Javier Prado, Ate Vitarte - Lima</t>
  </si>
  <si>
    <t xml:space="preserve">MDH Perforaciones</t>
  </si>
  <si>
    <t xml:space="preserve">oper@mdh.com.pe</t>
  </si>
  <si>
    <t xml:space="preserve">7007250 / 958799938 / 986979436</t>
  </si>
  <si>
    <t xml:space="preserve">www.mdh.com.pe</t>
  </si>
  <si>
    <t xml:space="preserve">Av. Malecón Checa 3677 - San Juan de Lurigancho - Lima</t>
  </si>
  <si>
    <t xml:space="preserve">MDH-PD S.A.C.</t>
  </si>
  <si>
    <t xml:space="preserve">Directorio SSO 2026, pág. PDF 21, 33. Sin contacto nominal; no inventar decisor.</t>
  </si>
  <si>
    <t xml:space="preserve">Perforación geológica; Sostenimiento de rocas y suelos</t>
  </si>
  <si>
    <t xml:space="preserve">7007250 / 958799938</t>
  </si>
  <si>
    <t xml:space="preserve">Av. Malecón Checa 3677 San Juan de Lurigancho - Lima</t>
  </si>
  <si>
    <t xml:space="preserve">Metcom M&amp;S E.I.R.L.</t>
  </si>
  <si>
    <t xml:space="preserve">info@metcomperu.com</t>
  </si>
  <si>
    <t xml:space="preserve">Directorio SSO 2026, pág. PDF 19, 32, 37. Sin contacto nominal; no inventar decisor.</t>
  </si>
  <si>
    <t xml:space="preserve">Mantenimiento industrial; Soldadura industrial; Empresas contratistas y conexas</t>
  </si>
  <si>
    <t xml:space="preserve">(054) 250389</t>
  </si>
  <si>
    <t xml:space="preserve">www.metcomperu.com</t>
  </si>
  <si>
    <t xml:space="preserve">Urb. Alborada K-8 A.V. Apima II Cerro Colorado - Arequipa</t>
  </si>
  <si>
    <t xml:space="preserve">MICSAC</t>
  </si>
  <si>
    <t xml:space="preserve">informes@micsac.com</t>
  </si>
  <si>
    <t xml:space="preserve">www.micsac.com</t>
  </si>
  <si>
    <t xml:space="preserve">Jr. Tambo Real 390, Chorrillos - Lima</t>
  </si>
  <si>
    <t xml:space="preserve">Minera Tauro S.A.C.</t>
  </si>
  <si>
    <t xml:space="preserve">info@minerataurosac.com</t>
  </si>
  <si>
    <t xml:space="preserve">2252974 / 4760212</t>
  </si>
  <si>
    <t xml:space="preserve">www.minerataurosac.com</t>
  </si>
  <si>
    <t xml:space="preserve">Av. Aviación 2490 - 301 - San Borja Lima</t>
  </si>
  <si>
    <t xml:space="preserve">Mintech Mining Technology E.I.R.L.</t>
  </si>
  <si>
    <t xml:space="preserve">info@mintech.com.pe</t>
  </si>
  <si>
    <t xml:space="preserve">2766979 / 6228124</t>
  </si>
  <si>
    <t xml:space="preserve">www.mintech.com.pe</t>
  </si>
  <si>
    <t xml:space="preserve">Av. Los Pinos Mz.W Lt.2 Asociación Chillón Puente Piedra - Lima</t>
  </si>
  <si>
    <t xml:space="preserve">Miro Vidal y Compañia S.A.C.</t>
  </si>
  <si>
    <t xml:space="preserve">mvc@mvc.com.pe</t>
  </si>
  <si>
    <t xml:space="preserve">4366677</t>
  </si>
  <si>
    <t xml:space="preserve">www.mvc.com.pe</t>
  </si>
  <si>
    <t xml:space="preserve">Cl. Talladores 317 Urb. Los Artesanos Ate Vitarte - Lima</t>
  </si>
  <si>
    <t xml:space="preserve">Mota-Engil Perú S.A.</t>
  </si>
  <si>
    <t xml:space="preserve">4143665</t>
  </si>
  <si>
    <t xml:space="preserve">www.mota-engil.pe</t>
  </si>
  <si>
    <t xml:space="preserve">Av. Javier Prado Este 444 Edificio Torre Prado P. 22-23 - San Isidro - Lima</t>
  </si>
  <si>
    <t xml:space="preserve">Multiservicios LIFER &amp; EB S.A.C.</t>
  </si>
  <si>
    <t xml:space="preserve">lifer.eb.sac@gmail.com</t>
  </si>
  <si>
    <t xml:space="preserve">966390619</t>
  </si>
  <si>
    <t xml:space="preserve">Mz. K Lt. 6 Urb. Las Capullanas Trujillo - La Libertad</t>
  </si>
  <si>
    <t xml:space="preserve">Multiservicios Papillon S.A.C.</t>
  </si>
  <si>
    <t xml:space="preserve">Jr. Washington 1308 Of. 802 Cercado de Lima - Lima</t>
  </si>
  <si>
    <t xml:space="preserve">MUR WY S.A.C.</t>
  </si>
  <si>
    <t xml:space="preserve">info@mur.com.pe</t>
  </si>
  <si>
    <t xml:space="preserve">7007382 / 932749583</t>
  </si>
  <si>
    <t xml:space="preserve">www.mur.com.pe</t>
  </si>
  <si>
    <t xml:space="preserve">Av. Malecón Checa 3777 Urb. Campoy San Juan de Lurigancho Lima</t>
  </si>
  <si>
    <t xml:space="preserve">Neuma Perú Contratistas Generales S.A.C.</t>
  </si>
  <si>
    <t xml:space="preserve">ventas@neumaperu.com.pe</t>
  </si>
  <si>
    <t xml:space="preserve">6180300 / 971523609</t>
  </si>
  <si>
    <t xml:space="preserve">www.neumaperu.com.pe</t>
  </si>
  <si>
    <t xml:space="preserve">Av. Nicolás Ayllón 2142 - Ate Vitarte Lima</t>
  </si>
  <si>
    <t xml:space="preserve">Noatum Logistics Perú Inc. S.R.L.</t>
  </si>
  <si>
    <t xml:space="preserve">contac-am-sa@noatumlogistics.com</t>
  </si>
  <si>
    <t xml:space="preserve">6157676</t>
  </si>
  <si>
    <t xml:space="preserve">www.noatumlogistics.com</t>
  </si>
  <si>
    <t xml:space="preserve">Av. 28 de Julio 150 Of. 5 Miraflores - Lima</t>
  </si>
  <si>
    <t xml:space="preserve">OCA Global Perú</t>
  </si>
  <si>
    <t xml:space="preserve">www.ocaglobal.com/es</t>
  </si>
  <si>
    <t xml:space="preserve">Av. Circunvalación del Golf Los Incas 134, Torre 2 - Oficina 1801 Edificio Patio Panorama Santiago de Surco - Lima</t>
  </si>
  <si>
    <t xml:space="preserve">Ing. Jorge Luis Báez Calderón</t>
  </si>
  <si>
    <t xml:space="preserve">Operaciones Seprocal S.A.C.</t>
  </si>
  <si>
    <t xml:space="preserve">seprocal@seprocal.pe</t>
  </si>
  <si>
    <t xml:space="preserve">Directorio SSO 2026, pág. PDF 10, 21, 38. Anunciante (inversión activa en SST). Contacto publicado; validar vigencia.</t>
  </si>
  <si>
    <t xml:space="preserve">Capacitación, consultoría y auditoría; Perforación geológica; Empresas contratistas y conexas</t>
  </si>
  <si>
    <t xml:space="preserve">(01) 6508246 / (+51) 949117670 / (+51) 990906143</t>
  </si>
  <si>
    <t xml:space="preserve">www.seprocal.pe</t>
  </si>
  <si>
    <t xml:space="preserve">Av. Los Jazmines Mz.R Lt.4 Urb. San Francisco de Asís, Ate - Lima</t>
  </si>
  <si>
    <t xml:space="preserve">Opermin S.A.C.</t>
  </si>
  <si>
    <t xml:space="preserve">contacto@opermin.com</t>
  </si>
  <si>
    <t xml:space="preserve">Directorio SSO 2026, pág. PDF 33, 38. Sin contacto nominal; no inventar decisor.</t>
  </si>
  <si>
    <t xml:space="preserve">4368779</t>
  </si>
  <si>
    <t xml:space="preserve">www.opermin.com</t>
  </si>
  <si>
    <t xml:space="preserve">Jr. Verrocchio 182 San Borja - Lima</t>
  </si>
  <si>
    <t xml:space="preserve">Orica Mining Services Perú S.A.</t>
  </si>
  <si>
    <t xml:space="preserve">Av. Dionisio Derteano 144 P. 19 San Isidro - Lima</t>
  </si>
  <si>
    <t xml:space="preserve">Overprime Manufacturing S.A.C.</t>
  </si>
  <si>
    <t xml:space="preserve">5187100 / 994660177</t>
  </si>
  <si>
    <t xml:space="preserve">www.overprimegroup.com</t>
  </si>
  <si>
    <t xml:space="preserve">Av. Alameda Sur 216 Urb. Villa Marina Chorrillos - Lima</t>
  </si>
  <si>
    <t xml:space="preserve">Peri Peruana S.A.C. / PERI</t>
  </si>
  <si>
    <t xml:space="preserve">contacto@peri.com.pe</t>
  </si>
  <si>
    <t xml:space="preserve">Directorio SSO 2026, pág. PDF 6, 33. Sin contacto nominal; no inventar decisor.</t>
  </si>
  <si>
    <t xml:space="preserve">Andamios y trabajos en altura; Sostenimiento de rocas y suelos</t>
  </si>
  <si>
    <t xml:space="preserve">(01) 4426262</t>
  </si>
  <si>
    <t xml:space="preserve">www.peri.com.pe</t>
  </si>
  <si>
    <t xml:space="preserve">Cl. Los Libertadores 155 Of. 501 San Isidro - Lima</t>
  </si>
  <si>
    <t xml:space="preserve">Pevoex Contratistas S.A.C.</t>
  </si>
  <si>
    <t xml:space="preserve">presupuestos@pevoex.com.pe</t>
  </si>
  <si>
    <t xml:space="preserve">Directorio SSO 2026, pág. PDF 21, 36. Sin contacto nominal; no inventar decisor.</t>
  </si>
  <si>
    <t xml:space="preserve">6832277 / 989262241</t>
  </si>
  <si>
    <t xml:space="preserve">www.pevoex.com</t>
  </si>
  <si>
    <t xml:space="preserve">Av. Circunvalación del Club Golf Los Incas 154 Of. 404 Santiago de Surco - Lima</t>
  </si>
  <si>
    <t xml:space="preserve">Pilotes Terratest Perú S.A.C.</t>
  </si>
  <si>
    <t xml:space="preserve">contactos@terratest.com.pe</t>
  </si>
  <si>
    <t xml:space="preserve">6193535</t>
  </si>
  <si>
    <t xml:space="preserve">www.terratest.com.pe</t>
  </si>
  <si>
    <t xml:space="preserve">Av. El Sol 2295, Cooperativa Las Vertientes, Villa El Salvador Lima</t>
  </si>
  <si>
    <t xml:space="preserve">PRECOR S.A.</t>
  </si>
  <si>
    <t xml:space="preserve">correo@precor.com.pe</t>
  </si>
  <si>
    <t xml:space="preserve">Directorio SSO 2026, pág. PDF 7, 38. Sin contacto nominal; no inventar decisor.</t>
  </si>
  <si>
    <t xml:space="preserve">Campamentos e instalaciones; Empresas contratistas y conexas</t>
  </si>
  <si>
    <t xml:space="preserve">7054000</t>
  </si>
  <si>
    <t xml:space="preserve">www.precor.pe</t>
  </si>
  <si>
    <t xml:space="preserve">Av. Manuel Olguín 373 Of. 901 Edf. El Qubo - Santiago de Surco - Lima</t>
  </si>
  <si>
    <t xml:space="preserve">Productos de Acero Cassado S.A. PRODAC</t>
  </si>
  <si>
    <t xml:space="preserve">consultas@prodac.pe</t>
  </si>
  <si>
    <t xml:space="preserve">989096371</t>
  </si>
  <si>
    <t xml:space="preserve">www.prodac.pe</t>
  </si>
  <si>
    <t xml:space="preserve">Av. Néstor Gambeta 6429 - Callao</t>
  </si>
  <si>
    <t xml:space="preserve">Promat Perú by Etex</t>
  </si>
  <si>
    <t xml:space="preserve">Directorio SSO 2026, pág. PDF 10, 19, 22. Sin contacto nominal; no inventar decisor.</t>
  </si>
  <si>
    <t xml:space="preserve">Capacitación, consultoría y auditoría; Mantenimiento industrial; Protección contra incendios</t>
  </si>
  <si>
    <t xml:space="preserve">7074329 / 986699556</t>
  </si>
  <si>
    <t xml:space="preserve">www.promat.pe</t>
  </si>
  <si>
    <t xml:space="preserve">Jr. República de Ecuador 448 - Lima</t>
  </si>
  <si>
    <t xml:space="preserve">Proyectek Soluciones Industriales</t>
  </si>
  <si>
    <t xml:space="preserve">contacto@proyectek.com</t>
  </si>
  <si>
    <t xml:space="preserve">997685542 / 992495602</t>
  </si>
  <si>
    <t xml:space="preserve">www.proyectek.com</t>
  </si>
  <si>
    <t xml:space="preserve">Cl. Chicama 177 Urb. Maranga Tercera Etapa, San Miguel - Lima</t>
  </si>
  <si>
    <t xml:space="preserve">Ransa Comercial S.A.</t>
  </si>
  <si>
    <t xml:space="preserve">servicioalcliente@ransa.net</t>
  </si>
  <si>
    <t xml:space="preserve">3136000 / 2018200</t>
  </si>
  <si>
    <t xml:space="preserve">www.ransa.biz</t>
  </si>
  <si>
    <t xml:space="preserve">Av. 28 de Julio 1150 P. 3 Miraflores - Lima</t>
  </si>
  <si>
    <t xml:space="preserve">Reactivos Nacionales S.A.</t>
  </si>
  <si>
    <t xml:space="preserve">contactanos@renasa.com.pe</t>
  </si>
  <si>
    <t xml:space="preserve">Directorio SSO 2026, pág. PDF 22, 34. Sin contacto nominal; no inventar decisor.</t>
  </si>
  <si>
    <t xml:space="preserve">Protección contra incendios; Transporte de combustibles y materiales peligrosos</t>
  </si>
  <si>
    <t xml:space="preserve">2778000</t>
  </si>
  <si>
    <t xml:space="preserve">www.renasa.com.pe</t>
  </si>
  <si>
    <t xml:space="preserve">Av. Néstor Gambetta 6448 Z.I. Zona Gran Industria - Callao</t>
  </si>
  <si>
    <t xml:space="preserve">Remicsa Drilling S.A. - REDRILSA</t>
  </si>
  <si>
    <t xml:space="preserve">remicsadrilling@redrilsa.com.pe</t>
  </si>
  <si>
    <t xml:space="preserve">2551420 / 2549140</t>
  </si>
  <si>
    <t xml:space="preserve">www.redrilsa.com.pe</t>
  </si>
  <si>
    <t xml:space="preserve">Av. José Antonio Lavalle Mz.D Lt.22 Urb. San Juan Bautista de Villa Chorrillos - Lima</t>
  </si>
  <si>
    <t xml:space="preserve">Representaciones Mineras y Comerciales S.A. - REMICSA</t>
  </si>
  <si>
    <t xml:space="preserve">ventas@remicsa.com</t>
  </si>
  <si>
    <t xml:space="preserve">7191898</t>
  </si>
  <si>
    <t xml:space="preserve">www.remicsa.com</t>
  </si>
  <si>
    <t xml:space="preserve">Representaciones Peruvian Trading S.A.</t>
  </si>
  <si>
    <t xml:space="preserve">ventas@rptsa.com.pe</t>
  </si>
  <si>
    <t xml:space="preserve">Mantenimiento industrial; Máquinas, herramientas y repuestos</t>
  </si>
  <si>
    <t xml:space="preserve">4428559</t>
  </si>
  <si>
    <t xml:space="preserve">www.rptsa.com.pe</t>
  </si>
  <si>
    <t xml:space="preserve">Pje. Los Jilgueros 108 Urb. Limatambo Surquillo - Lima</t>
  </si>
  <si>
    <t xml:space="preserve">RESEMIN S.A.</t>
  </si>
  <si>
    <t xml:space="preserve">resemin@resemin.com</t>
  </si>
  <si>
    <t xml:space="preserve">Directorio SSO 2026, pág. PDF 19, 21, 33. Sin contacto nominal; no inventar decisor.</t>
  </si>
  <si>
    <t xml:space="preserve">Máquinas, herramientas y repuestos; Perforación geológica; Sostenimiento de rocas y suelos</t>
  </si>
  <si>
    <t xml:space="preserve">7435500</t>
  </si>
  <si>
    <t xml:space="preserve">www.resemin.com</t>
  </si>
  <si>
    <t xml:space="preserve">Cl. Luis Galvani 356 Urb. Santa Rosa, Ate - Lima</t>
  </si>
  <si>
    <t xml:space="preserve">Roatsa</t>
  </si>
  <si>
    <t xml:space="preserve">ventas@roatsa.com</t>
  </si>
  <si>
    <t xml:space="preserve">Directorio SSO 2026, pág. PDF 38. Sin contacto nominal; no inventar decisor.</t>
  </si>
  <si>
    <t xml:space="preserve">6131131 / 989004263</t>
  </si>
  <si>
    <t xml:space="preserve">www.roatsa.com</t>
  </si>
  <si>
    <t xml:space="preserve">Av. Prolongación Defensores del Morro 222 - Chorrillos - Lima</t>
  </si>
  <si>
    <t xml:space="preserve">Rock Drill Contratistas Civiles y Mineros S.A.C.</t>
  </si>
  <si>
    <t xml:space="preserve">contacto@rockdrillgroup.com</t>
  </si>
  <si>
    <t xml:space="preserve">(+51) 5187100 / 991686419</t>
  </si>
  <si>
    <t xml:space="preserve">www.rockdrillgroup.com</t>
  </si>
  <si>
    <t xml:space="preserve">Av. Alameda Sur 216 Urb. Villa Marina Chorrillos, CP 15066 - Lima</t>
  </si>
  <si>
    <t xml:space="preserve">Roeda S.A.</t>
  </si>
  <si>
    <t xml:space="preserve">roeda@roeda.com.pe</t>
  </si>
  <si>
    <t xml:space="preserve">Directorio SSO 2026, pág. PDF 19, 33. Sin contacto nominal; no inventar decisor.</t>
  </si>
  <si>
    <t xml:space="preserve">Máquinas, herramientas y repuestos; Sostenimiento de rocas y suelos</t>
  </si>
  <si>
    <t xml:space="preserve">3151400 / 997567133</t>
  </si>
  <si>
    <t xml:space="preserve">www.roeda.com.pe</t>
  </si>
  <si>
    <t xml:space="preserve">Jr. Tarma 272- Cercado de Lima - Lima</t>
  </si>
  <si>
    <t xml:space="preserve">Ruen Drilling Int. Inc. Sucursal del Perú</t>
  </si>
  <si>
    <t xml:space="preserve">office@ruendrillingperu.com</t>
  </si>
  <si>
    <t xml:space="preserve">2550755</t>
  </si>
  <si>
    <t xml:space="preserve">www.ruendrillingperu.com</t>
  </si>
  <si>
    <t xml:space="preserve">Cl. Tumi Mz.H Lt.18 Urb. San Juan Bautista de Villa Chorrillos - Lima</t>
  </si>
  <si>
    <t xml:space="preserve">RyM Ingenieros S.A.C.</t>
  </si>
  <si>
    <t xml:space="preserve">info@rym.com.pe</t>
  </si>
  <si>
    <t xml:space="preserve">3776882</t>
  </si>
  <si>
    <t xml:space="preserve">www.rym.com.pe</t>
  </si>
  <si>
    <t xml:space="preserve">Jr. San Antonio 720 Urb. Azcarrunz Bajo San Juan de Lurigancho - Lima</t>
  </si>
  <si>
    <t xml:space="preserve">Safe &amp; Care S.A.C.</t>
  </si>
  <si>
    <t xml:space="preserve">ventas@safeycare.com</t>
  </si>
  <si>
    <t xml:space="preserve">Directorio SSO 2026, pág. PDF 16, 19, 30. Anunciante (inversión activa en SST). Sin contacto nominal; no inventar decisor.</t>
  </si>
  <si>
    <t xml:space="preserve">Equipos de protección personal; Mantenimiento industrial; Salud ocupacional</t>
  </si>
  <si>
    <t xml:space="preserve">(+51) 959267990 / (+51) 989147895</t>
  </si>
  <si>
    <t xml:space="preserve">www.safeycare.com</t>
  </si>
  <si>
    <t xml:space="preserve">Cl. Los Talladores 275 - Ate - Lima</t>
  </si>
  <si>
    <t xml:space="preserve">San Martín Contratistas Generales S.A.</t>
  </si>
  <si>
    <t xml:space="preserve">Directorio SSO 2026, pág. PDF 21, 36, 38. Sin contacto nominal; no inventar decisor.</t>
  </si>
  <si>
    <t xml:space="preserve">4501999</t>
  </si>
  <si>
    <t xml:space="preserve">www.sanmartin.com</t>
  </si>
  <si>
    <t xml:space="preserve">Jr. Morro Solar 1010 Urb. Juan Pablo de Monterrico, Santiago de Surco - Lima</t>
  </si>
  <si>
    <t xml:space="preserve">Sandvik (DSI Underground Perú S.A.C.)</t>
  </si>
  <si>
    <t xml:space="preserve">informacióndsiperu@sandvik.com</t>
  </si>
  <si>
    <t xml:space="preserve">Directorio SSO 2026, pág. PDF 26, 33, 36. Sin contacto nominal; no inventar decisor.</t>
  </si>
  <si>
    <t xml:space="preserve">Rescate y salvamento; Sostenimiento de rocas y suelos; Ventilación industrial y subterránea</t>
  </si>
  <si>
    <t xml:space="preserve">7167500</t>
  </si>
  <si>
    <t xml:space="preserve">www.dsiunderground.com/es/latam</t>
  </si>
  <si>
    <t xml:space="preserve">Av. Néstor Gambetta 458 - Callao</t>
  </si>
  <si>
    <t xml:space="preserve">Sandvik del Perú S.A.</t>
  </si>
  <si>
    <t xml:space="preserve">info@sandvik.com</t>
  </si>
  <si>
    <t xml:space="preserve">www.sandvik.com</t>
  </si>
  <si>
    <t xml:space="preserve">Cruce Av. Camino Real y Calle Los Manzanos Mz.C4 Lt.5 Urb. Huachipa Este San Antonio Huarochirí</t>
  </si>
  <si>
    <t xml:space="preserve">Savar Agentes de Aduana S.A.</t>
  </si>
  <si>
    <t xml:space="preserve">comercialcorporativo@savar.com.pe</t>
  </si>
  <si>
    <t xml:space="preserve">Directorio SSO 2026, pág. PDF 35. Sin contacto nominal; no inventar decisor.</t>
  </si>
  <si>
    <t xml:space="preserve">6137070 / 908897480</t>
  </si>
  <si>
    <t xml:space="preserve">www.savar.com.pe</t>
  </si>
  <si>
    <t xml:space="preserve">Av. Bocanegra 274 Urb. Ind. Fundo Bocanegra - Callao</t>
  </si>
  <si>
    <t xml:space="preserve">SC Ingeniería S.R.L.</t>
  </si>
  <si>
    <t xml:space="preserve">www.scingenieriasrl.com</t>
  </si>
  <si>
    <t xml:space="preserve">Jr. López de Ayala 1079 San Borja - Lima</t>
  </si>
  <si>
    <t xml:space="preserve">Servicios de Ingeniería Ambiental y Seguridad Minera S.R.L.</t>
  </si>
  <si>
    <t xml:space="preserve">comercial@siasminsrl.com</t>
  </si>
  <si>
    <t xml:space="preserve">2251500 / 996940359</t>
  </si>
  <si>
    <t xml:space="preserve">www.siasminsrl.com</t>
  </si>
  <si>
    <t xml:space="preserve">Cl. López De Ayala 1189 Urb. San Borja Sur - San Borja - Lima</t>
  </si>
  <si>
    <t xml:space="preserve">Servicios Generales Saturno</t>
  </si>
  <si>
    <t xml:space="preserve">contacto@saturno.com.pe</t>
  </si>
  <si>
    <t xml:space="preserve">Directorio SSO 2026, pág. PDF 35, 38. Sin contacto nominal; no inventar decisor.</t>
  </si>
  <si>
    <t xml:space="preserve">3563064 / 2776545</t>
  </si>
  <si>
    <t xml:space="preserve">www.saturno.com.pe</t>
  </si>
  <si>
    <t xml:space="preserve">Carretera Panamericana Sur km 57 La Chutana - Pucusana - Lima</t>
  </si>
  <si>
    <t xml:space="preserve">Servicios Geográficos y Medio Ambiente S.A.C.</t>
  </si>
  <si>
    <t xml:space="preserve">consultora@gemasac.com.pe</t>
  </si>
  <si>
    <t xml:space="preserve">2210710 / 988066566</t>
  </si>
  <si>
    <t xml:space="preserve">www.gemasac.com.pe</t>
  </si>
  <si>
    <t xml:space="preserve">Cl. Las Camelias 492 San Isidro - Lima</t>
  </si>
  <si>
    <t xml:space="preserve">Sesma Consultores S.A.C.</t>
  </si>
  <si>
    <t xml:space="preserve">consultas@sesmaconsultores.com</t>
  </si>
  <si>
    <t xml:space="preserve">Directorio SSO 2026, pág. PDF 20, 31. Sin contacto nominal; no inventar decisor.</t>
  </si>
  <si>
    <t xml:space="preserve">Perforación geológica; Salud ocupacional</t>
  </si>
  <si>
    <t xml:space="preserve">6543267 / 989034896 / 989034897</t>
  </si>
  <si>
    <t xml:space="preserve">www.sesmaconsultores.com</t>
  </si>
  <si>
    <t xml:space="preserve">Av. San Martín 665 Of. 804 Miraflores - Lima</t>
  </si>
  <si>
    <t xml:space="preserve">SiderPerú - Gerdau</t>
  </si>
  <si>
    <t xml:space="preserve">ventasindustria@sider.com.pe</t>
  </si>
  <si>
    <t xml:space="preserve">(+51) 943529146</t>
  </si>
  <si>
    <t xml:space="preserve">www.siderperu.com.pe</t>
  </si>
  <si>
    <t xml:space="preserve">Av. Juan de Arona 151, 5to Piso Torre B - San Isidro - Lima</t>
  </si>
  <si>
    <t xml:space="preserve">Sigma S.A. Contratistas Generales</t>
  </si>
  <si>
    <t xml:space="preserve">2253353 / 2255698</t>
  </si>
  <si>
    <t xml:space="preserve">www.sigma.com.pe</t>
  </si>
  <si>
    <t xml:space="preserve">Cl. Rafael 281, San Borja - Lima</t>
  </si>
  <si>
    <t xml:space="preserve">Sigral S.A.</t>
  </si>
  <si>
    <t xml:space="preserve">sigral@sigral.com.pe</t>
  </si>
  <si>
    <t xml:space="preserve">www.sigral.com.pe</t>
  </si>
  <si>
    <t xml:space="preserve">Av. Manuel Olguin 373 Edificio Qubo Piso 9 - Santiago de Surco - Lima</t>
  </si>
  <si>
    <t xml:space="preserve">SIKA Master Builders Solutions Perú S.A.</t>
  </si>
  <si>
    <t xml:space="preserve">informacion@pe.sika.com</t>
  </si>
  <si>
    <t xml:space="preserve">6186060 / (+52) 1-56-2001-1419</t>
  </si>
  <si>
    <t xml:space="preserve">www.per.sika.com</t>
  </si>
  <si>
    <t xml:space="preserve">Habilitación Industrial El Lúcumo Mz. B Lt. 6, Lurín - Lima</t>
  </si>
  <si>
    <t xml:space="preserve">Soldexa - ESAB Perú</t>
  </si>
  <si>
    <t xml:space="preserve">6199600</t>
  </si>
  <si>
    <t xml:space="preserve">www.soldexa.com.pe</t>
  </si>
  <si>
    <t xml:space="preserve">Av. Nicolás Arriola 771 Urb. Santa Catalina - La Victoria - Lima</t>
  </si>
  <si>
    <t xml:space="preserve">Stierlift S.A.</t>
  </si>
  <si>
    <t xml:space="preserve">info@stierlift.pe</t>
  </si>
  <si>
    <t xml:space="preserve">7123600</t>
  </si>
  <si>
    <t xml:space="preserve">www.stierlift.pe</t>
  </si>
  <si>
    <t xml:space="preserve">Av. Néstor Gambetta km 14 Mz.D Lt.10 Callao</t>
  </si>
  <si>
    <t xml:space="preserve">Stracon Perú S.A.</t>
  </si>
  <si>
    <t xml:space="preserve">info@stracon.com</t>
  </si>
  <si>
    <t xml:space="preserve">2080230</t>
  </si>
  <si>
    <t xml:space="preserve">www.stracon.com</t>
  </si>
  <si>
    <t xml:space="preserve">Av. Santo Toribio 143 Of. 401 San Isidro - Lima</t>
  </si>
  <si>
    <t xml:space="preserve">Sual Ingenieros S.R.L.</t>
  </si>
  <si>
    <t xml:space="preserve">jalvino@sualingenieros.com</t>
  </si>
  <si>
    <t xml:space="preserve">3491390</t>
  </si>
  <si>
    <t xml:space="preserve">www.sualingenieros.com</t>
  </si>
  <si>
    <t xml:space="preserve">Cl. Los Industriales 598 Urb. Las Acacias de Monterrico La Molina - Lima</t>
  </si>
  <si>
    <t xml:space="preserve">Systra Subterra Ingeniería S.A.C.</t>
  </si>
  <si>
    <t xml:space="preserve">2423918</t>
  </si>
  <si>
    <t xml:space="preserve">www.subterra-ing.com</t>
  </si>
  <si>
    <t xml:space="preserve">Cl. General Recavarren 111 Of. 301 - Miraflores - Lima</t>
  </si>
  <si>
    <t xml:space="preserve">Séché Group Perú</t>
  </si>
  <si>
    <t xml:space="preserve">contacto.peru@sechegroup.com</t>
  </si>
  <si>
    <t xml:space="preserve">2073500 / 961556726</t>
  </si>
  <si>
    <t xml:space="preserve">sechegroup.com.pe</t>
  </si>
  <si>
    <t xml:space="preserve">Cl. 4 Mz. U Sub Lote 2A Villa El Salvador - Lima</t>
  </si>
  <si>
    <t xml:space="preserve">T&amp;S Servicios de Ingeniería S.A.C.</t>
  </si>
  <si>
    <t xml:space="preserve">cental@grupots.com</t>
  </si>
  <si>
    <t xml:space="preserve">967421477</t>
  </si>
  <si>
    <t xml:space="preserve">www.grupots.com</t>
  </si>
  <si>
    <t xml:space="preserve">Jr. Félix Dibós 480 Magdalena del Mar Lima</t>
  </si>
  <si>
    <t xml:space="preserve">T&amp;T Ingeniería y Construcción S.A.</t>
  </si>
  <si>
    <t xml:space="preserve">ventas02@tytingenieria.com.pe</t>
  </si>
  <si>
    <t xml:space="preserve">3911300 / 954662082</t>
  </si>
  <si>
    <t xml:space="preserve">www.tytingenieria.com.pe</t>
  </si>
  <si>
    <t xml:space="preserve">Av. José Galvez 438 P. 2 Miraflores - Lima</t>
  </si>
  <si>
    <t xml:space="preserve">Techint Ingeniería y Construcción</t>
  </si>
  <si>
    <t xml:space="preserve">2135555</t>
  </si>
  <si>
    <t xml:space="preserve">www.techint.com</t>
  </si>
  <si>
    <t xml:space="preserve">Av. Rivera Navarrete 495 Piso 12 San Isidro - Lima</t>
  </si>
  <si>
    <t xml:space="preserve">Tecnología de Materiales S.A.</t>
  </si>
  <si>
    <t xml:space="preserve">contactenos@grupotdm.com</t>
  </si>
  <si>
    <t xml:space="preserve">6174700 / 987225224</t>
  </si>
  <si>
    <t xml:space="preserve">www.tdm.com.pe</t>
  </si>
  <si>
    <t xml:space="preserve">Jr. Alameda Marqués de la Bula 339 Chorrillos - Lima</t>
  </si>
  <si>
    <t xml:space="preserve">Tecnología y Consultorías Ecológicas S.A.C.</t>
  </si>
  <si>
    <t xml:space="preserve">teconec@teconec.com</t>
  </si>
  <si>
    <t xml:space="preserve">Directorio SSO 2026, pág. PDF 10, 20. Sin contacto nominal; no inventar decisor.</t>
  </si>
  <si>
    <t xml:space="preserve">Capacitación, consultoría y auditoría; Perforación geológica</t>
  </si>
  <si>
    <t xml:space="preserve">3683639</t>
  </si>
  <si>
    <t xml:space="preserve">www.teconec.com</t>
  </si>
  <si>
    <t xml:space="preserve">Av. La Molina 3365 Of. 11 Mz.11 Lt.B Urb. H.U. El Mástil de la Laguna La Molina - Lima</t>
  </si>
  <si>
    <t xml:space="preserve">TLI Transportes S.A.C.</t>
  </si>
  <si>
    <t xml:space="preserve">comercial@tli.com.pe</t>
  </si>
  <si>
    <t xml:space="preserve">6136101 / 6136100</t>
  </si>
  <si>
    <t xml:space="preserve">www.tli.com.pe</t>
  </si>
  <si>
    <t xml:space="preserve">Jr. Nicolás de Piérola 269, Bellavista Callao</t>
  </si>
  <si>
    <t xml:space="preserve">Transaltisa S.A.</t>
  </si>
  <si>
    <t xml:space="preserve">contact_us@transaltisa.com.pe</t>
  </si>
  <si>
    <t xml:space="preserve">(054) 606868</t>
  </si>
  <si>
    <t xml:space="preserve">www.transaltisa.com.pe</t>
  </si>
  <si>
    <t xml:space="preserve">Av. Eduardo López de Romaña s/n Z.I. Parque Industrial - Arequipa</t>
  </si>
  <si>
    <t xml:space="preserve">Transporte y Servicios Múltiples Egoavil S.A.C.</t>
  </si>
  <si>
    <t xml:space="preserve">contactenos@egoavil.com</t>
  </si>
  <si>
    <t xml:space="preserve">7348419 / 987557718</t>
  </si>
  <si>
    <t xml:space="preserve">www.egoavil.pe</t>
  </si>
  <si>
    <t xml:space="preserve">PJ. s/n Mz.D Lt.20 Asociación Los Castores de Nievería, Lurigancho - Lima</t>
  </si>
  <si>
    <t xml:space="preserve">Transportes Acoinsa S.A.C.</t>
  </si>
  <si>
    <t xml:space="preserve">comercial@acoinsa.com.pe</t>
  </si>
  <si>
    <t xml:space="preserve">6136860</t>
  </si>
  <si>
    <t xml:space="preserve">www.acoinsa.com.pe</t>
  </si>
  <si>
    <t xml:space="preserve">Av. Gambetta Calle A Parcela 2 Fundo Oquendo - Callao</t>
  </si>
  <si>
    <t xml:space="preserve">Transportes Atlantic International Business S.A.C.</t>
  </si>
  <si>
    <t xml:space="preserve">info@transatlantic.com.pe</t>
  </si>
  <si>
    <t xml:space="preserve">Transporte de combustibles y materiales peligrosos; Ventilación industrial y subterránea</t>
  </si>
  <si>
    <t xml:space="preserve">3235516 / 993762381</t>
  </si>
  <si>
    <t xml:space="preserve">www.transatlantic.com.pe</t>
  </si>
  <si>
    <t xml:space="preserve">Av. México 1885 Urb. San Germán La Victoria - Lima</t>
  </si>
  <si>
    <t xml:space="preserve">Transportes Enrique Cárcamo Granda S.A.C.</t>
  </si>
  <si>
    <t xml:space="preserve">ventas@transportecarcamo.com.pe</t>
  </si>
  <si>
    <t xml:space="preserve">3711400</t>
  </si>
  <si>
    <t xml:space="preserve">Cl. Ronald Mz.D Lt.15 Urb. Industrial La Chalaca Callao</t>
  </si>
  <si>
    <t xml:space="preserve">Tresor Mining S.A.</t>
  </si>
  <si>
    <t xml:space="preserve">info@tresor.com.pe</t>
  </si>
  <si>
    <t xml:space="preserve">6270490</t>
  </si>
  <si>
    <t xml:space="preserve">www.tresor.com.pe</t>
  </si>
  <si>
    <t xml:space="preserve">Av. La Encalada 1420 Of.1102 Urb. Lima Polo Hunt - Santiago de Surco Lima</t>
  </si>
  <si>
    <t xml:space="preserve">Trialloy International S.A.</t>
  </si>
  <si>
    <t xml:space="preserve">ventas@trialloy.com.pe</t>
  </si>
  <si>
    <t xml:space="preserve">999073337</t>
  </si>
  <si>
    <t xml:space="preserve">www.trialloyinternational.com</t>
  </si>
  <si>
    <t xml:space="preserve">Cl. Chicama 175 Urb. Maranga San Miguel - Lima</t>
  </si>
  <si>
    <t xml:space="preserve">TUMI Contratistas Mineros</t>
  </si>
  <si>
    <t xml:space="preserve">sales.ventas@tumirb.com</t>
  </si>
  <si>
    <t xml:space="preserve">Directorio SSO 2026, pág. PDF 21, 38. Sin contacto nominal; no inventar decisor.</t>
  </si>
  <si>
    <t xml:space="preserve">982483947</t>
  </si>
  <si>
    <t xml:space="preserve">www.tumirb.com</t>
  </si>
  <si>
    <t xml:space="preserve">Unidad Inmobiliaria Nº1 con frente Av. Paul Poblet s/n, Lurín - Lima</t>
  </si>
  <si>
    <t xml:space="preserve">Ulma Encofrados Perú S.A.</t>
  </si>
  <si>
    <t xml:space="preserve">ventas@ulmaconstruction.com.pe</t>
  </si>
  <si>
    <t xml:space="preserve">Andamios y trabajos en altura; Empresas contratistas y conexas</t>
  </si>
  <si>
    <t xml:space="preserve">6136700</t>
  </si>
  <si>
    <t xml:space="preserve">www.ulmaconstruction.com.pe</t>
  </si>
  <si>
    <t xml:space="preserve">Av. Argentina 2882 - Cercado de Lima Lima</t>
  </si>
  <si>
    <t xml:space="preserve">Unidad de Soldadura de la PUCP - INGESOLD</t>
  </si>
  <si>
    <t xml:space="preserve">ingesold@pucp.pe</t>
  </si>
  <si>
    <t xml:space="preserve">980882345</t>
  </si>
  <si>
    <t xml:space="preserve">www.pucp.edu.pe/ingesold</t>
  </si>
  <si>
    <t xml:space="preserve">Av. Universitaria 1801 - San Miguel Lima</t>
  </si>
  <si>
    <t xml:space="preserve">Unión de Concreteras S.A.</t>
  </si>
  <si>
    <t xml:space="preserve">ventas@unicon.com.pe</t>
  </si>
  <si>
    <t xml:space="preserve">2154700</t>
  </si>
  <si>
    <t xml:space="preserve">www.unicon.com.pe</t>
  </si>
  <si>
    <t xml:space="preserve">Carretera Panamericana Sur km 11.4 Fundo El Chilcal San Juan de Miraflores - Lima</t>
  </si>
  <si>
    <t xml:space="preserve">Voestalpine High Performance Metals del Perú S.A.</t>
  </si>
  <si>
    <t xml:space="preserve">ventas.peru@voestalpine.com</t>
  </si>
  <si>
    <t xml:space="preserve">6193232</t>
  </si>
  <si>
    <t xml:space="preserve">www.voestalpine.com</t>
  </si>
  <si>
    <t xml:space="preserve">Cl. Luis Castro Ronceros 777 Of. 3 Cercado de Lima - Lima</t>
  </si>
  <si>
    <t xml:space="preserve">Zicsa Contratistas Generales</t>
  </si>
  <si>
    <t xml:space="preserve">info@zicsa.com</t>
  </si>
  <si>
    <t xml:space="preserve">Directorio SSO 2026, pág. PDF 21, 33, 38. Sin contacto nominal; no inventar decisor.</t>
  </si>
  <si>
    <t xml:space="preserve">(01) 7130166 / 942959800</t>
  </si>
  <si>
    <t xml:space="preserve">www.zicsa.com</t>
  </si>
  <si>
    <t xml:space="preserve">Jr. Bolognesi 125 Of. 203 Miraflores - Lima</t>
  </si>
  <si>
    <t xml:space="preserve">24x7 Servicios Integrales</t>
  </si>
  <si>
    <t xml:space="preserve">ventas@24x7si.com</t>
  </si>
  <si>
    <t xml:space="preserve">Mapear oferta: evaluar integración o competencia</t>
  </si>
  <si>
    <t xml:space="preserve">Tecnología de la información, comunicación y telecomunicaciones</t>
  </si>
  <si>
    <t xml:space="preserve">Partner tecnológico / competidor</t>
  </si>
  <si>
    <t xml:space="preserve">2541020 / 988628359</t>
  </si>
  <si>
    <t xml:space="preserve">www.24x7si.com</t>
  </si>
  <si>
    <t xml:space="preserve">Alameda El Espinel Mz.A Lt. 6 Brisas de Villa,Chorrillos - Lima</t>
  </si>
  <si>
    <t xml:space="preserve">BVS PERU S.A.</t>
  </si>
  <si>
    <t xml:space="preserve">contacto@bvstv.com</t>
  </si>
  <si>
    <t xml:space="preserve">6161300 / 997501323</t>
  </si>
  <si>
    <t xml:space="preserve">www.bvstv.com/pe</t>
  </si>
  <si>
    <t xml:space="preserve">Av. Víctor Andrés Belaúnde 147 Int. 501 Urb. Centro Empresarial Real, Edificio 6 San Isidro - Lima</t>
  </si>
  <si>
    <t xml:space="preserve">Centauro Comunicaciones S.R.L.</t>
  </si>
  <si>
    <t xml:space="preserve">ventas6@centaurocomunicaciones.com</t>
  </si>
  <si>
    <t xml:space="preserve">2213221 / 994252325</t>
  </si>
  <si>
    <t xml:space="preserve">www.centaurocomunicaciones.com</t>
  </si>
  <si>
    <t xml:space="preserve">Cl. Los Geranios 341 Urb. San Eugenio Lince - Lima</t>
  </si>
  <si>
    <t xml:space="preserve">Corporación de Alta Tecnología S.A.C.</t>
  </si>
  <si>
    <t xml:space="preserve">ventas@caltec.com.pe</t>
  </si>
  <si>
    <t xml:space="preserve">3720210 / 4889600 / 997350083</t>
  </si>
  <si>
    <t xml:space="preserve">www.caltec.com.pe</t>
  </si>
  <si>
    <t xml:space="preserve">Av. Del Pinar 152 Of.1006 Urb. Chacarilla del Estanque, Santiago de Surco - Lima</t>
  </si>
  <si>
    <t xml:space="preserve">Gestión de Servicios Compartidos S.A.C. VALTX</t>
  </si>
  <si>
    <t xml:space="preserve">contacto@valtx.pe</t>
  </si>
  <si>
    <t xml:space="preserve">www.valtx.pe</t>
  </si>
  <si>
    <t xml:space="preserve">Av. Javier Prado 3190 - San Borja Lima</t>
  </si>
  <si>
    <t xml:space="preserve">Grupo Electrodata S.A.C.</t>
  </si>
  <si>
    <t xml:space="preserve">6789012</t>
  </si>
  <si>
    <t xml:space="preserve">www.electrodata.com.pe</t>
  </si>
  <si>
    <t xml:space="preserve">Av. Principal 456 Urb. Aurora Este Etp. II - Surquillo - Lima</t>
  </si>
  <si>
    <t xml:space="preserve">Inveritas Global Holdings Perú S.A.</t>
  </si>
  <si>
    <t xml:space="preserve">peru@ighgroup.com</t>
  </si>
  <si>
    <t xml:space="preserve">Directorio SSO 2026, pág. PDF 9, 17, 19, 20, 29, 31, 33. Sin contacto nominal; no inventar decisor.</t>
  </si>
  <si>
    <t xml:space="preserve">Capacitación, consultoría y auditoría; Higiene industrial, saneamiento y limpieza; Mantenimiento industrial; Medioambiente: productos y servicios; Salud ocupacional; Seguridad vial y prevención de accidentes vehiculares; Tecnología de la información, comunicación y telecomunicaciones</t>
  </si>
  <si>
    <t xml:space="preserve">(01) 4379184</t>
  </si>
  <si>
    <t xml:space="preserve">www.ighgroup.com</t>
  </si>
  <si>
    <t xml:space="preserve">Av. La Encalada 1257 Of. 801 Santiago de Surco - Lima</t>
  </si>
  <si>
    <t xml:space="preserve">PERUSAT Telecomunicaciones S.A.C.</t>
  </si>
  <si>
    <t xml:space="preserve">ventas@perusat.com</t>
  </si>
  <si>
    <t xml:space="preserve">2751860 / 946074567</t>
  </si>
  <si>
    <t xml:space="preserve">www.perusat.com</t>
  </si>
  <si>
    <t xml:space="preserve">Av. Circunvalación Golf Los Incas Of. 602B Torre 3 Santiago de Surco - Lima</t>
  </si>
  <si>
    <t xml:space="preserve">Siemens Energy S.A.C.</t>
  </si>
  <si>
    <t xml:space="preserve">Directorio SSO 2026, pág. PDF 12, 22, 33. Sin contacto nominal; no inventar decisor.</t>
  </si>
  <si>
    <t xml:space="preserve">Electricidad industrial; Protección contra incendios; Tecnología de la información, comunicación y telecomunicaciones</t>
  </si>
  <si>
    <t xml:space="preserve">2150030</t>
  </si>
  <si>
    <t xml:space="preserve">www.siemens-energy.com</t>
  </si>
  <si>
    <t xml:space="preserve">Jr. Domingo Orué 971, Surquillo - Lima</t>
  </si>
  <si>
    <t xml:space="preserve">TE.SA.M PERU S.A.</t>
  </si>
  <si>
    <t xml:space="preserve">acliente@tesam.com</t>
  </si>
  <si>
    <t xml:space="preserve">7054100 / 981230093</t>
  </si>
  <si>
    <t xml:space="preserve">www.tesam.com</t>
  </si>
  <si>
    <t xml:space="preserve">Av. Circunvalación del Club Golf Los Incas 134 Torre 1 of. 302B Santiago de Surco - Lima</t>
  </si>
  <si>
    <t xml:space="preserve">Telali E.I.R.L.</t>
  </si>
  <si>
    <t xml:space="preserve">info@telali.com.pe</t>
  </si>
  <si>
    <t xml:space="preserve">3324344 / 3305078 / 999926743</t>
  </si>
  <si>
    <t xml:space="preserve">www.telali.com.pe</t>
  </si>
  <si>
    <t xml:space="preserve">Cl. Plaza Diez Canseco 489 Of. D Jesús María - Lima</t>
  </si>
  <si>
    <t xml:space="preserve">Telespazio Argentina S.A.</t>
  </si>
  <si>
    <t xml:space="preserve">peru.marketing@telespazio.com</t>
  </si>
  <si>
    <t xml:space="preserve">+54 11 4852 8720</t>
  </si>
  <si>
    <t xml:space="preserve">www.telespazio.com/es/latam</t>
  </si>
  <si>
    <t xml:space="preserve">Cl. Camino Real 159 Of. 300 San Isidro - Lima</t>
  </si>
  <si>
    <t xml:space="preserve">Tesacom Perú S.A.C.</t>
  </si>
  <si>
    <t xml:space="preserve">info@tesacom.net</t>
  </si>
  <si>
    <t xml:space="preserve">6443400</t>
  </si>
  <si>
    <t xml:space="preserve">www.tesacom.net</t>
  </si>
  <si>
    <t xml:space="preserve">Av. Alfredo Benavides 1944 Int.55 (Piso 7) Miraflores - Lima</t>
  </si>
  <si>
    <t xml:space="preserve">Wesco Anixter Perú S.A.C.</t>
  </si>
  <si>
    <t xml:space="preserve">info@wesco.com</t>
  </si>
  <si>
    <t xml:space="preserve">(01) 4170202</t>
  </si>
  <si>
    <t xml:space="preserve">www.anixter.com</t>
  </si>
  <si>
    <t xml:space="preserve">Av. Tingo María 311 Breña - Lima</t>
  </si>
  <si>
    <t xml:space="preserve">Wisetrack Perú S.A.C.</t>
  </si>
  <si>
    <t xml:space="preserve">info.peru@wisetrackcorp.com</t>
  </si>
  <si>
    <t xml:space="preserve">Directorio SSO 2026, pág. PDF 31, 33. Sin contacto nominal; no inventar decisor.</t>
  </si>
  <si>
    <t xml:space="preserve">Seguridad y vigilancia interna; Tecnología de la información, comunicación y telecomunicaciones</t>
  </si>
  <si>
    <t xml:space="preserve">(01) 6282611</t>
  </si>
  <si>
    <t xml:space="preserve">www.wisetrackcorp.com</t>
  </si>
  <si>
    <t xml:space="preserve">Cl. El Boulevard 180 Of. 603 Urb. Hogares de Monterrico Chico Santiago de Surco - Lima</t>
  </si>
  <si>
    <t xml:space="preserve">Zuma2 / AVC Corporation S.A.C.</t>
  </si>
  <si>
    <t xml:space="preserve">yvito@zuma2.com</t>
  </si>
  <si>
    <t xml:space="preserve">Directorio SSO 2026, pág. PDF 10, 33. Sin contacto nominal; no inventar decisor.</t>
  </si>
  <si>
    <t xml:space="preserve">Capacitación, consultoría y auditoría; Tecnología de la información, comunicación y telecomunicaciones</t>
  </si>
  <si>
    <t xml:space="preserve">934964148</t>
  </si>
  <si>
    <t xml:space="preserve">www.zuma2.com</t>
  </si>
  <si>
    <t xml:space="preserve">Av. Nicolás Arriola 314, Oficina D-1101 (Piso 11), Urbanización Santa Catalina La Victoria - Lima</t>
  </si>
  <si>
    <t xml:space="preserve">AC Occupational Healt Consulting S.A.C.</t>
  </si>
  <si>
    <t xml:space="preserve">comercial@acmedical.pe</t>
  </si>
  <si>
    <t xml:space="preserve">Explorar alianza comercial / reventa a sus clientes</t>
  </si>
  <si>
    <t xml:space="preserve">Directorio SSO 2026, pág. PDF 6, 9, 28. Sin contacto nominal; no inventar decisor.</t>
  </si>
  <si>
    <t xml:space="preserve">Ambulancias y servicios de emergencia; Capacitación, consultoría y auditoría; Salud ocupacional</t>
  </si>
  <si>
    <t xml:space="preserve">Canal / aliado – consultoría SST</t>
  </si>
  <si>
    <t xml:space="preserve">7174477 / 960778349</t>
  </si>
  <si>
    <t xml:space="preserve">www.acmedical.pe</t>
  </si>
  <si>
    <t xml:space="preserve">Av. General Borgoño 211 Pueblo Libre - Lima</t>
  </si>
  <si>
    <t xml:space="preserve">Aenor Perú S.A.C.</t>
  </si>
  <si>
    <t xml:space="preserve">comercial.peru@aenor.com</t>
  </si>
  <si>
    <t xml:space="preserve">Directorio SSO 2026, pág. PDF 11. Sin contacto nominal; no inventar decisor.</t>
  </si>
  <si>
    <t xml:space="preserve">Certificación, inspección y peritaje</t>
  </si>
  <si>
    <t xml:space="preserve">905451731</t>
  </si>
  <si>
    <t xml:space="preserve">www.aenor.com</t>
  </si>
  <si>
    <t xml:space="preserve">Av. Coronel Andrés Reyes 420 - Piso 5 San Isidro - Lima</t>
  </si>
  <si>
    <t xml:space="preserve">Arcadis Perú S.A.C.</t>
  </si>
  <si>
    <t xml:space="preserve">digitalmedia@arcadis.com</t>
  </si>
  <si>
    <t xml:space="preserve">Directorio SSO 2026, pág. PDF 9. Sin contacto nominal; no inventar decisor.</t>
  </si>
  <si>
    <t xml:space="preserve">Capacitación, consultoría y auditoría</t>
  </si>
  <si>
    <t xml:space="preserve">www.arcadis.com</t>
  </si>
  <si>
    <t xml:space="preserve">Cl. Las Begonias 475, Piso 3, Of. 302A San Isidro - Lima</t>
  </si>
  <si>
    <t xml:space="preserve">ASC Consultores S.A.S.</t>
  </si>
  <si>
    <t xml:space="preserve">Colombia</t>
  </si>
  <si>
    <t xml:space="preserve">directorcomercial@ascconsultores.co</t>
  </si>
  <si>
    <t xml:space="preserve">7614092 / 3112480394 / 8367657</t>
  </si>
  <si>
    <t xml:space="preserve">www.ascconsultores.co</t>
  </si>
  <si>
    <t xml:space="preserve">Barrio Modelia, Calle 22 Nº 81-44 Bogotá - Colombia</t>
  </si>
  <si>
    <t xml:space="preserve">Bogotá</t>
  </si>
  <si>
    <t xml:space="preserve">Bison Perú S.A.C.</t>
  </si>
  <si>
    <t xml:space="preserve">info@bisonperu.com</t>
  </si>
  <si>
    <t xml:space="preserve">Directorio SSO 2026, pág. PDF 6, 9. Sin contacto nominal; no inventar decisor.</t>
  </si>
  <si>
    <t xml:space="preserve">Andamios y trabajos en altura; Capacitación, consultoría y auditoría</t>
  </si>
  <si>
    <t xml:space="preserve">959180035</t>
  </si>
  <si>
    <t xml:space="preserve">www.bisonperu.com</t>
  </si>
  <si>
    <t xml:space="preserve">Cl. Enrique Palacios 1075 Urb. Santa Cruz, Miraflores - Lima</t>
  </si>
  <si>
    <t xml:space="preserve">Bureau Veritas del Perú S.A.</t>
  </si>
  <si>
    <t xml:space="preserve">ventasbv.pe@bureauveritas.com</t>
  </si>
  <si>
    <t xml:space="preserve">Directorio SSO 2026, pág. PDF 9, 11. Sin contacto nominal; no inventar decisor.</t>
  </si>
  <si>
    <t xml:space="preserve">Capacitación, consultoría y auditoría; Certificación, inspección y peritaje</t>
  </si>
  <si>
    <t xml:space="preserve">924074292</t>
  </si>
  <si>
    <t xml:space="preserve">www.bureauveritas.pe</t>
  </si>
  <si>
    <t xml:space="preserve">Av. Santa Cruz 888 Int. 601 Miraflores - Lima</t>
  </si>
  <si>
    <t xml:space="preserve">Centro Especializado del Sueño S.A.C. REST Perú</t>
  </si>
  <si>
    <t xml:space="preserve">informes@restperu.com.pe</t>
  </si>
  <si>
    <t xml:space="preserve">Directorio SSO 2026, pág. PDF 9, 28. Sin contacto nominal; no inventar decisor.</t>
  </si>
  <si>
    <t xml:space="preserve">Capacitación, consultoría y auditoría; Salud ocupacional</t>
  </si>
  <si>
    <t xml:space="preserve">(+51) 939265145</t>
  </si>
  <si>
    <t xml:space="preserve">Jr. Huaraz 656, Breña - Lima</t>
  </si>
  <si>
    <t xml:space="preserve">Centro Tecnólogico Minero - CETEMIN</t>
  </si>
  <si>
    <t xml:space="preserve">informes@cetemin.edu.pe</t>
  </si>
  <si>
    <t xml:space="preserve">7026055</t>
  </si>
  <si>
    <t xml:space="preserve">www.cetemin.com</t>
  </si>
  <si>
    <t xml:space="preserve">Cl. Camino Real s/n km 29 Carretera Central, Lt.E4 Sección San José Chosica - Lima</t>
  </si>
  <si>
    <t xml:space="preserve">Cesap Altos Estudios</t>
  </si>
  <si>
    <t xml:space="preserve">avera@cesap.com.pe</t>
  </si>
  <si>
    <t xml:space="preserve">945708082</t>
  </si>
  <si>
    <t xml:space="preserve">www.cesap.com.pe</t>
  </si>
  <si>
    <t xml:space="preserve">Av. Javier Prado Este Piso 2 Urb. Santa Patricia, La Molina - Lima</t>
  </si>
  <si>
    <t xml:space="preserve">Coaching &amp; Safety Consulting S.A.C.</t>
  </si>
  <si>
    <t xml:space="preserve">info@coaching-safety.com</t>
  </si>
  <si>
    <t xml:space="preserve">987724632</t>
  </si>
  <si>
    <t xml:space="preserve">www.coaching-safety.com</t>
  </si>
  <si>
    <t xml:space="preserve">Cl. Santa Isabel 420 Urb. Sigal Pueblo Libre - Lima</t>
  </si>
  <si>
    <t xml:space="preserve">Conocimiento y Capacitación COYCA S.A.</t>
  </si>
  <si>
    <t xml:space="preserve">contacto@coyca.com</t>
  </si>
  <si>
    <t xml:space="preserve">Directorio SSO 2026, pág. PDF 9, 29. Sin contacto nominal; no inventar decisor.</t>
  </si>
  <si>
    <t xml:space="preserve">982669016</t>
  </si>
  <si>
    <t xml:space="preserve">www.coyca.com</t>
  </si>
  <si>
    <t xml:space="preserve">Av. Cuba 466 - Jesús María - Lima</t>
  </si>
  <si>
    <t xml:space="preserve">Consultoría Carranza E.I.R.L.</t>
  </si>
  <si>
    <t xml:space="preserve">informes@consultoriacarranza.com.pe</t>
  </si>
  <si>
    <t xml:space="preserve">Directorio SSO 2026, pág. PDF 9, 20. Sin contacto nominal; no inventar decisor.</t>
  </si>
  <si>
    <t xml:space="preserve">Capacitación, consultoría y auditoría; Medioambiente: productos y servicios</t>
  </si>
  <si>
    <t xml:space="preserve">994615074</t>
  </si>
  <si>
    <t xml:space="preserve">www.consultoriacarranza.com.pe</t>
  </si>
  <si>
    <t xml:space="preserve">Cl. William King 115 - Pueblo Libre Lima</t>
  </si>
  <si>
    <t xml:space="preserve">Corporación Jarato S.AC.</t>
  </si>
  <si>
    <t xml:space="preserve">ventas@corporacionjarato.com</t>
  </si>
  <si>
    <t xml:space="preserve">957361308</t>
  </si>
  <si>
    <t xml:space="preserve">Jr. Victorino Laynez 1339 Urb. Elio Cercado de Lima - Lima</t>
  </si>
  <si>
    <t xml:space="preserve">Ecoltec Ingenieros S.A.C.</t>
  </si>
  <si>
    <t xml:space="preserve">ventas@ecoltecperu.com</t>
  </si>
  <si>
    <t xml:space="preserve">Directorio SSO 2026, pág. PDF 9, 17, 18, 20, 34. Sin contacto nominal; no inventar decisor.</t>
  </si>
  <si>
    <t xml:space="preserve">Capacitación, consultoría y auditoría; Higiene industrial, saneamiento y limpieza; Mantenimiento industrial; Medioambiente: productos y servicios; Transporte de combustibles y materiales peligrosos</t>
  </si>
  <si>
    <t xml:space="preserve">913041165 / 913018436</t>
  </si>
  <si>
    <t xml:space="preserve">www.ecoltecperu.com</t>
  </si>
  <si>
    <t xml:space="preserve">Cl. Ayacucho Lt. 465 Sector 12 Parque Porcino, Ventanilla - Callao</t>
  </si>
  <si>
    <t xml:space="preserve">Engineering Services S.A.C.</t>
  </si>
  <si>
    <t xml:space="preserve">essac@essac.com.pe</t>
  </si>
  <si>
    <t xml:space="preserve">Directorio SSO 2026, pág. PDF 6, 9, 11, 17, 21, 25, 34. Sin contacto nominal; no inventar decisor.</t>
  </si>
  <si>
    <t xml:space="preserve">Ambulancias y servicios de emergencia; Capacitación, consultoría y auditoría; Certificación, inspección y peritaje; Higiene industrial, saneamiento y limpieza; Protección contra incendios; Rescate y salvamento; Transporte de combustibles y materiales peligrosos</t>
  </si>
  <si>
    <t xml:space="preserve">4458215 / 982178372</t>
  </si>
  <si>
    <t xml:space="preserve">www.essac.com.pe</t>
  </si>
  <si>
    <t xml:space="preserve">Av. República de Panamá 4575 Of. 803-804, Surquillo - Lima</t>
  </si>
  <si>
    <t xml:space="preserve">Enginzone S.A.C.</t>
  </si>
  <si>
    <t xml:space="preserve">info@enginzone.org</t>
  </si>
  <si>
    <t xml:space="preserve">2055500 / 923275350</t>
  </si>
  <si>
    <t xml:space="preserve">www.enginzone.pe</t>
  </si>
  <si>
    <t xml:space="preserve">Cl. Monterosa 233 Of. 402 Urb. Chacarilla del Estanque Santiago de Surco - Lima</t>
  </si>
  <si>
    <t xml:space="preserve">Environmental Management Resources</t>
  </si>
  <si>
    <t xml:space="preserve">central@environmentalmanagement.pe</t>
  </si>
  <si>
    <t xml:space="preserve">Directorio SSO 2026, pág. PDF 9, 11, 17, 20. Sin contacto nominal; no inventar decisor.</t>
  </si>
  <si>
    <t xml:space="preserve">Capacitación, consultoría y auditoría; Certificación, inspección y peritaje; Higiene industrial, saneamiento y limpieza; Medioambiente: productos y servicios</t>
  </si>
  <si>
    <t xml:space="preserve">9922507016</t>
  </si>
  <si>
    <t xml:space="preserve">www.environmentalmanagement.pe</t>
  </si>
  <si>
    <t xml:space="preserve">Av. La Costanera Mz.P Lt.18, Urb. Viña del Mar, Ilo - Moquegua</t>
  </si>
  <si>
    <t xml:space="preserve">Moquegua</t>
  </si>
  <si>
    <t xml:space="preserve">ERS Solutions S.A.C.</t>
  </si>
  <si>
    <t xml:space="preserve">info@erssolutionssac.com</t>
  </si>
  <si>
    <t xml:space="preserve">Directorio SSO 2026, pág. PDF 9, 21, 25. Sin contacto nominal; no inventar decisor.</t>
  </si>
  <si>
    <t xml:space="preserve">Capacitación, consultoría y auditoría; Protección contra incendios; Rescate y salvamento</t>
  </si>
  <si>
    <t xml:space="preserve">2432113 / 986732812</t>
  </si>
  <si>
    <t xml:space="preserve">www.erssolutionssac.com</t>
  </si>
  <si>
    <t xml:space="preserve">Av. Angamos Este 140 Of.601 Miraflores - Lima</t>
  </si>
  <si>
    <t xml:space="preserve">FOCUS Safety and Enviromental Solutions E.I.R.L.</t>
  </si>
  <si>
    <t xml:space="preserve">ventas@focus.pe</t>
  </si>
  <si>
    <t xml:space="preserve">Directorio SSO 2026, pág. PDF 9, 11, 29. Sin contacto nominal; no inventar decisor.</t>
  </si>
  <si>
    <t xml:space="preserve">Capacitación, consultoría y auditoría; Certificación, inspección y peritaje; Salud ocupacional</t>
  </si>
  <si>
    <t xml:space="preserve">948613546</t>
  </si>
  <si>
    <t xml:space="preserve">www.focus.pe</t>
  </si>
  <si>
    <t xml:space="preserve">Jr. Cruz del Sur 140 Of. 1308 Urb. Los Granados, Santiago de Surco - Lima</t>
  </si>
  <si>
    <t xml:space="preserve">Gamdel E.I.R.L.</t>
  </si>
  <si>
    <t xml:space="preserve">servicios@gamdel.com.pe</t>
  </si>
  <si>
    <t xml:space="preserve">966429303</t>
  </si>
  <si>
    <t xml:space="preserve">www.gamdel.com.pe</t>
  </si>
  <si>
    <t xml:space="preserve">Cl. Alfredo Novoa Cava 257 San Miguel - Lima</t>
  </si>
  <si>
    <t xml:space="preserve">Gerens S.A.</t>
  </si>
  <si>
    <t xml:space="preserve">informes@gerens.pe</t>
  </si>
  <si>
    <t xml:space="preserve">996479986 / 7029800</t>
  </si>
  <si>
    <t xml:space="preserve">www.gerens.pe</t>
  </si>
  <si>
    <t xml:space="preserve">Av. Primavera 1050 Of. 3 Urb. Chacarilla del Estanque - Santiago de Surco - Lima</t>
  </si>
  <si>
    <t xml:space="preserve">Gestión QHSEC S.A.C.</t>
  </si>
  <si>
    <t xml:space="preserve">asesorventas1@gestionqhsec.com</t>
  </si>
  <si>
    <t xml:space="preserve">941722496</t>
  </si>
  <si>
    <t xml:space="preserve">www.gestionqhsec.com</t>
  </si>
  <si>
    <t xml:space="preserve">Av. Malachowsky 218 Urb. Torres de Limatambo - San Borja - Lima</t>
  </si>
  <si>
    <t xml:space="preserve">Grupo G Y A Soluciones Geoambientales S.A.C.</t>
  </si>
  <si>
    <t xml:space="preserve">informes@grupogyasac.com.pe</t>
  </si>
  <si>
    <t xml:space="preserve">Directorio SSO 2026, pág. PDF 11, 20. Sin contacto nominal; no inventar decisor.</t>
  </si>
  <si>
    <t xml:space="preserve">Certificación, inspección y peritaje; Medioambiente: productos y servicios</t>
  </si>
  <si>
    <t xml:space="preserve">999097351 / 994672945</t>
  </si>
  <si>
    <t xml:space="preserve">www.grupogyasac.com.pe</t>
  </si>
  <si>
    <t xml:space="preserve">Cl. Germán Schreiber 276 San Isidro - Lima</t>
  </si>
  <si>
    <t xml:space="preserve">Grupo Goes S.A.C.</t>
  </si>
  <si>
    <t xml:space="preserve">ventas@grupogoes.com</t>
  </si>
  <si>
    <t xml:space="preserve">Directorio SSO 2026, pág. PDF 9, 22. Sin contacto nominal; no inventar decisor.</t>
  </si>
  <si>
    <t xml:space="preserve">Capacitación, consultoría y auditoría; Protección contra incendios</t>
  </si>
  <si>
    <t xml:space="preserve">941669841</t>
  </si>
  <si>
    <t xml:space="preserve">www.grupogoes.com</t>
  </si>
  <si>
    <t xml:space="preserve">Cl. 21 Mz.Y Lt. 14 Urb. COOPIP San Martín de Porres - Lima</t>
  </si>
  <si>
    <t xml:space="preserve">Grupo SSOMA Perú S.A.C.</t>
  </si>
  <si>
    <t xml:space="preserve">ventas@grupossomaperu.com</t>
  </si>
  <si>
    <t xml:space="preserve">Directorio SSO 2026, pág. PDF 9, 20, 29. Sin contacto nominal; no inventar decisor.</t>
  </si>
  <si>
    <t xml:space="preserve">Capacitación, consultoría y auditoría; Medioambiente: productos y servicios; Salud ocupacional</t>
  </si>
  <si>
    <t xml:space="preserve">6613426 / 970635508</t>
  </si>
  <si>
    <t xml:space="preserve">www.grupossomaperu.com</t>
  </si>
  <si>
    <t xml:space="preserve">Cl. Manco II 923 Urb. Arboleda de Maranga - San Miguel - Lima</t>
  </si>
  <si>
    <t xml:space="preserve">Grupo Tosol S.A.C.</t>
  </si>
  <si>
    <t xml:space="preserve">jmarceliano@tosol.pe</t>
  </si>
  <si>
    <t xml:space="preserve">Directorio SSO 2026, pág. PDF 9, 11, 20, 24. Sin contacto nominal; no inventar decisor.</t>
  </si>
  <si>
    <t xml:space="preserve">Capacitación, consultoría y auditoría; Certificación, inspección y peritaje; Medioambiente: productos y servicios; Reflectivos y señalización</t>
  </si>
  <si>
    <t xml:space="preserve">7084147 / 979768457</t>
  </si>
  <si>
    <t xml:space="preserve">www.tosol.pe</t>
  </si>
  <si>
    <t xml:space="preserve">Av. Circunvalación Golf Los Incas Torre 3 Of. 602B Santiago de Surco - Lima</t>
  </si>
  <si>
    <t xml:space="preserve">Grupo VICMER SECURITY S.A.C.</t>
  </si>
  <si>
    <t xml:space="preserve">contacto@vicmersac.com</t>
  </si>
  <si>
    <t xml:space="preserve">2660044</t>
  </si>
  <si>
    <t xml:space="preserve">www.vicmersecurity.com</t>
  </si>
  <si>
    <t xml:space="preserve">Av. Canadá 619 A Urb. Santa Catalina La Victoria - Lima</t>
  </si>
  <si>
    <t xml:space="preserve">GRV Consulting</t>
  </si>
  <si>
    <t xml:space="preserve">contactos@grv.com.pe</t>
  </si>
  <si>
    <t xml:space="preserve">941453017 / 7045463</t>
  </si>
  <si>
    <t xml:space="preserve">www.grv.com.pe</t>
  </si>
  <si>
    <t xml:space="preserve">Jr. Francisco Graña 674 Of.201 Magdalena del Mar - Lima</t>
  </si>
  <si>
    <t xml:space="preserve">Hauk S.A.C.</t>
  </si>
  <si>
    <t xml:space="preserve">ventas@hauk.com.pe</t>
  </si>
  <si>
    <t xml:space="preserve">Directorio SSO 2026, pág. PDF 11, 12, 15, 25. Sin contacto nominal; no inventar decisor.</t>
  </si>
  <si>
    <t xml:space="preserve">Certificación, inspección y peritaje; Electricidad industrial; Equipos de protección personal; Rescate y salvamento</t>
  </si>
  <si>
    <t xml:space="preserve">2710544 / 994236498 / 999790599</t>
  </si>
  <si>
    <t xml:space="preserve">www.hauk.com.pe</t>
  </si>
  <si>
    <t xml:space="preserve">Av. Aviación 4503, Surquillo - Lima</t>
  </si>
  <si>
    <t xml:space="preserve">Holomedic Servicios Integrales S.A.C.</t>
  </si>
  <si>
    <t xml:space="preserve">comercial@holomedic.com.pe</t>
  </si>
  <si>
    <t xml:space="preserve">978733751</t>
  </si>
  <si>
    <t xml:space="preserve">www.holomedic.com.pe</t>
  </si>
  <si>
    <t xml:space="preserve">Pj. Parque de la India 169 Urb. Los Sauces II - Surquillo - Lima</t>
  </si>
  <si>
    <t xml:space="preserve">HSE Golden Solution S.A.C.</t>
  </si>
  <si>
    <t xml:space="preserve">info@hsegoldensolution.com</t>
  </si>
  <si>
    <t xml:space="preserve">908836284</t>
  </si>
  <si>
    <t xml:space="preserve">www.hsegoldensolution.com</t>
  </si>
  <si>
    <t xml:space="preserve">Av. Petit Thouars 1775, Lince - Lima</t>
  </si>
  <si>
    <t xml:space="preserve">HSE Perú S.A.</t>
  </si>
  <si>
    <t xml:space="preserve">ventas@hseperu.com</t>
  </si>
  <si>
    <t xml:space="preserve">994547481</t>
  </si>
  <si>
    <t xml:space="preserve">www.hseperu.com</t>
  </si>
  <si>
    <t xml:space="preserve">Cl. Waikiki Mz.O6 Lt. 14 Residencial Los Cedros de Villa, Chorrillos - Lima</t>
  </si>
  <si>
    <t xml:space="preserve">HSEC Consulting S.A.C.</t>
  </si>
  <si>
    <t xml:space="preserve">hsec@hsecconsulting.com</t>
  </si>
  <si>
    <t xml:space="preserve">3480046</t>
  </si>
  <si>
    <t xml:space="preserve">www.hsecconsulting.com</t>
  </si>
  <si>
    <t xml:space="preserve">Av. Javier Prado Este 6512 La Molina - Lima</t>
  </si>
  <si>
    <t xml:space="preserve">Pablo Nangles</t>
  </si>
  <si>
    <t xml:space="preserve">IFSEC Perú S.A.C.</t>
  </si>
  <si>
    <t xml:space="preserve">servicios@ifsec.pe</t>
  </si>
  <si>
    <t xml:space="preserve">Directorio SSO 2026, pág. PDF 9, 11, 17, 19, 34. Anunciante (inversión activa en SST). Contacto publicado; validar vigencia. Otros emails: arequipa@ifsec.pe.</t>
  </si>
  <si>
    <t xml:space="preserve">Capacitación, consultoría y auditoría; Certificación, inspección y peritaje; Higiene industrial, saneamiento y limpieza; Mantenimiento industrial; Transporte de combustibles y materiales peligrosos</t>
  </si>
  <si>
    <t xml:space="preserve">(01) 6358167 / (+51) 993492895 / (+51) 959224815</t>
  </si>
  <si>
    <t xml:space="preserve">www.ifsec-la.com</t>
  </si>
  <si>
    <t xml:space="preserve">Cl. Francisco Pizarro 312 - Bellavista Callao | Arequipa: Jr. Moquegua 360 - Semirural Pachacutec, Cerro Colorado</t>
  </si>
  <si>
    <t xml:space="preserve">ILS Safework S.A.C.</t>
  </si>
  <si>
    <t xml:space="preserve">informes@ilssafework.com</t>
  </si>
  <si>
    <t xml:space="preserve">Directorio SSO 2026, pág. PDF 9, 25, 29, 34. Sin contacto nominal; no inventar decisor.</t>
  </si>
  <si>
    <t xml:space="preserve">Capacitación, consultoría y auditoría; Rescate y salvamento; Salud ocupacional; Transporte de combustibles y materiales peligrosos</t>
  </si>
  <si>
    <t xml:space="preserve">964961001 / 958254927</t>
  </si>
  <si>
    <t xml:space="preserve">www.ilssafework.com</t>
  </si>
  <si>
    <t xml:space="preserve">Cl. Las Moras Mz. Z1 Lt. 20 Urb. Quinta Tristán - José Luis Bustamante y Rivero - Arequipa</t>
  </si>
  <si>
    <t xml:space="preserve">Inerco Consultoría Perú S.A.C.</t>
  </si>
  <si>
    <t xml:space="preserve">infoperu@inerco.com</t>
  </si>
  <si>
    <t xml:space="preserve">4801354</t>
  </si>
  <si>
    <t xml:space="preserve">www.inercoperu.com.pe</t>
  </si>
  <si>
    <t xml:space="preserve">Cl. Las Orquídeas 585 Piso 13 San Isidro - Lima</t>
  </si>
  <si>
    <t xml:space="preserve">Ingenieros Ambientales S.A.C.</t>
  </si>
  <si>
    <t xml:space="preserve">info@iambientales.com</t>
  </si>
  <si>
    <t xml:space="preserve">966347681</t>
  </si>
  <si>
    <t xml:space="preserve">www.iambientales.com</t>
  </si>
  <si>
    <t xml:space="preserve">Av. La Marina 365 Urb. Benjamín Doig Lossio, La Perla - Callao</t>
  </si>
  <si>
    <t xml:space="preserve">Ingeniería y Servicios Tecnológicos S.A.C.</t>
  </si>
  <si>
    <t xml:space="preserve">ruben@ist-sac.com</t>
  </si>
  <si>
    <t xml:space="preserve">Directorio SSO 2026, pág. PDF 9, 11, 20. Sin contacto nominal; no inventar decisor. Otros emails: cursos@ist-sac.com.</t>
  </si>
  <si>
    <t xml:space="preserve">Capacitación, consultoría y auditoría; Certificación, inspección y peritaje; Medioambiente: productos y servicios</t>
  </si>
  <si>
    <t xml:space="preserve">990278897 / 4219645</t>
  </si>
  <si>
    <t xml:space="preserve">www.ist-sac.com</t>
  </si>
  <si>
    <t xml:space="preserve">Av. Militar 2715 - Lince - Lima</t>
  </si>
  <si>
    <t xml:space="preserve">Instituto de Seguridad Minera - ISEM</t>
  </si>
  <si>
    <t xml:space="preserve">framos@isem.org.pe</t>
  </si>
  <si>
    <t xml:space="preserve">4371300</t>
  </si>
  <si>
    <t xml:space="preserve">www.isem.org.pe</t>
  </si>
  <si>
    <t xml:space="preserve">Av. Canadá 1221, La Victoria - Lima</t>
  </si>
  <si>
    <t xml:space="preserve">Instituto para la Calidad PUCP</t>
  </si>
  <si>
    <t xml:space="preserve">servicioalcliente_ic@pucp.edu.pe</t>
  </si>
  <si>
    <t xml:space="preserve">6262260 / 966369398</t>
  </si>
  <si>
    <t xml:space="preserve">www.calidad.pucp.edu.pe</t>
  </si>
  <si>
    <t xml:space="preserve">Av. Universitaria 1801, San Miguel Lima</t>
  </si>
  <si>
    <t xml:space="preserve">Intertek Testing Services Perú S.A.</t>
  </si>
  <si>
    <t xml:space="preserve">6449714</t>
  </si>
  <si>
    <t xml:space="preserve">www.intertek.com.pe</t>
  </si>
  <si>
    <t xml:space="preserve">Cl. Mariscal La Mar 200 Urb. Pino San Luis - Lima</t>
  </si>
  <si>
    <t xml:space="preserve">ISO Risk Management Systems S.A.C.</t>
  </si>
  <si>
    <t xml:space="preserve">ventas.rms@iso.pe</t>
  </si>
  <si>
    <t xml:space="preserve">999497404</t>
  </si>
  <si>
    <t xml:space="preserve">www.iso.pe</t>
  </si>
  <si>
    <t xml:space="preserve">Cl. Puerto Coloma Mz.E Lt.1 Urb. Los Reyes, San Luis - Lima</t>
  </si>
  <si>
    <t xml:space="preserve">ISSOMAC E.I.R.L.</t>
  </si>
  <si>
    <t xml:space="preserve">ventas@issomac.com</t>
  </si>
  <si>
    <t xml:space="preserve">Directorio SSO 2026, pág. PDF 9, 17. Sin contacto nominal; no inventar decisor.</t>
  </si>
  <si>
    <t xml:space="preserve">Capacitación, consultoría y auditoría; Higiene industrial, saneamiento y limpieza</t>
  </si>
  <si>
    <t xml:space="preserve">(+51) 941693378</t>
  </si>
  <si>
    <t xml:space="preserve">www.issomac.com</t>
  </si>
  <si>
    <t xml:space="preserve">Parque San Martín 313 Dpto.703 Urb. San Martín, Pueblo Libre - Lima</t>
  </si>
  <si>
    <t xml:space="preserve">J&amp;M Hill Consulting Associated S.A.C.</t>
  </si>
  <si>
    <t xml:space="preserve">central@jmhca-peru.com</t>
  </si>
  <si>
    <t xml:space="preserve">944701329</t>
  </si>
  <si>
    <t xml:space="preserve">www.jmhca-peru.com</t>
  </si>
  <si>
    <t xml:space="preserve">Av. Javier Prado Este 4403 Santiago de Surco - Lima</t>
  </si>
  <si>
    <t xml:space="preserve">Knight Piésold Consultores S.A.</t>
  </si>
  <si>
    <t xml:space="preserve">lima@knightpiesold.com</t>
  </si>
  <si>
    <t xml:space="preserve">2023777</t>
  </si>
  <si>
    <t xml:space="preserve">www.knightpiesold.com</t>
  </si>
  <si>
    <t xml:space="preserve">Cl. Aricota 106 Of. 501 Urb. Tambo de Monterrico, Santiago de Surco - Lima</t>
  </si>
  <si>
    <t xml:space="preserve">KOMART Gerencia, Minería y Construcción S.A.C.</t>
  </si>
  <si>
    <t xml:space="preserve">informes@komart.pe</t>
  </si>
  <si>
    <t xml:space="preserve">971532951</t>
  </si>
  <si>
    <t xml:space="preserve">Pj. Virgen del Rosario Mz.41 Lt.3 Barrio Nicrupampa, Independencia Huaraz - Áncash</t>
  </si>
  <si>
    <t xml:space="preserve">Áncash</t>
  </si>
  <si>
    <t xml:space="preserve">Laboratorios SAT</t>
  </si>
  <si>
    <t xml:space="preserve">satperu@satperu.com</t>
  </si>
  <si>
    <t xml:space="preserve">2069280 / 954047600</t>
  </si>
  <si>
    <t xml:space="preserve">www.satperu.com</t>
  </si>
  <si>
    <t xml:space="preserve">Av. Almirante Guisse 2580-2586 Lince - Lima</t>
  </si>
  <si>
    <t xml:space="preserve">LSE S.A.C.</t>
  </si>
  <si>
    <t xml:space="preserve">lse.sac@gmail.com</t>
  </si>
  <si>
    <t xml:space="preserve">Directorio SSO 2026, pág. PDF 10. Sin contacto nominal; no inventar decisor.</t>
  </si>
  <si>
    <t xml:space="preserve">997154282</t>
  </si>
  <si>
    <t xml:space="preserve">Av. Separadora Industrial s/n Mz. K Lt. 25 Urb. Pachacamac Etp. III Villa El Salvador - Lima</t>
  </si>
  <si>
    <t xml:space="preserve">MDS Salud Ocupacional E.I.R.L.</t>
  </si>
  <si>
    <t xml:space="preserve">informes@mdssaludocupacional.com</t>
  </si>
  <si>
    <t xml:space="preserve">Directorio SSO 2026, pág. PDF 10, 11, 30. Sin contacto nominal; no inventar decisor.</t>
  </si>
  <si>
    <t xml:space="preserve">www.mdssaludocupacional.com</t>
  </si>
  <si>
    <t xml:space="preserve">Cl. Ayabaca 362 Of. 101 Urb. Prolongación Benavides Santiago de Surco - Lima</t>
  </si>
  <si>
    <t xml:space="preserve">Medical Enfer</t>
  </si>
  <si>
    <t xml:space="preserve">ambulancias@medicalenfer.com</t>
  </si>
  <si>
    <t xml:space="preserve">Directorio SSO 2026, pág. PDF 6, 10, 30. Sin contacto nominal; no inventar decisor.</t>
  </si>
  <si>
    <t xml:space="preserve">965094856 / 5383777</t>
  </si>
  <si>
    <t xml:space="preserve">www.medicalenfer.com</t>
  </si>
  <si>
    <t xml:space="preserve">Av. San Luis 991 Urb. Las Moras San Luis - Lima</t>
  </si>
  <si>
    <t xml:space="preserve">Mega Soluciones S.A.C.</t>
  </si>
  <si>
    <t xml:space="preserve">ventas@megasolucionessac.com</t>
  </si>
  <si>
    <t xml:space="preserve">7199174 / 941467946</t>
  </si>
  <si>
    <t xml:space="preserve">www.megasolucionessac.com</t>
  </si>
  <si>
    <t xml:space="preserve">Cl. 6 Mz.I Lt.9B Urb. Las Praderas Lurín - Lima</t>
  </si>
  <si>
    <t xml:space="preserve">Mercantil S.A.</t>
  </si>
  <si>
    <t xml:space="preserve">ventas@mercantil.com.pe</t>
  </si>
  <si>
    <t xml:space="preserve">6181616 / 981346913</t>
  </si>
  <si>
    <t xml:space="preserve">www.mercantil.com.pe</t>
  </si>
  <si>
    <t xml:space="preserve">Jr. Santorin 243 Urb. El Vívero Santiago de Surco - Lima</t>
  </si>
  <si>
    <t xml:space="preserve">Minerva Consultoría y Desarrollo Empresarial</t>
  </si>
  <si>
    <t xml:space="preserve">capacitacion@minercode.org</t>
  </si>
  <si>
    <t xml:space="preserve">Directorio SSO 2026, pág. PDF 10, 18, 20, 30. Sin contacto nominal; no inventar decisor.</t>
  </si>
  <si>
    <t xml:space="preserve">Capacitación, consultoría y auditoría; Higiene industrial, saneamiento y limpieza; Medioambiente: productos y servicios; Salud ocupacional</t>
  </si>
  <si>
    <t xml:space="preserve">7459118 / 997894060</t>
  </si>
  <si>
    <t xml:space="preserve">www.minercode.org</t>
  </si>
  <si>
    <t xml:space="preserve">Jr. Colcas 1506 Of.401 Urb. Los Naranjos - Los Olivos - Lima</t>
  </si>
  <si>
    <t xml:space="preserve">NS Consultora Organizacional</t>
  </si>
  <si>
    <t xml:space="preserve">Argentina</t>
  </si>
  <si>
    <t xml:space="preserve">comunicaciones@nsorganizacional.com</t>
  </si>
  <si>
    <t xml:space="preserve">59573175</t>
  </si>
  <si>
    <t xml:space="preserve">www.nsorganizacional.com</t>
  </si>
  <si>
    <t xml:space="preserve">CABA - Argentina</t>
  </si>
  <si>
    <t xml:space="preserve">Buenos Aires</t>
  </si>
  <si>
    <t xml:space="preserve">NSF INASSA S.A.C.</t>
  </si>
  <si>
    <t xml:space="preserve">info@nsf.org</t>
  </si>
  <si>
    <t xml:space="preserve">6165200</t>
  </si>
  <si>
    <t xml:space="preserve">www.nsf.org</t>
  </si>
  <si>
    <t xml:space="preserve">Av. La Marina 3035 Urb Maranga Etp. VII, San Miguel - Lima</t>
  </si>
  <si>
    <t xml:space="preserve">Occupational Hygiene Laboratory S.A.C. OHLAB S.AC.</t>
  </si>
  <si>
    <t xml:space="preserve">comercial@ohlaboratory.com</t>
  </si>
  <si>
    <t xml:space="preserve">Directorio SSO 2026, pág. PDF 5, 10, 11, 20, 30. Sin contacto nominal; no inventar decisor.</t>
  </si>
  <si>
    <t xml:space="preserve">Agua, análisis, tecnología y productos; Capacitación, consultoría y auditoría; Detección de gases: equipos y servicios; Medioambiente: productos y servicios; Salud ocupacional</t>
  </si>
  <si>
    <t xml:space="preserve">983731672</t>
  </si>
  <si>
    <t xml:space="preserve">www.ohlaboratory.com</t>
  </si>
  <si>
    <t xml:space="preserve">Av. La Marina 365 Urb. Benjamin Doig Lossio Etapa I, La Perla - Callao</t>
  </si>
  <si>
    <t xml:space="preserve">Paragon Safety Technology S.A.</t>
  </si>
  <si>
    <t xml:space="preserve">paragon@paragonsafety.com.pe</t>
  </si>
  <si>
    <t xml:space="preserve">Directorio SSO 2026, pág. PDF 10, 11, 26, 34. Sin contacto nominal; no inventar decisor.</t>
  </si>
  <si>
    <t xml:space="preserve">Capacitación, consultoría y auditoría; Certificación, inspección y peritaje; Rescate y salvamento; Transporte de combustibles y materiales peligrosos</t>
  </si>
  <si>
    <t xml:space="preserve">2410274 / 999095651</t>
  </si>
  <si>
    <t xml:space="preserve">www.paragonsafety.com.pe</t>
  </si>
  <si>
    <t xml:space="preserve">Calle Ayacucho 280 - Miraflores - Lima</t>
  </si>
  <si>
    <t xml:space="preserve">Perú Up Occupational Health and Safety</t>
  </si>
  <si>
    <t xml:space="preserve">info@peruup.com.pe</t>
  </si>
  <si>
    <t xml:space="preserve">Directorio SSO 2026, pág. PDF 7, 10. Sin contacto nominal; no inventar decisor.</t>
  </si>
  <si>
    <t xml:space="preserve">997463937 / 3269798</t>
  </si>
  <si>
    <t xml:space="preserve">www.peruup.com.pe</t>
  </si>
  <si>
    <t xml:space="preserve">Cl. Johannes Brahms 159 San Borja - Lima</t>
  </si>
  <si>
    <t xml:space="preserve">PH Hidroambiental S.A.C.</t>
  </si>
  <si>
    <t xml:space="preserve">Cl. Tomás Ramsey 930 Of. 707 Magdalena del Mar - Lima</t>
  </si>
  <si>
    <t xml:space="preserve">Plenno - Sistema Integrado de Emergencias S.A.C.</t>
  </si>
  <si>
    <t xml:space="preserve">ventas@plennoperu.com</t>
  </si>
  <si>
    <t xml:space="preserve">Directorio SSO 2026, pág. PDF 10, 26, 30. Sin contacto nominal; no inventar decisor.</t>
  </si>
  <si>
    <t xml:space="preserve">Capacitación, consultoría y auditoría; Rescate y salvamento; Salud ocupacional</t>
  </si>
  <si>
    <t xml:space="preserve">990194913</t>
  </si>
  <si>
    <t xml:space="preserve">www.plennoperu.com</t>
  </si>
  <si>
    <t xml:space="preserve">Av. Primavera 120 Of. B-204 Santiago de Surco - Lima</t>
  </si>
  <si>
    <t xml:space="preserve">Prevención Estratégica E.I.R.L. PREVENEST</t>
  </si>
  <si>
    <t xml:space="preserve">ventas@prevenest.com</t>
  </si>
  <si>
    <t xml:space="preserve">923271825</t>
  </si>
  <si>
    <t xml:space="preserve">www.prevenest.com</t>
  </si>
  <si>
    <t xml:space="preserve">Jr. Colón 186 Of. 201 - Callao</t>
  </si>
  <si>
    <t xml:space="preserve">Qualicon Latam S.A.C.</t>
  </si>
  <si>
    <t xml:space="preserve">970991394</t>
  </si>
  <si>
    <t xml:space="preserve">www.qualiconlatam.com</t>
  </si>
  <si>
    <t xml:space="preserve">Cl. Los Antares 320 C.E. Nuevo Trigal Torre B Of. 501 Santiago de Surco - Lima</t>
  </si>
  <si>
    <t xml:space="preserve">Quality Health Safety and Enviroment Services - QHSE</t>
  </si>
  <si>
    <t xml:space="preserve">informes@qhse.com.pe</t>
  </si>
  <si>
    <t xml:space="preserve">Directorio SSO 2026, pág. PDF 10, 11, 18, 20, 30. Sin contacto nominal; no inventar decisor.</t>
  </si>
  <si>
    <t xml:space="preserve">Capacitación, consultoría y auditoría; Certificación, inspección y peritaje; Higiene industrial, saneamiento y limpieza; Medioambiente: productos y servicios; Salud ocupacional</t>
  </si>
  <si>
    <t xml:space="preserve">6378077 / 998258828</t>
  </si>
  <si>
    <t xml:space="preserve">www.qhse.com.pe</t>
  </si>
  <si>
    <t xml:space="preserve">Jr. José Santiago Wagner 2855 Pueblo Libre - Lima</t>
  </si>
  <si>
    <t xml:space="preserve">Paola Escobedo</t>
  </si>
  <si>
    <t xml:space="preserve">SafeStart</t>
  </si>
  <si>
    <t xml:space="preserve">Brasil</t>
  </si>
  <si>
    <t xml:space="preserve">info@ssi.safestart.com</t>
  </si>
  <si>
    <t xml:space="preserve">Directorio SSO 2026, pág. PDF 10, 11, 31. Anunciante (inversión activa en SST). Contacto publicado; validar vigencia. Otros emails: paola.escobedo@ssi.safestart.com.</t>
  </si>
  <si>
    <t xml:space="preserve">Capacitación, consultoría y auditoría; Certificación, inspección y peritaje; Salud ocupacional; Seguridad vial y prevención de accidentes vehiculares</t>
  </si>
  <si>
    <t xml:space="preserve">www.safestartlatam.com</t>
  </si>
  <si>
    <t xml:space="preserve">R. Alberto Folloni 1743 Juvevé, Curitiba, Paraná Brasil</t>
  </si>
  <si>
    <t xml:space="preserve">Curitiba</t>
  </si>
  <si>
    <t xml:space="preserve">Safety Consulting &amp; Training S.A.C.</t>
  </si>
  <si>
    <t xml:space="preserve">noemi.orrego@sctperu.biz</t>
  </si>
  <si>
    <t xml:space="preserve">Directorio SSO 2026, pág. PDF 10, 11, 19, 22, 30. Sin contacto nominal; no inventar decisor.</t>
  </si>
  <si>
    <t xml:space="preserve">Capacitación, consultoría y auditoría; Certificación, inspección y peritaje; Electricidad industrial; Máquinas, herramientas y repuestos; Protección contra incendios; Salud ocupacional</t>
  </si>
  <si>
    <t xml:space="preserve">966774933</t>
  </si>
  <si>
    <t xml:space="preserve">Av. Horacio Urteaga 867 Int. 3 Jesús María - Lima</t>
  </si>
  <si>
    <t xml:space="preserve">Jean Lostaunau</t>
  </si>
  <si>
    <t xml:space="preserve">Gerente de Operaciones</t>
  </si>
  <si>
    <t xml:space="preserve">Safety Management Resources S.R.L.</t>
  </si>
  <si>
    <t xml:space="preserve">central@safetymanagement.pe</t>
  </si>
  <si>
    <t xml:space="preserve">Directorio SSO 2026, pág. PDF 10, 13, 17, 26, 31, 35. Anunciante (inversión activa en SST). Contacto publicado; validar vigencia. Otros emails: ventas@safetymanagement.pe.</t>
  </si>
  <si>
    <t xml:space="preserve">Capacitación, consultoría y auditoría; Electricidad industrial; Equipos de protección personal; Rescate y salvamento; Salud ocupacional; Transporte de combustibles y materiales peligrosos</t>
  </si>
  <si>
    <t xml:space="preserve">969082951 / (+51) 992257016</t>
  </si>
  <si>
    <t xml:space="preserve">www.safetymanagement.pe</t>
  </si>
  <si>
    <t xml:space="preserve">Cl. Independencia 842 Of. 702 - Miraflores - Lima</t>
  </si>
  <si>
    <t xml:space="preserve">Secutire Sante et Environnement SSEE S.A.C. - Secusant S.A.C.</t>
  </si>
  <si>
    <t xml:space="preserve">info@sseesac.com</t>
  </si>
  <si>
    <t xml:space="preserve">5006770</t>
  </si>
  <si>
    <t xml:space="preserve">www.sseesac.com</t>
  </si>
  <si>
    <t xml:space="preserve">Av. Juan de Aliaga 425 Oficina Ubicua Magdalena del Mar - Lima</t>
  </si>
  <si>
    <t xml:space="preserve">Segurid-ad Perú S.A.C.</t>
  </si>
  <si>
    <t xml:space="preserve">info@segurid-ad.com</t>
  </si>
  <si>
    <t xml:space="preserve">Directorio SSO 2026, pág. PDF 10, 11, 22. Sin contacto nominal; no inventar decisor.</t>
  </si>
  <si>
    <t xml:space="preserve">Capacitación, consultoría y auditoría; Certificación, inspección y peritaje; Protección contra incendios</t>
  </si>
  <si>
    <t xml:space="preserve">4800825</t>
  </si>
  <si>
    <t xml:space="preserve">www.segurid-ad.com</t>
  </si>
  <si>
    <t xml:space="preserve">Cl. Germán Schereiber 276 San Isidro - Lima</t>
  </si>
  <si>
    <t xml:space="preserve">Seguridad Salud y Medioambiente E.I.R.L.</t>
  </si>
  <si>
    <t xml:space="preserve">ventas@ssame.com.pe</t>
  </si>
  <si>
    <t xml:space="preserve">Directorio SSO 2026, pág. PDF 10, 20, 30. Sin contacto nominal; no inventar decisor.</t>
  </si>
  <si>
    <t xml:space="preserve">2705410 / 988009989</t>
  </si>
  <si>
    <t xml:space="preserve">www.ssame.com.pe</t>
  </si>
  <si>
    <t xml:space="preserve">Jr. Alicante 372 Urb. Javier Prado San Luis - Lima</t>
  </si>
  <si>
    <t xml:space="preserve">SGS del Perú S.A.C.</t>
  </si>
  <si>
    <t xml:space="preserve">pe.info@sgs.com</t>
  </si>
  <si>
    <t xml:space="preserve">5171900 / 999979079</t>
  </si>
  <si>
    <t xml:space="preserve">www.sgs.com</t>
  </si>
  <si>
    <t xml:space="preserve">Av. Elmer Faucett 3348, Urb. Bocanegra Callao</t>
  </si>
  <si>
    <t xml:space="preserve">Soluciones Empresariales ENDAFE S.A.C.</t>
  </si>
  <si>
    <t xml:space="preserve">informes@serhasperu.com</t>
  </si>
  <si>
    <t xml:space="preserve">Directorio SSO 2026, pág. PDF 10, 31. Sin contacto nominal; no inventar decisor.</t>
  </si>
  <si>
    <t xml:space="preserve">www.serhasperu.com</t>
  </si>
  <si>
    <t xml:space="preserve">Psj. Manuel Tovar 181 Magdalena del Mar - Lima</t>
  </si>
  <si>
    <t xml:space="preserve">South American Rescue Association S.A.C.</t>
  </si>
  <si>
    <t xml:space="preserve">info@saraperu.com</t>
  </si>
  <si>
    <t xml:space="preserve">Directorio SSO 2026, pág. PDF 6, 7, 10, 26, 31, 35. Sin contacto nominal; no inventar decisor.</t>
  </si>
  <si>
    <t xml:space="preserve">Ambulancias y servicios de emergencia; Campamentos e instalaciones; Capacitación, consultoría y auditoría; Ropa industrial; Salud ocupacional; Vehículos: ventas, alquiler, repuestos y reparaciones</t>
  </si>
  <si>
    <t xml:space="preserve">4215887 / 975031257</t>
  </si>
  <si>
    <t xml:space="preserve">www.saraperu.com</t>
  </si>
  <si>
    <t xml:space="preserve">Cl. 27 de Noviembre 149 Dpto.202 Miraflores - Lima</t>
  </si>
  <si>
    <t xml:space="preserve">SRK Consulting (Perú) S.A.</t>
  </si>
  <si>
    <t xml:space="preserve">srk@srk.com.pe</t>
  </si>
  <si>
    <t xml:space="preserve">www.srk.com</t>
  </si>
  <si>
    <t xml:space="preserve">Av. La Paz 1227, Miraflores - Lima</t>
  </si>
  <si>
    <t xml:space="preserve">SST Asesores S.A.C. - Ludoprevención</t>
  </si>
  <si>
    <t xml:space="preserve">info@sstasesores.pe</t>
  </si>
  <si>
    <t xml:space="preserve">962326959</t>
  </si>
  <si>
    <t xml:space="preserve">www.sstasesores.pe</t>
  </si>
  <si>
    <t xml:space="preserve">Cl. General Artigas 960 Pueblo Libre - Lima</t>
  </si>
  <si>
    <t xml:space="preserve">SYV Consultores y Asociados S.A.C.</t>
  </si>
  <si>
    <t xml:space="preserve">informes@syvconsultores.com</t>
  </si>
  <si>
    <t xml:space="preserve">975590108 / 999930911</t>
  </si>
  <si>
    <t xml:space="preserve">www.syvconsultores.com</t>
  </si>
  <si>
    <t xml:space="preserve">Av. Las Magnolias Mz. A Lt. 26 Of.1047, Residencial Primavera El Agustino - Lima</t>
  </si>
  <si>
    <t xml:space="preserve">Tecsup</t>
  </si>
  <si>
    <t xml:space="preserve">3173900</t>
  </si>
  <si>
    <t xml:space="preserve">www.tecsup.edu.pe</t>
  </si>
  <si>
    <t xml:space="preserve">Av. Cascanueces 2221 - Santa Anita Lima</t>
  </si>
  <si>
    <t xml:space="preserve">Terramar Inspection &amp; Trading S.A.C.</t>
  </si>
  <si>
    <t xml:space="preserve">informes@terramar.pe</t>
  </si>
  <si>
    <t xml:space="preserve">Directorio SSO 2026, pág. PDF 10, 11. Sin contacto nominal; no inventar decisor.</t>
  </si>
  <si>
    <t xml:space="preserve">923345788 / 970560929</t>
  </si>
  <si>
    <t xml:space="preserve">www.terramar.pe</t>
  </si>
  <si>
    <t xml:space="preserve">Cl. Arica 115 Dpto. 604, Miraflores Lima</t>
  </si>
  <si>
    <t xml:space="preserve">Umbrella EcoConsulting S.A.C.</t>
  </si>
  <si>
    <t xml:space="preserve">info@uec.com.pe</t>
  </si>
  <si>
    <t xml:space="preserve">4223832</t>
  </si>
  <si>
    <t xml:space="preserve">www.uec.com.pe</t>
  </si>
  <si>
    <t xml:space="preserve">Jr. Huáscar 1868 Int. A Jesús María - Lima</t>
  </si>
  <si>
    <t xml:space="preserve">Universidad ESAN</t>
  </si>
  <si>
    <t xml:space="preserve">informes@esan.edu.pe</t>
  </si>
  <si>
    <t xml:space="preserve">3177200 / 7127200</t>
  </si>
  <si>
    <t xml:space="preserve">www.esan.edu.pe</t>
  </si>
  <si>
    <t xml:space="preserve">Av. Alonso de Molina 1652 Urb. Monterrico - Santiago de Surco Lima</t>
  </si>
  <si>
    <t xml:space="preserve">Vertical Access Certification S.A.C. VAC Perú</t>
  </si>
  <si>
    <t xml:space="preserve">info@vacperu.com.pe</t>
  </si>
  <si>
    <t xml:space="preserve">Directorio SSO 2026, pág. PDF 7, 10, 11, 17, 26. Sin contacto nominal; no inventar decisor. Otros emails: vacperu1@vacperu.com.pe.</t>
  </si>
  <si>
    <t xml:space="preserve">Campamentos e instalaciones; Capacitación, consultoría y auditoría; Certificación, inspección y peritaje; Higiene industrial, saneamiento y limpieza; Ropa industrial</t>
  </si>
  <si>
    <t xml:space="preserve">982331008 / 982331064</t>
  </si>
  <si>
    <t xml:space="preserve">www.vacperu.com.pe</t>
  </si>
  <si>
    <t xml:space="preserve">Av. Williams 172 Urb. La Calera de la Merced - Surquillo - Lima</t>
  </si>
  <si>
    <t xml:space="preserve">Walsh Perú S.A.</t>
  </si>
  <si>
    <t xml:space="preserve">postmast@walshp.com.pe</t>
  </si>
  <si>
    <t xml:space="preserve">Directorio SSO 2026, pág. PDF 5, 10, 18. Sin contacto nominal; no inventar decisor.</t>
  </si>
  <si>
    <t xml:space="preserve">Agua, análisis, tecnología y productos; Capacitación, consultoría y auditoría; Iluminación industrial</t>
  </si>
  <si>
    <t xml:space="preserve">4480808 / 4480634</t>
  </si>
  <si>
    <t xml:space="preserve">www.walshp.com.pe</t>
  </si>
  <si>
    <t xml:space="preserve">Cl. Alexander Fleming 187 Urb. Higuereta, Santiago de Surco - Lima</t>
  </si>
  <si>
    <t xml:space="preserve">Ximena Mining Group S.A.C.</t>
  </si>
  <si>
    <t xml:space="preserve">info@ximenamining.pe</t>
  </si>
  <si>
    <t xml:space="preserve">7158844</t>
  </si>
  <si>
    <t xml:space="preserve">Cl. Guillermo Faure 135 Of. 107 San Borja - Lima</t>
  </si>
  <si>
    <t xml:space="preserve">Luis Enrique</t>
  </si>
  <si>
    <t xml:space="preserve">Carp &amp; Asociados S.C.R.L.</t>
  </si>
  <si>
    <t xml:space="preserve">ventas@carp.pe</t>
  </si>
  <si>
    <t xml:space="preserve">Evaluar co-venta o integración de soluciones</t>
  </si>
  <si>
    <t xml:space="preserve">Directorio SSO 2026, pág. PDF 24, 31. Anunciante (inversión activa en SST). Contacto publicado; validar vigencia. Otros emails: arequipa@carp.pe; piura@carp.pe; trujillo@carp.pe.</t>
  </si>
  <si>
    <t xml:space="preserve">Reflectivos y señalización; Seguridad vial y prevención de accidentes vehiculares</t>
  </si>
  <si>
    <t xml:space="preserve">Aliado complementario – seguridad</t>
  </si>
  <si>
    <t xml:space="preserve">(01) 7198080 / 994197789 / (054) 213835 / 994213260 / (073) 618100 / 994197783 / (044) 530514 / 998261402</t>
  </si>
  <si>
    <t xml:space="preserve">www.carp.pe</t>
  </si>
  <si>
    <t xml:space="preserve">Lima: Av. Petit Thouars 3975 - San Isidro | Arequipa: Cl. Lima 415 - Vallecito | Piura: Av. Guardia Civil Mz.Q Lt.19 Urb. Miraflores - Castilla | Trujillo: Mz.L Lt.16 Urb. San Pedro I Etapa, Víctor Larco Herrera</t>
  </si>
  <si>
    <t xml:space="preserve">Rocío Paredes Guillén</t>
  </si>
  <si>
    <t xml:space="preserve">Ceneris E.I.R.L.</t>
  </si>
  <si>
    <t xml:space="preserve">info@ceneris.com</t>
  </si>
  <si>
    <t xml:space="preserve">Directorio SSO 2026, pág. PDF 5, 9, 11, 17, 20, 21, 28. Anunciante (inversión activa en SST). Contacto publicado; validar vigencia.</t>
  </si>
  <si>
    <t xml:space="preserve">Agua, análisis, tecnología y productos; Capacitación, consultoría y auditoría; Detección de gases: equipos y servicios; Higiene industrial, saneamiento y limpieza; Medioambiente: productos y servicios; Protección contra incendios; Salud ocupacional</t>
  </si>
  <si>
    <t xml:space="preserve">(01) 4800065 / (+51) 995716810 / (+51) 992098057</t>
  </si>
  <si>
    <t xml:space="preserve">www.ceneris.com</t>
  </si>
  <si>
    <t xml:space="preserve">Lima: Av. Tomás Marsano 1368 Urb. La Aurora, Miraflores | Arequipa: Av. Lima 147 Urb. Vallecito - Cercado</t>
  </si>
  <si>
    <t xml:space="preserve">CleanSpace Respirators (Safety Management Resources)</t>
  </si>
  <si>
    <t xml:space="preserve">Australia</t>
  </si>
  <si>
    <t xml:space="preserve">Directorio SSO 2026, pág. PDF 14, 17, 25, 28, 35. Anunciante (inversión activa en SST). Contacto publicado (representante en Perú); validar vigencia.</t>
  </si>
  <si>
    <t xml:space="preserve">Equipos de protección personal; Higiene industrial, saneamiento y limpieza; Rescate y salvamento; Salud ocupacional; Ventilación industrial y subterránea</t>
  </si>
  <si>
    <t xml:space="preserve">(+51) 969082951 / (+51) 992257016</t>
  </si>
  <si>
    <t xml:space="preserve">www.cleanspacetechnology.com</t>
  </si>
  <si>
    <t xml:space="preserve">Unit 5, 39 Herbert St St Leonards NSW 2065 Australia</t>
  </si>
  <si>
    <t xml:space="preserve">Sídney</t>
  </si>
  <si>
    <t xml:space="preserve">Almendra Lostaunau</t>
  </si>
  <si>
    <t xml:space="preserve">FEDSEG S.A.C.</t>
  </si>
  <si>
    <t xml:space="preserve">ventas@fedseg.com.pe</t>
  </si>
  <si>
    <t xml:space="preserve">Directorio SSO 2026, pág. PDF 12, 18, 24, 31, 35. Anunciante (inversión activa en SST). Contacto publicado; validar vigencia.</t>
  </si>
  <si>
    <t xml:space="preserve">Electricidad industrial; Mantenimiento industrial; Reflectivos y señalización; Seguridad vial y prevención de accidentes vehiculares; Vehículos: ventas, alquiler, repuestos y reparaciones</t>
  </si>
  <si>
    <t xml:space="preserve">(01) 5627843 / (+51) 984108461 / (+51) 998135600</t>
  </si>
  <si>
    <t xml:space="preserve">www.fedseg.com.pe</t>
  </si>
  <si>
    <t xml:space="preserve">Av. Manco Capac 1463 La Victoria - Lima</t>
  </si>
  <si>
    <t xml:space="preserve">Gisbert Azaña Ruiz</t>
  </si>
  <si>
    <t xml:space="preserve">Gisbert Representantes E.I.R.L.</t>
  </si>
  <si>
    <t xml:space="preserve">ventas@gisber.com.pe</t>
  </si>
  <si>
    <t xml:space="preserve">Directorio SSO 2026, pág. PDF 6, 7, 9, 24, 31. Anunciante (inversión activa en SST). Contacto publicado; validar vigencia.</t>
  </si>
  <si>
    <t xml:space="preserve">Andamios y trabajos en altura; Campamentos e instalaciones; Capacitación, consultoría y auditoría; Reflectivos y señalización; Seguridad vial y prevención de accidentes vehiculares</t>
  </si>
  <si>
    <t xml:space="preserve">(+51) 915210151</t>
  </si>
  <si>
    <t xml:space="preserve">www.gisber.com.pe</t>
  </si>
  <si>
    <t xml:space="preserve">Jr. Jorge Chávez 194 Urb. Chacra Colorada Breña - Lima</t>
  </si>
  <si>
    <t xml:space="preserve">Alan Núñez</t>
  </si>
  <si>
    <t xml:space="preserve">Gerente comercial</t>
  </si>
  <si>
    <t xml:space="preserve">Segurindustria S.A.</t>
  </si>
  <si>
    <t xml:space="preserve">contacto@segusa.com.pe</t>
  </si>
  <si>
    <t xml:space="preserve">Directorio SSO 2026, pág. PDF 7, 17, 22, 25, 27, 31. Anunciante (inversión activa en SST). Contacto publicado; validar vigencia. Otros emails: distribuidores@segusa.com.pe; trujillo@segusa.com.pe; ventastrujillo1@segusa.com.pe.</t>
  </si>
  <si>
    <t xml:space="preserve">Andamios y trabajos en altura; Equipos de protección personal; Protección contra incendios; Reflectivos y señalización; Ropa industrial; Seguridad vial y prevención de accidentes vehiculares</t>
  </si>
  <si>
    <t xml:space="preserve">4500778 / 958690332 / (+51) 995668230 / (+044) 230362 / (+044) 207500 / (+51) 973848449</t>
  </si>
  <si>
    <t xml:space="preserve">www.segurindustria.pe</t>
  </si>
  <si>
    <t xml:space="preserve">Jr. Paita 191 Urb. Parque Industrial - San Juan de Miraflores - Lima | Trujillo: Av. Nicolás de Piérola 980 Urb. Primavera</t>
  </si>
  <si>
    <t xml:space="preserve">Jhon Santillán</t>
  </si>
  <si>
    <t xml:space="preserve">Vision One International S.R.L.</t>
  </si>
  <si>
    <t xml:space="preserve">ventas@visionone.pe</t>
  </si>
  <si>
    <t xml:space="preserve">Directorio SSO 2026, pág. PDF 17, 31. Anunciante (inversión activa en SST). Contacto publicado; validar vigencia.</t>
  </si>
  <si>
    <t xml:space="preserve">Higiene industrial, saneamiento y limpieza; Seguridad vial y prevención de accidentes vehiculares</t>
  </si>
  <si>
    <t xml:space="preserve">(01) 7509910 / (+51) 954305931 / (+51) 991266014</t>
  </si>
  <si>
    <t xml:space="preserve">www.visionone.pe</t>
  </si>
  <si>
    <t xml:space="preserve">Cl. Monte Grande 188 - Santiago de Surco - Lima</t>
  </si>
  <si>
    <t xml:space="preserve">Gustavo Martínez</t>
  </si>
  <si>
    <t xml:space="preserve">Vixora S.A.</t>
  </si>
  <si>
    <t xml:space="preserve">vixora@vixora.com</t>
  </si>
  <si>
    <t xml:space="preserve">Directorio SSO 2026, pág. PDF 31. Anunciante (inversión activa en SST). Contacto publicado; validar vigencia.</t>
  </si>
  <si>
    <t xml:space="preserve">Seguridad vial y prevención de accidentes vehiculares; Seguridad y vigilancia interna</t>
  </si>
  <si>
    <t xml:space="preserve">(+51) 968975716 / (+51) 949063307</t>
  </si>
  <si>
    <t xml:space="preserve">www.vixora.com</t>
  </si>
  <si>
    <t xml:space="preserve">Av. El Derby 254 Santiago de Surco - Lima</t>
  </si>
  <si>
    <t xml:space="preserve">Armando Amaro</t>
  </si>
  <si>
    <t xml:space="preserve">Jefe de Ventas</t>
  </si>
  <si>
    <t xml:space="preserve">Andes Seguridad S.A.C.</t>
  </si>
  <si>
    <t xml:space="preserve">ventas@andesseguridad.com</t>
  </si>
  <si>
    <t xml:space="preserve">Evaluar como canal de distribución hacia minería/industria</t>
  </si>
  <si>
    <t xml:space="preserve">Directorio SSO 2026, pág. PDF 9, 14, 17, 18, 24, 25, 28, 32. Anunciante (inversión activa en SST). Contacto publicado; validar vigencia. Otros emails: distribuidores@andesseguridad.com; ventasaqp@andesseguridad.com.</t>
  </si>
  <si>
    <t xml:space="preserve">Capacitación, consultoría y auditoría; Equipos de protección personal; Higiene industrial, saneamiento y limpieza; Iluminación industrial; Mantenimiento industrial; Reflectivos y señalización; Rescate y salvamento; Salud ocupacional; Soldadura industrial</t>
  </si>
  <si>
    <t xml:space="preserve">Canal / distribuidor EPP</t>
  </si>
  <si>
    <t xml:space="preserve">(01) 7152525 / (+51) 987581941 / (+51) 948501615 / (+054) 283327 / (+51) 947254611</t>
  </si>
  <si>
    <t xml:space="preserve">www.andes-safety.com</t>
  </si>
  <si>
    <t xml:space="preserve">Cl. Dean Saavedra 170 Urb. Maranga, San Miguel - Lima | Arequipa: Mz.B Lt.12 Urb. Puerta Verde, José Luis Bustamante y Rivero</t>
  </si>
  <si>
    <t xml:space="preserve">César Calderón</t>
  </si>
  <si>
    <t xml:space="preserve">Coelpra S.A.C.</t>
  </si>
  <si>
    <t xml:space="preserve">ventas@coelpra.com</t>
  </si>
  <si>
    <t xml:space="preserve">Directorio SSO 2026, pág. PDF 11, 19, 24. Anunciante (inversión activa en SST). Contacto publicado; validar vigencia. Otros emails: jefe.comercial@coelpra.com.</t>
  </si>
  <si>
    <t xml:space="preserve">Electricidad industrial; Máquinas, herramientas y repuestos; Reflectivos y señalización</t>
  </si>
  <si>
    <t xml:space="preserve">www.coelpra.com</t>
  </si>
  <si>
    <t xml:space="preserve">Av. Arequipa 330, Of.806 Cercado de Lima - Lima</t>
  </si>
  <si>
    <t xml:space="preserve">José Luis Quispe</t>
  </si>
  <si>
    <t xml:space="preserve">CSG Perú S.A.C.</t>
  </si>
  <si>
    <t xml:space="preserve">joseluis.csgperu@gmail.com</t>
  </si>
  <si>
    <t xml:space="preserve">Directorio SSO 2026, pág. PDF 14, 26. Anunciante (inversión activa en SST). Contacto publicado; validar vigencia.</t>
  </si>
  <si>
    <t xml:space="preserve">Equipos de protección personal; Ropa industrial</t>
  </si>
  <si>
    <t xml:space="preserve">(01) 3760415 / (+51) 96371009</t>
  </si>
  <si>
    <t xml:space="preserve">www.csgperu.com</t>
  </si>
  <si>
    <t xml:space="preserve">Cl. 5 Mz.E Lt.2 P.J. 15 Enero (altura paradero 10 Av. Flores de Primavera) San Juan de Lurigancho - Lima</t>
  </si>
  <si>
    <t xml:space="preserve">Omar Caballero</t>
  </si>
  <si>
    <t xml:space="preserve">Contacto comercial en Perú</t>
  </si>
  <si>
    <t xml:space="preserve">Moldex-Metric Inc.</t>
  </si>
  <si>
    <t xml:space="preserve">Estados Unidos</t>
  </si>
  <si>
    <t xml:space="preserve">omarc@moldex.com</t>
  </si>
  <si>
    <t xml:space="preserve">Directorio SSO 2026, pág. PDF 16, 18, 30, 32. Anunciante (inversión activa en SST). Contacto publicado; validar vigencia. Otros emails: ventasamlat@moldex.com. Oficina LatAm: (+52) 442 234 1230.</t>
  </si>
  <si>
    <t xml:space="preserve">Equipos de protección personal; Higiene industrial, saneamiento y limpieza; Salud ocupacional; Soldadura industrial</t>
  </si>
  <si>
    <t xml:space="preserve">(+51) 950118436</t>
  </si>
  <si>
    <t xml:space="preserve">www.moldex.com/es</t>
  </si>
  <si>
    <t xml:space="preserve">10111 Jefferson Boulevard, Culver City, California 90232, EE.UU.</t>
  </si>
  <si>
    <t xml:space="preserve">California</t>
  </si>
  <si>
    <t xml:space="preserve">César Depaz Sánchez</t>
  </si>
  <si>
    <t xml:space="preserve">Ophtalmic Center E.I.R.L.</t>
  </si>
  <si>
    <t xml:space="preserve">ventas@ophtalmiccenter.com</t>
  </si>
  <si>
    <t xml:space="preserve">Directorio SSO 2026, pág. PDF 16, 30. Anunciante (inversión activa en SST). Contacto publicado; validar vigencia.</t>
  </si>
  <si>
    <t xml:space="preserve">Equipos de protección personal; Salud ocupacional</t>
  </si>
  <si>
    <t xml:space="preserve">(+51) 996827080 / (+51) 955349430</t>
  </si>
  <si>
    <t xml:space="preserve">www.ophtalmiccenter.com; www.lentesdeseguridad.pe</t>
  </si>
  <si>
    <t xml:space="preserve">Av. Conquistadores 665 San Isidro - Lima</t>
  </si>
  <si>
    <t xml:space="preserve">Rafael Dávila / Confecciones Fox</t>
  </si>
  <si>
    <t xml:space="preserve">ventas@foxperu.net</t>
  </si>
  <si>
    <t xml:space="preserve">Directorio SSO 2026, pág. PDF 16, 27. Anunciante (inversión activa en SST). Sin contacto nominal; no inventar decisor.</t>
  </si>
  <si>
    <t xml:space="preserve">(01) 2222768 / 998169475 / (+51) 964140592</t>
  </si>
  <si>
    <t xml:space="preserve">Jr. Domingo Casanova 271 Lince - Lima</t>
  </si>
  <si>
    <t xml:space="preserve">Doris Almeida</t>
  </si>
  <si>
    <t xml:space="preserve">Pulso Salud S.A.C.</t>
  </si>
  <si>
    <t xml:space="preserve">informes@pulsosalud.com</t>
  </si>
  <si>
    <t xml:space="preserve">Evaluar alianza en salud ocupacional / fatiga</t>
  </si>
  <si>
    <t xml:space="preserve">Directorio SSO 2026, pág. PDF 30. Anunciante (inversión activa en SST). Contacto publicado; validar vigencia.</t>
  </si>
  <si>
    <t xml:space="preserve">Salud ocupacional</t>
  </si>
  <si>
    <t xml:space="preserve">Aliado complementario – salud</t>
  </si>
  <si>
    <t xml:space="preserve">4800178 / (+51) 975750003 / (+51) 949165619</t>
  </si>
  <si>
    <t xml:space="preserve">www.pulsosalud.com</t>
  </si>
  <si>
    <t xml:space="preserve">Av. Javier Prado Este 2954, San Borja - Lima | Arequipa: Cl. Hipólito Unanue 142 Urb. Victoria, Cercado de Arequipa</t>
  </si>
  <si>
    <t xml:space="preserve">A.B. Seguridad S.A.C.</t>
  </si>
  <si>
    <t xml:space="preserve">ventas@abseguridad-peru.com</t>
  </si>
  <si>
    <t xml:space="preserve">Media</t>
  </si>
  <si>
    <t xml:space="preserve">Protección contra incendios</t>
  </si>
  <si>
    <t xml:space="preserve">4450232 / 2425172</t>
  </si>
  <si>
    <t xml:space="preserve">www.abseguridad-peru.com</t>
  </si>
  <si>
    <t xml:space="preserve">Jr. Gonzales Prada 443. Surquillo Jr. Dante 236 - Surquillo - Lima</t>
  </si>
  <si>
    <t xml:space="preserve">ABC Importaciones y Servicios</t>
  </si>
  <si>
    <t xml:space="preserve">ventas@abcfire-peru.com</t>
  </si>
  <si>
    <t xml:space="preserve">4600500 / 967782622 / 967782605</t>
  </si>
  <si>
    <t xml:space="preserve">www.abcfire-peru.com</t>
  </si>
  <si>
    <t xml:space="preserve">Jr. Clovis 764 - Pueblo Libre Lima</t>
  </si>
  <si>
    <t xml:space="preserve">All Safety E.I.R.L.</t>
  </si>
  <si>
    <t xml:space="preserve">informes@allsafetype.com</t>
  </si>
  <si>
    <t xml:space="preserve">Directorio SSO 2026, pág. PDF 21. Sin contacto nominal; no inventar decisor. Otros emails: comercial@allsafetype.com.</t>
  </si>
  <si>
    <t xml:space="preserve">919298318</t>
  </si>
  <si>
    <t xml:space="preserve">www.allsafetype.com</t>
  </si>
  <si>
    <t xml:space="preserve">Av. San Borja Norte 1263 San Borja - Lima</t>
  </si>
  <si>
    <t xml:space="preserve">Alpe Corporación S.A.</t>
  </si>
  <si>
    <t xml:space="preserve">alpecorp@alpecorp.com.pe</t>
  </si>
  <si>
    <t xml:space="preserve">Directorio SSO 2026, pág. PDF 21. Sin contacto nominal; no inventar decisor. Otros emails: ventas@alpecorp.com.pe.</t>
  </si>
  <si>
    <t xml:space="preserve">2016000</t>
  </si>
  <si>
    <t xml:space="preserve">www.alpecorp.pe</t>
  </si>
  <si>
    <t xml:space="preserve">Av. Prolongación Ramiro Prialé Mz.O Lt.20 Urb. Alameda de Ñaña II Lurigancho - Lima</t>
  </si>
  <si>
    <t xml:space="preserve">American Industrial Equipment S.A.C.</t>
  </si>
  <si>
    <t xml:space="preserve">gerencia@aiesac.com</t>
  </si>
  <si>
    <t xml:space="preserve">Directorio SSO 2026, pág. PDF 11, 14, 18, 25. Sin contacto nominal; no inventar decisor. Otros emails: sales@aiesac.com.</t>
  </si>
  <si>
    <t xml:space="preserve">Electricidad industrial; Equipos de protección personal; Iluminación industrial; Rescate y salvamento</t>
  </si>
  <si>
    <t xml:space="preserve">4613828 / 4605076</t>
  </si>
  <si>
    <t xml:space="preserve">www.aiesac.com.pe</t>
  </si>
  <si>
    <t xml:space="preserve">Jr. Bolívar 695 Urb. Jacarandá Magdalena del Mar - Lima</t>
  </si>
  <si>
    <t xml:space="preserve">Amezaga Arellano S.A.C. Ingenieros AASACI</t>
  </si>
  <si>
    <t xml:space="preserve">victor.ruizcaro@aasaci.com.pe</t>
  </si>
  <si>
    <t xml:space="preserve">Directorio SSO 2026, pág. PDF 6, 14, 21, 25, 26, 35. Sin contacto nominal; no inventar decisor.</t>
  </si>
  <si>
    <t xml:space="preserve">Ambulancias y servicios de emergencia; Equipos de protección personal; Protección contra incendios; Rescate y salvamento; Ropa industrial; Vehículos: ventas, alquiler, repuestos y reparaciones</t>
  </si>
  <si>
    <t xml:space="preserve">6120101 / 986824777</t>
  </si>
  <si>
    <t xml:space="preserve">www.aasaci.com.pe</t>
  </si>
  <si>
    <t xml:space="preserve">Av. Canaval y Moreyra 340 Piso 6 San Isidro - Lima</t>
  </si>
  <si>
    <t xml:space="preserve">Andaform Perú S.A.C.</t>
  </si>
  <si>
    <t xml:space="preserve">ventas@andaformperu.com</t>
  </si>
  <si>
    <t xml:space="preserve">Directorio SSO 2026, pág. PDF 6. Sin contacto nominal; no inventar decisor.</t>
  </si>
  <si>
    <t xml:space="preserve">Andamios y trabajos en altura</t>
  </si>
  <si>
    <t xml:space="preserve">936526469</t>
  </si>
  <si>
    <t xml:space="preserve">www.andaformperu.com</t>
  </si>
  <si>
    <t xml:space="preserve">Asociación California 3ra Etapa Mz.C Lt. 21, Villa El Salvador - Lima</t>
  </si>
  <si>
    <t xml:space="preserve">Andamios de Construcción S.A.C.</t>
  </si>
  <si>
    <t xml:space="preserve">ndecosac@gmail.com</t>
  </si>
  <si>
    <t xml:space="preserve">3870694 / 998581015</t>
  </si>
  <si>
    <t xml:space="preserve">www.andeco.pe</t>
  </si>
  <si>
    <t xml:space="preserve">Av. Próceres de la Independencia 2754 Urb. San Carlos - San Juan de Lurigancho Lima</t>
  </si>
  <si>
    <t xml:space="preserve">Andamios Fuerte</t>
  </si>
  <si>
    <t xml:space="preserve">comercial@andamiosfuerte.com</t>
  </si>
  <si>
    <t xml:space="preserve">922227484 / 933896718</t>
  </si>
  <si>
    <t xml:space="preserve">www.andamiosfuerte.com</t>
  </si>
  <si>
    <t xml:space="preserve">Cl. Marcos Farfán 3430 - Independencia Lima</t>
  </si>
  <si>
    <t xml:space="preserve">Andamios Perú Contratistas Generales S.A.C.</t>
  </si>
  <si>
    <t xml:space="preserve">ventas@andamiosperu.pe</t>
  </si>
  <si>
    <t xml:space="preserve">950320020</t>
  </si>
  <si>
    <t xml:space="preserve">www.andamiosperu.pe</t>
  </si>
  <si>
    <t xml:space="preserve">Av. Carlos Izaguirre Mz. A Lt. 4 Urb. Santa María Del Valle III Etapa San Martín de Porres - Lima</t>
  </si>
  <si>
    <t xml:space="preserve">Andamios y Encofrados Sermaqui Perú</t>
  </si>
  <si>
    <t xml:space="preserve">ventas@sermaquiperu.com</t>
  </si>
  <si>
    <t xml:space="preserve">947326183</t>
  </si>
  <si>
    <t xml:space="preserve">www.sermaquiperu.com</t>
  </si>
  <si>
    <t xml:space="preserve">Cl. Amat y Juniet 502 Santiago de Surco - Lima</t>
  </si>
  <si>
    <t xml:space="preserve">B&amp;L Asociados S.A.</t>
  </si>
  <si>
    <t xml:space="preserve">blventas@blasociados.com.pe</t>
  </si>
  <si>
    <t xml:space="preserve">Directorio SSO 2026, pág. PDF 18, 24, 31. Sin contacto nominal; no inventar decisor. Otros emails: ventas@blasociados.com.pe.</t>
  </si>
  <si>
    <t xml:space="preserve">Iluminación industrial; Reflectivos y señalización; Seguridad y vigilancia interna</t>
  </si>
  <si>
    <t xml:space="preserve">2422719 / 998139087 / 989427311</t>
  </si>
  <si>
    <t xml:space="preserve">www.blasociados.pe</t>
  </si>
  <si>
    <t xml:space="preserve">Cl. San Martín 472 - Miraflores - Lima</t>
  </si>
  <si>
    <t xml:space="preserve">Boot Kallpa S.A.C.</t>
  </si>
  <si>
    <t xml:space="preserve">ventas@bootkallpa.com</t>
  </si>
  <si>
    <t xml:space="preserve">Directorio SSO 2026, pág. PDF 14, 26, 31. Sin contacto nominal; no inventar decisor.</t>
  </si>
  <si>
    <t xml:space="preserve">Equipos de protección personal; Ropa industrial; Seguridad y vigilancia interna</t>
  </si>
  <si>
    <t xml:space="preserve">6059784 / 998231932</t>
  </si>
  <si>
    <t xml:space="preserve">www.bootkallpa.com</t>
  </si>
  <si>
    <t xml:space="preserve">Av. Alfredo Mendiola 6821 Dpto. 904 Residencial Las Torres de Los Olivos - Lima</t>
  </si>
  <si>
    <t xml:space="preserve">Boxer Security S.A.</t>
  </si>
  <si>
    <t xml:space="preserve">contacto@boxersecurity.com.pe</t>
  </si>
  <si>
    <t xml:space="preserve">Directorio SSO 2026, pág. PDF 31. Sin contacto nominal; no inventar decisor.</t>
  </si>
  <si>
    <t xml:space="preserve">Seguridad y vigilancia interna</t>
  </si>
  <si>
    <t xml:space="preserve">6176767 / 924023816</t>
  </si>
  <si>
    <t xml:space="preserve">www.boxersecurity.com.pe</t>
  </si>
  <si>
    <t xml:space="preserve">Av. La Encalada 339 Urb. Monterrico Santiago de Surco - Lima</t>
  </si>
  <si>
    <t xml:space="preserve">Camitek Perú S.R.L.</t>
  </si>
  <si>
    <t xml:space="preserve">ventas@camitekperu.com</t>
  </si>
  <si>
    <t xml:space="preserve">Directorio SSO 2026, pág. PDF 25. Sin contacto nominal; no inventar decisor.</t>
  </si>
  <si>
    <t xml:space="preserve">Rescate y salvamento</t>
  </si>
  <si>
    <t xml:space="preserve">6951304 / 936402803</t>
  </si>
  <si>
    <t xml:space="preserve">www.camitekperu.com</t>
  </si>
  <si>
    <t xml:space="preserve">Av. Las Américas 1385 - La Victoria Lima</t>
  </si>
  <si>
    <t xml:space="preserve">Centex Instrumentación y Equipos S.A.C.</t>
  </si>
  <si>
    <t xml:space="preserve">consultas@centex.com.pe</t>
  </si>
  <si>
    <t xml:space="preserve">Detección de gases: equipos y servicios</t>
  </si>
  <si>
    <t xml:space="preserve">2711703</t>
  </si>
  <si>
    <t xml:space="preserve">www.centex.pe</t>
  </si>
  <si>
    <t xml:space="preserve">Jr. Ciudad Real 290 Urb. Residencial Higuereta, Santiago de Surco - Lima</t>
  </si>
  <si>
    <t xml:space="preserve">Centro Coordinador de Búsqueda y Salvamento</t>
  </si>
  <si>
    <t xml:space="preserve">postmaster-snmpe@snmpe.org.pe</t>
  </si>
  <si>
    <t xml:space="preserve">2159250</t>
  </si>
  <si>
    <t xml:space="preserve">www.snmpe.org.pe/sarcc</t>
  </si>
  <si>
    <t xml:space="preserve">Cl. Francisco Graña 671 - Magdalena del Mar - Lima</t>
  </si>
  <si>
    <t xml:space="preserve">CGS Andamiaje &amp; Puntales S.A.C.</t>
  </si>
  <si>
    <t xml:space="preserve">988990419 / 936190810</t>
  </si>
  <si>
    <t xml:space="preserve">www.andamiosmetalicoscgs.com</t>
  </si>
  <si>
    <t xml:space="preserve">Cl. Independencia Mz. A Lt. 8 Urb. Vicentelo Bajo, El Agustino - Lima</t>
  </si>
  <si>
    <t xml:space="preserve">Climber S.A.C.</t>
  </si>
  <si>
    <t xml:space="preserve">ventas@climberperu.com</t>
  </si>
  <si>
    <t xml:space="preserve">941462164</t>
  </si>
  <si>
    <t xml:space="preserve">www.climberperu.com</t>
  </si>
  <si>
    <t xml:space="preserve">Av. Camino del Inca Mz.N Lt.35 Of. 110 Urb. San Juan Bautista de Villa Chorrillos - Lima</t>
  </si>
  <si>
    <t xml:space="preserve">Comercial Textil S.A.</t>
  </si>
  <si>
    <t xml:space="preserve">ventas@comercial-textil.com</t>
  </si>
  <si>
    <t xml:space="preserve">Directorio SSO 2026, pág. PDF 21, 24, 26. Sin contacto nominal; no inventar decisor.</t>
  </si>
  <si>
    <t xml:space="preserve">Protección contra incendios; Reflectivos y señalización; Ropa industrial</t>
  </si>
  <si>
    <t xml:space="preserve">7068882</t>
  </si>
  <si>
    <t xml:space="preserve">www.comercial-textil.com</t>
  </si>
  <si>
    <t xml:space="preserve">Av. Maquinarias 1960, Cercado de Lima Lima</t>
  </si>
  <si>
    <t xml:space="preserve">Comercializadora Multinacional (Perú) S.A.C. COMULSA</t>
  </si>
  <si>
    <t xml:space="preserve">comulsa@comulsa.pe</t>
  </si>
  <si>
    <t xml:space="preserve">Directorio SSO 2026, pág. PDF 6, 9, 11, 12, 14. Sin contacto nominal; no inventar decisor.</t>
  </si>
  <si>
    <t xml:space="preserve">Andamios y trabajos en altura; Capacitación, consultoría y auditoría; Detección de gases: equipos y servicios; Electricidad industrial; Equipos de protección personal</t>
  </si>
  <si>
    <t xml:space="preserve">(01) 2413020 / (+51) 969311351</t>
  </si>
  <si>
    <t xml:space="preserve">www.comulsa.pe</t>
  </si>
  <si>
    <t xml:space="preserve">Av. Del Parque 172 Urb. Limatambo San Isidro - Lima</t>
  </si>
  <si>
    <t xml:space="preserve">Control Empresarial Group S.A.C.</t>
  </si>
  <si>
    <t xml:space="preserve">informes@coemgroupsac.com</t>
  </si>
  <si>
    <t xml:space="preserve">980133569</t>
  </si>
  <si>
    <t xml:space="preserve">www.coemgroupsac.com</t>
  </si>
  <si>
    <t xml:space="preserve">Cl. Tomás Ramsey 306 Urb. Primavera - Magdalena del Mar Lima</t>
  </si>
  <si>
    <t xml:space="preserve">Corporación Ensol S.A.C.</t>
  </si>
  <si>
    <t xml:space="preserve">comercial@ensol.com.pe</t>
  </si>
  <si>
    <t xml:space="preserve">6059321 / 990080448</t>
  </si>
  <si>
    <t xml:space="preserve">Cl. Cosme Bueno 170 Urb. San José - Bellavista - Callao</t>
  </si>
  <si>
    <t xml:space="preserve">Corporación Fireman's S.A.C.</t>
  </si>
  <si>
    <t xml:space="preserve">ventas@firemansperu.com</t>
  </si>
  <si>
    <t xml:space="preserve">4581858 / 970261530</t>
  </si>
  <si>
    <t xml:space="preserve">www.firemansperu.com</t>
  </si>
  <si>
    <t xml:space="preserve">Jr. Tiahuanaco 264 Urb. Zárate San Juan de Lurigancho - Lima</t>
  </si>
  <si>
    <t xml:space="preserve">Corporación OR3 Perú S.A.C.</t>
  </si>
  <si>
    <t xml:space="preserve">ventas@eppenlima.com</t>
  </si>
  <si>
    <t xml:space="preserve">Seguridad vial y prevención de accidentes vehiculares</t>
  </si>
  <si>
    <t xml:space="preserve">984267900</t>
  </si>
  <si>
    <t xml:space="preserve">www.eppenlima.com</t>
  </si>
  <si>
    <t xml:space="preserve">Av. Nicolás de Piérola 514 Ate Vitarte Lima</t>
  </si>
  <si>
    <t xml:space="preserve">Corporación Security Tech S.A.C.</t>
  </si>
  <si>
    <t xml:space="preserve">ventas@securitytech.pe</t>
  </si>
  <si>
    <t xml:space="preserve">Directorio SSO 2026, pág. PDF 20, 21, 25. Sin contacto nominal; no inventar decisor. Otros emails: comercial@securitytech.pe.</t>
  </si>
  <si>
    <t xml:space="preserve">Medioambiente: productos y servicios; Protección contra incendios; Rescate y salvamento</t>
  </si>
  <si>
    <t xml:space="preserve">2248009 / 988271479 / 945133533</t>
  </si>
  <si>
    <t xml:space="preserve">www.securitytech.pe</t>
  </si>
  <si>
    <t xml:space="preserve">Av. Del Aire 551 Of. 501 Urb. Santa Catalina, La Victoria - Lima</t>
  </si>
  <si>
    <t xml:space="preserve">De Rivero Industrial S.A.C.</t>
  </si>
  <si>
    <t xml:space="preserve">ventas@derivero.com</t>
  </si>
  <si>
    <t xml:space="preserve">Directorio SSO 2026, pág. PDF 21. Sin contacto nominal; no inventar decisor. Otros emails: servicioalcliente@deriveroindustrial.com.</t>
  </si>
  <si>
    <t xml:space="preserve">4258737 / 981322145</t>
  </si>
  <si>
    <t xml:space="preserve">www.deriveroindustrial.com</t>
  </si>
  <si>
    <t xml:space="preserve">Av. Tingo María 1350 - Cercado de Lima - Lima</t>
  </si>
  <si>
    <t xml:space="preserve">Deah Security S.A.C.</t>
  </si>
  <si>
    <t xml:space="preserve">ventas@deahsecurity.pe</t>
  </si>
  <si>
    <t xml:space="preserve">4291084</t>
  </si>
  <si>
    <t xml:space="preserve">www.deahsecurity.pe</t>
  </si>
  <si>
    <t xml:space="preserve">Cl. Cañete 186 Urb. Santa Marina Norte Callao</t>
  </si>
  <si>
    <t xml:space="preserve">Doka Perú S.A.C.</t>
  </si>
  <si>
    <t xml:space="preserve">peru@doka.com</t>
  </si>
  <si>
    <t xml:space="preserve">7480400 / 988882521</t>
  </si>
  <si>
    <t xml:space="preserve">www.doka.com</t>
  </si>
  <si>
    <t xml:space="preserve">Av. La Encalada 1257 Santiago de Surco - Lima</t>
  </si>
  <si>
    <t xml:space="preserve">Draeger Perú S.A.C.</t>
  </si>
  <si>
    <t xml:space="preserve">peru@draeger.com</t>
  </si>
  <si>
    <t xml:space="preserve">Directorio SSO 2026, pág. PDF 11, 14, 25. Sin contacto nominal; no inventar decisor.</t>
  </si>
  <si>
    <t xml:space="preserve">Detección de gases: equipos y servicios; Equipos de protección personal; Rescate y salvamento</t>
  </si>
  <si>
    <t xml:space="preserve">6269595</t>
  </si>
  <si>
    <t xml:space="preserve">www.draeger.com</t>
  </si>
  <si>
    <t xml:space="preserve">Av. San Borja Sur 573 - 575 San Borja - Lima</t>
  </si>
  <si>
    <t xml:space="preserve">Electronic International Security S.A.</t>
  </si>
  <si>
    <t xml:space="preserve">ventas@elinse.com.pe</t>
  </si>
  <si>
    <t xml:space="preserve">Directorio SSO 2026, pág. PDF 21, 31. Sin contacto nominal; no inventar decisor.</t>
  </si>
  <si>
    <t xml:space="preserve">Protección contra incendios; Seguridad y vigilancia interna</t>
  </si>
  <si>
    <t xml:space="preserve">4062424 / 991942815</t>
  </si>
  <si>
    <t xml:space="preserve">www.elinse.com.pe</t>
  </si>
  <si>
    <t xml:space="preserve">Av. Canaval y Moreyra 694 Urb. Corpac - San Isidro - Lima</t>
  </si>
  <si>
    <t xml:space="preserve">Electronic Security Systems S.A.C.</t>
  </si>
  <si>
    <t xml:space="preserve">logisticaess@essperu.com</t>
  </si>
  <si>
    <t xml:space="preserve">Directorio SSO 2026, pág. PDF 21, 32. Sin contacto nominal; no inventar decisor.</t>
  </si>
  <si>
    <t xml:space="preserve">2212900</t>
  </si>
  <si>
    <t xml:space="preserve">www.essperu.com</t>
  </si>
  <si>
    <t xml:space="preserve">Av. Ricardo Palma 341 Int. 901 Edificio Platino - Miraflores - Lima</t>
  </si>
  <si>
    <t xml:space="preserve">Engineer Fire S.A.C.</t>
  </si>
  <si>
    <t xml:space="preserve">proyectos@engineerfire.com</t>
  </si>
  <si>
    <t xml:space="preserve">987411736 / 987780977 / 967708239</t>
  </si>
  <si>
    <t xml:space="preserve">www.engineerfire.com</t>
  </si>
  <si>
    <t xml:space="preserve">Av. La Molina 3365 Of. 6 La Molina - Lima</t>
  </si>
  <si>
    <t xml:space="preserve">Equipos Contra Incendio Wiesse E.I.R.L.</t>
  </si>
  <si>
    <t xml:space="preserve">ventas@ewiesse.com</t>
  </si>
  <si>
    <t xml:space="preserve">946263984</t>
  </si>
  <si>
    <t xml:space="preserve">www.ewiesse.com</t>
  </si>
  <si>
    <t xml:space="preserve">Mz. X1 Lt.7 Portón Jicamarca Urb. Montenegro - San Juan de Lurigancho - Lima</t>
  </si>
  <si>
    <t xml:space="preserve">Eta Estructuras S.A.</t>
  </si>
  <si>
    <t xml:space="preserve">etaestructuras@gmail.com</t>
  </si>
  <si>
    <t xml:space="preserve">994155734</t>
  </si>
  <si>
    <t xml:space="preserve">www.etaestructura.com</t>
  </si>
  <si>
    <t xml:space="preserve">Cl. Las Colinas Mz. D Lt. 1 Urb. Las Fresas - Callao</t>
  </si>
  <si>
    <t xml:space="preserve">Extintores G&amp;S Perú S.A.C.</t>
  </si>
  <si>
    <t xml:space="preserve">ventas@extintoresgys.com</t>
  </si>
  <si>
    <t xml:space="preserve">5364276 / 959789179</t>
  </si>
  <si>
    <t xml:space="preserve">Jr. Garcilazo de la Vega 245 Urb. San Agustín Etapa 1, Comas - Lima</t>
  </si>
  <si>
    <t xml:space="preserve">Fatigue Science</t>
  </si>
  <si>
    <t xml:space="preserve">Canadá</t>
  </si>
  <si>
    <t xml:space="preserve">info@fatiguescience.com</t>
  </si>
  <si>
    <t xml:space="preserve">Directorio SSO 2026, pág. PDF 31. Sin contacto nominal; no inventar decisor. Tecnología de gestión de fatiga: evaluar también como competidor/partner.</t>
  </si>
  <si>
    <t xml:space="preserve">(+52) 55 9414 6000</t>
  </si>
  <si>
    <t xml:space="preserve">www.fatiguescience.com</t>
  </si>
  <si>
    <t xml:space="preserve">200 - 110 W Hastings Street, Vancouver, BC - Canadá</t>
  </si>
  <si>
    <t xml:space="preserve">Vancouver</t>
  </si>
  <si>
    <t xml:space="preserve">Fierros Lino S.A.</t>
  </si>
  <si>
    <t xml:space="preserve">atencion@fierroslino.com</t>
  </si>
  <si>
    <t xml:space="preserve">994007092</t>
  </si>
  <si>
    <t xml:space="preserve">www.fierroslino.com</t>
  </si>
  <si>
    <t xml:space="preserve">Jr. El Inca 1128 - Surquillo - Lima</t>
  </si>
  <si>
    <t xml:space="preserve">Fire Technology S.A.C.</t>
  </si>
  <si>
    <t xml:space="preserve">firetechnology@ftperu.com</t>
  </si>
  <si>
    <t xml:space="preserve">945043072 / 946585351</t>
  </si>
  <si>
    <t xml:space="preserve">www.ftperu.com</t>
  </si>
  <si>
    <t xml:space="preserve">Av. Ernesto Diez Canseco 333 Of. D Miraflores - Lima</t>
  </si>
  <si>
    <t xml:space="preserve">Firemed S.A.C.</t>
  </si>
  <si>
    <t xml:space="preserve">ventas@firemed.com.pe</t>
  </si>
  <si>
    <t xml:space="preserve">Directorio SSO 2026, pág. PDF 11, 15, 21, 25, 35. Sin contacto nominal; no inventar decisor.</t>
  </si>
  <si>
    <t xml:space="preserve">Detección de gases: equipos y servicios; Equipos de protección personal; Protección contra incendios; Rescate y salvamento; Vehículos: ventas, alquiler, repuestos y reparaciones</t>
  </si>
  <si>
    <t xml:space="preserve">3660000 / 939194183</t>
  </si>
  <si>
    <t xml:space="preserve">www.firemed.com.pe</t>
  </si>
  <si>
    <t xml:space="preserve">Av. Santiago de Surco 3845 Urb. Vista Alegre, Santiago de Surco - Lima</t>
  </si>
  <si>
    <t xml:space="preserve">Fireno S.A.C.</t>
  </si>
  <si>
    <t xml:space="preserve">ventas@fireno.com</t>
  </si>
  <si>
    <t xml:space="preserve">974513568</t>
  </si>
  <si>
    <t xml:space="preserve">www.fireno.com</t>
  </si>
  <si>
    <t xml:space="preserve">Cl. Amador Merino Reyna 307 Dpto.501, San Isidro - Lima</t>
  </si>
  <si>
    <t xml:space="preserve">Fitflow Perú S.R.L.</t>
  </si>
  <si>
    <t xml:space="preserve">marketing@fitflow.com.pe</t>
  </si>
  <si>
    <t xml:space="preserve">2522222</t>
  </si>
  <si>
    <t xml:space="preserve">www.fitflow.com</t>
  </si>
  <si>
    <t xml:space="preserve">Cl. 1 1688 Cooperativa Las Vertientes De La Tablada - Villa El Salvador - Lima</t>
  </si>
  <si>
    <t xml:space="preserve">Fulmitex Extintores y Señalización S.A.C.</t>
  </si>
  <si>
    <t xml:space="preserve">ventas@fulmitex.com</t>
  </si>
  <si>
    <t xml:space="preserve">Directorio SSO 2026, pág. PDF 21, 24. Sin contacto nominal; no inventar decisor.</t>
  </si>
  <si>
    <t xml:space="preserve">Protección contra incendios; Reflectivos y señalización</t>
  </si>
  <si>
    <t xml:space="preserve">(051) 322954 / 951648000</t>
  </si>
  <si>
    <t xml:space="preserve">www.fulmitex.com</t>
  </si>
  <si>
    <t xml:space="preserve">Jr. Bracesco 319, San Román Juliaca - Puno</t>
  </si>
  <si>
    <t xml:space="preserve">Puno</t>
  </si>
  <si>
    <t xml:space="preserve">G4S Perú S.A.C.</t>
  </si>
  <si>
    <t xml:space="preserve">comercial.peru@pe.g4s.com</t>
  </si>
  <si>
    <t xml:space="preserve">934905523</t>
  </si>
  <si>
    <t xml:space="preserve">www.g4s.com</t>
  </si>
  <si>
    <t xml:space="preserve">Jr. José Gálvez 1766-1780 Lince - Lima</t>
  </si>
  <si>
    <t xml:space="preserve">Garveni Group S.A.C.</t>
  </si>
  <si>
    <t xml:space="preserve">ventas@garvenigroup.com.pe</t>
  </si>
  <si>
    <t xml:space="preserve">998100615 / 934590293</t>
  </si>
  <si>
    <t xml:space="preserve">https://landing.garvenigroup.com.pe</t>
  </si>
  <si>
    <t xml:space="preserve">Mz. C1 Lt. 21 Asoc. California III Villa El Salvador - Lima</t>
  </si>
  <si>
    <t xml:space="preserve">GDS del Perú S.A.C.</t>
  </si>
  <si>
    <t xml:space="preserve">servicioalcliente@gdsdelperu.com</t>
  </si>
  <si>
    <t xml:space="preserve">Directorio SSO 2026, pág. PDF 11, 21. Sin contacto nominal; no inventar decisor.</t>
  </si>
  <si>
    <t xml:space="preserve">Detección de gases: equipos y servicios; Protección contra incendios</t>
  </si>
  <si>
    <t xml:space="preserve">6516465</t>
  </si>
  <si>
    <t xml:space="preserve">www.gdsdelperu.com</t>
  </si>
  <si>
    <t xml:space="preserve">Av. Perú 3853 Int.201, San Martín de Porres - Lima</t>
  </si>
  <si>
    <t xml:space="preserve">GMS Consulting S.A.C.</t>
  </si>
  <si>
    <t xml:space="preserve">informes@gmsconsulting.pe</t>
  </si>
  <si>
    <t xml:space="preserve">Directorio SSO 2026, pág. PDF 6, 9, 22, 25. Sin contacto nominal; no inventar decisor.</t>
  </si>
  <si>
    <t xml:space="preserve">Andamios y trabajos en altura; Capacitación, consultoría y auditoría; Protección contra incendios; Rescate y salvamento</t>
  </si>
  <si>
    <t xml:space="preserve">4006110 / (+51) 985034191</t>
  </si>
  <si>
    <t xml:space="preserve">www.gmsconsulting.pe</t>
  </si>
  <si>
    <t xml:space="preserve">Cl. Martín de Murúa 150 Of. 902 San Miguel - Lima</t>
  </si>
  <si>
    <t xml:space="preserve">Grupo Altos</t>
  </si>
  <si>
    <t xml:space="preserve">ventas@grupoaltos.com.pe</t>
  </si>
  <si>
    <t xml:space="preserve">994119444</t>
  </si>
  <si>
    <t xml:space="preserve">www.grupoaltos.com.pe</t>
  </si>
  <si>
    <t xml:space="preserve">Av. Defensores del Morro, Mz.V, Lt. 7 Urb. Los Huertos de Villa, Chorrillos - Lima</t>
  </si>
  <si>
    <t xml:space="preserve">Grupo Bea S.A.C.</t>
  </si>
  <si>
    <t xml:space="preserve">ventas@grupobea.com.pe</t>
  </si>
  <si>
    <t xml:space="preserve">932133389 / 924734744</t>
  </si>
  <si>
    <t xml:space="preserve">www.grupobea.com.pe</t>
  </si>
  <si>
    <t xml:space="preserve">Jr. Los Tulipanes 175 Independencia - Lima</t>
  </si>
  <si>
    <t xml:space="preserve">Grupo Conceg Perú S.A.C.</t>
  </si>
  <si>
    <t xml:space="preserve">comercial@concegperu.com</t>
  </si>
  <si>
    <t xml:space="preserve">908806174</t>
  </si>
  <si>
    <t xml:space="preserve">www.consegperu.com</t>
  </si>
  <si>
    <t xml:space="preserve">Av. Manuel de la Fuente Chávez 386 Mz.B Lt.7, Barranco - Lima</t>
  </si>
  <si>
    <t xml:space="preserve">Grupo Faimex E.I.R.L.</t>
  </si>
  <si>
    <t xml:space="preserve">informes@grupofaimex.com</t>
  </si>
  <si>
    <t xml:space="preserve">936051806</t>
  </si>
  <si>
    <t xml:space="preserve">www.grupofaimex.com.pe</t>
  </si>
  <si>
    <t xml:space="preserve">Cl. 8 Mz. I Lt.2 Sub Lt. .4 B1 Urb. Campoy - San Juan de Lurigancho Lima</t>
  </si>
  <si>
    <t xml:space="preserve">Hermes Transportes Blindados S.A.</t>
  </si>
  <si>
    <t xml:space="preserve">sac@hermes.com.pe</t>
  </si>
  <si>
    <t xml:space="preserve">6174004</t>
  </si>
  <si>
    <t xml:space="preserve">www.hermes.com.pe</t>
  </si>
  <si>
    <t xml:space="preserve">Av. Producción Nacional 278 Urb. La Villa, Chorrillos - Lima</t>
  </si>
  <si>
    <t xml:space="preserve">Hexagon Mining Perú S.A.C.</t>
  </si>
  <si>
    <t xml:space="preserve">jorge.loayza@hexagon.com</t>
  </si>
  <si>
    <t xml:space="preserve">Directorio SSO 2026, pág. PDF 31. Sin contacto nominal; no inventar decisor. Tecnología minera (anticolisión/fatiga): evaluar también como competidor/partner.</t>
  </si>
  <si>
    <t xml:space="preserve">6264422</t>
  </si>
  <si>
    <t xml:space="preserve">www.hexagon.com</t>
  </si>
  <si>
    <t xml:space="preserve">Av. La Encalada 1388 Piso 5 Of. 501 Santiago de Surco - Lima</t>
  </si>
  <si>
    <t xml:space="preserve">Horn FRP Structural Solutions</t>
  </si>
  <si>
    <t xml:space="preserve">ventasperu@hornfrp.com</t>
  </si>
  <si>
    <t xml:space="preserve">926723462</t>
  </si>
  <si>
    <t xml:space="preserve">www.hornfrp.com</t>
  </si>
  <si>
    <t xml:space="preserve">Av. Las Palmeras, Fundo Buena Vista Mz.D Lt. LT int 20, Lurín - Lima</t>
  </si>
  <si>
    <t xml:space="preserve">Iflutech S.A.C.</t>
  </si>
  <si>
    <t xml:space="preserve">ventas@iflutech.com</t>
  </si>
  <si>
    <t xml:space="preserve">Directorio SSO 2026, pág. PDF 22. Sin contacto nominal; no inventar decisor.</t>
  </si>
  <si>
    <t xml:space="preserve">5482323 / 987223441</t>
  </si>
  <si>
    <t xml:space="preserve">www.iflutech.com</t>
  </si>
  <si>
    <t xml:space="preserve">Av. El Derby 254 Of. 1401 Santiago de Surco - Lima</t>
  </si>
  <si>
    <t xml:space="preserve">Industrial Tecnex S.A.C.</t>
  </si>
  <si>
    <t xml:space="preserve">ventas2@corporaciontecnex.com.pe</t>
  </si>
  <si>
    <t xml:space="preserve">3861025 / 6012859 / 998397377</t>
  </si>
  <si>
    <t xml:space="preserve">Av. Malecón Checa 3038 Mz.A Lt.1 Urb. Alamos de Prialé de Campoy San Juan de Lurigancho - Lima</t>
  </si>
  <si>
    <t xml:space="preserve">Ricardo Cossio</t>
  </si>
  <si>
    <t xml:space="preserve">Ingeniería y Sistemas Open World S.A.C.</t>
  </si>
  <si>
    <t xml:space="preserve">info@openworldlatam.com</t>
  </si>
  <si>
    <t xml:space="preserve">Directorio SSO 2026, pág. PDF 29, 31. Contacto publicado; validar vigencia.</t>
  </si>
  <si>
    <t xml:space="preserve">Salud ocupacional; Seguridad vial y prevención de accidentes vehiculares</t>
  </si>
  <si>
    <t xml:space="preserve">(01) 7112887 / (+51) 949777702</t>
  </si>
  <si>
    <t xml:space="preserve">www.openworldlatam.com</t>
  </si>
  <si>
    <t xml:space="preserve">Cl. Los Antares 320 Torre B Of. 902 Santiago de Surco - Lima</t>
  </si>
  <si>
    <t xml:space="preserve">Inka Tools A&amp;F S.A.C.</t>
  </si>
  <si>
    <t xml:space="preserve">ventas@inkatools.com</t>
  </si>
  <si>
    <t xml:space="preserve">Directorio SSO 2026, pág. PDF 15, 27, 31. Sin contacto nominal; no inventar decisor.</t>
  </si>
  <si>
    <t xml:space="preserve">Equipos de protección personal; Ropa industrial; Seguridad vial y prevención de accidentes vehiculares</t>
  </si>
  <si>
    <t xml:space="preserve">3890011 / 999707259</t>
  </si>
  <si>
    <t xml:space="preserve">www.inkatools.com</t>
  </si>
  <si>
    <t xml:space="preserve">Mz. H Lt. 8 Urb. San Hilarión Alto San Juan de Lurigancho - Lima</t>
  </si>
  <si>
    <t xml:space="preserve">Jade Consulting</t>
  </si>
  <si>
    <t xml:space="preserve">informes@jadeconsulting.com.pe</t>
  </si>
  <si>
    <t xml:space="preserve">7590749 / 981329590</t>
  </si>
  <si>
    <t xml:space="preserve">www.jadeconsulting.com.pe</t>
  </si>
  <si>
    <t xml:space="preserve">Av. Arequipa 4155, Miraflores Lima</t>
  </si>
  <si>
    <t xml:space="preserve">Jorvin Group</t>
  </si>
  <si>
    <t xml:space="preserve">ventas@jorvingroup.com</t>
  </si>
  <si>
    <t xml:space="preserve">940030629</t>
  </si>
  <si>
    <t xml:space="preserve">www.jorvingroup.com</t>
  </si>
  <si>
    <t xml:space="preserve">Av. Los Cóndores, Zárate San Juan de Lurigancho - Lima</t>
  </si>
  <si>
    <t xml:space="preserve">Kler Corp Andamios &amp; Construcción</t>
  </si>
  <si>
    <t xml:space="preserve">ventas@klercorperu.com</t>
  </si>
  <si>
    <t xml:space="preserve">Directorio SSO 2026, pág. PDF 6. Sin contacto nominal; no inventar decisor. Otros emails: comercial@klercorperu.com.</t>
  </si>
  <si>
    <t xml:space="preserve">955142244</t>
  </si>
  <si>
    <t xml:space="preserve">www.klercorperu.com</t>
  </si>
  <si>
    <t xml:space="preserve">Cl. Felipe Oliva 568 San Juan de Miraflores - Lima</t>
  </si>
  <si>
    <t xml:space="preserve">KPN Perú S.A.C.</t>
  </si>
  <si>
    <t xml:space="preserve">internacional@kpnsafety.com</t>
  </si>
  <si>
    <t xml:space="preserve">7862881</t>
  </si>
  <si>
    <t xml:space="preserve">www.kpnsafety.com</t>
  </si>
  <si>
    <t xml:space="preserve">Av. Universitaria 1055 - Lima</t>
  </si>
  <si>
    <t xml:space="preserve">M.G. Induser S.A.C.</t>
  </si>
  <si>
    <t xml:space="preserve">extintores@mginduser.com</t>
  </si>
  <si>
    <t xml:space="preserve">4726494 / 989028080 / 998246407</t>
  </si>
  <si>
    <t xml:space="preserve">www.mginduser.com</t>
  </si>
  <si>
    <t xml:space="preserve">Cl. Manuel Candamo 278 Of.201 Lince - Lima</t>
  </si>
  <si>
    <t xml:space="preserve">Macart E.I.R.L.</t>
  </si>
  <si>
    <t xml:space="preserve">consultas@macart.com.pe</t>
  </si>
  <si>
    <t xml:space="preserve">999058870 / 987702703</t>
  </si>
  <si>
    <t xml:space="preserve">www.macart.com.pe</t>
  </si>
  <si>
    <t xml:space="preserve">Cl. Talladores 108 Urb. El Artesano Ate Vitarte - Lima</t>
  </si>
  <si>
    <t xml:space="preserve">Megaval Industrial S.A.C.</t>
  </si>
  <si>
    <t xml:space="preserve">ventas@megavalindustrial.com</t>
  </si>
  <si>
    <t xml:space="preserve">4234512 / 970706082</t>
  </si>
  <si>
    <t xml:space="preserve">www.megavalindustrial.com</t>
  </si>
  <si>
    <t xml:space="preserve">Av. Paz Soldán 170 Of. 201 San Isidro - Lima</t>
  </si>
  <si>
    <t xml:space="preserve">MINEARC Systems</t>
  </si>
  <si>
    <t xml:space="preserve">roberto.breyer@minearcusa.com</t>
  </si>
  <si>
    <t xml:space="preserve">Directorio SSO 2026, pág. PDF 11, 15, 26. Sin contacto nominal; no inventar decisor. Otros emails: cristel.corimayhua@minearcusa.com.</t>
  </si>
  <si>
    <t xml:space="preserve">(+51) 947992239</t>
  </si>
  <si>
    <t xml:space="preserve">www.minearc.com</t>
  </si>
  <si>
    <t xml:space="preserve">Sebastián Barranca 311 - Arequipa</t>
  </si>
  <si>
    <t xml:space="preserve">Minera Almax S.A.C.</t>
  </si>
  <si>
    <t xml:space="preserve">adm_ventas@almax.pe</t>
  </si>
  <si>
    <t xml:space="preserve">Directorio SSO 2026, pág. PDF 11, 18, 20, 22, 25, 33. Sin contacto nominal; no inventar decisor.</t>
  </si>
  <si>
    <t xml:space="preserve">Detección de gases: equipos y servicios; Iluminación industrial; Medioambiente: productos y servicios; Protección contra incendios; Rescate y salvamento; Tecnología de la información, comunicación y telecomunicaciones</t>
  </si>
  <si>
    <t xml:space="preserve">2604733 / 998750067</t>
  </si>
  <si>
    <t xml:space="preserve">www.almax.pe</t>
  </si>
  <si>
    <t xml:space="preserve">Jr. Tinajones 181 Of. 601 Urb. Tambo de Monterrico, Santiago de Surco - Lima</t>
  </si>
  <si>
    <t xml:space="preserve">MSA del Perú S.A.</t>
  </si>
  <si>
    <t xml:space="preserve">info.pe@msasafety.com</t>
  </si>
  <si>
    <t xml:space="preserve">Directorio SSO 2026, pág. PDF 11, 16, 18, 22. Sin contacto nominal; no inventar decisor.</t>
  </si>
  <si>
    <t xml:space="preserve">Detección de gases: equipos y servicios; Equipos de protección personal; Iluminación industrial; Protección contra incendios</t>
  </si>
  <si>
    <t xml:space="preserve">6180900</t>
  </si>
  <si>
    <t xml:space="preserve">www.pemsasafety.com</t>
  </si>
  <si>
    <t xml:space="preserve">Cl. Los Telares 139 Urb. Vulcano Ate - Lima</t>
  </si>
  <si>
    <t xml:space="preserve">Máxima Protección S.A.C.</t>
  </si>
  <si>
    <t xml:space="preserve">info@maprotecperu.com.pe</t>
  </si>
  <si>
    <t xml:space="preserve">Directorio SSO 2026, pág. PDF 22, 25. Sin contacto nominal; no inventar decisor.</t>
  </si>
  <si>
    <t xml:space="preserve">2655554</t>
  </si>
  <si>
    <t xml:space="preserve">www.maprotecperu.com.pe</t>
  </si>
  <si>
    <t xml:space="preserve">Cl. Las Heras 669 Urb. Mariscal Heras Lince - Lima</t>
  </si>
  <si>
    <t xml:space="preserve">National Enterprise of Security S.A.</t>
  </si>
  <si>
    <t xml:space="preserve">atencionalcliente@neosseguridad.com</t>
  </si>
  <si>
    <t xml:space="preserve">967746891</t>
  </si>
  <si>
    <t xml:space="preserve">www.neosseguridad.com</t>
  </si>
  <si>
    <t xml:space="preserve">Cl. Loma Bella 150 Urb.Prolg. Benavides - Santiago de Surco Lima</t>
  </si>
  <si>
    <t xml:space="preserve">OBL Asociados S.A.C.</t>
  </si>
  <si>
    <t xml:space="preserve">ventas@obl.com.pe</t>
  </si>
  <si>
    <t xml:space="preserve">Directorio SSO 2026, pág. PDF 16, 22. Sin contacto nominal; no inventar decisor.</t>
  </si>
  <si>
    <t xml:space="preserve">Equipos de protección personal; Protección contra incendios</t>
  </si>
  <si>
    <t xml:space="preserve">3550304 / 998261063</t>
  </si>
  <si>
    <t xml:space="preserve">www.obl.com.pe</t>
  </si>
  <si>
    <t xml:space="preserve">Cl. Magisterio 4767 Urb. Covima La Molina - Lima</t>
  </si>
  <si>
    <t xml:space="preserve">Operaciones Verticales S.A.C.</t>
  </si>
  <si>
    <t xml:space="preserve">info@operacionesverticales.com</t>
  </si>
  <si>
    <t xml:space="preserve">948642486</t>
  </si>
  <si>
    <t xml:space="preserve">www.operacionesverticales.com</t>
  </si>
  <si>
    <t xml:space="preserve">Jr. Huancabamba 1028, Breña - Lima</t>
  </si>
  <si>
    <t xml:space="preserve">Oximedic Import S.A.C.</t>
  </si>
  <si>
    <t xml:space="preserve">ventas@oximedicimport.com</t>
  </si>
  <si>
    <t xml:space="preserve">Directorio SSO 2026, pág. PDF 6, 26. Sin contacto nominal; no inventar decisor.</t>
  </si>
  <si>
    <t xml:space="preserve">Ambulancias y servicios de emergencia; Rescate y salvamento</t>
  </si>
  <si>
    <t xml:space="preserve">7749174 / 998168188</t>
  </si>
  <si>
    <t xml:space="preserve">www.oximedicimport.com</t>
  </si>
  <si>
    <t xml:space="preserve">Av. Rafael Escardó 193 Urb. Maranga San Miguel - Lima</t>
  </si>
  <si>
    <t xml:space="preserve">Paramédicos Perú S.A.C.</t>
  </si>
  <si>
    <t xml:space="preserve">ventas@paramedicosperusac.com</t>
  </si>
  <si>
    <t xml:space="preserve">(054) 348191 / 958602017</t>
  </si>
  <si>
    <t xml:space="preserve">www.paramedicosperusac.com</t>
  </si>
  <si>
    <t xml:space="preserve">Urb. Pedro Diez Canseco Mz.V Lt.6 José Luis Bustamante y Rivero - Arequipa</t>
  </si>
  <si>
    <t xml:space="preserve">Pianbatti S.A.C.</t>
  </si>
  <si>
    <t xml:space="preserve">ventas1@pianbatti.com</t>
  </si>
  <si>
    <t xml:space="preserve">Directorio SSO 2026, pág. PDF 16, 22, 27. Sin contacto nominal; no inventar decisor.</t>
  </si>
  <si>
    <t xml:space="preserve">Equipos de protección personal; Protección contra incendios; Ropa industrial</t>
  </si>
  <si>
    <t xml:space="preserve">3306348 / 981527819</t>
  </si>
  <si>
    <t xml:space="preserve">www.pianbatti.com</t>
  </si>
  <si>
    <t xml:space="preserve">Jr. General José De Canterac 348 Jesús María - Lima</t>
  </si>
  <si>
    <t xml:space="preserve">Professional Team Service S.R.L.</t>
  </si>
  <si>
    <t xml:space="preserve">ventas@ptsoluciones.com</t>
  </si>
  <si>
    <t xml:space="preserve">3334584 / 987706864</t>
  </si>
  <si>
    <t xml:space="preserve">www.ptssoluciones.com</t>
  </si>
  <si>
    <t xml:space="preserve">Jr. Varela 1726, Breña - Lima</t>
  </si>
  <si>
    <t xml:space="preserve">Prosegur Gestión de Activos S.A.</t>
  </si>
  <si>
    <t xml:space="preserve">4112911</t>
  </si>
  <si>
    <t xml:space="preserve">www.prosegur.com.pe</t>
  </si>
  <si>
    <t xml:space="preserve">Cl. La Chira 103 - Santiago de Surco Lima</t>
  </si>
  <si>
    <t xml:space="preserve">Protección VIP Electrónica S.A.C.</t>
  </si>
  <si>
    <t xml:space="preserve">gventas@proteccion-vip.com.pe</t>
  </si>
  <si>
    <t xml:space="preserve">945511377</t>
  </si>
  <si>
    <t xml:space="preserve">www.proteccion-vip.com.pe</t>
  </si>
  <si>
    <t xml:space="preserve">Av. Manuel Valle 12, Pachacamac Lima</t>
  </si>
  <si>
    <t xml:space="preserve">Puma De La Torre Extintores E.I.R.L.</t>
  </si>
  <si>
    <t xml:space="preserve">ventas@extintorespdt.com</t>
  </si>
  <si>
    <t xml:space="preserve">(054) 247447 / 959767359 / 959299477</t>
  </si>
  <si>
    <t xml:space="preserve">www.extintorespdt.com</t>
  </si>
  <si>
    <t xml:space="preserve">Cl. Melgar 425, Cercado - Arequipa</t>
  </si>
  <si>
    <t xml:space="preserve">QHSE Energy Services S.A.C.</t>
  </si>
  <si>
    <t xml:space="preserve">informes@qhseenergy.com</t>
  </si>
  <si>
    <t xml:space="preserve">Directorio SSO 2026, pág. PDF 18, 20, 26, 30. Sin contacto nominal; no inventar decisor.</t>
  </si>
  <si>
    <t xml:space="preserve">Higiene industrial, saneamiento y limpieza; Medioambiente: productos y servicios; Rescate y salvamento; Salud ocupacional</t>
  </si>
  <si>
    <t xml:space="preserve">940433819</t>
  </si>
  <si>
    <t xml:space="preserve">www.qhseenergy.com.pe</t>
  </si>
  <si>
    <t xml:space="preserve">Circ. Club Golf Los Incas 202 Of. 801 Santiago de Surco - Lima</t>
  </si>
  <si>
    <t xml:space="preserve">Rotho Blass S.R.L.</t>
  </si>
  <si>
    <t xml:space="preserve">marcela.manrique@rothoblaas.com</t>
  </si>
  <si>
    <t xml:space="preserve">Directorio SSO 2026, pág. PDF 7, 16, 22, 26. Sin contacto nominal; no inventar decisor.</t>
  </si>
  <si>
    <t xml:space="preserve">Andamios y trabajos en altura; Equipos de protección personal; Protección contra incendios; Rescate y salvamento</t>
  </si>
  <si>
    <t xml:space="preserve">969065765</t>
  </si>
  <si>
    <t xml:space="preserve">www.rothoblaas.com</t>
  </si>
  <si>
    <t xml:space="preserve">Saeg Perú S.A.C.</t>
  </si>
  <si>
    <t xml:space="preserve">peru@saeg.com</t>
  </si>
  <si>
    <t xml:space="preserve">Directorio SSO 2026, pág. PDF 5, 12, 22, 36. Sin contacto nominal; no inventar decisor.</t>
  </si>
  <si>
    <t xml:space="preserve">Agua, análisis, tecnología y productos; Electricidad industrial; Protección contra incendios; Ventilación industrial y subterránea</t>
  </si>
  <si>
    <t xml:space="preserve">6413800</t>
  </si>
  <si>
    <t xml:space="preserve">www.saeg.com</t>
  </si>
  <si>
    <t xml:space="preserve">Cl. Andrés Reyes 338 Piso 2 Urb. Jardín - San Isidro - Lima</t>
  </si>
  <si>
    <t xml:space="preserve">Safesi</t>
  </si>
  <si>
    <t xml:space="preserve">info@safesi.com</t>
  </si>
  <si>
    <t xml:space="preserve">Directorio SSO 2026, pág. PDF 7, 10, 11, 16, 26. Sin contacto nominal; no inventar decisor.</t>
  </si>
  <si>
    <t xml:space="preserve">Andamios y trabajos en altura; Capacitación, consultoría y auditoría; Electricidad industrial; Equipos de protección personal; Rescate y salvamento</t>
  </si>
  <si>
    <t xml:space="preserve">951619621</t>
  </si>
  <si>
    <t xml:space="preserve">www.safesi.com</t>
  </si>
  <si>
    <t xml:space="preserve">Av. Las Torres Mz.I Lt.13 Urb. La Alameda de Huachipa - Lurigancho Chosica - Lima</t>
  </si>
  <si>
    <t xml:space="preserve">Scaffold S.A.C.</t>
  </si>
  <si>
    <t xml:space="preserve">proyectos1@scaffold.com.pe</t>
  </si>
  <si>
    <t xml:space="preserve">Directorio SSO 2026, pág. PDF 7. Sin contacto nominal; no inventar decisor.</t>
  </si>
  <si>
    <t xml:space="preserve">(054) 265143 / 969652064</t>
  </si>
  <si>
    <t xml:space="preserve">www.scaffold.com.pe</t>
  </si>
  <si>
    <t xml:space="preserve">Av. Roosevelt 405, Alto Selva Alegre Arequipa</t>
  </si>
  <si>
    <t xml:space="preserve">Scafom-Rux Perú</t>
  </si>
  <si>
    <t xml:space="preserve">peru@scafom-rux.com</t>
  </si>
  <si>
    <t xml:space="preserve">www.scafom-rux.pe</t>
  </si>
  <si>
    <t xml:space="preserve">Cl. Monte Rosa 255 Of. 701 Urb. Chacarilla del Estanque Santiago de Surco - Lima</t>
  </si>
  <si>
    <t xml:space="preserve">Securitas S.A.C.</t>
  </si>
  <si>
    <t xml:space="preserve">6103030</t>
  </si>
  <si>
    <t xml:space="preserve">www.securitasperu.com</t>
  </si>
  <si>
    <t xml:space="preserve">Av. Javier Prado Oeste 757 P. 2-3 Magdalena del Mar - Lima</t>
  </si>
  <si>
    <t xml:space="preserve">Seguridad Contra Incendios Secoin E.I.R.L.</t>
  </si>
  <si>
    <t xml:space="preserve">ventas@secoinperu.com</t>
  </si>
  <si>
    <t xml:space="preserve">(043) 324526 / 998398982 / 998398981</t>
  </si>
  <si>
    <t xml:space="preserve">www.secoinperu.com</t>
  </si>
  <si>
    <t xml:space="preserve">Av. Enrique Meiggs 555, A.H. Miramar Bajo Chimbote - Áncash</t>
  </si>
  <si>
    <t xml:space="preserve">Segurimax Industrias Generales S.A.C.</t>
  </si>
  <si>
    <t xml:space="preserve">ventas@segurimax.com.pe</t>
  </si>
  <si>
    <t xml:space="preserve">913261646</t>
  </si>
  <si>
    <t xml:space="preserve">www.segurimax.com.pe</t>
  </si>
  <si>
    <t xml:space="preserve">Cl. Felipe de Zela 544, Santa Anita - Lima</t>
  </si>
  <si>
    <t xml:space="preserve">Seguroc S.A.</t>
  </si>
  <si>
    <t xml:space="preserve">contacto@seguroc.com.pe</t>
  </si>
  <si>
    <t xml:space="preserve">4632000</t>
  </si>
  <si>
    <t xml:space="preserve">prueba.seguroc.com.pe</t>
  </si>
  <si>
    <t xml:space="preserve">Cl. Islas Hawai 145 - Pueblo Libre Lima</t>
  </si>
  <si>
    <t xml:space="preserve">Sekur Perú S.A.</t>
  </si>
  <si>
    <t xml:space="preserve">distribuidores@sekurperu.com.pe</t>
  </si>
  <si>
    <t xml:space="preserve">Directorio SSO 2026, pág. PDF 11, 17, 18, 22, 26. Sin contacto nominal; no inventar decisor.</t>
  </si>
  <si>
    <t xml:space="preserve">Electricidad industrial; Equipos de protección personal; Iluminación industrial; Protección contra incendios; Rescate y salvamento</t>
  </si>
  <si>
    <t xml:space="preserve">2036530 / 969694602</t>
  </si>
  <si>
    <t xml:space="preserve">www.sekurperu.com.pe</t>
  </si>
  <si>
    <t xml:space="preserve">Cl. Ricardo Angulo 782 Urb. Córpac - San Isidro - Lima</t>
  </si>
  <si>
    <t xml:space="preserve">Servindustria Extintores y Fumigación E.I.R.L</t>
  </si>
  <si>
    <t xml:space="preserve">ventas02@servindustria.com</t>
  </si>
  <si>
    <t xml:space="preserve">5330912 / 5332505 / 998285758</t>
  </si>
  <si>
    <t xml:space="preserve">www.servindustria.com</t>
  </si>
  <si>
    <t xml:space="preserve">Av. Tomás Valle 962 Los Olivos - Lima</t>
  </si>
  <si>
    <t xml:space="preserve">Sky Paint And Clean E.I.R.L.</t>
  </si>
  <si>
    <t xml:space="preserve">ventas@skypase.com</t>
  </si>
  <si>
    <t xml:space="preserve">2815223 / 942723268</t>
  </si>
  <si>
    <t xml:space="preserve">www.skypase.com</t>
  </si>
  <si>
    <t xml:space="preserve">Cl. 3 Mz. G Lt.6 Z.I Parque Industrial Parcela 1 Villa el Salvador - Lima</t>
  </si>
  <si>
    <t xml:space="preserve">Sudamerica Spiro Fire S.A.</t>
  </si>
  <si>
    <t xml:space="preserve">ventas@ssf.com.pe</t>
  </si>
  <si>
    <t xml:space="preserve">5000562 / 948852707</t>
  </si>
  <si>
    <t xml:space="preserve">www.ssf.com.pe</t>
  </si>
  <si>
    <t xml:space="preserve">Av. Argentina 4848 Int. 7 Callao</t>
  </si>
  <si>
    <t xml:space="preserve">Tecnese S.R.L.</t>
  </si>
  <si>
    <t xml:space="preserve">contabilidad@tecnese.pe</t>
  </si>
  <si>
    <t xml:space="preserve">989084420</t>
  </si>
  <si>
    <t xml:space="preserve">www.tecnese.com</t>
  </si>
  <si>
    <t xml:space="preserve">Jr. Darío Valdizán 149 Urb. IngenieríaSan Martín de Porres Lima</t>
  </si>
  <si>
    <t xml:space="preserve">Tecnoandamio S.A.C.</t>
  </si>
  <si>
    <t xml:space="preserve">info@tecnoandamio.com.pe</t>
  </si>
  <si>
    <t xml:space="preserve">936819131</t>
  </si>
  <si>
    <t xml:space="preserve">www.tecnoandamio.com.pe</t>
  </si>
  <si>
    <t xml:space="preserve">Cl. Carlos Gonzales 467 Urb. Maranga San Miguel - Lima</t>
  </si>
  <si>
    <t xml:space="preserve">Tecnología Industrial Fire Center S.A.C.</t>
  </si>
  <si>
    <t xml:space="preserve">jrfirecenter@gmail.com</t>
  </si>
  <si>
    <t xml:space="preserve">5480427 / 981254472</t>
  </si>
  <si>
    <t xml:space="preserve">www.firecenterperu.com</t>
  </si>
  <si>
    <t xml:space="preserve">Av. Puente Piedra 909 Pasaje Los Gramadales, Puente Piedra - Lima</t>
  </si>
  <si>
    <t xml:space="preserve">Todo Extintores Perú</t>
  </si>
  <si>
    <t xml:space="preserve">contacto@todoextintores.pe</t>
  </si>
  <si>
    <t xml:space="preserve">7140888</t>
  </si>
  <si>
    <t xml:space="preserve">www.todoextintores.pe</t>
  </si>
  <si>
    <t xml:space="preserve">Av. Tomás Alva Edison 140 Ate - Lima</t>
  </si>
  <si>
    <t xml:space="preserve">Traffic Engineering &amp; Control Corporation</t>
  </si>
  <si>
    <t xml:space="preserve">info@tec-corp.com.pe</t>
  </si>
  <si>
    <t xml:space="preserve">994630270</t>
  </si>
  <si>
    <t xml:space="preserve">www.tec-corp.com.pe</t>
  </si>
  <si>
    <t xml:space="preserve">Av. Víctor Andrés Belaunde 147 Of. 601 Torre Real 1 - San Isidro - Lima</t>
  </si>
  <si>
    <t xml:space="preserve">TSO Mobile</t>
  </si>
  <si>
    <t xml:space="preserve">marketing@tsomobile.com</t>
  </si>
  <si>
    <t xml:space="preserve">www.tsomobile.com.pe</t>
  </si>
  <si>
    <t xml:space="preserve">Av. República de Panamá 3418 Oficina 290 San Isidro - Lima</t>
  </si>
  <si>
    <t xml:space="preserve">Unispan Perú S.A.</t>
  </si>
  <si>
    <t xml:space="preserve">2641242 / 998222039</t>
  </si>
  <si>
    <t xml:space="preserve">www.unispan.com.pe</t>
  </si>
  <si>
    <t xml:space="preserve">Jr. Los Tulipanes Mz. H Lt. 7B (Unidad C 10857 Lt. A) Urb. Huertos de Santa Genoveva Lurín - Lima</t>
  </si>
  <si>
    <t xml:space="preserve">Vertical Solution</t>
  </si>
  <si>
    <t xml:space="preserve">ventas@verticalsolution.pe</t>
  </si>
  <si>
    <t xml:space="preserve">970404512</t>
  </si>
  <si>
    <t xml:space="preserve">www.verticalsolution.pe</t>
  </si>
  <si>
    <t xml:space="preserve">Cl. Manco Cápac 525 Urb. Armendariz Miraflores - Lima</t>
  </si>
  <si>
    <t xml:space="preserve">VertiSub</t>
  </si>
  <si>
    <t xml:space="preserve">direccion.comercial@vertisubchile.cl</t>
  </si>
  <si>
    <t xml:space="preserve">965354462</t>
  </si>
  <si>
    <t xml:space="preserve">www.vertisub.com</t>
  </si>
  <si>
    <t xml:space="preserve">Av. Producción Nacional 157 Chorrillos - Lima</t>
  </si>
  <si>
    <t xml:space="preserve">Vifima Servitec S.A.C.</t>
  </si>
  <si>
    <t xml:space="preserve">ventas@vifima.com</t>
  </si>
  <si>
    <t xml:space="preserve">2574085 / 982430291</t>
  </si>
  <si>
    <t xml:space="preserve">www.vifima.com</t>
  </si>
  <si>
    <t xml:space="preserve">Av. Guardia Civil Sur Local 03 Mz.I Lt.26 Urb. Villa Alegre Santiago de Surco - Lima</t>
  </si>
  <si>
    <t xml:space="preserve">Vigilancia Andina S.A.</t>
  </si>
  <si>
    <t xml:space="preserve">postmaster@vigiandina.com.pe</t>
  </si>
  <si>
    <t xml:space="preserve">2080070 / 946322854</t>
  </si>
  <si>
    <t xml:space="preserve">www.vigiandina.com</t>
  </si>
  <si>
    <t xml:space="preserve">Av. Nicolás Arriola 577 Urb. Santa Catalina - La Victoria Lima</t>
  </si>
  <si>
    <t xml:space="preserve">WSH Clínica Ocupacional</t>
  </si>
  <si>
    <t xml:space="preserve">info@wsh.pe</t>
  </si>
  <si>
    <t xml:space="preserve">955289697 / 908823574</t>
  </si>
  <si>
    <t xml:space="preserve">www.wsh.pe</t>
  </si>
  <si>
    <t xml:space="preserve">Cl. Francesco Redi 100, San Borja Lima</t>
  </si>
  <si>
    <t xml:space="preserve">4 Zeta S.A.C.</t>
  </si>
  <si>
    <t xml:space="preserve">ventas@4-zeta.com</t>
  </si>
  <si>
    <t xml:space="preserve">Directorio SSO 2026, pág. PDF 14, 26. Sin contacto nominal; no inventar decisor.</t>
  </si>
  <si>
    <t xml:space="preserve">3261548</t>
  </si>
  <si>
    <t xml:space="preserve">www.4-zeta.com</t>
  </si>
  <si>
    <t xml:space="preserve">Av. Separadora Industrial 800 Santa Anita - Lima</t>
  </si>
  <si>
    <t xml:space="preserve">7K Safety S.A.C.</t>
  </si>
  <si>
    <t xml:space="preserve">ventas@7ksafety.com</t>
  </si>
  <si>
    <t xml:space="preserve">Directorio SSO 2026, pág. PDF 14. Sin contacto nominal; no inventar decisor.</t>
  </si>
  <si>
    <t xml:space="preserve">Equipos de protección personal</t>
  </si>
  <si>
    <t xml:space="preserve">964975054</t>
  </si>
  <si>
    <t xml:space="preserve">www.7k.com.pe</t>
  </si>
  <si>
    <t xml:space="preserve">Av. Javier Prado Este 6841, La Molina Lima</t>
  </si>
  <si>
    <t xml:space="preserve">A.L.S. Investment</t>
  </si>
  <si>
    <t xml:space="preserve">ventas@alsperu.com</t>
  </si>
  <si>
    <t xml:space="preserve">991145881</t>
  </si>
  <si>
    <t xml:space="preserve">www.alsperu.com</t>
  </si>
  <si>
    <t xml:space="preserve">Av. Javier Prado Este 5268 Int.306 La Molina - Lima</t>
  </si>
  <si>
    <t xml:space="preserve">AIR PRODUCTS Perú S.A.</t>
  </si>
  <si>
    <t xml:space="preserve">cscperu@airproducts.com</t>
  </si>
  <si>
    <t xml:space="preserve">Directorio SSO 2026, pág. PDF 11, 14, 26, 32. Sin contacto nominal; no inventar decisor.</t>
  </si>
  <si>
    <t xml:space="preserve">Detección de gases: equipos y servicios; Equipos de protección personal; Ropa industrial; Soldadura industrial</t>
  </si>
  <si>
    <t xml:space="preserve">080170670</t>
  </si>
  <si>
    <t xml:space="preserve">www.airproducts.com.pe</t>
  </si>
  <si>
    <t xml:space="preserve">Av. El Pacífico 401-423, Independencia - Lima</t>
  </si>
  <si>
    <t xml:space="preserve">Altoke Industrias S.A.C. - Altokecorp</t>
  </si>
  <si>
    <t xml:space="preserve">ventas@altokecorp.com</t>
  </si>
  <si>
    <t xml:space="preserve">Directorio SSO 2026, pág. PDF 14, 17, 26. Sin contacto nominal; no inventar decisor.</t>
  </si>
  <si>
    <t xml:space="preserve">Equipos de protección personal; Higiene industrial, saneamiento y limpieza; Ropa industrial</t>
  </si>
  <si>
    <t xml:space="preserve">947015724</t>
  </si>
  <si>
    <t xml:space="preserve">www.altokecorp.com</t>
  </si>
  <si>
    <t xml:space="preserve">Cl. Yanacoto 153, San Miguel - Lima</t>
  </si>
  <si>
    <t xml:space="preserve">Alturas Seguridad Industrial S.A.C.</t>
  </si>
  <si>
    <t xml:space="preserve">ventas@alturas.pe</t>
  </si>
  <si>
    <t xml:space="preserve">2643713 / 979141010</t>
  </si>
  <si>
    <t xml:space="preserve">www.alturas.pe</t>
  </si>
  <si>
    <t xml:space="preserve">Av. Malecón 250 Urb. Salaverry Magdalena del Mar - Lima</t>
  </si>
  <si>
    <t xml:space="preserve">Ambar Age S.A.C.</t>
  </si>
  <si>
    <t xml:space="preserve">ventas@ambarprotection.com</t>
  </si>
  <si>
    <t xml:space="preserve">999690257 / 938245595</t>
  </si>
  <si>
    <t xml:space="preserve">www.ambarprotection.com</t>
  </si>
  <si>
    <t xml:space="preserve">Av. República de Argentina 339 Urb. Lima Industrial (Pabellón K1 Puesto 13 C.C. La Bellota), - Lima</t>
  </si>
  <si>
    <t xml:space="preserve">Aproin Perú S.A.C.</t>
  </si>
  <si>
    <t xml:space="preserve">ventas@aproinperu.com</t>
  </si>
  <si>
    <t xml:space="preserve">991301055</t>
  </si>
  <si>
    <t xml:space="preserve">www.aproinperu.com</t>
  </si>
  <si>
    <t xml:space="preserve">Cl. Los Tulipanes Mz.A Lt.59 Urb. Filadelfia Etapa II - San Martín de Porres - Lima</t>
  </si>
  <si>
    <t xml:space="preserve">Aries del Perú S.A.C.</t>
  </si>
  <si>
    <t xml:space="preserve">ventas@ariesdelperu.com</t>
  </si>
  <si>
    <t xml:space="preserve">4218999 / 998987484 / 998363697</t>
  </si>
  <si>
    <t xml:space="preserve">www.ariesdelperu.com</t>
  </si>
  <si>
    <t xml:space="preserve">Jr. Soledad 457 Piso 2, Lince - Lima</t>
  </si>
  <si>
    <t xml:space="preserve">Arseguin Perú S.A.C.</t>
  </si>
  <si>
    <t xml:space="preserve">servicioalcliente@arseguinperu.com</t>
  </si>
  <si>
    <t xml:space="preserve">Directorio SSO 2026, pág. PDF 14, 24, 26. Sin contacto nominal; no inventar decisor.</t>
  </si>
  <si>
    <t xml:space="preserve">Equipos de protección personal; Reflectivos y señalización; Ropa industrial</t>
  </si>
  <si>
    <t xml:space="preserve">6351444 / (+51) 955327790 / (+51) 947817438</t>
  </si>
  <si>
    <t xml:space="preserve">www.arseguinperu.com</t>
  </si>
  <si>
    <t xml:space="preserve">Cl. Batería Maypú 568 Urb. Santa Catalina, La Victoria - Lima</t>
  </si>
  <si>
    <t xml:space="preserve">Belevan Representaciones y Servicios S.A.C.</t>
  </si>
  <si>
    <t xml:space="preserve">ventas@berssac.com</t>
  </si>
  <si>
    <t xml:space="preserve">Directorio SSO 2026, pág. PDF 24. Sin contacto nominal; no inventar decisor.</t>
  </si>
  <si>
    <t xml:space="preserve">Reflectivos y señalización</t>
  </si>
  <si>
    <t xml:space="preserve">954711617</t>
  </si>
  <si>
    <t xml:space="preserve">Cl. José María Arguedas 257 P.3 Urb. Los Precursores - Santiago de Surco Lima</t>
  </si>
  <si>
    <t xml:space="preserve">Beltex S.A.C.</t>
  </si>
  <si>
    <t xml:space="preserve">fportilla@beltex.pe</t>
  </si>
  <si>
    <t xml:space="preserve">Directorio SSO 2026, pág. PDF 26. Sin contacto nominal; no inventar decisor.</t>
  </si>
  <si>
    <t xml:space="preserve">Ropa industrial</t>
  </si>
  <si>
    <t xml:space="preserve">7150066 / 907687523</t>
  </si>
  <si>
    <t xml:space="preserve">www.beltex.pe</t>
  </si>
  <si>
    <t xml:space="preserve">Av. Mariscal Santa Cruz 208 Piso 3 Urb. El Pino, San Luis - Lima</t>
  </si>
  <si>
    <t xml:space="preserve">C &amp; M Señalización y Diseño S.A.C.</t>
  </si>
  <si>
    <t xml:space="preserve">ventas@cymseguridad.com</t>
  </si>
  <si>
    <t xml:space="preserve">3888959 / 933908233</t>
  </si>
  <si>
    <t xml:space="preserve">www.cymseguridad.com</t>
  </si>
  <si>
    <t xml:space="preserve">Mz. E Lt. 9, A.H. El Arenal Alto San Juan de Lurigancho - Lima</t>
  </si>
  <si>
    <t xml:space="preserve">Casa Andes E.I.R.L.</t>
  </si>
  <si>
    <t xml:space="preserve">casandes_huaraz@hotmail.com</t>
  </si>
  <si>
    <t xml:space="preserve">Directorio SSO 2026, pág. PDF 14, 21, 24, 25, 26. Sin contacto nominal; no inventar decisor.</t>
  </si>
  <si>
    <t xml:space="preserve">Equipos de protección personal; Protección contra incendios; Reflectivos y señalización; Rescate y salvamento; Ropa industrial</t>
  </si>
  <si>
    <t xml:space="preserve">943611902</t>
  </si>
  <si>
    <t xml:space="preserve">Cl. Federico Sal y Rosas 722A Urb. Soledad Bajo, Huaraz - Áncash</t>
  </si>
  <si>
    <t xml:space="preserve">Clute S.R.L.</t>
  </si>
  <si>
    <t xml:space="preserve">distribuidores@clute.com.pe</t>
  </si>
  <si>
    <t xml:space="preserve">2246680 / 2036530 / 946179917</t>
  </si>
  <si>
    <t xml:space="preserve">www.clute.com.pe</t>
  </si>
  <si>
    <t xml:space="preserve">Cl. Ricardo Angulo 782 Urb. Córpac San Isidro - Lima</t>
  </si>
  <si>
    <t xml:space="preserve">Colortex Perú S.A.</t>
  </si>
  <si>
    <t xml:space="preserve">marketing@colortexperu.com.pe</t>
  </si>
  <si>
    <t xml:space="preserve">5002803 / 934913775</t>
  </si>
  <si>
    <t xml:space="preserve">www.colortexperu.com.pe</t>
  </si>
  <si>
    <t xml:space="preserve">Av. Las Lomas 650 - San Juan de Lurigancho - Lima</t>
  </si>
  <si>
    <t xml:space="preserve">Confecciones Atlanta S.R.L.</t>
  </si>
  <si>
    <t xml:space="preserve">4587777 / 934800385</t>
  </si>
  <si>
    <t xml:space="preserve">www.confeccionesatlanta.com</t>
  </si>
  <si>
    <t xml:space="preserve">Av. Las Lomas 780 Lt. 1R Urb. Zárate - San Juan de Lurigancho Lima</t>
  </si>
  <si>
    <t xml:space="preserve">Delta Plus Perú S.A.C.</t>
  </si>
  <si>
    <t xml:space="preserve">deltaplusperu@deltaplus.eu</t>
  </si>
  <si>
    <t xml:space="preserve">Directorio SSO 2026, pág. PDF 14, 26, 32. Sin contacto nominal; no inventar decisor.</t>
  </si>
  <si>
    <t xml:space="preserve">Equipos de protección personal; Ropa industrial; Soldadura industrial</t>
  </si>
  <si>
    <t xml:space="preserve">2083380</t>
  </si>
  <si>
    <t xml:space="preserve">www.deltaplus.eu</t>
  </si>
  <si>
    <t xml:space="preserve">Av. Los Eucaliptos 371 Urb. Santa Genoveva, Lurín - Lima</t>
  </si>
  <si>
    <t xml:space="preserve">Diajo S.A.C.</t>
  </si>
  <si>
    <t xml:space="preserve">rmendoza@diajosac.com</t>
  </si>
  <si>
    <t xml:space="preserve">Directorio SSO 2026, pág. PDF 15, 32. Sin contacto nominal; no inventar decisor. Otros emails: jmercado@diajosac.com.</t>
  </si>
  <si>
    <t xml:space="preserve">Equipos de protección personal; Soldadura industrial</t>
  </si>
  <si>
    <t xml:space="preserve">6234526 / 987246440 / 949078288</t>
  </si>
  <si>
    <t xml:space="preserve">www.diajosac.com</t>
  </si>
  <si>
    <t xml:space="preserve">Av. Mariscal Ramón Castilla Mz.L Lt. 30. Urb La Capullana Santiago de Surco - Lima</t>
  </si>
  <si>
    <t xml:space="preserve">EFC S.A.C.</t>
  </si>
  <si>
    <t xml:space="preserve">marketing@efc.com.pe</t>
  </si>
  <si>
    <t xml:space="preserve">Directorio SSO 2026, pág. PDF 7, 15, 17, 18. Sin contacto nominal; no inventar decisor.</t>
  </si>
  <si>
    <t xml:space="preserve">Campamentos e instalaciones; Equipos de protección personal; Higiene industrial, saneamiento y limpieza; Iluminación industrial</t>
  </si>
  <si>
    <t xml:space="preserve">2136700</t>
  </si>
  <si>
    <t xml:space="preserve">www.efc.com.pe</t>
  </si>
  <si>
    <t xml:space="preserve">Av. República de Panamá 5364 Surquillo - Lima</t>
  </si>
  <si>
    <t xml:space="preserve">Empresas Comerciales S.A. - Bata industrials</t>
  </si>
  <si>
    <t xml:space="preserve">ventasindustrials.peru@bata.com</t>
  </si>
  <si>
    <t xml:space="preserve">Directorio SSO 2026, pág. PDF 15. Sin contacto nominal; no inventar decisor.</t>
  </si>
  <si>
    <t xml:space="preserve">4888300</t>
  </si>
  <si>
    <t xml:space="preserve">www.bataindustrials.pe</t>
  </si>
  <si>
    <t xml:space="preserve">Av. Ricardo Palma 341 - Miraflores Lima Anx.606</t>
  </si>
  <si>
    <t xml:space="preserve">EPIN S.A.C.</t>
  </si>
  <si>
    <t xml:space="preserve">administracion@epinsac.com</t>
  </si>
  <si>
    <t xml:space="preserve">(043) 350280 / 994667645</t>
  </si>
  <si>
    <t xml:space="preserve">www.epinsac.com</t>
  </si>
  <si>
    <t xml:space="preserve">Av. Camino Real Mz.J3 Lt.1 P.J. Miraflores Alto - Chimbote Áncash</t>
  </si>
  <si>
    <t xml:space="preserve">Equipos Proin S.A.C.</t>
  </si>
  <si>
    <t xml:space="preserve">ventas@equiposproin.pe</t>
  </si>
  <si>
    <t xml:space="preserve">Directorio SSO 2026, pág. PDF 15, 26. Sin contacto nominal; no inventar decisor.</t>
  </si>
  <si>
    <t xml:space="preserve">932890671</t>
  </si>
  <si>
    <t xml:space="preserve">www.equiposproin.pe</t>
  </si>
  <si>
    <t xml:space="preserve">Av. Arequipa 1345 Of. 204 Urb. Santa Beatriz - Cercado de Lima - Lima</t>
  </si>
  <si>
    <t xml:space="preserve">Exige Industrial S.A.C.</t>
  </si>
  <si>
    <t xml:space="preserve">ventas@exigeindustrial.com</t>
  </si>
  <si>
    <t xml:space="preserve">993766468</t>
  </si>
  <si>
    <t xml:space="preserve">www.exigeindustrial.com</t>
  </si>
  <si>
    <t xml:space="preserve">Cl. Los Talladores 275 Urb. Los Artesanos Ate - Lima</t>
  </si>
  <si>
    <t xml:space="preserve">Farm Import S.A.</t>
  </si>
  <si>
    <t xml:space="preserve">contacto@farmimport.pe</t>
  </si>
  <si>
    <t xml:space="preserve">294465 / 950807250</t>
  </si>
  <si>
    <t xml:space="preserve">www.farmimport.pe</t>
  </si>
  <si>
    <t xml:space="preserve">Cl. Andrés Sas 626, Urb. Primavera Trujillo - La Libertad</t>
  </si>
  <si>
    <t xml:space="preserve">Ferretería La Primavera S.A.</t>
  </si>
  <si>
    <t xml:space="preserve">7172121 / 4770466</t>
  </si>
  <si>
    <t xml:space="preserve">www.laprimavera.com.pe</t>
  </si>
  <si>
    <t xml:space="preserve">Av. Almirante Miguel Grau 563 Barranco - Lima</t>
  </si>
  <si>
    <t xml:space="preserve">Fuzhou Boyuan Textiles Co., Lt.d.</t>
  </si>
  <si>
    <t xml:space="preserve">China</t>
  </si>
  <si>
    <t xml:space="preserve">info@boyuangloves.com</t>
  </si>
  <si>
    <t xml:space="preserve">+86 591 8773 7235</t>
  </si>
  <si>
    <t xml:space="preserve">www.boyuangloves.com</t>
  </si>
  <si>
    <t xml:space="preserve">Unit 1711, Hongxing Building 2 Number 200 Pushang RD, Fuzhou Fujian - China</t>
  </si>
  <si>
    <t xml:space="preserve">Fuzhou</t>
  </si>
  <si>
    <t xml:space="preserve">Guantes &amp; Guantes S.A.</t>
  </si>
  <si>
    <t xml:space="preserve">ventas@guantesyguantes.com.pe</t>
  </si>
  <si>
    <t xml:space="preserve">3266009 / 3265960 / 3264469 / 988570724</t>
  </si>
  <si>
    <t xml:space="preserve">www.guantesyguantes.com.pe</t>
  </si>
  <si>
    <t xml:space="preserve">Jr. Mcal. Andrés de Santa Cruz 325 Urb. El Pino - San Luis - Lima</t>
  </si>
  <si>
    <t xml:space="preserve">Guillermo Romero S.A.C. - AGRA S.A.C.</t>
  </si>
  <si>
    <t xml:space="preserve">ventas@grupoagra.com</t>
  </si>
  <si>
    <t xml:space="preserve">943862542</t>
  </si>
  <si>
    <t xml:space="preserve">www.grupoagra.com</t>
  </si>
  <si>
    <t xml:space="preserve">Av. Horacio Urteaga 1156 Of. 201 Jesús María - Lima</t>
  </si>
  <si>
    <t xml:space="preserve">IMARK Soluciones Integrales S.A.C.</t>
  </si>
  <si>
    <t xml:space="preserve">ventas@imark.pe</t>
  </si>
  <si>
    <t xml:space="preserve">Directorio SSO 2026, pág. PDF 15, 17. Sin contacto nominal; no inventar decisor.</t>
  </si>
  <si>
    <t xml:space="preserve">Equipos de protección personal; Higiene industrial, saneamiento y limpieza</t>
  </si>
  <si>
    <t xml:space="preserve">6239760 / 955197226</t>
  </si>
  <si>
    <t xml:space="preserve">www.imark.pe</t>
  </si>
  <si>
    <t xml:space="preserve">Cl. El Condado 238, Urb. Portada del Sol, La Molina - Lima</t>
  </si>
  <si>
    <t xml:space="preserve">IMPEXAPERU S.A.C.</t>
  </si>
  <si>
    <t xml:space="preserve">ventas@impexaperu.com.pe</t>
  </si>
  <si>
    <t xml:space="preserve">6060947 / 925927165</t>
  </si>
  <si>
    <t xml:space="preserve">www.impexaperu.com.pe</t>
  </si>
  <si>
    <t xml:space="preserve">UCV 134 Lt.8 Huaycán Zona I Ate - Lima</t>
  </si>
  <si>
    <t xml:space="preserve">Importaciones Cárdenas S.R.L.</t>
  </si>
  <si>
    <t xml:space="preserve">ventas@imrecard.com</t>
  </si>
  <si>
    <t xml:space="preserve">Directorio SSO 2026, pág. PDF 15, 17, 26. Sin contacto nominal; no inventar decisor.</t>
  </si>
  <si>
    <t xml:space="preserve">6243435</t>
  </si>
  <si>
    <t xml:space="preserve">www.imrecard.com</t>
  </si>
  <si>
    <t xml:space="preserve">Cl. Las Orquídeas 206 Urb. Primavera Yanahuara - Arequipa</t>
  </si>
  <si>
    <t xml:space="preserve">Indecaucho S.A.</t>
  </si>
  <si>
    <t xml:space="preserve">ventas@indecaucho.com.pe</t>
  </si>
  <si>
    <t xml:space="preserve">5280859 / 5289593</t>
  </si>
  <si>
    <t xml:space="preserve">www.indecaucho.com.pe</t>
  </si>
  <si>
    <t xml:space="preserve">Jr. El Sodio 266 Urb. Industrial Infantas Los Olivos - Lima</t>
  </si>
  <si>
    <t xml:space="preserve">Industria de Seguridad El Progreso S.A.C.</t>
  </si>
  <si>
    <t xml:space="preserve">ventas@seguridadelprogreso.com</t>
  </si>
  <si>
    <t xml:space="preserve">Directorio SSO 2026, pág. PDF 6, 15, 24, 25, 27, 32. Sin contacto nominal; no inventar decisor.</t>
  </si>
  <si>
    <t xml:space="preserve">Andamios y trabajos en altura; Equipos de protección personal; Reflectivos y señalización; Rescate y salvamento; Ropa industrial; Soldadura industrial</t>
  </si>
  <si>
    <t xml:space="preserve">(+51) 7193886 / 996410817</t>
  </si>
  <si>
    <t xml:space="preserve">www.seguridadelprogreso.com</t>
  </si>
  <si>
    <t xml:space="preserve">Jr. Raúl Porras Barrenechea 1954 Cercado de Lima - Lima</t>
  </si>
  <si>
    <t xml:space="preserve">Industrias Manrique S.A.C.</t>
  </si>
  <si>
    <t xml:space="preserve">ventas@grupomanrique.com</t>
  </si>
  <si>
    <t xml:space="preserve">6344747 / 982052829</t>
  </si>
  <si>
    <t xml:space="preserve">www.im.com.pe</t>
  </si>
  <si>
    <t xml:space="preserve">Cl. Los Tornos 259 Urb. El Naranjal San Martín de Porres - Lima</t>
  </si>
  <si>
    <t xml:space="preserve">Industrias Rhino S.A.C.</t>
  </si>
  <si>
    <t xml:space="preserve">ventas@industriasrhino.com</t>
  </si>
  <si>
    <t xml:space="preserve">7390856 / 991322768</t>
  </si>
  <si>
    <t xml:space="preserve">www.industriasrhino.com</t>
  </si>
  <si>
    <t xml:space="preserve">A.V. Hubert Lanssier Mz.C Lt. 37 Lurigancho, Chosica - Lima</t>
  </si>
  <si>
    <t xml:space="preserve">J.I. General Investments S.A.C.</t>
  </si>
  <si>
    <t xml:space="preserve">ventas@jigeneral.com</t>
  </si>
  <si>
    <t xml:space="preserve">Directorio SSO 2026, pág. PDF 9, 15, 17, 24, 27, 30. Sin contacto nominal; no inventar decisor.</t>
  </si>
  <si>
    <t xml:space="preserve">Capacitación, consultoría y auditoría; Equipos de protección personal; Higiene industrial, saneamiento y limpieza; Reflectivos y señalización; Ropa industrial; Salud ocupacional</t>
  </si>
  <si>
    <t xml:space="preserve">(+51) 926875832</t>
  </si>
  <si>
    <t xml:space="preserve">www.jigeneral.com</t>
  </si>
  <si>
    <t xml:space="preserve">Cl. Ulises Mz. 168 Lt. 2 AA.HH. San Martín de Porres, Los Olivos - Lima</t>
  </si>
  <si>
    <t xml:space="preserve">Jepesa Representaciones S.R.L.</t>
  </si>
  <si>
    <t xml:space="preserve">ventas@jepesa.com</t>
  </si>
  <si>
    <t xml:space="preserve">Directorio SSO 2026, pág. PDF 7, 15, 18, 25, 27, 32. Sin contacto nominal; no inventar decisor.</t>
  </si>
  <si>
    <t xml:space="preserve">Campamentos e instalaciones; Equipos de protección personal; Higiene industrial, saneamiento y limpieza; Reflectivos y señalización; Ropa industrial; Soldadura industrial</t>
  </si>
  <si>
    <t xml:space="preserve">5617466 / 908899613</t>
  </si>
  <si>
    <t xml:space="preserve">www.jepesa.com</t>
  </si>
  <si>
    <t xml:space="preserve">Cl. Los Tucanes 153 Urb. San José Bellavista - Callao</t>
  </si>
  <si>
    <t xml:space="preserve">Kalpe S.A.C.</t>
  </si>
  <si>
    <t xml:space="preserve">atencionalcliente@kalpeperu.com</t>
  </si>
  <si>
    <t xml:space="preserve">Directorio SSO 2026, pág. PDF 27. Sin contacto nominal; no inventar decisor.</t>
  </si>
  <si>
    <t xml:space="preserve">5373603 / 933123715</t>
  </si>
  <si>
    <t xml:space="preserve">www.kalpeperu.com</t>
  </si>
  <si>
    <t xml:space="preserve">Av. Estado de Israel Mz. Q1 Lt. 21 Asociación El Álamo Vipol - Comas - Lima</t>
  </si>
  <si>
    <t xml:space="preserve">Karly's Solutions S.A.C.</t>
  </si>
  <si>
    <t xml:space="preserve">ventas@karlyseguridad.com.pe</t>
  </si>
  <si>
    <t xml:space="preserve">986362494</t>
  </si>
  <si>
    <t xml:space="preserve">www.karlyseguridad.com.pe</t>
  </si>
  <si>
    <t xml:space="preserve">Av. Oscar R. Benavides 248 Int.15 Cercado de Lima - Lima</t>
  </si>
  <si>
    <t xml:space="preserve">Kelvin Inversiones S.A.C.</t>
  </si>
  <si>
    <t xml:space="preserve">info@kinversiones.com</t>
  </si>
  <si>
    <t xml:space="preserve">Directorio SSO 2026, pág. PDF 15, 25. Sin contacto nominal; no inventar decisor.</t>
  </si>
  <si>
    <t xml:space="preserve">Equipos de protección personal; Reflectivos y señalización</t>
  </si>
  <si>
    <t xml:space="preserve">2340119 / 990189724</t>
  </si>
  <si>
    <t xml:space="preserve">www.kinversiones.com</t>
  </si>
  <si>
    <t xml:space="preserve">Av. 28 de Julio 465 Of. 104 Miraflores - Lima</t>
  </si>
  <si>
    <t xml:space="preserve">Kimberly- Clark Perú S.R.L.</t>
  </si>
  <si>
    <t xml:space="preserve">kcplao@kcc.com</t>
  </si>
  <si>
    <t xml:space="preserve">0800-00-466</t>
  </si>
  <si>
    <t xml:space="preserve">www.kimberly-clark.com</t>
  </si>
  <si>
    <t xml:space="preserve">Av. Paseo de la República 5895 Of. 301 Miraflores - Lima</t>
  </si>
  <si>
    <t xml:space="preserve">Libus Perú S.A.C.</t>
  </si>
  <si>
    <t xml:space="preserve">comercial@libus.pe</t>
  </si>
  <si>
    <t xml:space="preserve">948233800</t>
  </si>
  <si>
    <t xml:space="preserve">www.libus.pe</t>
  </si>
  <si>
    <t xml:space="preserve">Av. José Larco 880 Int.6, Miraflores Lima</t>
  </si>
  <si>
    <t xml:space="preserve">M&amp;S Seguridad S.R.L.</t>
  </si>
  <si>
    <t xml:space="preserve">ventas@msseguridad.com.pe</t>
  </si>
  <si>
    <t xml:space="preserve">5238973 / 989100326 / 990991243</t>
  </si>
  <si>
    <t xml:space="preserve">www.msseguridad.com</t>
  </si>
  <si>
    <t xml:space="preserve">Jr. Huántar 5092 Urb. Parque Naranjal Los Olivos - Lima</t>
  </si>
  <si>
    <t xml:space="preserve">Masiljo Perú S.A.C.</t>
  </si>
  <si>
    <t xml:space="preserve">ventascorporativas@masiljoperu.com</t>
  </si>
  <si>
    <t xml:space="preserve">Directorio SSO 2026, pág. PDF 15, 27. Sin contacto nominal; no inventar decisor.</t>
  </si>
  <si>
    <t xml:space="preserve">4580974</t>
  </si>
  <si>
    <t xml:space="preserve">www.masiljoperu.com</t>
  </si>
  <si>
    <t xml:space="preserve">Jr. Los Ebanos 414 Urb. San Hilarión San Juan de Lurigancho - Lima</t>
  </si>
  <si>
    <t xml:space="preserve">Mercado Industrial Peruano S.A.</t>
  </si>
  <si>
    <t xml:space="preserve">ventas@mipersa.pe</t>
  </si>
  <si>
    <t xml:space="preserve">Directorio SSO 2026, pág. PDF 15, 32. Sin contacto nominal; no inventar decisor.</t>
  </si>
  <si>
    <t xml:space="preserve">7176349 / 981486614</t>
  </si>
  <si>
    <t xml:space="preserve">www.mipersa.pe</t>
  </si>
  <si>
    <t xml:space="preserve">Av. Oscar R. Benavides 5071 - Callao</t>
  </si>
  <si>
    <t xml:space="preserve">Minex Products S.R.L.</t>
  </si>
  <si>
    <t xml:space="preserve">minexproducts@minexproducts.com</t>
  </si>
  <si>
    <t xml:space="preserve">Directorio SSO 2026, pág. PDF 18, 27. Sin contacto nominal; no inventar decisor.</t>
  </si>
  <si>
    <t xml:space="preserve">Iluminación industrial; Ropa industrial</t>
  </si>
  <si>
    <t xml:space="preserve">6201272 / 989593417 / 991923687</t>
  </si>
  <si>
    <t xml:space="preserve">www.minexproducts.com</t>
  </si>
  <si>
    <t xml:space="preserve">Av. 28 de Julio 745 Urb. Leuro Miraflores - Lima</t>
  </si>
  <si>
    <t xml:space="preserve">Mon Vertical S.A.C.</t>
  </si>
  <si>
    <t xml:space="preserve">info@mv.pe</t>
  </si>
  <si>
    <t xml:space="preserve">Directorio SSO 2026, pág. PDF 16. Sin contacto nominal; no inventar decisor.</t>
  </si>
  <si>
    <t xml:space="preserve">7390222 / 989104352</t>
  </si>
  <si>
    <t xml:space="preserve">www.monvertical.pe</t>
  </si>
  <si>
    <t xml:space="preserve">Jr. General Murillo Mz.O1 Lt.7 Urb. Parcelación Semi Rústica La Campiña, Chorrillos - Lima</t>
  </si>
  <si>
    <t xml:space="preserve">Pathrosrep S.A.C.</t>
  </si>
  <si>
    <t xml:space="preserve">pathros@pathrosrep.com</t>
  </si>
  <si>
    <t xml:space="preserve">Directorio SSO 2026, pág. PDF 16, 18, 19. Sin contacto nominal; no inventar decisor.</t>
  </si>
  <si>
    <t xml:space="preserve">Equipos de protección personal; Iluminación industrial; Máquinas, herramientas y repuestos</t>
  </si>
  <si>
    <t xml:space="preserve">2413023</t>
  </si>
  <si>
    <t xml:space="preserve">www.pathrosrep.com</t>
  </si>
  <si>
    <t xml:space="preserve">Cl. Elías Aguirre 180 - Miraflores - Lima</t>
  </si>
  <si>
    <t xml:space="preserve">Perú Forus S.A.</t>
  </si>
  <si>
    <t xml:space="preserve">info@forusperu.com</t>
  </si>
  <si>
    <t xml:space="preserve">Directorio SSO 2026, pág. PDF 16, 27. Sin contacto nominal; no inventar decisor.</t>
  </si>
  <si>
    <t xml:space="preserve">6480000</t>
  </si>
  <si>
    <t xml:space="preserve">www.forusperu.com</t>
  </si>
  <si>
    <t xml:space="preserve">Cl. Amador Merino Reyna 267 Of. 1101 Edf. Parque Plaza - San Isidro - Lima</t>
  </si>
  <si>
    <t xml:space="preserve">PLESA Plan Enterprise S.A.</t>
  </si>
  <si>
    <t xml:space="preserve">ventas@plesa-peru.com</t>
  </si>
  <si>
    <t xml:space="preserve">3304488 / 3304422</t>
  </si>
  <si>
    <t xml:space="preserve">www.plesa-peru.com</t>
  </si>
  <si>
    <t xml:space="preserve">Cl. José Díaz 426 Urb. Sta. Beatriz Cercado de Lima - Lima</t>
  </si>
  <si>
    <t xml:space="preserve">Poli Shoes S.A.C.</t>
  </si>
  <si>
    <t xml:space="preserve">3260941 / 998231296</t>
  </si>
  <si>
    <t xml:space="preserve">www.polishoes.com.pe</t>
  </si>
  <si>
    <t xml:space="preserve">Cl. Santa Lucía 333 Urb. Industrial La Aurora - Ate Vitarte - Lima</t>
  </si>
  <si>
    <t xml:space="preserve">Proarseg Perú S.A.C.</t>
  </si>
  <si>
    <t xml:space="preserve">contacto@proarsegperu.com</t>
  </si>
  <si>
    <t xml:space="preserve">Directorio SSO 2026, pág. PDF 25, 27. Sin contacto nominal; no inventar decisor.</t>
  </si>
  <si>
    <t xml:space="preserve">Reflectivos y señalización; Ropa industrial</t>
  </si>
  <si>
    <t xml:space="preserve">923420596 / 922844051</t>
  </si>
  <si>
    <t xml:space="preserve">www.proarsegperu.com</t>
  </si>
  <si>
    <t xml:space="preserve">Cl. Trinidad Morán 263 Urb. El Retablo Etp. I - Comas - Lima</t>
  </si>
  <si>
    <t xml:space="preserve">Prosac S.A.</t>
  </si>
  <si>
    <t xml:space="preserve">postmaster@prosac.com.pe</t>
  </si>
  <si>
    <t xml:space="preserve">Directorio SSO 2026, pág. PDF 16, 18, 25. Sin contacto nominal; no inventar decisor.</t>
  </si>
  <si>
    <t xml:space="preserve">Equipos de protección personal; Higiene industrial, saneamiento y limpieza; Reflectivos y señalización</t>
  </si>
  <si>
    <t xml:space="preserve">6171212</t>
  </si>
  <si>
    <t xml:space="preserve">www.prosac.com.pe</t>
  </si>
  <si>
    <t xml:space="preserve">Cl. San Ignacio de Loyola 271 Miraflores - Lima</t>
  </si>
  <si>
    <t xml:space="preserve">Protech del Perú S.A.C.</t>
  </si>
  <si>
    <t xml:space="preserve">ventas@protechdelperu.com</t>
  </si>
  <si>
    <t xml:space="preserve">Directorio SSO 2026, pág. PDF 16, 22, 25, 26, 27. Sin contacto nominal; no inventar decisor.</t>
  </si>
  <si>
    <t xml:space="preserve">4640959 / 959159222 / 981132351 / 981132338</t>
  </si>
  <si>
    <t xml:space="preserve">www.protechdelperu.com</t>
  </si>
  <si>
    <t xml:space="preserve">Cl. Los Nogales 186 Urb. Jardines Virú Bellavista - Callao</t>
  </si>
  <si>
    <t xml:space="preserve">Real Equipos S.R.L.</t>
  </si>
  <si>
    <t xml:space="preserve">ventas@realequipos.com.pe</t>
  </si>
  <si>
    <t xml:space="preserve">3085785 / 4845388 / 976349094</t>
  </si>
  <si>
    <t xml:space="preserve">www.realequipos.com.pe</t>
  </si>
  <si>
    <t xml:space="preserve">Jr. José Carlos Mariátegui Mz. G2 Lt. 22 Urb. Santa Rosa - Callao</t>
  </si>
  <si>
    <t xml:space="preserve">Regianz S.R.L.</t>
  </si>
  <si>
    <t xml:space="preserve">ventas@regianz.com.pe</t>
  </si>
  <si>
    <t xml:space="preserve">Directorio SSO 2026, pág. PDF 16, 25, 27. Sin contacto nominal; no inventar decisor.</t>
  </si>
  <si>
    <t xml:space="preserve">997531834</t>
  </si>
  <si>
    <t xml:space="preserve">www.regianz.com.pe</t>
  </si>
  <si>
    <t xml:space="preserve">Vía Lote 1 Parcela 45B Unidad 2 Lote 1 Urb. Predio San Vicente, Lurín - Lima</t>
  </si>
  <si>
    <t xml:space="preserve">Representaciones BROL S.A.C. - BROLSAC</t>
  </si>
  <si>
    <t xml:space="preserve">oficina@brolsac.com.pe</t>
  </si>
  <si>
    <t xml:space="preserve">7140888 / 981535484</t>
  </si>
  <si>
    <t xml:space="preserve">www.brolsac.com.pe</t>
  </si>
  <si>
    <t xml:space="preserve">Av. Tomás Alva Edison 140 Urb. Santa Rosa - Ate - Lima</t>
  </si>
  <si>
    <t xml:space="preserve">Road Service Perú S.A.C.</t>
  </si>
  <si>
    <t xml:space="preserve">ventas@roadserviceperu.com</t>
  </si>
  <si>
    <t xml:space="preserve">Directorio SSO 2026, pág. PDF 12, 16, 18, 25, 27. Sin contacto nominal; no inventar decisor.</t>
  </si>
  <si>
    <t xml:space="preserve">Electricidad industrial; Equipos de protección personal; Iluminación industrial; Reflectivos y señalización; Ropa industrial</t>
  </si>
  <si>
    <t xml:space="preserve">5766163</t>
  </si>
  <si>
    <t xml:space="preserve">www.roadserviceperu.com</t>
  </si>
  <si>
    <t xml:space="preserve">Cl. Las Violetas Mz.D Lt.6 Urb. El Paraíso del Puente Huachipa Ate Vitarte - Lima</t>
  </si>
  <si>
    <t xml:space="preserve">RWO Outfitters Perú S.A.C.</t>
  </si>
  <si>
    <t xml:space="preserve">ventas@rwoperu.com</t>
  </si>
  <si>
    <t xml:space="preserve">Directorio SSO 2026, pág. PDF 16, 19. Sin contacto nominal; no inventar decisor.</t>
  </si>
  <si>
    <t xml:space="preserve">Equipos de protección personal; Máquinas, herramientas y repuestos</t>
  </si>
  <si>
    <t xml:space="preserve">2215273 / 972812264</t>
  </si>
  <si>
    <t xml:space="preserve">www.rwoperu.com</t>
  </si>
  <si>
    <t xml:space="preserve">Av. Canaval y Moreyra 425 Of. 84 Urb. Santa Ana - San Isidro - Lima</t>
  </si>
  <si>
    <t xml:space="preserve">RYM Confecciones E.I.R.L.</t>
  </si>
  <si>
    <t xml:space="preserve">raul.valdez@rymconfecciones.com.pe</t>
  </si>
  <si>
    <t xml:space="preserve">970185000</t>
  </si>
  <si>
    <t xml:space="preserve">rymconfecciones.com.pe</t>
  </si>
  <si>
    <t xml:space="preserve">Av. Circunvalación 2643, Ate - Lima</t>
  </si>
  <si>
    <t xml:space="preserve">Safety Industrial Perú S.A.C.</t>
  </si>
  <si>
    <t xml:space="preserve">ventas01@sainperu.com</t>
  </si>
  <si>
    <t xml:space="preserve">Directorio SSO 2026, pág. PDF 16, 18, 19, 27. Sin contacto nominal; no inventar decisor.</t>
  </si>
  <si>
    <t xml:space="preserve">Equipos de protección personal; Iluminación industrial; Máquinas, herramientas y repuestos; Ropa industrial</t>
  </si>
  <si>
    <t xml:space="preserve">7484512 / 924159535</t>
  </si>
  <si>
    <t xml:space="preserve">www.sainperu.com</t>
  </si>
  <si>
    <t xml:space="preserve">Av. Los Postes Oeste 116 Urb. San Hilarión Etapa 1 - San Juan de Lurigancho - Lima</t>
  </si>
  <si>
    <t xml:space="preserve">Sargatex S.A.C.</t>
  </si>
  <si>
    <t xml:space="preserve">ventas@sargatex.com</t>
  </si>
  <si>
    <t xml:space="preserve">3238141 / 4730056</t>
  </si>
  <si>
    <t xml:space="preserve">www.sargatex.com</t>
  </si>
  <si>
    <t xml:space="preserve">Cl. Prolongación Huánuco 2069 Of.1002 Urb. El Porvenir - La Victoria Lima</t>
  </si>
  <si>
    <t xml:space="preserve">Savi Group S.A.C. / SaviSafety</t>
  </si>
  <si>
    <t xml:space="preserve">contacto@savisafety.com</t>
  </si>
  <si>
    <t xml:space="preserve">Directorio SSO 2026, pág. PDF 17, 27. Sin contacto nominal; no inventar decisor.</t>
  </si>
  <si>
    <t xml:space="preserve">960287012</t>
  </si>
  <si>
    <t xml:space="preserve">www.jrimplementos.com</t>
  </si>
  <si>
    <t xml:space="preserve">Av. Isabel La Católica 1230 Int. 216 La Victoria - Lima</t>
  </si>
  <si>
    <t xml:space="preserve">Seguridad Industrial GABIC E.I.R.L.</t>
  </si>
  <si>
    <t xml:space="preserve">ventas@gabicsafety.com</t>
  </si>
  <si>
    <t xml:space="preserve">Directorio SSO 2026, pág. PDF 17. Sin contacto nominal; no inventar decisor.</t>
  </si>
  <si>
    <t xml:space="preserve">981353143 / 998165307</t>
  </si>
  <si>
    <t xml:space="preserve">www.gabicsafety.com</t>
  </si>
  <si>
    <t xml:space="preserve">Av. Guillermo Dansey 510 Of. Z1-4 Centro Comercial La Bellota - Cercado de Lima - Lima</t>
  </si>
  <si>
    <t xml:space="preserve">Segurmic S.A.C.</t>
  </si>
  <si>
    <t xml:space="preserve">ventas@segurmic.com</t>
  </si>
  <si>
    <t xml:space="preserve">Directorio SSO 2026, pág. PDF 11, 17, 25, 31. Sin contacto nominal; no inventar decisor.</t>
  </si>
  <si>
    <t xml:space="preserve">Electricidad industrial; Equipos de protección personal; Reflectivos y señalización; Salud ocupacional</t>
  </si>
  <si>
    <t xml:space="preserve">6831749 / 6831750 / 969741947</t>
  </si>
  <si>
    <t xml:space="preserve">www.segurmic.com</t>
  </si>
  <si>
    <t xml:space="preserve">Av. Universitaria 833 Of.201 Urb. Pando, San Miguel - Lima</t>
  </si>
  <si>
    <t xml:space="preserve">Servindustria Extintores y Fumigación E.I.R</t>
  </si>
  <si>
    <t xml:space="preserve">ventas@servindustria.com</t>
  </si>
  <si>
    <t xml:space="preserve">Av. Tomás Valle 962 - Los Olivos - Lima</t>
  </si>
  <si>
    <t xml:space="preserve">SIAPO Ropa Industrial</t>
  </si>
  <si>
    <t xml:space="preserve">ventas@siapo.com.pe</t>
  </si>
  <si>
    <t xml:space="preserve">3237626 / 998186442 / 998122034</t>
  </si>
  <si>
    <t xml:space="preserve">www.siapo.com.pe</t>
  </si>
  <si>
    <t xml:space="preserve">Jr. Luis Giribaldi 515 Tienda 86 La Victoria - Lima</t>
  </si>
  <si>
    <t xml:space="preserve">Soltrak S.A.</t>
  </si>
  <si>
    <t xml:space="preserve">ventas@soltrak.com.pe</t>
  </si>
  <si>
    <t xml:space="preserve">Directorio SSO 2026, pág. PDF 11, 17, 19, 25, 26, 35. Sin contacto nominal; no inventar decisor.</t>
  </si>
  <si>
    <t xml:space="preserve">Electricidad industrial; Equipos de protección personal; Máquinas, herramientas y repuestos; Reflectivos y señalización; Rescate y salvamento; Vehículos: ventas, alquiler, repuestos y reparaciones</t>
  </si>
  <si>
    <t xml:space="preserve">(01) 6301700 / (+51) 942839776</t>
  </si>
  <si>
    <t xml:space="preserve">www.soltrak.com.pe</t>
  </si>
  <si>
    <t xml:space="preserve">Av. Argentina 5799, Carmen de la Legua - Callao</t>
  </si>
  <si>
    <t xml:space="preserve">Sumi Proveedores Industriales</t>
  </si>
  <si>
    <t xml:space="preserve">ventas@sumiperu.com</t>
  </si>
  <si>
    <t xml:space="preserve">995131149</t>
  </si>
  <si>
    <t xml:space="preserve">www.sumiperu.com</t>
  </si>
  <si>
    <t xml:space="preserve">Jr. Cayalti 486, Santiago de Surco Lima</t>
  </si>
  <si>
    <t xml:space="preserve">TECYME</t>
  </si>
  <si>
    <t xml:space="preserve">ventas@tecyme.com</t>
  </si>
  <si>
    <t xml:space="preserve">992281120</t>
  </si>
  <si>
    <t xml:space="preserve">www.tecyme.com</t>
  </si>
  <si>
    <t xml:space="preserve">Cl. Salaverry 219 Urb. Progresista Apima, Paucarpata - Arequipa</t>
  </si>
  <si>
    <t xml:space="preserve">Texforte S.A.C.</t>
  </si>
  <si>
    <t xml:space="preserve">ventas@texforte.pe</t>
  </si>
  <si>
    <t xml:space="preserve">4752525 / 981511559</t>
  </si>
  <si>
    <t xml:space="preserve">www.texforte.pe</t>
  </si>
  <si>
    <t xml:space="preserve">Cl. Fermín Tangüis 145 Of. 506 Urb. Santa Catalina - La Victoria - Lima</t>
  </si>
  <si>
    <t xml:space="preserve">Topoequipos T&amp;T S.R.L.</t>
  </si>
  <si>
    <t xml:space="preserve">comercial@topoequiposperu.com</t>
  </si>
  <si>
    <t xml:space="preserve">6067942</t>
  </si>
  <si>
    <t xml:space="preserve">www.topoequiposperu.com</t>
  </si>
  <si>
    <t xml:space="preserve">Av. Manuel Olguín 501 Dpto. 904 Santiago de Surco - Lima</t>
  </si>
  <si>
    <t xml:space="preserve">Trabajos Verticales S.A.C.</t>
  </si>
  <si>
    <t xml:space="preserve">info@trabajosverticales.com.pe</t>
  </si>
  <si>
    <t xml:space="preserve">Directorio SSO 2026, pág. PDF 7, 10, 17, 19, 26. Sin contacto nominal; no inventar decisor.</t>
  </si>
  <si>
    <t xml:space="preserve">Andamios y trabajos en altura; Capacitación, consultoría y auditoría; Equipos de protección personal; Máquinas, herramientas y repuestos; Ropa industrial</t>
  </si>
  <si>
    <t xml:space="preserve">3409723 / 958510080</t>
  </si>
  <si>
    <t xml:space="preserve">www.trabajosverticales.com.pe</t>
  </si>
  <si>
    <t xml:space="preserve">Cl. Tejada 235 Urb. Tejada Alta Barranco - Lima</t>
  </si>
  <si>
    <t xml:space="preserve">Trade Sandder Group S.A.C.</t>
  </si>
  <si>
    <t xml:space="preserve">ventasindustrial4@tradesandder.com</t>
  </si>
  <si>
    <t xml:space="preserve">Directorio SSO 2026, pág. PDF 17, 27, 31. Sin contacto nominal; no inventar decisor.</t>
  </si>
  <si>
    <t xml:space="preserve">Equipos de protección personal; Ropa industrial; Salud ocupacional</t>
  </si>
  <si>
    <t xml:space="preserve">987097155</t>
  </si>
  <si>
    <t xml:space="preserve">www.sandder.pe</t>
  </si>
  <si>
    <t xml:space="preserve">Parque Industrial Río Seco Mz. B Lt. 4 Cerro Colorado - Arequipa</t>
  </si>
  <si>
    <t xml:space="preserve">Transmedic S.A.</t>
  </si>
  <si>
    <t xml:space="preserve">asistente@transmedicsa.com</t>
  </si>
  <si>
    <t xml:space="preserve">Directorio SSO 2026, pág. PDF 26, 31. Sin contacto nominal; no inventar decisor.</t>
  </si>
  <si>
    <t xml:space="preserve">Ropa industrial; Salud ocupacional</t>
  </si>
  <si>
    <t xml:space="preserve">7446866</t>
  </si>
  <si>
    <t xml:space="preserve">www.transmedicsa.com</t>
  </si>
  <si>
    <t xml:space="preserve">Cl. Van Gogh 333 Of. 203 - San Borja Lima</t>
  </si>
  <si>
    <t xml:space="preserve">Vicsa Safety Perú S.A.C.</t>
  </si>
  <si>
    <t xml:space="preserve">ventas@vicsasafety.com.pe</t>
  </si>
  <si>
    <t xml:space="preserve">Higiene industrial, saneamiento y limpieza; Ropa industrial; Salud ocupacional</t>
  </si>
  <si>
    <t xml:space="preserve">7157200 / 960840890</t>
  </si>
  <si>
    <t xml:space="preserve">www.steelproperu.com</t>
  </si>
  <si>
    <t xml:space="preserve">Av. Santa Rosa 350 Zona Industrial Ate - Lima</t>
  </si>
  <si>
    <t xml:space="preserve">Óptica Alemana E.I.R.L.</t>
  </si>
  <si>
    <t xml:space="preserve">informes@opticaalemana.com.pe</t>
  </si>
  <si>
    <t xml:space="preserve">Directorio SSO 2026, pág. PDF 16, 30. Sin contacto nominal; no inventar decisor.</t>
  </si>
  <si>
    <t xml:space="preserve">2717314 / 981044108</t>
  </si>
  <si>
    <t xml:space="preserve">www.opticaalemana.com.pe</t>
  </si>
  <si>
    <t xml:space="preserve">Av. Mcal. Ramón Castilla 694 C.C. Aurora - Miraflores - Lima</t>
  </si>
  <si>
    <t xml:space="preserve">Alerta Médica / Servicios Especializados en Medicina Integral S.A.C.</t>
  </si>
  <si>
    <t xml:space="preserve">info@alertamedicaperu.com.pe</t>
  </si>
  <si>
    <t xml:space="preserve">Directorio SSO 2026, pág. PDF 6, 28. Sin contacto nominal; no inventar decisor.</t>
  </si>
  <si>
    <t xml:space="preserve">Ambulancias y servicios de emergencia; Salud ocupacional</t>
  </si>
  <si>
    <t xml:space="preserve">4166777 / 932410010</t>
  </si>
  <si>
    <t xml:space="preserve">www.alertamedicaperu.com.pe</t>
  </si>
  <si>
    <t xml:space="preserve">Av. Brasil 1403, Jesús María - Lima</t>
  </si>
  <si>
    <t xml:space="preserve">AMC Consulting Security S.A.C.</t>
  </si>
  <si>
    <t xml:space="preserve">comercial@amc.pe</t>
  </si>
  <si>
    <t xml:space="preserve">Directorio SSO 2026, pág. PDF 28. Sin contacto nominal; no inventar decisor.</t>
  </si>
  <si>
    <t xml:space="preserve">955561689</t>
  </si>
  <si>
    <t xml:space="preserve">www.centromedicoamc.com</t>
  </si>
  <si>
    <t xml:space="preserve">Av. César Vallejo 1449, La Victoria Lima</t>
  </si>
  <si>
    <t xml:space="preserve">B. Bios International S.A.C.</t>
  </si>
  <si>
    <t xml:space="preserve">citasbios@biosmed.pe</t>
  </si>
  <si>
    <t xml:space="preserve">2175300 / 939285708 / 924810602</t>
  </si>
  <si>
    <t xml:space="preserve">www.biosmed.pe</t>
  </si>
  <si>
    <t xml:space="preserve">Cl. Octavio Paz 255 Urb. La Calera de la Merced - Surquillo - Lima</t>
  </si>
  <si>
    <t xml:space="preserve">Barron Vieyra Internacional Perú S.A.C.</t>
  </si>
  <si>
    <t xml:space="preserve">peru@barronvieyra.com</t>
  </si>
  <si>
    <t xml:space="preserve">Directorio SSO 2026, pág. PDF 17, 28. Sin contacto nominal; no inventar decisor.</t>
  </si>
  <si>
    <t xml:space="preserve">Higiene industrial, saneamiento y limpieza; Salud ocupacional</t>
  </si>
  <si>
    <t xml:space="preserve">947322986</t>
  </si>
  <si>
    <t xml:space="preserve">www.barronvieyra.com</t>
  </si>
  <si>
    <t xml:space="preserve">Av. Los Faisanes 154 B Urb. La Campiña - Chorrillos - Lima</t>
  </si>
  <si>
    <t xml:space="preserve">Centro Cooperativa de Servicios Serviperu Ltda.</t>
  </si>
  <si>
    <t xml:space="preserve">serviperu@serviperu.com.pe</t>
  </si>
  <si>
    <t xml:space="preserve">4241810 / 3828610</t>
  </si>
  <si>
    <t xml:space="preserve">www.serviperu.com</t>
  </si>
  <si>
    <t xml:space="preserve">Av. General Máximo Abril 552 Jesús María - Lima</t>
  </si>
  <si>
    <t xml:space="preserve">Centro Médico Espinar S.R.L.</t>
  </si>
  <si>
    <t xml:space="preserve">admisioncusco@cmespinar.com</t>
  </si>
  <si>
    <t xml:space="preserve">Directorio SSO 2026, pág. PDF 6, 28. Sin contacto nominal; no inventar decisor. Otros emails: admisionespinar@cmespinar.com.</t>
  </si>
  <si>
    <t xml:space="preserve">997523290 / 949145628 / 984243806</t>
  </si>
  <si>
    <t xml:space="preserve">Cusco: Av. Los Incas 1403, Wanchaq | Espinar: Cl. Domingo Huarca 200</t>
  </si>
  <si>
    <t xml:space="preserve">Cusco</t>
  </si>
  <si>
    <t xml:space="preserve">Centro Médico Mayo S.R.L.</t>
  </si>
  <si>
    <t xml:space="preserve">salud@centromedicomayo.com.pe</t>
  </si>
  <si>
    <t xml:space="preserve">3623155 / 966373948</t>
  </si>
  <si>
    <t xml:space="preserve">www.centromedicomayo.com.pe</t>
  </si>
  <si>
    <t xml:space="preserve">Cl. Los Jilgueros 102 - Santa Anita Lima</t>
  </si>
  <si>
    <t xml:space="preserve">Centro Médico Vesalio S.A.C.</t>
  </si>
  <si>
    <t xml:space="preserve">informes@vesalio.com.pe</t>
  </si>
  <si>
    <t xml:space="preserve">6189999 / 989063124</t>
  </si>
  <si>
    <t xml:space="preserve">www.vesalio.com.pe</t>
  </si>
  <si>
    <t xml:space="preserve">Jr. Mercator 430 Urb. Córpac San Borja - Lima</t>
  </si>
  <si>
    <t xml:space="preserve">Centro Optico Americana</t>
  </si>
  <si>
    <t xml:space="preserve">comercial@americanaopticas.com</t>
  </si>
  <si>
    <t xml:space="preserve">936882843</t>
  </si>
  <si>
    <t xml:space="preserve">www.americanaopticas.com</t>
  </si>
  <si>
    <t xml:space="preserve">Calle Peral 403-D, Cercado - Arequipa Arequipa</t>
  </si>
  <si>
    <t xml:space="preserve">Clave 5</t>
  </si>
  <si>
    <t xml:space="preserve">emergencias@clave5.com.pe</t>
  </si>
  <si>
    <t xml:space="preserve">(01) 2518899 / (+51) 962276665</t>
  </si>
  <si>
    <t xml:space="preserve">www.clave5.com.pe</t>
  </si>
  <si>
    <t xml:space="preserve">Cl. Andrómeda 501 Urb. Matellini Chorrillos - Lima</t>
  </si>
  <si>
    <t xml:space="preserve">Clinica Universitaria del Norte S.A.C.</t>
  </si>
  <si>
    <t xml:space="preserve">informes@clinicauniversitaria.com.pe</t>
  </si>
  <si>
    <t xml:space="preserve">Directorio SSO 2026, pág. PDF 29. Sin contacto nominal; no inventar decisor.</t>
  </si>
  <si>
    <t xml:space="preserve">5361917 / 4162900</t>
  </si>
  <si>
    <t xml:space="preserve">www.clinicauniversitaria.com.pe</t>
  </si>
  <si>
    <t xml:space="preserve">Av. Universitaria 6062 Urb. Sta. Luzmila Comas - Lima</t>
  </si>
  <si>
    <t xml:space="preserve">Clínica Anglo Americana</t>
  </si>
  <si>
    <t xml:space="preserve">citas@angloamericana.com.pe</t>
  </si>
  <si>
    <t xml:space="preserve">6168900</t>
  </si>
  <si>
    <t xml:space="preserve">clinicaangloamericana.pe</t>
  </si>
  <si>
    <t xml:space="preserve">Av. Alfredo Salazar 350 - San Isidro Lima</t>
  </si>
  <si>
    <t xml:space="preserve">Clínica Cayetano Heredia</t>
  </si>
  <si>
    <t xml:space="preserve">gerenciacomercial@cmch.com.pe</t>
  </si>
  <si>
    <t xml:space="preserve">2076200 / 914441286 / 914441287</t>
  </si>
  <si>
    <t xml:space="preserve">www.cmch.com.pe</t>
  </si>
  <si>
    <t xml:space="preserve">Av. Honorio Delgado 370 Urb. Ingeniería San Martín de Porres - Lima</t>
  </si>
  <si>
    <t xml:space="preserve">Clínica del Trabajador S.A.C.</t>
  </si>
  <si>
    <t xml:space="preserve">comercial@clinicadeltrabajador.com.pe</t>
  </si>
  <si>
    <t xml:space="preserve">4632639 anx. 121-122 / 939488325</t>
  </si>
  <si>
    <t xml:space="preserve">www.clinicadeltrabajador.com.pe</t>
  </si>
  <si>
    <t xml:space="preserve">Av. Faustino Sánchez Carrión 740 Urb. San Felipe - Magdalena - Lima</t>
  </si>
  <si>
    <t xml:space="preserve">Clínica Estarbien S.A.C.</t>
  </si>
  <si>
    <t xml:space="preserve">5101881 / 989584979</t>
  </si>
  <si>
    <t xml:space="preserve">www.estarbien.pe</t>
  </si>
  <si>
    <t xml:space="preserve">Jr. Morro Solar 936 Urb. Santa Teresa de Monterrico - Santiago de Surco - Lima</t>
  </si>
  <si>
    <t xml:space="preserve">Clínica Internacional S.A.</t>
  </si>
  <si>
    <t xml:space="preserve">6196161</t>
  </si>
  <si>
    <t xml:space="preserve">www.clinicainternacional.com.pe</t>
  </si>
  <si>
    <t xml:space="preserve">Jr. Washington 1471 Cercado de Lima - Lima</t>
  </si>
  <si>
    <t xml:space="preserve">Clínica Javier Prado</t>
  </si>
  <si>
    <t xml:space="preserve">2114141</t>
  </si>
  <si>
    <t xml:space="preserve">www.cjp.pe</t>
  </si>
  <si>
    <t xml:space="preserve">Av. Javier Prado Este 499 Urb. Jardín, San Isidro - Lima</t>
  </si>
  <si>
    <t xml:space="preserve">Clínica Ricardo Palma</t>
  </si>
  <si>
    <t xml:space="preserve">webmaster@crp.com.pe</t>
  </si>
  <si>
    <t xml:space="preserve">Directorio SSO 2026, pág. PDF 6, 29. Sin contacto nominal; no inventar decisor.</t>
  </si>
  <si>
    <t xml:space="preserve">2242224 / 2242226</t>
  </si>
  <si>
    <t xml:space="preserve">www.crp.com.pe</t>
  </si>
  <si>
    <t xml:space="preserve">Av. Javier Prado Este 1066 Urb. Córpac, San Isidro - Lima</t>
  </si>
  <si>
    <t xml:space="preserve">Clínica San Pablo - Centro de Salud Ocupacional</t>
  </si>
  <si>
    <t xml:space="preserve">saludocupacional@sanpablo.com.pe</t>
  </si>
  <si>
    <t xml:space="preserve">6103240</t>
  </si>
  <si>
    <t xml:space="preserve">www.centrodesaludocupacional.pe</t>
  </si>
  <si>
    <t xml:space="preserve">Av. Manuel Olguín 929 - Santiago de Surco - Lima</t>
  </si>
  <si>
    <t xml:space="preserve">Doktuz</t>
  </si>
  <si>
    <t xml:space="preserve">contacto@doktuz.com</t>
  </si>
  <si>
    <t xml:space="preserve">924701246</t>
  </si>
  <si>
    <t xml:space="preserve">www.doktuz.com</t>
  </si>
  <si>
    <t xml:space="preserve">Av. Guardia Civil 917 Urb. Córpac San Isidro - Lima</t>
  </si>
  <si>
    <t xml:space="preserve">Genesis</t>
  </si>
  <si>
    <t xml:space="preserve">adn.genesislab@gmail.com</t>
  </si>
  <si>
    <t xml:space="preserve">Health Peruvian Business EPESALUD S.A.C.</t>
  </si>
  <si>
    <t xml:space="preserve">servicios@epesalud.com.pe</t>
  </si>
  <si>
    <t xml:space="preserve">2213731 / 994384287</t>
  </si>
  <si>
    <t xml:space="preserve">www.epesalud.com.pe</t>
  </si>
  <si>
    <t xml:space="preserve">Av. Los Faisanes 103, Chorrillos - Lima</t>
  </si>
  <si>
    <t xml:space="preserve">Innomedic Salud Ocupacional</t>
  </si>
  <si>
    <t xml:space="preserve">ventas@innomedic.pe</t>
  </si>
  <si>
    <t xml:space="preserve">946887798</t>
  </si>
  <si>
    <t xml:space="preserve">www.innomedic.pe</t>
  </si>
  <si>
    <t xml:space="preserve">Av. Javier Prado Este 2638 San Borja - Lima</t>
  </si>
  <si>
    <t xml:space="preserve">JTM Corredores de Seguros S.A.C.</t>
  </si>
  <si>
    <t xml:space="preserve">rtuesta@jtmsac.com</t>
  </si>
  <si>
    <t xml:space="preserve">Directorio SSO 2026, pág. PDF 30. Sin contacto nominal; no inventar decisor.</t>
  </si>
  <si>
    <t xml:space="preserve">975505751</t>
  </si>
  <si>
    <t xml:space="preserve">www.jtmsac.com</t>
  </si>
  <si>
    <t xml:space="preserve">Cl. Las Flores 255 Dpto. 1302 Urb. San Felipe, San Isidro - Lima</t>
  </si>
  <si>
    <t xml:space="preserve">Kossodo S.A.C.</t>
  </si>
  <si>
    <t xml:space="preserve">info@kossodo.com</t>
  </si>
  <si>
    <t xml:space="preserve">Directorio SSO 2026, pág. PDF 20, 30. Sin contacto nominal; no inventar decisor.</t>
  </si>
  <si>
    <t xml:space="preserve">Medioambiente: productos y servicios; Salud ocupacional</t>
  </si>
  <si>
    <t xml:space="preserve">6198400 / 989360000</t>
  </si>
  <si>
    <t xml:space="preserve">www.kossodo.com</t>
  </si>
  <si>
    <t xml:space="preserve">Jr. Chota 1161 - Cercado de Lima Lima</t>
  </si>
  <si>
    <t xml:space="preserve">Laboratorios Portugal S.R.L.</t>
  </si>
  <si>
    <t xml:space="preserve">contacto@laboratoriosportugal.com</t>
  </si>
  <si>
    <t xml:space="preserve">(054) 316031 / 989451257</t>
  </si>
  <si>
    <t xml:space="preserve">www.laboratoriosportugal.com</t>
  </si>
  <si>
    <t xml:space="preserve">Mz. A Lt. 2 Z.I Parque Industrial Río Seco Etp. I, Cerro Colorado - Arequipa</t>
  </si>
  <si>
    <t xml:space="preserve">Mapfre Perú Compañía de Seguros y Reaseguros</t>
  </si>
  <si>
    <t xml:space="preserve">2137373 / 944402220</t>
  </si>
  <si>
    <t xml:space="preserve">www.mapfre.com.pe</t>
  </si>
  <si>
    <t xml:space="preserve">Av. Armendariz 345 Urb. Armendariz Miraflores - Lima</t>
  </si>
  <si>
    <t xml:space="preserve">Medex</t>
  </si>
  <si>
    <t xml:space="preserve">consultas@medex.com.pe</t>
  </si>
  <si>
    <t xml:space="preserve">3191530 / 946538374</t>
  </si>
  <si>
    <t xml:space="preserve">www.medex.pe</t>
  </si>
  <si>
    <t xml:space="preserve">Av. Angamos Este 1803 Piso 6 Surquillo - Lima</t>
  </si>
  <si>
    <t xml:space="preserve">Medical Job</t>
  </si>
  <si>
    <t xml:space="preserve">admin@medicaljob.pe</t>
  </si>
  <si>
    <t xml:space="preserve">6802510 / 976463582</t>
  </si>
  <si>
    <t xml:space="preserve">www.medicaljob.pe</t>
  </si>
  <si>
    <t xml:space="preserve">Av. Arenales 630 - Jesús María - Lima</t>
  </si>
  <si>
    <t xml:space="preserve">Medsalud S.A.C.</t>
  </si>
  <si>
    <t xml:space="preserve">consultas@medsaludperu.com</t>
  </si>
  <si>
    <t xml:space="preserve">5347718 / 945836273</t>
  </si>
  <si>
    <t xml:space="preserve">www.medsaludperu.com</t>
  </si>
  <si>
    <t xml:space="preserve">Av. Alfredo Mendiola 241 San Martín de Porres - Lima</t>
  </si>
  <si>
    <t xml:space="preserve">MedVida Salud Ocupacional</t>
  </si>
  <si>
    <t xml:space="preserve">cotizaciones@medvidasalud.com</t>
  </si>
  <si>
    <t xml:space="preserve">7481577</t>
  </si>
  <si>
    <t xml:space="preserve">www.medvidasalud.online</t>
  </si>
  <si>
    <t xml:space="preserve">Cl. Santa Inés Mz.D3 Lt.16 Urb. Los Cedros, Chorrillos - Lima</t>
  </si>
  <si>
    <t xml:space="preserve">Mepso S.A.C.</t>
  </si>
  <si>
    <t xml:space="preserve">comercial@mepso.com.pe</t>
  </si>
  <si>
    <t xml:space="preserve">3213440 / 934773509</t>
  </si>
  <si>
    <t xml:space="preserve">www.mepso.com.pe</t>
  </si>
  <si>
    <t xml:space="preserve">Av. Angamos Este 2624, Surquillo Lima</t>
  </si>
  <si>
    <t xml:space="preserve">MSK Consultores S.A.C.</t>
  </si>
  <si>
    <t xml:space="preserve">infoventas@mskconsultores.com</t>
  </si>
  <si>
    <t xml:space="preserve">Jr. Puerto Inca 191 Of. 101 Urb. Los Olivos - Santiago de Surco Lima</t>
  </si>
  <si>
    <t xml:space="preserve">Médicos Salud Unión en Alerta S.A.C.</t>
  </si>
  <si>
    <t xml:space="preserve">info@medicossalud.com</t>
  </si>
  <si>
    <t xml:space="preserve">Directorio SSO 2026, pág. PDF 6, 30. Sin contacto nominal; no inventar decisor.</t>
  </si>
  <si>
    <t xml:space="preserve">4496133 / 943387359</t>
  </si>
  <si>
    <t xml:space="preserve">www.medicossalud.com</t>
  </si>
  <si>
    <t xml:space="preserve">Av. La Encalada 914 Santiago de Surco - Lima</t>
  </si>
  <si>
    <t xml:space="preserve">Occupational Health S.A.C. - Medical Assistant</t>
  </si>
  <si>
    <t xml:space="preserve">info@ma.com.pe</t>
  </si>
  <si>
    <t xml:space="preserve">Directorio SSO 2026, pág. PDF 18, 30. Sin contacto nominal; no inventar decisor.</t>
  </si>
  <si>
    <t xml:space="preserve">5003710 / 946305628</t>
  </si>
  <si>
    <t xml:space="preserve">www.ma.com.pe</t>
  </si>
  <si>
    <t xml:space="preserve">Av. Tomás Marsano 2147 - Surquillo Lima</t>
  </si>
  <si>
    <t xml:space="preserve">Odawara Laboratorios S.R.L.</t>
  </si>
  <si>
    <t xml:space="preserve">ventas@odalab.com.pe</t>
  </si>
  <si>
    <t xml:space="preserve">2718444 / 958880700</t>
  </si>
  <si>
    <t xml:space="preserve">www.odalab.com.pe</t>
  </si>
  <si>
    <t xml:space="preserve">Av. Tomás Marsano 2643 Urb. El Pedregal - Surquillo - Lima</t>
  </si>
  <si>
    <t xml:space="preserve">Omnia Médica S.A.C. - Grupo Vital</t>
  </si>
  <si>
    <t xml:space="preserve">6271000 / 981744681</t>
  </si>
  <si>
    <t xml:space="preserve">www.grupovital.com.pe</t>
  </si>
  <si>
    <t xml:space="preserve">Intihuatana 495 Piso 1 Urb. Tambo de Monterrico Santiago de Surco - Lima</t>
  </si>
  <si>
    <t xml:space="preserve">Phymed S.R.L.</t>
  </si>
  <si>
    <t xml:space="preserve">phymed@phymed.com.pe</t>
  </si>
  <si>
    <t xml:space="preserve">2730393 / 996402156</t>
  </si>
  <si>
    <t xml:space="preserve">www.phymed.com.pe</t>
  </si>
  <si>
    <t xml:space="preserve">Cl. Los Antares 265 Urb. La Alborada Santiago de Surco - Lima</t>
  </si>
  <si>
    <t xml:space="preserve">Policlínico Centmed E.I.R.L.</t>
  </si>
  <si>
    <t xml:space="preserve">administracion@policlinicocentmed.com</t>
  </si>
  <si>
    <t xml:space="preserve">955053001 / 946445867</t>
  </si>
  <si>
    <t xml:space="preserve">www.centmed.pe</t>
  </si>
  <si>
    <t xml:space="preserve">Av. Petit Thouars 4387 - Miraflores Lima</t>
  </si>
  <si>
    <t xml:space="preserve">Respira S.A.C.</t>
  </si>
  <si>
    <t xml:space="preserve">atenciones@respirasac.com</t>
  </si>
  <si>
    <t xml:space="preserve">6831304 / 996282727</t>
  </si>
  <si>
    <t xml:space="preserve">www.respirasac.com</t>
  </si>
  <si>
    <t xml:space="preserve">Av. San Eugenio 899 Urb. Sta. Catalina La Victoria - Lima</t>
  </si>
  <si>
    <t xml:space="preserve">S.G. Natclar S.A.C.</t>
  </si>
  <si>
    <t xml:space="preserve">info@natclar.com.pe</t>
  </si>
  <si>
    <t xml:space="preserve">2134141 / 914724884</t>
  </si>
  <si>
    <t xml:space="preserve">www.natclar.com.pe</t>
  </si>
  <si>
    <t xml:space="preserve">Cl. Los Colibríes 104 Urb. Limatambo San Isidro - Lima</t>
  </si>
  <si>
    <t xml:space="preserve">S.O. Tu Salud S.A.C.</t>
  </si>
  <si>
    <t xml:space="preserve">informes@tusaludsac.com</t>
  </si>
  <si>
    <t xml:space="preserve">(054) 274635 / (054) 274679 / 973586070</t>
  </si>
  <si>
    <t xml:space="preserve">www.tusaludsac.com</t>
  </si>
  <si>
    <t xml:space="preserve">Pasaje Lima 107 Urb. El Silencio Yanahuara - Arequipa</t>
  </si>
  <si>
    <t xml:space="preserve">Salus Laboris S.A.C.</t>
  </si>
  <si>
    <t xml:space="preserve">informes@saluslaboris.pe</t>
  </si>
  <si>
    <t xml:space="preserve">6407309 / 981479424</t>
  </si>
  <si>
    <t xml:space="preserve">www.saluslaboris.pe</t>
  </si>
  <si>
    <t xml:space="preserve">Av. Alfredo Benavides 4994 - Lima</t>
  </si>
  <si>
    <t xml:space="preserve">Sigso Consultores Laborales S.A.C.</t>
  </si>
  <si>
    <t xml:space="preserve">comercial.aqp1@sigsoconsultores.com</t>
  </si>
  <si>
    <t xml:space="preserve">967277793 / 944248584</t>
  </si>
  <si>
    <t xml:space="preserve">www.sigsoconsultores.com</t>
  </si>
  <si>
    <t xml:space="preserve">Urb. Juan El Bueno D-1, Arequipa Arequipa</t>
  </si>
  <si>
    <t xml:space="preserve">Sleep Intelligence</t>
  </si>
  <si>
    <t xml:space="preserve">info@sleepintelligence.net</t>
  </si>
  <si>
    <t xml:space="preserve">997582140</t>
  </si>
  <si>
    <t xml:space="preserve">Av. Circunvalación Club Golf Los Incas 208 Int. 403A, Santiago de Surco - Lima</t>
  </si>
  <si>
    <t xml:space="preserve">Suiza Lab S.A.C.</t>
  </si>
  <si>
    <t xml:space="preserve">informacion@suizalab.com</t>
  </si>
  <si>
    <t xml:space="preserve">6126666 / 946064815</t>
  </si>
  <si>
    <t xml:space="preserve">www.suizalab.com</t>
  </si>
  <si>
    <t xml:space="preserve">Av. Angamos Oeste 300 Miraflores - Lima</t>
  </si>
  <si>
    <t xml:space="preserve">Support Brigades</t>
  </si>
  <si>
    <t xml:space="preserve">contactenos@supportbrigades.com</t>
  </si>
  <si>
    <t xml:space="preserve">981577120</t>
  </si>
  <si>
    <t xml:space="preserve">www.supportbrigades.com</t>
  </si>
  <si>
    <t xml:space="preserve">Av. La Encalada 1090 Of. 802 Santiago de Surco - Lima</t>
  </si>
  <si>
    <t xml:space="preserve">ABB S.A.</t>
  </si>
  <si>
    <t xml:space="preserve">contact.center@pe.abb.com</t>
  </si>
  <si>
    <t xml:space="preserve">Baja</t>
  </si>
  <si>
    <t xml:space="preserve">Nutrir con contenido; sin acción comercial inmediata</t>
  </si>
  <si>
    <t xml:space="preserve">Electricidad industrial</t>
  </si>
  <si>
    <t xml:space="preserve">Proveedor industrial (baja afinidad)</t>
  </si>
  <si>
    <t xml:space="preserve">4155100</t>
  </si>
  <si>
    <t xml:space="preserve">www.new.abb.com/south-america</t>
  </si>
  <si>
    <t xml:space="preserve">Av. Javier Prado Este 444 Of. 601 Urb. Jardín, San Isidro - Lima</t>
  </si>
  <si>
    <t xml:space="preserve">ABJ Ingenieros y Consultores Asociados S.A.C.</t>
  </si>
  <si>
    <t xml:space="preserve">soluciones@abjingenieros.com</t>
  </si>
  <si>
    <t xml:space="preserve">Medioambiente: productos y servicios</t>
  </si>
  <si>
    <t xml:space="preserve">941703428</t>
  </si>
  <si>
    <t xml:space="preserve">www.abjingenieros.com</t>
  </si>
  <si>
    <t xml:space="preserve">Mz. F Lt.12 Coop. Villa Mercedes San Juan de Miraflores - Lima</t>
  </si>
  <si>
    <t xml:space="preserve">ABS Importaciones y Representaciones SAC</t>
  </si>
  <si>
    <t xml:space="preserve">ventas@absperu.com</t>
  </si>
  <si>
    <t xml:space="preserve">Directorio SSO 2026, pág. PDF 5. Sin contacto nominal; no inventar decisor.</t>
  </si>
  <si>
    <t xml:space="preserve">Agua, análisis, tecnología y productos</t>
  </si>
  <si>
    <t xml:space="preserve">998300730</t>
  </si>
  <si>
    <t xml:space="preserve">www.absperu.com</t>
  </si>
  <si>
    <t xml:space="preserve">Cl. Las Balsas Mz. B Lt. 13 Urb. San Juan Bautista - Chorrillos - Lima</t>
  </si>
  <si>
    <t xml:space="preserve">Accuaproduct S.A.C.</t>
  </si>
  <si>
    <t xml:space="preserve">ventas@accuaproduct.com</t>
  </si>
  <si>
    <t xml:space="preserve">4361400</t>
  </si>
  <si>
    <t xml:space="preserve">www.accuaproduct.com</t>
  </si>
  <si>
    <t xml:space="preserve">Cl. Los Talabarteros 161 Urb. El Artesano - Ate - Lima</t>
  </si>
  <si>
    <t xml:space="preserve">Aero Transporte S.A.</t>
  </si>
  <si>
    <t xml:space="preserve">reservas@atsaperu.com</t>
  </si>
  <si>
    <t xml:space="preserve">Ambulancias y servicios de emergencia</t>
  </si>
  <si>
    <t xml:space="preserve">3637457</t>
  </si>
  <si>
    <t xml:space="preserve">www.atsaperu.com</t>
  </si>
  <si>
    <t xml:space="preserve">Av. Elmer Faucett 3463 Aeropuerto Internacional Jorge Chávez, Mezzanine Of. 214, Urb. Bocanegra - Callao</t>
  </si>
  <si>
    <t xml:space="preserve">Agua &amp; Ambiente Corp Perú S.A.C.</t>
  </si>
  <si>
    <t xml:space="preserve">aguayambiente@aguayambienteperu.com</t>
  </si>
  <si>
    <t xml:space="preserve">3445188 / 3442034 / 965729425</t>
  </si>
  <si>
    <t xml:space="preserve">www.aguayambienteperu.com</t>
  </si>
  <si>
    <t xml:space="preserve">Jr. Pátapo 103 Centro Comercial Monterrico - Santiago de Surco - Lima</t>
  </si>
  <si>
    <t xml:space="preserve">Agua Clear S.A.</t>
  </si>
  <si>
    <t xml:space="preserve">aguaclear@aguaclear.com</t>
  </si>
  <si>
    <t xml:space="preserve">4218345 / 4414790 / 996655619</t>
  </si>
  <si>
    <t xml:space="preserve">www.aguaclear.com</t>
  </si>
  <si>
    <t xml:space="preserve">Av. La Mar 1129 Urb. Santa Cruz Miraflores - Lima</t>
  </si>
  <si>
    <t xml:space="preserve">Airtec S.A.</t>
  </si>
  <si>
    <t xml:space="preserve">airtec@airtec.com.pe</t>
  </si>
  <si>
    <t xml:space="preserve">Ventilación industrial y subterránea</t>
  </si>
  <si>
    <t xml:space="preserve">7153956</t>
  </si>
  <si>
    <t xml:space="preserve">www.airtec.com.pe</t>
  </si>
  <si>
    <t xml:space="preserve">Jr. Manuel Arispe 311 Urb. La Chalaca Callao</t>
  </si>
  <si>
    <t xml:space="preserve">Alarmas Cobra S.A.C. / Cobra Solutions</t>
  </si>
  <si>
    <t xml:space="preserve">ventas@alarmascobra.com</t>
  </si>
  <si>
    <t xml:space="preserve">4715127 / 937055645</t>
  </si>
  <si>
    <t xml:space="preserve">www.alarmascobra.com</t>
  </si>
  <si>
    <t xml:space="preserve">Jr. Risso 517 Of. 202 - Lince Lima</t>
  </si>
  <si>
    <t xml:space="preserve">Alfredo Pimentel Sevilla S.A.</t>
  </si>
  <si>
    <t xml:space="preserve">tienda.virtual@pimentel.com.pe</t>
  </si>
  <si>
    <t xml:space="preserve">Vehículos: ventas, alquiler, repuestos y reparaciones</t>
  </si>
  <si>
    <t xml:space="preserve">4441405 / 989006790</t>
  </si>
  <si>
    <t xml:space="preserve">www.pimentel.com.pe</t>
  </si>
  <si>
    <t xml:space="preserve">Av. Angamos Este 1795 Urb. El Cóndor Surquillo - Lima</t>
  </si>
  <si>
    <t xml:space="preserve">ALS Perú S.A.C.</t>
  </si>
  <si>
    <t xml:space="preserve">ventas@alsglobal.com</t>
  </si>
  <si>
    <t xml:space="preserve">www.alsglobal.com</t>
  </si>
  <si>
    <t xml:space="preserve">Cl. 1 Mz.D Lt.1A, Esq. Calle A Urb. Industrial Bocanegra - Callao</t>
  </si>
  <si>
    <t xml:space="preserve">Alta Montaña S.A.C.</t>
  </si>
  <si>
    <t xml:space="preserve">ventas@arfisac.pe</t>
  </si>
  <si>
    <t xml:space="preserve">Campamentos e instalaciones</t>
  </si>
  <si>
    <t xml:space="preserve">3003038</t>
  </si>
  <si>
    <t xml:space="preserve">www.altamontana.com.pe</t>
  </si>
  <si>
    <t xml:space="preserve">Cl. Felipe Bargna 1082 Urb. Las Viñas San Luis Lima</t>
  </si>
  <si>
    <t xml:space="preserve">AMBIPAR ENVIRONMENT PERU S.A.C.</t>
  </si>
  <si>
    <t xml:space="preserve">contacto@ambipar.com</t>
  </si>
  <si>
    <t xml:space="preserve">Directorio SSO 2026, pág. PDF 5, 20. Sin contacto nominal; no inventar decisor.</t>
  </si>
  <si>
    <t xml:space="preserve">Agua, análisis, tecnología y productos; Medioambiente: productos y servicios</t>
  </si>
  <si>
    <t xml:space="preserve">0 800 55 077</t>
  </si>
  <si>
    <t xml:space="preserve">www.ambipar.com</t>
  </si>
  <si>
    <t xml:space="preserve">Cl. 23 Mz.Z1 Lt.9B Urb. Cooperativa de Colonización Las Vertientes de la Tablada de Lurín, Villa El Salvador - Lima</t>
  </si>
  <si>
    <t xml:space="preserve">Ameco South America</t>
  </si>
  <si>
    <t xml:space="preserve">Máquinas, herramientas y repuestos</t>
  </si>
  <si>
    <t xml:space="preserve">6168400</t>
  </si>
  <si>
    <t xml:space="preserve">www.amecosa.com</t>
  </si>
  <si>
    <t xml:space="preserve">Av. 28 de Julio 753, Miraflores - Lima</t>
  </si>
  <si>
    <t xml:space="preserve">Amper Electric</t>
  </si>
  <si>
    <t xml:space="preserve">ventas@amperelectric.pe</t>
  </si>
  <si>
    <t xml:space="preserve">Soldadura industrial</t>
  </si>
  <si>
    <t xml:space="preserve">995170676</t>
  </si>
  <si>
    <t xml:space="preserve">www.amperelectric.pe</t>
  </si>
  <si>
    <t xml:space="preserve">Cl. B Mz. C Lt. 33 Urb. Industrial Panamericana - Independencia - Lima</t>
  </si>
  <si>
    <t xml:space="preserve">Ancro S.R.L.</t>
  </si>
  <si>
    <t xml:space="preserve">ventas@ancro.com.pe</t>
  </si>
  <si>
    <t xml:space="preserve">Directorio SSO 2026, pág. PDF 17. Sin contacto nominal; no inventar decisor. Otros emails: atencionalcliente@ancro.com.pe.</t>
  </si>
  <si>
    <t xml:space="preserve">Higiene industrial, saneamiento y limpieza</t>
  </si>
  <si>
    <t xml:space="preserve">3624409 / 964200828</t>
  </si>
  <si>
    <t xml:space="preserve">www.ancro.com.pe</t>
  </si>
  <si>
    <t xml:space="preserve">Av. Los Cipreses 250 Urb. Los Ficus Santa Anita - Lima</t>
  </si>
  <si>
    <t xml:space="preserve">APC Corporación S.A.</t>
  </si>
  <si>
    <t xml:space="preserve">apc@apccorporacion.com</t>
  </si>
  <si>
    <t xml:space="preserve">6271272</t>
  </si>
  <si>
    <t xml:space="preserve">www.apc.com.pe</t>
  </si>
  <si>
    <t xml:space="preserve">Av. José Larco 1232 Edificio WeWork Miraflores - Lima</t>
  </si>
  <si>
    <t xml:space="preserve">APS Ingenieros S.A.C.</t>
  </si>
  <si>
    <t xml:space="preserve">ventas@apsingenieros.com</t>
  </si>
  <si>
    <t xml:space="preserve">Directorio SSO 2026, pág. PDF 17, 20. Sin contacto nominal; no inventar decisor.</t>
  </si>
  <si>
    <t xml:space="preserve">Higiene industrial, saneamiento y limpieza; Medioambiente: productos y servicios</t>
  </si>
  <si>
    <t xml:space="preserve">983515379</t>
  </si>
  <si>
    <t xml:space="preserve">www.apsgrupo.com</t>
  </si>
  <si>
    <t xml:space="preserve">Cl. José Santos Atahualpa 664 Of. 201 Urb. El Trébol Etapa IV Los Olivos - Lima</t>
  </si>
  <si>
    <t xml:space="preserve">Aqua Partes</t>
  </si>
  <si>
    <t xml:space="preserve">ventas@aquapartes.pe</t>
  </si>
  <si>
    <t xml:space="preserve">977607443</t>
  </si>
  <si>
    <t xml:space="preserve">www.aquapartes.pe</t>
  </si>
  <si>
    <t xml:space="preserve">Jr. Juan Chávez Tueros 1235 - 3º Piso Urb. Chacra Rios Sur - Cercado de Lima Lima</t>
  </si>
  <si>
    <t xml:space="preserve">Aquafil S.A.C.</t>
  </si>
  <si>
    <t xml:space="preserve">ventas@aquafil.com.pe</t>
  </si>
  <si>
    <t xml:space="preserve">3376145 / 998143913</t>
  </si>
  <si>
    <t xml:space="preserve">www.aquafil.com.pe</t>
  </si>
  <si>
    <t xml:space="preserve">Jr. Juan Chávez Tueros 1235 Piso 2 Urb. Chacra Ríos Sur, Cercado de Lima Lima</t>
  </si>
  <si>
    <t xml:space="preserve">Aquaplus Technologies Perú S.A.C.</t>
  </si>
  <si>
    <t xml:space="preserve">info@aquaplus.com.pe</t>
  </si>
  <si>
    <t xml:space="preserve">4984094 / 999888157 / 977838549</t>
  </si>
  <si>
    <t xml:space="preserve">www.aquaplus.com.pe</t>
  </si>
  <si>
    <t xml:space="preserve">Av. La Marina 1091 Urb. Benjamín Doig Lossio Etapa 1 - La Perla - Callao</t>
  </si>
  <si>
    <t xml:space="preserve">Arce Geofísicos S.A.C.</t>
  </si>
  <si>
    <t xml:space="preserve">josearce@geofisicos.com.pe</t>
  </si>
  <si>
    <t xml:space="preserve">2069030</t>
  </si>
  <si>
    <t xml:space="preserve">www.geofisicos.com</t>
  </si>
  <si>
    <t xml:space="preserve">Cl. Sevilla 185 Urb. Barboncito Miraflores - Lima</t>
  </si>
  <si>
    <t xml:space="preserve">Atlas Copco Perú S.A.C.</t>
  </si>
  <si>
    <t xml:space="preserve">compresores.peru@pe.atlascopco.com</t>
  </si>
  <si>
    <t xml:space="preserve">Directorio SSO 2026, pág. PDF 19. Sin contacto nominal; no inventar decisor. Duplicado de ID 534 (otro rubro).</t>
  </si>
  <si>
    <t xml:space="preserve">080077877</t>
  </si>
  <si>
    <t xml:space="preserve">www.atlascopco.com.pe</t>
  </si>
  <si>
    <t xml:space="preserve">Av. Los Frutales 115 - Ate - Lima</t>
  </si>
  <si>
    <t xml:space="preserve">Automotriz Cajamarca S.A.C.</t>
  </si>
  <si>
    <t xml:space="preserve">gerencia@automotrizcajamarca.com</t>
  </si>
  <si>
    <t xml:space="preserve">(076) 362545</t>
  </si>
  <si>
    <t xml:space="preserve">Jr. Juan XXIII 101 Br. San Sebastián Cajamarca</t>
  </si>
  <si>
    <t xml:space="preserve">Cajamarca</t>
  </si>
  <si>
    <t xml:space="preserve">B.C. Bearing Perú S.R.L.</t>
  </si>
  <si>
    <t xml:space="preserve">ventas@bcbearing.com.pe</t>
  </si>
  <si>
    <t xml:space="preserve">7195959 / 995950693</t>
  </si>
  <si>
    <t xml:space="preserve">www.bcbearing.com.pe</t>
  </si>
  <si>
    <t xml:space="preserve">Av. Industrial Lt. 18 Urb. Las Praderas de Lurín - Lurín - Lima</t>
  </si>
  <si>
    <t xml:space="preserve">BANFF S.A.</t>
  </si>
  <si>
    <t xml:space="preserve">ventas@banffperu.com</t>
  </si>
  <si>
    <t xml:space="preserve">4378700 / 996372035</t>
  </si>
  <si>
    <t xml:space="preserve">www.banffperu.com</t>
  </si>
  <si>
    <t xml:space="preserve">Av. Circunvalación del Club Golf Los Incas 202 Of. 1003 Santiago de Surco - Lima</t>
  </si>
  <si>
    <t xml:space="preserve">Bertonati Technologies S.A.</t>
  </si>
  <si>
    <t xml:space="preserve">bertonati@bertonati.com.pe</t>
  </si>
  <si>
    <t xml:space="preserve">6313434 / 959749711</t>
  </si>
  <si>
    <t xml:space="preserve">www.bertonati.com.pe</t>
  </si>
  <si>
    <t xml:space="preserve">Av. José Pardo 434 Of. 403 Centro Empresarial Lit One - Miraflores - Lima</t>
  </si>
  <si>
    <t xml:space="preserve">Boyles Bros Diamantina S.A.</t>
  </si>
  <si>
    <t xml:space="preserve">ventas@boyles.com.pe</t>
  </si>
  <si>
    <t xml:space="preserve">6186777</t>
  </si>
  <si>
    <t xml:space="preserve">www.boyles.com.pe</t>
  </si>
  <si>
    <t xml:space="preserve">Av. Santa Ana 180 Urb. Santa Angélica Ate - Lima</t>
  </si>
  <si>
    <t xml:space="preserve">BP Supply S.A.C.</t>
  </si>
  <si>
    <t xml:space="preserve">ventas@bps.com.pe</t>
  </si>
  <si>
    <t xml:space="preserve">4230101 / 954177000</t>
  </si>
  <si>
    <t xml:space="preserve">www.bps.com.pe</t>
  </si>
  <si>
    <t xml:space="preserve">Av. Óscar R. Benavides 299 Cercado de Lima - Lima</t>
  </si>
  <si>
    <t xml:space="preserve">Breyca S.A.C.</t>
  </si>
  <si>
    <t xml:space="preserve">ventas@breyca.com</t>
  </si>
  <si>
    <t xml:space="preserve">7177686</t>
  </si>
  <si>
    <t xml:space="preserve">www.breyca.com</t>
  </si>
  <si>
    <t xml:space="preserve">Av. Naciones Unidas 1221 Cercado de Lima - Lima</t>
  </si>
  <si>
    <t xml:space="preserve">Bring S.A.C.</t>
  </si>
  <si>
    <t xml:space="preserve">administracion@bringonline.biz</t>
  </si>
  <si>
    <t xml:space="preserve">4240086</t>
  </si>
  <si>
    <t xml:space="preserve">www.bringonline.biz</t>
  </si>
  <si>
    <t xml:space="preserve">Av. Arenales 680 - Lima</t>
  </si>
  <si>
    <t xml:space="preserve">C.I.C.A. Ingenieros Consultores Perú S.A.C.</t>
  </si>
  <si>
    <t xml:space="preserve">cicalima@cicaingenieros.com.pe</t>
  </si>
  <si>
    <t xml:space="preserve">5004430</t>
  </si>
  <si>
    <t xml:space="preserve">www.cicaingenieros.com.pe</t>
  </si>
  <si>
    <t xml:space="preserve">Cl. Mayorazgo 120 Dpto.402 Urb. Chacarilla del Estanque San Borja - Lima</t>
  </si>
  <si>
    <t xml:space="preserve">C.T.D.S. S.A.C.</t>
  </si>
  <si>
    <t xml:space="preserve">earriola@ctds.com.pe</t>
  </si>
  <si>
    <t xml:space="preserve">4642440 / 4986314</t>
  </si>
  <si>
    <t xml:space="preserve">www.ctds.com.pe</t>
  </si>
  <si>
    <t xml:space="preserve">Cl. Collagate 516 Urb. Maranga Etapa V - San Miguel - Lima</t>
  </si>
  <si>
    <t xml:space="preserve">Calidad y Ambiente S.A.C.</t>
  </si>
  <si>
    <t xml:space="preserve">mlmayo@calidadyambientesac.com</t>
  </si>
  <si>
    <t xml:space="preserve">Directorio SSO 2026, pág. PDF 20. Sin contacto nominal; no inventar decisor. Otros emails: rene.mayo@calidadyambientesac.com.</t>
  </si>
  <si>
    <t xml:space="preserve">2219161 / 989320083</t>
  </si>
  <si>
    <t xml:space="preserve">www.calidadyambientesac.com</t>
  </si>
  <si>
    <t xml:space="preserve">Av. Conquistadores 850 San Isidro - Lima</t>
  </si>
  <si>
    <t xml:space="preserve">Campamentos Dioses S.A.C.</t>
  </si>
  <si>
    <t xml:space="preserve">info@campamentosdioses.com</t>
  </si>
  <si>
    <t xml:space="preserve">7591936 / 969338036</t>
  </si>
  <si>
    <t xml:space="preserve">www.campamentosdioses.com</t>
  </si>
  <si>
    <t xml:space="preserve">Cl. Pisco Mz. 16 Lt. 23 Asoc. Lomas de Ancón Ancón - Lima</t>
  </si>
  <si>
    <t xml:space="preserve">Camping Center</t>
  </si>
  <si>
    <t xml:space="preserve">ventas@campingperu.com</t>
  </si>
  <si>
    <t xml:space="preserve">2421779 / 958527212</t>
  </si>
  <si>
    <t xml:space="preserve">www.campingperu.com</t>
  </si>
  <si>
    <t xml:space="preserve">Av. Aviación 4853, Santiago de Surco Lima</t>
  </si>
  <si>
    <t xml:space="preserve">Century Ecological Corporation S.A.C. Ecocentury S.A.C.</t>
  </si>
  <si>
    <t xml:space="preserve">ventas@ecocentury.pe</t>
  </si>
  <si>
    <t xml:space="preserve">7137777 / 955893438</t>
  </si>
  <si>
    <t xml:space="preserve">Av. Alameda del Premio Real Mz.P1 Lt.1 Urb. Huertos de Villa - Chorrillos - Lima</t>
  </si>
  <si>
    <t xml:space="preserve">Certimin S.A.</t>
  </si>
  <si>
    <t xml:space="preserve">gerencia.comercial@certimin.pe</t>
  </si>
  <si>
    <t xml:space="preserve">2055656</t>
  </si>
  <si>
    <t xml:space="preserve">www.certiminweb.com</t>
  </si>
  <si>
    <t xml:space="preserve">Av. Las Vegas 845 Zona Industrial San Juan de Miraflores - Lima</t>
  </si>
  <si>
    <t xml:space="preserve">Ceyesa Ingeniería Eléctrica S.A.</t>
  </si>
  <si>
    <t xml:space="preserve">ventas@ceyesa.com.pe</t>
  </si>
  <si>
    <t xml:space="preserve">6268585</t>
  </si>
  <si>
    <t xml:space="preserve">www.ceyesa.com.pe</t>
  </si>
  <si>
    <t xml:space="preserve">Av. Enrique Meiggs 253 Urb. Parque Internacional de Industria y Comercio Callao</t>
  </si>
  <si>
    <t xml:space="preserve">CLB Tecno Lógica</t>
  </si>
  <si>
    <t xml:space="preserve">raquino@clb.com.pe</t>
  </si>
  <si>
    <t xml:space="preserve">3464395</t>
  </si>
  <si>
    <t xml:space="preserve">www.clb.com.pe</t>
  </si>
  <si>
    <t xml:space="preserve">Cl. Murcia 321 Urb. Javier Prado 5ta. Etapa - San Luis - Lima</t>
  </si>
  <si>
    <t xml:space="preserve">Cobres Aleados S.A.C. - TECNOWELD</t>
  </si>
  <si>
    <t xml:space="preserve">ventas@tecnoweld.com.pe</t>
  </si>
  <si>
    <t xml:space="preserve">3368601 / 3368602 / 994269158</t>
  </si>
  <si>
    <t xml:space="preserve">www.tecnoweld.com.pe</t>
  </si>
  <si>
    <t xml:space="preserve">Av. Guillermo Dansey 2050 Z.I. Conde - Cercado de Lima - Lima</t>
  </si>
  <si>
    <t xml:space="preserve">Cold Import S.A.</t>
  </si>
  <si>
    <t xml:space="preserve">info@coldimport.com.pe</t>
  </si>
  <si>
    <t xml:space="preserve">2429100</t>
  </si>
  <si>
    <t xml:space="preserve">www.coldimport.com.pe</t>
  </si>
  <si>
    <t xml:space="preserve">Av. Angamos Oeste 686 - Miraflores Lima</t>
  </si>
  <si>
    <t xml:space="preserve">Collins Enterprises S.A.C.</t>
  </si>
  <si>
    <t xml:space="preserve">ventas@seguridadcollins.com</t>
  </si>
  <si>
    <t xml:space="preserve">Directorio SSO 2026, pág. PDF 12. Sin contacto nominal; no inventar decisor.</t>
  </si>
  <si>
    <t xml:space="preserve">2790466 / 999455761</t>
  </si>
  <si>
    <t xml:space="preserve">www.seguridadcollins.com</t>
  </si>
  <si>
    <t xml:space="preserve">Cl. Los Laureles 124 Oficina 206B y 207B, Santiago de Surco - Lima</t>
  </si>
  <si>
    <t xml:space="preserve">Comercial Industrial Delta S.A. CIDELSA</t>
  </si>
  <si>
    <t xml:space="preserve">info@cidelsa.com</t>
  </si>
  <si>
    <t xml:space="preserve">992768385</t>
  </si>
  <si>
    <t xml:space="preserve">www.cidelsa.com</t>
  </si>
  <si>
    <t xml:space="preserve">Av. Los Flamencos Mz.F Lt.5-6 Urb. Santa Genoveva, Lurín - Lima</t>
  </si>
  <si>
    <t xml:space="preserve">Concrefab</t>
  </si>
  <si>
    <t xml:space="preserve">ventas@concrefab.com</t>
  </si>
  <si>
    <t xml:space="preserve">943548238</t>
  </si>
  <si>
    <t xml:space="preserve">www.concrefab.pe</t>
  </si>
  <si>
    <t xml:space="preserve">Cl. Los Tulipanes 147 Santiago de Surco - Lima</t>
  </si>
  <si>
    <t xml:space="preserve">Corporación Uezu</t>
  </si>
  <si>
    <t xml:space="preserve">corporacion@uezuperu.com</t>
  </si>
  <si>
    <t xml:space="preserve">4717949</t>
  </si>
  <si>
    <t xml:space="preserve">www.uezuperu.com</t>
  </si>
  <si>
    <t xml:space="preserve">Av. Argentina 360 - Callao</t>
  </si>
  <si>
    <t xml:space="preserve">Corporación Vettoretti S.A.C.</t>
  </si>
  <si>
    <t xml:space="preserve">informes@corporacionvettoretti.com</t>
  </si>
  <si>
    <t xml:space="preserve">4078695 / 999909800</t>
  </si>
  <si>
    <t xml:space="preserve">www.corporacionvettoretti.com</t>
  </si>
  <si>
    <t xml:space="preserve">Cl. El Cortijo 169, Salamanca - Lima</t>
  </si>
  <si>
    <t xml:space="preserve">Crosland Técnica S.A.</t>
  </si>
  <si>
    <t xml:space="preserve">recepcion@crosland.com.pe</t>
  </si>
  <si>
    <t xml:space="preserve">6135272</t>
  </si>
  <si>
    <t xml:space="preserve">www.crosland.com.pe</t>
  </si>
  <si>
    <t xml:space="preserve">Av. Augusto Pérez Araníbar 1872 San Isidro - Lima</t>
  </si>
  <si>
    <t xml:space="preserve">Crubher S.R.L.</t>
  </si>
  <si>
    <t xml:space="preserve">info@crubher.com</t>
  </si>
  <si>
    <t xml:space="preserve">963963963</t>
  </si>
  <si>
    <t xml:space="preserve">www.crubher.com.pe</t>
  </si>
  <si>
    <t xml:space="preserve">Av. República de Argentina 2577 Urb. Conde de las Torres - Cercado de Lima - Lima</t>
  </si>
  <si>
    <t xml:space="preserve">Damasold S.A.C.</t>
  </si>
  <si>
    <t xml:space="preserve">ventasprovincias@damasold.com</t>
  </si>
  <si>
    <t xml:space="preserve">(01) 3235451 / 956158442</t>
  </si>
  <si>
    <t xml:space="preserve">www.damasold.com</t>
  </si>
  <si>
    <t xml:space="preserve">Av. México 1380 Of. A - La Victoria Lima</t>
  </si>
  <si>
    <t xml:space="preserve">Diamire S.R.L.</t>
  </si>
  <si>
    <t xml:space="preserve">info@diamire.com</t>
  </si>
  <si>
    <t xml:space="preserve">Directorio SSO 2026, pág. PDF 17. Sin contacto nominal; no inventar decisor. Otros emails: atencionalcliente@diamire.com.</t>
  </si>
  <si>
    <t xml:space="preserve">981028298 / 998706241</t>
  </si>
  <si>
    <t xml:space="preserve">www.diamire.com</t>
  </si>
  <si>
    <t xml:space="preserve">Av. Benavides 5251-5255 Urb. Las Gardenias - Santiago de Surco Lima</t>
  </si>
  <si>
    <t xml:space="preserve">Diprem Global Services</t>
  </si>
  <si>
    <t xml:space="preserve">consultas@diprem.com</t>
  </si>
  <si>
    <t xml:space="preserve">+54 9 11 6820-2515</t>
  </si>
  <si>
    <t xml:space="preserve">www.diprem.co</t>
  </si>
  <si>
    <t xml:space="preserve">Calle Begonias 441 Piso 9, San Isidro - Lima</t>
  </si>
  <si>
    <t xml:space="preserve">Diprosol Perú S.A.C.</t>
  </si>
  <si>
    <t xml:space="preserve">ventas@diprosol.com.pe</t>
  </si>
  <si>
    <t xml:space="preserve">923081639</t>
  </si>
  <si>
    <t xml:space="preserve">www.diprosol.com.pe</t>
  </si>
  <si>
    <t xml:space="preserve">Av. Alejandro Velasco Astete 2371 Santiago de Surco - Lima</t>
  </si>
  <si>
    <t xml:space="preserve">Diveimport S.A.</t>
  </si>
  <si>
    <t xml:space="preserve">callcenter@divemotor.com.pe</t>
  </si>
  <si>
    <t xml:space="preserve">7122000</t>
  </si>
  <si>
    <t xml:space="preserve">www.divemotor.com</t>
  </si>
  <si>
    <t xml:space="preserve">Av. Nicolás Arriola 500 Urb. Santa Catalina La Victoria - Lima</t>
  </si>
  <si>
    <t xml:space="preserve">Divesa Service S.A.</t>
  </si>
  <si>
    <t xml:space="preserve">ventas@divesaservice.com</t>
  </si>
  <si>
    <t xml:space="preserve">999715563</t>
  </si>
  <si>
    <t xml:space="preserve">www.divesaservice.com</t>
  </si>
  <si>
    <t xml:space="preserve">Jr. Pomabamba 578 Urb. Chacra Colorada Breña - Lima</t>
  </si>
  <si>
    <t xml:space="preserve">Electro Conductores Peruanos S.A.C.</t>
  </si>
  <si>
    <t xml:space="preserve">ventas@elcope.com.pe</t>
  </si>
  <si>
    <t xml:space="preserve">6602652</t>
  </si>
  <si>
    <t xml:space="preserve">www.elcope.com.pe</t>
  </si>
  <si>
    <t xml:space="preserve">Cl. Las Camelias Mz. D Lt. 5 Urb. Huertos de Pachacamac Lurín - Lima</t>
  </si>
  <si>
    <t xml:space="preserve">Electro Enchufe S.A.C.</t>
  </si>
  <si>
    <t xml:space="preserve">ventas@electroenchufeperu.com</t>
  </si>
  <si>
    <t xml:space="preserve">2013760 / 956330879</t>
  </si>
  <si>
    <t xml:space="preserve">www.electroenchufe.com</t>
  </si>
  <si>
    <t xml:space="preserve">Av. Óscar R. Benavides 405 Cercado de Lima - Lima</t>
  </si>
  <si>
    <t xml:space="preserve">Electro G &amp; S Ingenieros S.A.C.</t>
  </si>
  <si>
    <t xml:space="preserve">ventas@electrogs.com</t>
  </si>
  <si>
    <t xml:space="preserve">5755590 / 975114360</t>
  </si>
  <si>
    <t xml:space="preserve">www.electrogs.com</t>
  </si>
  <si>
    <t xml:space="preserve">Av. Japón Cdra. 15 Mz. B Lt. 9 Urb. El Álamo - Callao</t>
  </si>
  <si>
    <t xml:space="preserve">Energotec S.A.C.</t>
  </si>
  <si>
    <t xml:space="preserve">ventas@energotecsac.com</t>
  </si>
  <si>
    <t xml:space="preserve">3487570 / 964986710</t>
  </si>
  <si>
    <t xml:space="preserve">www.energotecsac.com</t>
  </si>
  <si>
    <t xml:space="preserve">Cl. Los Plásticos 204 Urb. Vulcano Ate - Lima</t>
  </si>
  <si>
    <t xml:space="preserve">Epli S.A.C.</t>
  </si>
  <si>
    <t xml:space="preserve">info@epli.com.pe</t>
  </si>
  <si>
    <t xml:space="preserve">994139018</t>
  </si>
  <si>
    <t xml:space="preserve">www.epli.com.pe</t>
  </si>
  <si>
    <t xml:space="preserve">Jr. Tarapoto 1157, Breña - Lima</t>
  </si>
  <si>
    <t xml:space="preserve">Equipos y Herramientas S.A.</t>
  </si>
  <si>
    <t xml:space="preserve">cotizacionweb@equiposperu.com</t>
  </si>
  <si>
    <t xml:space="preserve">970388830 / 998150218</t>
  </si>
  <si>
    <t xml:space="preserve">www.equiposperu.com</t>
  </si>
  <si>
    <t xml:space="preserve">Av. Javier Prado Este 1127 La Victoria - Lima</t>
  </si>
  <si>
    <t xml:space="preserve">Fabricaciones Metálicas Carranza S.A.C.</t>
  </si>
  <si>
    <t xml:space="preserve">ventas@fameca.com.pe</t>
  </si>
  <si>
    <t xml:space="preserve">(044) 203047 / 948337488</t>
  </si>
  <si>
    <t xml:space="preserve">www.fameca.com.pe</t>
  </si>
  <si>
    <t xml:space="preserve">Car. Panamericana Norte Km. 561 Z.I. Pque. Industrial Sur Moche¡ - La Libertad</t>
  </si>
  <si>
    <t xml:space="preserve">Facogem Industrial S.C.R.L.</t>
  </si>
  <si>
    <t xml:space="preserve">facogemi@facogemi.com.pe</t>
  </si>
  <si>
    <t xml:space="preserve">(054) 234322 / (054) 222615 / 958512954 / 959863620</t>
  </si>
  <si>
    <t xml:space="preserve">www.facogemi.com.pe</t>
  </si>
  <si>
    <t xml:space="preserve">Av. Olímpica 302 Of. 2 Urb. lV Centenario - Arequipa</t>
  </si>
  <si>
    <t xml:space="preserve">Famai Seal Jet S.A.C.</t>
  </si>
  <si>
    <t xml:space="preserve">arequipa@famaisealjet.com</t>
  </si>
  <si>
    <t xml:space="preserve">(054) 232827 / 960237375</t>
  </si>
  <si>
    <t xml:space="preserve">www.famaisealjet.com</t>
  </si>
  <si>
    <t xml:space="preserve">Cl. Jacinto Ibáñez 510 Parque Industrial Arequipa</t>
  </si>
  <si>
    <t xml:space="preserve">Febitek S.R.L.</t>
  </si>
  <si>
    <t xml:space="preserve">ventas@febitek.com</t>
  </si>
  <si>
    <t xml:space="preserve">5573031 / 981433553</t>
  </si>
  <si>
    <t xml:space="preserve">www.febitek.com</t>
  </si>
  <si>
    <t xml:space="preserve">Av. Los Pinos 1454 Urb. El Pinar Etp. II - Comas - Lima</t>
  </si>
  <si>
    <t xml:space="preserve">Ferreyros S.A.</t>
  </si>
  <si>
    <t xml:space="preserve">clientes@ferreyros.com.pe</t>
  </si>
  <si>
    <t xml:space="preserve">(01) 6264000 / 988474662</t>
  </si>
  <si>
    <t xml:space="preserve">www.ferreyros.com.pe</t>
  </si>
  <si>
    <t xml:space="preserve">Jr. Cristóbal de Peralta Norte 820 Urb. San Idelfonso - Santiago de Surco Lima</t>
  </si>
  <si>
    <t xml:space="preserve">Festo S.R.L.</t>
  </si>
  <si>
    <t xml:space="preserve">ventas.pe@festo.com</t>
  </si>
  <si>
    <t xml:space="preserve">2196960</t>
  </si>
  <si>
    <t xml:space="preserve">www.festo.com</t>
  </si>
  <si>
    <t xml:space="preserve">Av. Circunvalación del Golf Los Incas 134 Of. 401 Centro Empresarial Panorama Torre II, Santiago de Surco - Lima</t>
  </si>
  <si>
    <t xml:space="preserve">FGA Ingenieros S.A.</t>
  </si>
  <si>
    <t xml:space="preserve">ventas@fga.com.pe</t>
  </si>
  <si>
    <t xml:space="preserve">943743032</t>
  </si>
  <si>
    <t xml:space="preserve">www.fga.com.pe</t>
  </si>
  <si>
    <t xml:space="preserve">Av. Circunvalación Golf Los Incas 208 Of. 1406 A, Santiago de Surco Lima</t>
  </si>
  <si>
    <t xml:space="preserve">G &amp; G Industrial S.R.L.</t>
  </si>
  <si>
    <t xml:space="preserve">marketing@gygindustrial.com</t>
  </si>
  <si>
    <t xml:space="preserve">Directorio SSO 2026, pág. PDF 17, 35. Sin contacto nominal; no inventar decisor.</t>
  </si>
  <si>
    <t xml:space="preserve">Higiene industrial, saneamiento y limpieza; Ventilación industrial y subterránea</t>
  </si>
  <si>
    <t xml:space="preserve">2746644 / 2746648 / 983460250</t>
  </si>
  <si>
    <t xml:space="preserve">www.gygindustrial.com</t>
  </si>
  <si>
    <t xml:space="preserve">Av. Santiago de Surco 4703 Urb. Benavides - Santiago de Surco - Lima</t>
  </si>
  <si>
    <t xml:space="preserve">Global Code Technology</t>
  </si>
  <si>
    <t xml:space="preserve">info@globalcodetechnology.com</t>
  </si>
  <si>
    <t xml:space="preserve">914690359</t>
  </si>
  <si>
    <t xml:space="preserve">www.globalcodetechnology.com</t>
  </si>
  <si>
    <t xml:space="preserve">Av. Javier Prado Este 560 San Isidro - Lima</t>
  </si>
  <si>
    <t xml:space="preserve">GN Solutions Perú E.I.R.L.</t>
  </si>
  <si>
    <t xml:space="preserve">ochavez@gnsolutions.com.pe</t>
  </si>
  <si>
    <t xml:space="preserve">6583866 / 954637373</t>
  </si>
  <si>
    <t xml:space="preserve">www.gnsolutions.com.pe</t>
  </si>
  <si>
    <t xml:space="preserve">Av. Alfredo Benavides 3453, Interior Tienda 18, Santiago de Surco - Lima</t>
  </si>
  <si>
    <t xml:space="preserve">Green Care del Perú S.A.</t>
  </si>
  <si>
    <t xml:space="preserve">2032580</t>
  </si>
  <si>
    <t xml:space="preserve">www.greencareperu.com</t>
  </si>
  <si>
    <t xml:space="preserve">Av. de la Revolución 648 Urb. Zona Industrial, Ventanilla - Callao Anexo 110</t>
  </si>
  <si>
    <t xml:space="preserve">Grupo de Soluciones Ambientales Perú S.A.C.</t>
  </si>
  <si>
    <t xml:space="preserve">alonsop@proambiental.pe</t>
  </si>
  <si>
    <t xml:space="preserve">997051394 / 968002530</t>
  </si>
  <si>
    <t xml:space="preserve">www.proambiental.pe</t>
  </si>
  <si>
    <t xml:space="preserve">Av. Comandante Espinar 435 Int.1102 Urb. Chacarilla Santa Cruz El Rosario Miraflores - Lima</t>
  </si>
  <si>
    <t xml:space="preserve">Grupo Fercor</t>
  </si>
  <si>
    <t xml:space="preserve">ventas@grupofercor.com.pe</t>
  </si>
  <si>
    <t xml:space="preserve">947200465</t>
  </si>
  <si>
    <t xml:space="preserve">www.grupofercor.com.pe</t>
  </si>
  <si>
    <t xml:space="preserve">Cl. Manuel Mesones 667 Of. 304 Los Olivos - Lima</t>
  </si>
  <si>
    <t xml:space="preserve">Grupo Odesa S.A.C.</t>
  </si>
  <si>
    <t xml:space="preserve">informes@odesacorp.com</t>
  </si>
  <si>
    <t xml:space="preserve">7397828 / 905975974</t>
  </si>
  <si>
    <t xml:space="preserve">www.odesacorp.com</t>
  </si>
  <si>
    <t xml:space="preserve">Av. Javier Prado Este 560 Oficina 2302 San Isidro - Lima</t>
  </si>
  <si>
    <t xml:space="preserve">Grupo Raubet S.A.C.</t>
  </si>
  <si>
    <t xml:space="preserve">ventas@raubet.com</t>
  </si>
  <si>
    <t xml:space="preserve">7134345 / 989032691</t>
  </si>
  <si>
    <t xml:space="preserve">www.raubet.com</t>
  </si>
  <si>
    <t xml:space="preserve">Cl. Antares Norte 436 Int. A Urb. Ventura Rossi, Rímac - Lima</t>
  </si>
  <si>
    <t xml:space="preserve">Grupo Shanoc S.A.</t>
  </si>
  <si>
    <t xml:space="preserve">atencionalcliente@gruposhanoc.com</t>
  </si>
  <si>
    <t xml:space="preserve">2071300 / 937411489</t>
  </si>
  <si>
    <t xml:space="preserve">www.gruposhanoc.com</t>
  </si>
  <si>
    <t xml:space="preserve">Cl. René Descartes 200 Urb. Santa Raquel - Ate - Lima Anexo 109</t>
  </si>
  <si>
    <t xml:space="preserve">Help Med</t>
  </si>
  <si>
    <t xml:space="preserve">ventas@helpmed.pe</t>
  </si>
  <si>
    <t xml:space="preserve">(01) 5588881 / 933691841</t>
  </si>
  <si>
    <t xml:space="preserve">www.helpmed.pe</t>
  </si>
  <si>
    <t xml:space="preserve">Jr. Luna Pizarro 954, Urb. Tejada Alta Barranco - Lima</t>
  </si>
  <si>
    <t xml:space="preserve">Herramientas Mineras S.R.L.</t>
  </si>
  <si>
    <t xml:space="preserve">ventas@herminperu.com</t>
  </si>
  <si>
    <t xml:space="preserve">(054) 477884 / 963701328</t>
  </si>
  <si>
    <t xml:space="preserve">www.herminperu.com</t>
  </si>
  <si>
    <t xml:space="preserve">Mz. I Lt.5 Asociación Vivienda Peruarbo Sector Perú III , Cerro Colorado - Arequipa</t>
  </si>
  <si>
    <t xml:space="preserve">Higseg E.I.R.L.</t>
  </si>
  <si>
    <t xml:space="preserve">marketing@higsegeirl.com</t>
  </si>
  <si>
    <t xml:space="preserve">4727222</t>
  </si>
  <si>
    <t xml:space="preserve">www.higsegeirl.com</t>
  </si>
  <si>
    <t xml:space="preserve">Cl. Parque Sergio Bernales 237 Urb. Santa Catalina - La Victoria - Lima Anexo 230</t>
  </si>
  <si>
    <t xml:space="preserve">Hispe S.A.C.</t>
  </si>
  <si>
    <t xml:space="preserve">ventas@hispe.com.pe</t>
  </si>
  <si>
    <t xml:space="preserve">Directorio SSO 2026, pág. PDF 7. Sin contacto nominal; no inventar decisor. Otros emails: informes@hispe.com.pe.</t>
  </si>
  <si>
    <t xml:space="preserve">947123481</t>
  </si>
  <si>
    <t xml:space="preserve">www.hispe.com.pe</t>
  </si>
  <si>
    <t xml:space="preserve">Mz. E Lt. 12A Asc. Agrupación Agropecuaria Súmac Pacha (Alt. Km. 37.2 de la Panamericana Sur) Lurín - Lima</t>
  </si>
  <si>
    <t xml:space="preserve">Hydrex Ingeniería y Construcción S.A.C.</t>
  </si>
  <si>
    <t xml:space="preserve">hydrex@hydrex.pe</t>
  </si>
  <si>
    <t xml:space="preserve">981154516</t>
  </si>
  <si>
    <t xml:space="preserve">www.hydrex.pe</t>
  </si>
  <si>
    <t xml:space="preserve">Av. Javier Prado Este 6210 Of. 205 La Molina - Lima</t>
  </si>
  <si>
    <t xml:space="preserve">Igardi Herramientas S.A.</t>
  </si>
  <si>
    <t xml:space="preserve">igardiweb@igardi.com</t>
  </si>
  <si>
    <t xml:space="preserve">934557091</t>
  </si>
  <si>
    <t xml:space="preserve">www.igardi.com</t>
  </si>
  <si>
    <t xml:space="preserve">Av. Javier Prado Este 1131 La Victoria - Lima</t>
  </si>
  <si>
    <t xml:space="preserve">Implementos Perú S.A.C.</t>
  </si>
  <si>
    <t xml:space="preserve">atencionalcliente@implementos.com.pe</t>
  </si>
  <si>
    <t xml:space="preserve">5124490 / 958965515</t>
  </si>
  <si>
    <t xml:space="preserve">www.implementos.com.pe</t>
  </si>
  <si>
    <t xml:space="preserve">Av. Argentina 4090 Urb.Tarapacá - Callao</t>
  </si>
  <si>
    <t xml:space="preserve">Importaciones &amp; Tecnologías S.C.R.L.</t>
  </si>
  <si>
    <t xml:space="preserve">ventas@imptec.com.pe</t>
  </si>
  <si>
    <t xml:space="preserve">7137980</t>
  </si>
  <si>
    <t xml:space="preserve">www.imptec.com.pe</t>
  </si>
  <si>
    <t xml:space="preserve">Av. Elmer Faucett 339-341 San Miguel - Lima</t>
  </si>
  <si>
    <t xml:space="preserve">Indal Construcciones Metálicas S.R.L.</t>
  </si>
  <si>
    <t xml:space="preserve">contacto@indalperu.com</t>
  </si>
  <si>
    <t xml:space="preserve">3760510 / 998151448</t>
  </si>
  <si>
    <t xml:space="preserve">www.indalperu.com</t>
  </si>
  <si>
    <t xml:space="preserve">Jr. Los Cinceles 361 Urb. Las Flores San Juan de Lurigancho - Lima</t>
  </si>
  <si>
    <t xml:space="preserve">INDECO S.A.</t>
  </si>
  <si>
    <t xml:space="preserve">2054800</t>
  </si>
  <si>
    <t xml:space="preserve">www.nexans.pe</t>
  </si>
  <si>
    <t xml:space="preserve">Av. Universitaria Sur 583 Cercado de Lima - Lima</t>
  </si>
  <si>
    <t xml:space="preserve">Indelat S.A.C.</t>
  </si>
  <si>
    <t xml:space="preserve">mineria@indelat.com</t>
  </si>
  <si>
    <t xml:space="preserve">4858295</t>
  </si>
  <si>
    <t xml:space="preserve">www.indelat.com</t>
  </si>
  <si>
    <t xml:space="preserve">Av. El Pacífico 397 Urb. Industrial Panamericana Norte - Independencia Lima</t>
  </si>
  <si>
    <t xml:space="preserve">Industrial Technology S.A. - INTECH</t>
  </si>
  <si>
    <t xml:space="preserve">ventas@intech-sa.com</t>
  </si>
  <si>
    <t xml:space="preserve">3485858 / 940874616</t>
  </si>
  <si>
    <t xml:space="preserve">www.intech-sa.com</t>
  </si>
  <si>
    <t xml:space="preserve">Cl. Los Calderos 237 Urb. Industrial Vulcano - Ate - Lima</t>
  </si>
  <si>
    <t xml:space="preserve">Industrias Nacol S.A.C.</t>
  </si>
  <si>
    <t xml:space="preserve">ventassulfatos@nacolperu.com</t>
  </si>
  <si>
    <t xml:space="preserve">4126000 / 981389671</t>
  </si>
  <si>
    <t xml:space="preserve">www.nacolperu.com</t>
  </si>
  <si>
    <t xml:space="preserve">Cl. Fray Martín de Murúa 150 Of. 504 Urb. Maranga - San Miguel - Lima</t>
  </si>
  <si>
    <t xml:space="preserve">INET S.AC.</t>
  </si>
  <si>
    <t xml:space="preserve">ventas@inet.com.pe</t>
  </si>
  <si>
    <t xml:space="preserve">5314949 / 981345768</t>
  </si>
  <si>
    <t xml:space="preserve">www.inet.com.pe</t>
  </si>
  <si>
    <t xml:space="preserve">Av. Universitaria 1619 Asoc. María Gracia de Antares San Martín de Porres - Lima</t>
  </si>
  <si>
    <t xml:space="preserve">Interandes Assist S.A.C. - GWA Medical</t>
  </si>
  <si>
    <t xml:space="preserve">comercial@gwamedical.com</t>
  </si>
  <si>
    <t xml:space="preserve">966287933</t>
  </si>
  <si>
    <t xml:space="preserve">www.gwamedical.com</t>
  </si>
  <si>
    <t xml:space="preserve">Cl. Las Turmalinas 177 Urb. Benjamín Doig, La Perla - Callao</t>
  </si>
  <si>
    <t xml:space="preserve">Internacional de Maquinarias S.A.C.</t>
  </si>
  <si>
    <t xml:space="preserve">intermaq@intermaqsac.com</t>
  </si>
  <si>
    <t xml:space="preserve">4800935 / 995743828 / 999958266</t>
  </si>
  <si>
    <t xml:space="preserve">www.intermaqsac.com</t>
  </si>
  <si>
    <t xml:space="preserve">Av. Los Próceres 1051 Int. 301 Urb. Honor y Lealtad Santiago de Surco - Lima</t>
  </si>
  <si>
    <t xml:space="preserve">International Wheel S.A.C.</t>
  </si>
  <si>
    <t xml:space="preserve">servicioventas@internationalwheel.com.pe</t>
  </si>
  <si>
    <t xml:space="preserve">4487366 / 999095587</t>
  </si>
  <si>
    <t xml:space="preserve">www.internationalwheel.com.pe</t>
  </si>
  <si>
    <t xml:space="preserve">Cl. David Roca Norte Mz.L Lt.18 Urb. Liguria, Santiago de Surco - Lima</t>
  </si>
  <si>
    <t xml:space="preserve">Isetek S.A.</t>
  </si>
  <si>
    <t xml:space="preserve">972734598</t>
  </si>
  <si>
    <t xml:space="preserve">www.isetek.com.pe</t>
  </si>
  <si>
    <t xml:space="preserve">Av. Alberto Alexander 2201 - Lince Lima</t>
  </si>
  <si>
    <t xml:space="preserve">Italsolder S.A.C.</t>
  </si>
  <si>
    <t xml:space="preserve">info@italsolder.com</t>
  </si>
  <si>
    <t xml:space="preserve">3328295 / 912715810</t>
  </si>
  <si>
    <t xml:space="preserve">www.italsolder.com</t>
  </si>
  <si>
    <t xml:space="preserve">Av. Guillermo Dansey 1180 Cercado de Lima - Lima</t>
  </si>
  <si>
    <t xml:space="preserve">Kaeser Compresores del Perú S.R.L.</t>
  </si>
  <si>
    <t xml:space="preserve">info.peru@kaeser.com</t>
  </si>
  <si>
    <t xml:space="preserve">7119962 / 95187512</t>
  </si>
  <si>
    <t xml:space="preserve">www.pe.kaeser.com</t>
  </si>
  <si>
    <t xml:space="preserve">Panamericana Sur km 38 Centro Logístico BSF Almacenes Of. B26 Punta Hermosa - Lima</t>
  </si>
  <si>
    <t xml:space="preserve">Klimatechnik S.A.C.</t>
  </si>
  <si>
    <t xml:space="preserve">ktperu@ktperu.com</t>
  </si>
  <si>
    <t xml:space="preserve">2914349 / 998374366</t>
  </si>
  <si>
    <t xml:space="preserve">www.ktperu.com</t>
  </si>
  <si>
    <t xml:space="preserve">Cl. Los Estampados s/n Mz. 12 Lt. 16 Parcela 1 Del Parque Industrial Villa El Salvador - Lima</t>
  </si>
  <si>
    <t xml:space="preserve">Klohn Crippen Berger S.A.</t>
  </si>
  <si>
    <t xml:space="preserve">6104800</t>
  </si>
  <si>
    <t xml:space="preserve">www.klohn.com</t>
  </si>
  <si>
    <t xml:space="preserve">Av. Alfredo Benavides 768 Of. 801 Miraflores - Lima</t>
  </si>
  <si>
    <t xml:space="preserve">Komatsu Mitsui Maquinarias Perú S.A.</t>
  </si>
  <si>
    <t xml:space="preserve">contacto.komatsu@kmmp.com.pe</t>
  </si>
  <si>
    <t xml:space="preserve">6158400 / 982504661</t>
  </si>
  <si>
    <t xml:space="preserve">www.kmmp.com.pe</t>
  </si>
  <si>
    <t xml:space="preserve">Av. Argentina 4453 - Callao</t>
  </si>
  <si>
    <t xml:space="preserve">Lee Filter del Perú S.A.</t>
  </si>
  <si>
    <t xml:space="preserve">leefilter@purolator.com.pe</t>
  </si>
  <si>
    <t xml:space="preserve">3261343 / 998366721</t>
  </si>
  <si>
    <t xml:space="preserve">www.purolator.com.pe</t>
  </si>
  <si>
    <t xml:space="preserve">Cl. Marie Curie 381 Z.I Santa Rosa Ate - Lima</t>
  </si>
  <si>
    <t xml:space="preserve">Lepsa S.A.C.</t>
  </si>
  <si>
    <t xml:space="preserve">ventas@lepsa.com</t>
  </si>
  <si>
    <t xml:space="preserve">7481423</t>
  </si>
  <si>
    <t xml:space="preserve">www.lepsa.com</t>
  </si>
  <si>
    <t xml:space="preserve">Jr. Las Gardenias Mz. D Lt. 14 Urb. Las Praderas de Lurín Lurín - Lima</t>
  </si>
  <si>
    <t xml:space="preserve">Limpsa Servicios Generales S.A.C.</t>
  </si>
  <si>
    <t xml:space="preserve">contacto@limpsa.com.pe</t>
  </si>
  <si>
    <t xml:space="preserve">(044) 340310</t>
  </si>
  <si>
    <t xml:space="preserve">www.limpsa.com.pe</t>
  </si>
  <si>
    <t xml:space="preserve">Av. Víctor Haya de La Torre Mz. K-3 Lt. 10 Urb. San Andrés Etp. V Víctor Larco Herrera Trujillo - La Libertad</t>
  </si>
  <si>
    <t xml:space="preserve">Limtek Servicios Integrales S.A.</t>
  </si>
  <si>
    <t xml:space="preserve">2084490 / 934643454</t>
  </si>
  <si>
    <t xml:space="preserve">www.limtek.pe</t>
  </si>
  <si>
    <t xml:space="preserve">Av. Los Faisanes 420 P. 2 Urb. La Campiña, Chorrillos - Lima</t>
  </si>
  <si>
    <t xml:space="preserve">Linde Perú S.R.L.</t>
  </si>
  <si>
    <t xml:space="preserve">pedidos@lindeperu.com</t>
  </si>
  <si>
    <t xml:space="preserve">080022520</t>
  </si>
  <si>
    <t xml:space="preserve">www.linde.pe</t>
  </si>
  <si>
    <t xml:space="preserve">Av. Alfredo Benavides 801 Of. 1102 Miraflores - Lima</t>
  </si>
  <si>
    <t xml:space="preserve">Luvegi Ingenieros S.A.</t>
  </si>
  <si>
    <t xml:space="preserve">ventas@luvegi.com</t>
  </si>
  <si>
    <t xml:space="preserve">991999471</t>
  </si>
  <si>
    <t xml:space="preserve">www.luvegi.com</t>
  </si>
  <si>
    <t xml:space="preserve">Pj. Sáenz Peña 16, Breña - Lima</t>
  </si>
  <si>
    <t xml:space="preserve">Maletek Perú S.A.C.</t>
  </si>
  <si>
    <t xml:space="preserve">ventas@maletek.com.pe</t>
  </si>
  <si>
    <t xml:space="preserve">7172149 / 924483805</t>
  </si>
  <si>
    <t xml:space="preserve">www.maletek.com.pe</t>
  </si>
  <si>
    <t xml:space="preserve">Jr. Juan de Arona 755 Piso 2 San Isidro - Lima</t>
  </si>
  <si>
    <t xml:space="preserve">Mannucci Diesel S.A.C.</t>
  </si>
  <si>
    <t xml:space="preserve">contacto@mannuccidiesel.com</t>
  </si>
  <si>
    <t xml:space="preserve">(044) 235481</t>
  </si>
  <si>
    <t xml:space="preserve">www.mannuccidiesel.pe</t>
  </si>
  <si>
    <t xml:space="preserve">Predio El Palmo B1, B2 - Carretera Industrial, Valle Moche - Trujillo La Libertad</t>
  </si>
  <si>
    <t xml:space="preserve">Maquinarias y Equipos del Perú S.A.</t>
  </si>
  <si>
    <t xml:space="preserve">ventas@maquiperu.com</t>
  </si>
  <si>
    <t xml:space="preserve">7198800 / 999792283</t>
  </si>
  <si>
    <t xml:space="preserve">www.maquiperu.com</t>
  </si>
  <si>
    <t xml:space="preserve">Av. Nicolás Ayllón 1820-1830 Urb. El Pino - San Luis - Lima</t>
  </si>
  <si>
    <t xml:space="preserve">Mauricio Hochschild Ingeniería y Servicios</t>
  </si>
  <si>
    <t xml:space="preserve">ventas@mhis.com.pe</t>
  </si>
  <si>
    <t xml:space="preserve">6281957</t>
  </si>
  <si>
    <t xml:space="preserve">www.mhis.com.pe</t>
  </si>
  <si>
    <t xml:space="preserve">Av. Separadora Industrial 751 Urb. Miguel Grau - Ate - Lima</t>
  </si>
  <si>
    <t xml:space="preserve">Megasupply S.C.R.L.</t>
  </si>
  <si>
    <t xml:space="preserve">ventas@megasupplyperu.com</t>
  </si>
  <si>
    <t xml:space="preserve">Directorio SSO 2026, pág. PDF 18, 19. Sin contacto nominal; no inventar decisor.</t>
  </si>
  <si>
    <t xml:space="preserve">Iluminación industrial; Máquinas, herramientas y repuestos</t>
  </si>
  <si>
    <t xml:space="preserve">4980221 / 986617537</t>
  </si>
  <si>
    <t xml:space="preserve">www.megasupplyperu.com</t>
  </si>
  <si>
    <t xml:space="preserve">Cl. Juan José Pardo 208, La Perla Callao</t>
  </si>
  <si>
    <t xml:space="preserve">Misión Médica S.A.C.</t>
  </si>
  <si>
    <t xml:space="preserve">informes@misionmedicaperu.com</t>
  </si>
  <si>
    <t xml:space="preserve">Directorio SSO 2026, pág. PDF 6. Sin contacto nominal; no inventar decisor. Otros emails: comercial@misionmedicaperu.com.</t>
  </si>
  <si>
    <t xml:space="preserve">4357777</t>
  </si>
  <si>
    <t xml:space="preserve">www.misionmedicaperu.com</t>
  </si>
  <si>
    <t xml:space="preserve">Av. Javier Prado Este 3542 San Borja - Lima</t>
  </si>
  <si>
    <t xml:space="preserve">Mitsui Automotriz S.A.</t>
  </si>
  <si>
    <t xml:space="preserve">7060990</t>
  </si>
  <si>
    <t xml:space="preserve">www.mitsuiautomotriz.com</t>
  </si>
  <si>
    <t xml:space="preserve">Av. Javier Prado Este 6042 Urb. San César - La Molina - Lima</t>
  </si>
  <si>
    <t xml:space="preserve">Motorex S.A.</t>
  </si>
  <si>
    <t xml:space="preserve">ventas@motorex.com.pe</t>
  </si>
  <si>
    <t xml:space="preserve">Directorio SSO 2026, pág. PDF 12, 36. Sin contacto nominal; no inventar decisor.</t>
  </si>
  <si>
    <t xml:space="preserve">Electricidad industrial; Ventilación industrial y subterránea</t>
  </si>
  <si>
    <t xml:space="preserve">2009000 / 912517713</t>
  </si>
  <si>
    <t xml:space="preserve">www.motorex.com.pe</t>
  </si>
  <si>
    <t xml:space="preserve">Av. Javier Prado Oeste 757 Of.1801 Magdalena del Mar – Lima</t>
  </si>
  <si>
    <t xml:space="preserve">Movigas S.A.C.</t>
  </si>
  <si>
    <t xml:space="preserve">info@movigas.com.pe</t>
  </si>
  <si>
    <t xml:space="preserve">4590536 / 983516176</t>
  </si>
  <si>
    <t xml:space="preserve">www.movigas.com.pe</t>
  </si>
  <si>
    <t xml:space="preserve">Jr. Los Tornillos Mz. D Lt. 29 Zona Industrial Las Flores San Juan de Lurigancho - Lima</t>
  </si>
  <si>
    <t xml:space="preserve">Movitécnica S.A.</t>
  </si>
  <si>
    <t xml:space="preserve">consultas@movitecnica.com.pe</t>
  </si>
  <si>
    <t xml:space="preserve">994240024</t>
  </si>
  <si>
    <t xml:space="preserve">www.movitecnica.com.pe</t>
  </si>
  <si>
    <t xml:space="preserve">Cl. Elias Aguirre 605 Dpto.1001 Miraflores - Lima</t>
  </si>
  <si>
    <t xml:space="preserve">National Cleaning S.A.</t>
  </si>
  <si>
    <t xml:space="preserve">comercial@nc.com.pe</t>
  </si>
  <si>
    <t xml:space="preserve">7436644 / 946039480</t>
  </si>
  <si>
    <t xml:space="preserve">www.nationalcleaning.pe</t>
  </si>
  <si>
    <t xml:space="preserve">Av. República de Panamá 3531 Int. 601 Urb. El Palomar San Isidro - Lima</t>
  </si>
  <si>
    <t xml:space="preserve">Nexos Comerciales S.A.C.</t>
  </si>
  <si>
    <t xml:space="preserve">comercial@nexcom.com</t>
  </si>
  <si>
    <t xml:space="preserve">6342700 / 913330210</t>
  </si>
  <si>
    <t xml:space="preserve">www.nexcom.com.pe</t>
  </si>
  <si>
    <t xml:space="preserve">Urb. Pre Urbana Tipo Huerta Mz.D Lt.4 Carretera Panamericana Sur km 17.2 - Villa El Salvador - Lima</t>
  </si>
  <si>
    <t xml:space="preserve">OZ Perú Group S.A.C.</t>
  </si>
  <si>
    <t xml:space="preserve">info@oz-peru.com</t>
  </si>
  <si>
    <t xml:space="preserve">5055883 / 934992031</t>
  </si>
  <si>
    <t xml:space="preserve">www.oz-peru.com</t>
  </si>
  <si>
    <t xml:space="preserve">Av. Del Ejército 250 Of. 207 Miraflores - Lima</t>
  </si>
  <si>
    <t xml:space="preserve">Para-Rayos S.A.C.</t>
  </si>
  <si>
    <t xml:space="preserve">ventas@para-rayos.com</t>
  </si>
  <si>
    <t xml:space="preserve">6148080 / 944545874</t>
  </si>
  <si>
    <t xml:space="preserve">www.para-rayos.com</t>
  </si>
  <si>
    <t xml:space="preserve">Jr. Prol. Lucanas 187, La Victoria - Lima</t>
  </si>
  <si>
    <t xml:space="preserve">Polindustria S.A.</t>
  </si>
  <si>
    <t xml:space="preserve">ventas@polindustria.com.pe</t>
  </si>
  <si>
    <t xml:space="preserve">3481001</t>
  </si>
  <si>
    <t xml:space="preserve">www.polindustria.com.pe</t>
  </si>
  <si>
    <t xml:space="preserve">Av. Separadora Industrial 2605 Urb. Santa Raquel Etp. II - Ate - Lima</t>
  </si>
  <si>
    <t xml:space="preserve">Potencia Industrial S.A.C.</t>
  </si>
  <si>
    <t xml:space="preserve">info@potenciaindustrial.com.pe</t>
  </si>
  <si>
    <t xml:space="preserve">2417725 / 961759599 / 998405240</t>
  </si>
  <si>
    <t xml:space="preserve">www.potenciaindustrial.com.pe</t>
  </si>
  <si>
    <t xml:space="preserve">Cl. Alcanfores 981 Of. 601 Miraflores - Lima</t>
  </si>
  <si>
    <t xml:space="preserve">Precision Perú</t>
  </si>
  <si>
    <t xml:space="preserve">contactanos_peru@precision.tech</t>
  </si>
  <si>
    <t xml:space="preserve">2656666</t>
  </si>
  <si>
    <t xml:space="preserve">www.precision.tech</t>
  </si>
  <si>
    <t xml:space="preserve">Av. Paseo de la República 2131 La Victoria - Lima</t>
  </si>
  <si>
    <t xml:space="preserve">Productos Derivados del Metal S.R.L.</t>
  </si>
  <si>
    <t xml:space="preserve">inoxider@prodermet.com</t>
  </si>
  <si>
    <t xml:space="preserve">4510113 / 5620987</t>
  </si>
  <si>
    <t xml:space="preserve">www.prodermet.com</t>
  </si>
  <si>
    <t xml:space="preserve">Av. Enrique Meiggs 347 Urb. Parque Internacional de la Industria y Comercio - Callao</t>
  </si>
  <si>
    <t xml:space="preserve">Professional Cleaning S.A.</t>
  </si>
  <si>
    <t xml:space="preserve">informes@procleanperu.com</t>
  </si>
  <si>
    <t xml:space="preserve">4223344 / 946133117</t>
  </si>
  <si>
    <t xml:space="preserve">www.procleanperu.com</t>
  </si>
  <si>
    <t xml:space="preserve">Av. Las Fábricas 290, Chorrillos - Lima</t>
  </si>
  <si>
    <t xml:space="preserve">Promotores Eléctricos S.A. – PROMELSA</t>
  </si>
  <si>
    <t xml:space="preserve">ventas@promelsa.com.pe</t>
  </si>
  <si>
    <t xml:space="preserve">7125500 / 933802190</t>
  </si>
  <si>
    <t xml:space="preserve">www.promelsa.com.pe</t>
  </si>
  <si>
    <t xml:space="preserve">Av. Nicolás Arriola 899 Urb. Santa Catalina, La Victoria - Lima</t>
  </si>
  <si>
    <t xml:space="preserve">Prosoldes S.R.L.</t>
  </si>
  <si>
    <t xml:space="preserve">ventas@prosoldes.com</t>
  </si>
  <si>
    <t xml:space="preserve">992484130 / 955799479</t>
  </si>
  <si>
    <t xml:space="preserve">www.prosoldes.com</t>
  </si>
  <si>
    <t xml:space="preserve">Cl. Las Flores 205, Puente Piedra Lima</t>
  </si>
  <si>
    <t xml:space="preserve">Proveedores Mineros S.A.C.</t>
  </si>
  <si>
    <t xml:space="preserve">ventas@proveedoresmineros.com</t>
  </si>
  <si>
    <t xml:space="preserve">997573038</t>
  </si>
  <si>
    <t xml:space="preserve">www.proveedoresmineros.com</t>
  </si>
  <si>
    <t xml:space="preserve">Cl. Felipe Santiago Salaverry 352 Urb. El Pino, San Luis - Lima</t>
  </si>
  <si>
    <t xml:space="preserve">Proyectos y Eventos S.A.C.</t>
  </si>
  <si>
    <t xml:space="preserve">ventas@proyectosyeventos.com</t>
  </si>
  <si>
    <t xml:space="preserve">2546422 / 981505548</t>
  </si>
  <si>
    <t xml:space="preserve">www.pye.pe</t>
  </si>
  <si>
    <t xml:space="preserve">Av. Los Rosales, Mz. D LT. 3B Urb. Huertos de Pachacamac - Lima</t>
  </si>
  <si>
    <t xml:space="preserve">PTS S.A.</t>
  </si>
  <si>
    <t xml:space="preserve">info@pts.com.pe</t>
  </si>
  <si>
    <t xml:space="preserve">2157900</t>
  </si>
  <si>
    <t xml:space="preserve">www.pts.com.pe</t>
  </si>
  <si>
    <t xml:space="preserve">Av. Los Frutales 945, La Molina - Lima</t>
  </si>
  <si>
    <t xml:space="preserve">Qualitest International Service S.A.C.</t>
  </si>
  <si>
    <t xml:space="preserve">oficinatecnica@qualitestperu.com</t>
  </si>
  <si>
    <t xml:space="preserve">986293329</t>
  </si>
  <si>
    <t xml:space="preserve">qualitestperu.com</t>
  </si>
  <si>
    <t xml:space="preserve">Cl. 29 Mz. Q5 Lt. 20 Urb. Pro Etp. II Los Olivos - Lima</t>
  </si>
  <si>
    <t xml:space="preserve">Quimtia S.A.</t>
  </si>
  <si>
    <t xml:space="preserve">contacto@quimtia.com</t>
  </si>
  <si>
    <t xml:space="preserve">6306500 / 949187325</t>
  </si>
  <si>
    <t xml:space="preserve">www.quimtia.com</t>
  </si>
  <si>
    <t xml:space="preserve">Mz.B Lt.1 Urb. Las Praderas de Lurín (Unidad Inmobiliaria 02) Lurín - Lima</t>
  </si>
  <si>
    <t xml:space="preserve">Químicos Goicochea S.A.C.</t>
  </si>
  <si>
    <t xml:space="preserve">qgventas@quimicosgoicochea.com</t>
  </si>
  <si>
    <t xml:space="preserve">Directorio SSO 2026, pág. PDF 5, 18. Sin contacto nominal; no inventar decisor.</t>
  </si>
  <si>
    <t xml:space="preserve">Agua, análisis, tecnología y productos; Iluminación industrial</t>
  </si>
  <si>
    <t xml:space="preserve">6144400 / 987515625</t>
  </si>
  <si>
    <t xml:space="preserve">www.quimicosgoicochea.com</t>
  </si>
  <si>
    <t xml:space="preserve">Av. Néstor Gambeta 150 Urb. Industrial La Chalaca Callao</t>
  </si>
  <si>
    <t xml:space="preserve">R&amp;C Contenedores S.A.C.</t>
  </si>
  <si>
    <t xml:space="preserve">informes@rycontenedores.com</t>
  </si>
  <si>
    <t xml:space="preserve">7150473 / 955119532</t>
  </si>
  <si>
    <t xml:space="preserve">www.ryccontenedores.com</t>
  </si>
  <si>
    <t xml:space="preserve">Cooperativa Las Vertientes Mz. D Lt. 2 - Villa El Salvador - Lima</t>
  </si>
  <si>
    <t xml:space="preserve">Red Médica</t>
  </si>
  <si>
    <t xml:space="preserve">operaciones@redmedica.com.pe</t>
  </si>
  <si>
    <t xml:space="preserve">4362626 / 955452943</t>
  </si>
  <si>
    <t xml:space="preserve">www.redmedica.com.pe</t>
  </si>
  <si>
    <t xml:space="preserve">Cl. Zeus 383 Urb. El Olimpo Ate Vitarte - Lima</t>
  </si>
  <si>
    <t xml:space="preserve">Remar Soluciones S.A.C.</t>
  </si>
  <si>
    <t xml:space="preserve">ventas@remarsoluciones.pe</t>
  </si>
  <si>
    <t xml:space="preserve">Iluminación industrial</t>
  </si>
  <si>
    <t xml:space="preserve">991685999 / 993508608</t>
  </si>
  <si>
    <t xml:space="preserve">www.remarsoluciones.pe</t>
  </si>
  <si>
    <t xml:space="preserve">Jr. Tomás Guido 620 Lince - Lima</t>
  </si>
  <si>
    <t xml:space="preserve">Renova S.A.C.</t>
  </si>
  <si>
    <t xml:space="preserve">informes@renova.com.pe</t>
  </si>
  <si>
    <t xml:space="preserve">4854075 / 4856365 / 984122487</t>
  </si>
  <si>
    <t xml:space="preserve">www.renova.com.pe</t>
  </si>
  <si>
    <t xml:space="preserve">Av. Industrial 3598 Urb. Industrial Pan. Norte - Independencia - Lima</t>
  </si>
  <si>
    <t xml:space="preserve">RMB SATECI S.A.C.</t>
  </si>
  <si>
    <t xml:space="preserve">ventas@rmbsateci.com.pe</t>
  </si>
  <si>
    <t xml:space="preserve">994116278</t>
  </si>
  <si>
    <t xml:space="preserve">www.rmbsateci.com.pe</t>
  </si>
  <si>
    <t xml:space="preserve">Antigua Panamericana Sur km 19.5 Villa El Salvador - Lima</t>
  </si>
  <si>
    <t xml:space="preserve">S.O.S. Emergencia Médicas</t>
  </si>
  <si>
    <t xml:space="preserve">central01@sos-ambulancias.com</t>
  </si>
  <si>
    <t xml:space="preserve">5696969 / 998181708</t>
  </si>
  <si>
    <t xml:space="preserve">www.sos-ambulancias.com</t>
  </si>
  <si>
    <t xml:space="preserve">Jr. Cajamarca 3854 San Martín de Porres - Lima</t>
  </si>
  <si>
    <t xml:space="preserve">Sager S.A - Sucursal Perú</t>
  </si>
  <si>
    <t xml:space="preserve">ventasperu@sager.com.pe</t>
  </si>
  <si>
    <t xml:space="preserve">3496678 / 3496688 / 996658001 / 996658002</t>
  </si>
  <si>
    <t xml:space="preserve">www.sager.international/peru</t>
  </si>
  <si>
    <t xml:space="preserve">Av. La Mar 699 Urb. Vulcano Ate - Lima</t>
  </si>
  <si>
    <t xml:space="preserve">Salubridad Saneamiento Ambiental y Servicios S.A.C.</t>
  </si>
  <si>
    <t xml:space="preserve">ventas@ssays.com</t>
  </si>
  <si>
    <t xml:space="preserve">2135660 / 998153351</t>
  </si>
  <si>
    <t xml:space="preserve">www.ssays.com</t>
  </si>
  <si>
    <t xml:space="preserve">Pj. General Vivanco 100 Pueblo Libre - Lima</t>
  </si>
  <si>
    <t xml:space="preserve">Schneider Electric Perú S.A.</t>
  </si>
  <si>
    <t xml:space="preserve">sac.peru@schneider-electric.com</t>
  </si>
  <si>
    <t xml:space="preserve">6184411</t>
  </si>
  <si>
    <t xml:space="preserve">www.schneider-electric.com.pe</t>
  </si>
  <si>
    <t xml:space="preserve">Av. Antonio Miro Quesada 425 Of. 1313, Magdalena del Mar - Lima</t>
  </si>
  <si>
    <t xml:space="preserve">Servicios Logísticos Diesel S.A.C.</t>
  </si>
  <si>
    <t xml:space="preserve">ventas@sldperu.net</t>
  </si>
  <si>
    <t xml:space="preserve">3701998</t>
  </si>
  <si>
    <t xml:space="preserve">www.sldperu.net</t>
  </si>
  <si>
    <t xml:space="preserve">Cl. Los Jades 132 Urb. Club Golf Los Incas - Santiago de Surco - Lima</t>
  </si>
  <si>
    <t xml:space="preserve">Servicios Mineros S.A.</t>
  </si>
  <si>
    <t xml:space="preserve">serminsa@serminsa.com.pe</t>
  </si>
  <si>
    <t xml:space="preserve">7134228 / 994332055 / 967275571</t>
  </si>
  <si>
    <t xml:space="preserve">www.serminsa.com</t>
  </si>
  <si>
    <t xml:space="preserve">Cl. 4 Mz. C Lt. 6 Urb. Industrial Grimanesa - Callao</t>
  </si>
  <si>
    <t xml:space="preserve">Soldesp S.A.C.</t>
  </si>
  <si>
    <t xml:space="preserve">gerencia@soldesp.com.pe</t>
  </si>
  <si>
    <t xml:space="preserve">(053) 495247 / 953660826</t>
  </si>
  <si>
    <t xml:space="preserve">www.soldesp.com.pe</t>
  </si>
  <si>
    <t xml:space="preserve">Mz.M Lt.14 Pampa Inalámbrica, A.H. José Carlos Mariátegui, Ilo - Moquegua</t>
  </si>
  <si>
    <t xml:space="preserve">Steel Industry S.A.C.</t>
  </si>
  <si>
    <t xml:space="preserve">info@steelindustry.org</t>
  </si>
  <si>
    <t xml:space="preserve">3230990 / 987560082</t>
  </si>
  <si>
    <t xml:space="preserve">www.steelindustry.org</t>
  </si>
  <si>
    <t xml:space="preserve">Carretera Panamericana Sur km 30.5 Lt. 1A - Lurín - Lima</t>
  </si>
  <si>
    <t xml:space="preserve">Stenica</t>
  </si>
  <si>
    <t xml:space="preserve">stenica@stenica.com</t>
  </si>
  <si>
    <t xml:space="preserve">4173030 / 989250989</t>
  </si>
  <si>
    <t xml:space="preserve">www.stenica.com</t>
  </si>
  <si>
    <t xml:space="preserve">Av. Los Cisnes Mz.G2 Lt.22 Urb. El Club de Huachipa 2da. Etapa Lurigancho - Lima</t>
  </si>
  <si>
    <t xml:space="preserve">Sullair del Pacífico S.A.C.</t>
  </si>
  <si>
    <t xml:space="preserve">2612233 / 987962188 / 914410170</t>
  </si>
  <si>
    <t xml:space="preserve">www.sullair.com.pe</t>
  </si>
  <si>
    <t xml:space="preserve">Av. San Felipe 298 Urb. Los Patricios Jesús María - Lima</t>
  </si>
  <si>
    <t xml:space="preserve">Suminco S.A.</t>
  </si>
  <si>
    <t xml:space="preserve">ventas@suminco.pe</t>
  </si>
  <si>
    <t xml:space="preserve">2024060 / 996316685</t>
  </si>
  <si>
    <t xml:space="preserve">www.suminco.pe</t>
  </si>
  <si>
    <t xml:space="preserve">Av. Javier Prado Este 7069 Urb. Mayorazgo Etp. V - Ate - Lima</t>
  </si>
  <si>
    <t xml:space="preserve">SVC Medical S.A.C.</t>
  </si>
  <si>
    <t xml:space="preserve">ventas@svcmedicalsac.com.pe</t>
  </si>
  <si>
    <t xml:space="preserve">972195065</t>
  </si>
  <si>
    <t xml:space="preserve">www.svcmedicalsac.com.pe</t>
  </si>
  <si>
    <t xml:space="preserve">Jr. Los Mogaburos 215 Int. 8 Jesús María - Lima</t>
  </si>
  <si>
    <t xml:space="preserve">Techos Instantáneos S.A.C.</t>
  </si>
  <si>
    <t xml:space="preserve">proyectos2@instatecho.com</t>
  </si>
  <si>
    <t xml:space="preserve">998151280 / 939178434</t>
  </si>
  <si>
    <t xml:space="preserve">www.instatecho.com</t>
  </si>
  <si>
    <t xml:space="preserve">Cl. Los Tulipanes Mz. I-1 Lt. 28 Urb. Semi Rústica (altura Puente La Ensenada río Chillón) Puente Piedra - Lima</t>
  </si>
  <si>
    <t xml:space="preserve">Tomocorp S.A.C.</t>
  </si>
  <si>
    <t xml:space="preserve">ventas@tomocorp.com</t>
  </si>
  <si>
    <t xml:space="preserve">7196000 / 995279428</t>
  </si>
  <si>
    <t xml:space="preserve">www.tomocorp.com</t>
  </si>
  <si>
    <t xml:space="preserve">Av. Manuel Olguín 325 Of.803 Santiago de Surco - Lima</t>
  </si>
  <si>
    <t xml:space="preserve">Toyota del Perú</t>
  </si>
  <si>
    <t xml:space="preserve">6111000 / 080000669 / 6168600</t>
  </si>
  <si>
    <t xml:space="preserve">www.toyotaperu.com.pe</t>
  </si>
  <si>
    <t xml:space="preserve">Av. Santo Toribio 173 Torre Real 8 Of. 1401 - San Isidro - Lima</t>
  </si>
  <si>
    <t xml:space="preserve">Tracto Camiones USA S.A.C.</t>
  </si>
  <si>
    <t xml:space="preserve">ventas@tracusape.com</t>
  </si>
  <si>
    <t xml:space="preserve">3199555 / 939240124</t>
  </si>
  <si>
    <t xml:space="preserve">www.fotonesmicamion.com</t>
  </si>
  <si>
    <t xml:space="preserve">Av. Nicolás Ayllon 3904 Carretera Central Alt. km 3.5 - Ate - Lima</t>
  </si>
  <si>
    <t xml:space="preserve">Transportes Meridian S.A.C.</t>
  </si>
  <si>
    <t xml:space="preserve">comercial@tmeridian.com.pe</t>
  </si>
  <si>
    <t xml:space="preserve">6261000</t>
  </si>
  <si>
    <t xml:space="preserve">www.tmeridian.com.pe</t>
  </si>
  <si>
    <t xml:space="preserve">Av. Oquendo Mz.H-L Lt.0 ex Fundo Oquendo Alt. km 8.5 Néstor Gambetta - Callao</t>
  </si>
  <si>
    <t xml:space="preserve">Transportes Polux S.A.C.</t>
  </si>
  <si>
    <t xml:space="preserve">jarango@transportespolux.com</t>
  </si>
  <si>
    <t xml:space="preserve">(054) 315054</t>
  </si>
  <si>
    <t xml:space="preserve">Av. La Colonial 702 Urb. La Calerita Paucarpata - Arequipa</t>
  </si>
  <si>
    <t xml:space="preserve">Transportes Zetramsa S.A.C.</t>
  </si>
  <si>
    <t xml:space="preserve">servicioalcliente@zetramsa.com.pe</t>
  </si>
  <si>
    <t xml:space="preserve">7153388</t>
  </si>
  <si>
    <t xml:space="preserve">www.zetramsa.com.pe</t>
  </si>
  <si>
    <t xml:space="preserve">Av. Cascanueces Mz.L Lt.6 ex Fundo Inquisidor Santa Anita - Lima</t>
  </si>
  <si>
    <t xml:space="preserve">Treck Seguridad Industrial S.A.C.</t>
  </si>
  <si>
    <t xml:space="preserve">ventas@treck.pe</t>
  </si>
  <si>
    <t xml:space="preserve">980920323</t>
  </si>
  <si>
    <t xml:space="preserve">www.treck.pe</t>
  </si>
  <si>
    <t xml:space="preserve">Av. Manuel Olguín 211 Int. 903 Santiago de Surco - Lima</t>
  </si>
  <si>
    <t xml:space="preserve">TUPEMESA - Calaminón</t>
  </si>
  <si>
    <t xml:space="preserve">ventas@tupemesa.com.pe</t>
  </si>
  <si>
    <t xml:space="preserve">6370000 / 914390399</t>
  </si>
  <si>
    <t xml:space="preserve">www.tupemesa.com.pe</t>
  </si>
  <si>
    <t xml:space="preserve">Av. Industrial s/n Zona Industrial Predio Almonte - Lurín - Lima</t>
  </si>
  <si>
    <t xml:space="preserve">V &amp; M Selectronics E.I.R.L.</t>
  </si>
  <si>
    <t xml:space="preserve">selectronics.comercial@gmail.com</t>
  </si>
  <si>
    <t xml:space="preserve">9998707147</t>
  </si>
  <si>
    <t xml:space="preserve">www.selectronics.pe</t>
  </si>
  <si>
    <t xml:space="preserve">Jr. Napo 652, Breña - Lima</t>
  </si>
  <si>
    <t xml:space="preserve">V&amp;C Corporation</t>
  </si>
  <si>
    <t xml:space="preserve">comercial@vc-corporation.com</t>
  </si>
  <si>
    <t xml:space="preserve">988457944</t>
  </si>
  <si>
    <t xml:space="preserve">www.vc-corporation.com</t>
  </si>
  <si>
    <t xml:space="preserve">Asociación Villa Rica Mz. S Lt. 1 Chaclacayo - Lima</t>
  </si>
  <si>
    <t xml:space="preserve">Volvo Perú S.A.</t>
  </si>
  <si>
    <t xml:space="preserve">alovolvo@volvo.com</t>
  </si>
  <si>
    <t xml:space="preserve">3171100 / 918911611</t>
  </si>
  <si>
    <t xml:space="preserve">www.volvogroup.com</t>
  </si>
  <si>
    <t xml:space="preserve">Carretera Panamericana Sur km 23.88 Lurín - Lima</t>
  </si>
  <si>
    <t xml:space="preserve">ID oportunidad</t>
  </si>
  <si>
    <t xml:space="preserve">ID contacto</t>
  </si>
  <si>
    <t xml:space="preserve">Necesidad</t>
  </si>
  <si>
    <t xml:space="preserve">Solución propuesta</t>
  </si>
  <si>
    <t xml:space="preserve">Etapa</t>
  </si>
  <si>
    <t xml:space="preserve">Valor estimado</t>
  </si>
  <si>
    <t xml:space="preserve">Probabilidad</t>
  </si>
  <si>
    <t xml:space="preserve">Fecha</t>
  </si>
  <si>
    <t xml:space="preserve">Evento/Fuente</t>
  </si>
  <si>
    <t xml:space="preserve">Cantidad</t>
  </si>
  <si>
    <t xml:space="preserve">Total</t>
  </si>
  <si>
    <t xml:space="preserve">Estado (pipeline)</t>
  </si>
  <si>
    <t xml:space="preserve">Contactado</t>
  </si>
  <si>
    <t xml:space="preserve">Reunión</t>
  </si>
  <si>
    <t xml:space="preserve">Propuesta</t>
  </si>
  <si>
    <t xml:space="preserve">Cliente</t>
  </si>
  <si>
    <t xml:space="preserve">No interesado</t>
  </si>
  <si>
    <t xml:space="preserve">Indicadores de calidad de datos</t>
  </si>
  <si>
    <t xml:space="preserve">Con email</t>
  </si>
  <si>
    <t xml:space="preserve">Con teléfono</t>
  </si>
  <si>
    <t xml:space="preserve">Con contacto nominal</t>
  </si>
  <si>
    <t xml:space="preserve">Anunciantes del directorio</t>
  </si>
  <si>
    <t xml:space="preserve">Con LinkedIn validado</t>
  </si>
  <si>
    <t xml:space="preserve">Evento</t>
  </si>
  <si>
    <t xml:space="preserve">Valor para SafetyMind</t>
  </si>
  <si>
    <t xml:space="preserve">Directorio SSO 2026 – Cero Accidentes (22.ª ed.)</t>
  </si>
  <si>
    <t xml:space="preserve">Mapa de ~670 proveedores SST en Perú: contratistas mineros (clientes potenciales), consultoras SST (canal), TI/telecom (partners/competencia), distribuidores EPP (canal hacia minería) y 21 anunciantes con inversión activa en SST.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</si>
</sst>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ontactos" displayName="Contactos" ref="A1:S675" headerRowCount="1" totalsRowCount="0" totalsRowShown="0">
  <autoFilter ref="A1:S675"/>
  <tableColumns count="19">
    <tableColumn id="1" name="ID"/>
    <tableColumn id="2" name="Nombre"/>
    <tableColumn id="3" name="Cargo"/>
    <tableColumn id="4" name="Empresa"/>
    <tableColumn id="5" name="País"/>
    <tableColumn id="6" name="Email"/>
    <tableColumn id="7" name="LinkedIn"/>
    <tableColumn id="8" name="Origen"/>
    <tableColumn id="9" name="Estado"/>
    <tableColumn id="10" name="Prioridad"/>
    <tableColumn id="11" name="Próxima acción"/>
    <tableColumn id="12" name="Notas"/>
    <tableColumn id="13" name="Rubro(s)"/>
    <tableColumn id="14" name="Segmento SafetyMind"/>
    <tableColumn id="15" name="Teléfono(s)"/>
    <tableColumn id="16" name="Web"/>
    <tableColumn id="17" name="Dirección"/>
    <tableColumn id="18" name="Ciudad/Región"/>
    <tableColumn id="19" name="Anuncian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1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40"/>
    <col collapsed="false" customWidth="true" hidden="false" outlineLevel="0" max="5" min="5" style="0" width="10"/>
    <col collapsed="false" customWidth="true" hidden="false" outlineLevel="0" max="6" min="6" style="0" width="32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45"/>
    <col collapsed="false" customWidth="true" hidden="false" outlineLevel="0" max="12" min="12" style="0" width="60"/>
    <col collapsed="false" customWidth="true" hidden="false" outlineLevel="0" max="13" min="13" style="0" width="45"/>
    <col collapsed="false" customWidth="true" hidden="false" outlineLevel="0" max="14" min="14" style="0" width="38"/>
    <col collapsed="false" customWidth="true" hidden="false" outlineLevel="0" max="16" min="15" style="0" width="30"/>
    <col collapsed="false" customWidth="true" hidden="false" outlineLevel="0" max="17" min="17" style="0" width="50"/>
    <col collapsed="false" customWidth="true" hidden="false" outlineLevel="0" max="18" min="18" style="0" width="14"/>
    <col collapsed="false" customWidth="true" hidden="false" outlineLevel="0" max="19" min="19" style="0" width="11"/>
  </cols>
  <sheetData>
    <row r="1" customFormat="false" ht="28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D2" s="0" t="s">
        <v>19</v>
      </c>
      <c r="E2" s="0" t="s">
        <v>20</v>
      </c>
      <c r="F2" s="0" t="s">
        <v>21</v>
      </c>
      <c r="H2" s="0" t="s">
        <v>22</v>
      </c>
      <c r="I2" s="2" t="s">
        <v>23</v>
      </c>
      <c r="J2" s="2" t="s">
        <v>24</v>
      </c>
      <c r="K2" s="0" t="s">
        <v>25</v>
      </c>
      <c r="L2" s="0" t="s">
        <v>26</v>
      </c>
      <c r="M2" s="0" t="s">
        <v>27</v>
      </c>
      <c r="N2" s="0" t="s">
        <v>28</v>
      </c>
      <c r="O2" s="3" t="s">
        <v>29</v>
      </c>
      <c r="P2" s="2" t="s">
        <v>30</v>
      </c>
      <c r="Q2" s="2" t="s">
        <v>31</v>
      </c>
      <c r="R2" s="2" t="s">
        <v>32</v>
      </c>
      <c r="S2" s="2" t="s">
        <v>33</v>
      </c>
    </row>
    <row r="3" customFormat="false" ht="15" hidden="false" customHeight="false" outlineLevel="0" collapsed="false">
      <c r="A3" s="0" t="n">
        <v>2</v>
      </c>
      <c r="D3" s="0" t="s">
        <v>34</v>
      </c>
      <c r="E3" s="0" t="s">
        <v>20</v>
      </c>
      <c r="F3" s="0" t="s">
        <v>35</v>
      </c>
      <c r="H3" s="0" t="s">
        <v>22</v>
      </c>
      <c r="I3" s="2" t="s">
        <v>23</v>
      </c>
      <c r="J3" s="2" t="s">
        <v>24</v>
      </c>
      <c r="K3" s="0" t="s">
        <v>25</v>
      </c>
      <c r="L3" s="0" t="s">
        <v>36</v>
      </c>
      <c r="M3" s="0" t="s">
        <v>37</v>
      </c>
      <c r="N3" s="0" t="s">
        <v>28</v>
      </c>
      <c r="O3" s="3" t="s">
        <v>38</v>
      </c>
      <c r="P3" s="2" t="s">
        <v>39</v>
      </c>
      <c r="Q3" s="2" t="s">
        <v>40</v>
      </c>
      <c r="R3" s="2" t="s">
        <v>32</v>
      </c>
      <c r="S3" s="2" t="s">
        <v>33</v>
      </c>
    </row>
    <row r="4" customFormat="false" ht="15" hidden="false" customHeight="false" outlineLevel="0" collapsed="false">
      <c r="A4" s="0" t="n">
        <v>3</v>
      </c>
      <c r="D4" s="0" t="s">
        <v>41</v>
      </c>
      <c r="E4" s="0" t="s">
        <v>20</v>
      </c>
      <c r="F4" s="0" t="s">
        <v>42</v>
      </c>
      <c r="H4" s="0" t="s">
        <v>22</v>
      </c>
      <c r="I4" s="2" t="s">
        <v>23</v>
      </c>
      <c r="J4" s="2" t="s">
        <v>24</v>
      </c>
      <c r="K4" s="0" t="s">
        <v>25</v>
      </c>
      <c r="L4" s="0" t="s">
        <v>43</v>
      </c>
      <c r="M4" s="0" t="s">
        <v>44</v>
      </c>
      <c r="N4" s="0" t="s">
        <v>28</v>
      </c>
      <c r="O4" s="3" t="s">
        <v>45</v>
      </c>
      <c r="P4" s="2" t="s">
        <v>46</v>
      </c>
      <c r="Q4" s="2" t="s">
        <v>47</v>
      </c>
      <c r="R4" s="2" t="s">
        <v>48</v>
      </c>
      <c r="S4" s="2" t="s">
        <v>33</v>
      </c>
    </row>
    <row r="5" customFormat="false" ht="15" hidden="false" customHeight="false" outlineLevel="0" collapsed="false">
      <c r="A5" s="0" t="n">
        <v>4</v>
      </c>
      <c r="D5" s="0" t="s">
        <v>49</v>
      </c>
      <c r="E5" s="0" t="s">
        <v>20</v>
      </c>
      <c r="F5" s="0" t="s">
        <v>50</v>
      </c>
      <c r="H5" s="0" t="s">
        <v>22</v>
      </c>
      <c r="I5" s="2" t="s">
        <v>23</v>
      </c>
      <c r="J5" s="2" t="s">
        <v>24</v>
      </c>
      <c r="K5" s="0" t="s">
        <v>25</v>
      </c>
      <c r="L5" s="0" t="s">
        <v>51</v>
      </c>
      <c r="M5" s="0" t="s">
        <v>52</v>
      </c>
      <c r="N5" s="0" t="s">
        <v>28</v>
      </c>
      <c r="O5" s="3" t="s">
        <v>53</v>
      </c>
      <c r="P5" s="2" t="s">
        <v>54</v>
      </c>
      <c r="Q5" s="2" t="s">
        <v>55</v>
      </c>
      <c r="R5" s="2" t="s">
        <v>32</v>
      </c>
      <c r="S5" s="2" t="s">
        <v>33</v>
      </c>
    </row>
    <row r="6" customFormat="false" ht="15" hidden="false" customHeight="false" outlineLevel="0" collapsed="false">
      <c r="A6" s="0" t="n">
        <v>5</v>
      </c>
      <c r="D6" s="0" t="s">
        <v>56</v>
      </c>
      <c r="E6" s="0" t="s">
        <v>20</v>
      </c>
      <c r="F6" s="0" t="s">
        <v>57</v>
      </c>
      <c r="H6" s="0" t="s">
        <v>22</v>
      </c>
      <c r="I6" s="2" t="s">
        <v>23</v>
      </c>
      <c r="J6" s="2" t="s">
        <v>24</v>
      </c>
      <c r="K6" s="0" t="s">
        <v>25</v>
      </c>
      <c r="L6" s="0" t="s">
        <v>58</v>
      </c>
      <c r="M6" s="0" t="s">
        <v>59</v>
      </c>
      <c r="N6" s="0" t="s">
        <v>28</v>
      </c>
      <c r="O6" s="3" t="s">
        <v>60</v>
      </c>
      <c r="P6" s="2" t="s">
        <v>61</v>
      </c>
      <c r="Q6" s="2" t="s">
        <v>62</v>
      </c>
      <c r="R6" s="2" t="s">
        <v>32</v>
      </c>
      <c r="S6" s="2" t="s">
        <v>33</v>
      </c>
    </row>
    <row r="7" customFormat="false" ht="15" hidden="false" customHeight="false" outlineLevel="0" collapsed="false">
      <c r="A7" s="0" t="n">
        <v>6</v>
      </c>
      <c r="D7" s="0" t="s">
        <v>63</v>
      </c>
      <c r="E7" s="0" t="s">
        <v>20</v>
      </c>
      <c r="F7" s="0" t="s">
        <v>64</v>
      </c>
      <c r="H7" s="0" t="s">
        <v>22</v>
      </c>
      <c r="I7" s="2" t="s">
        <v>23</v>
      </c>
      <c r="J7" s="2" t="s">
        <v>24</v>
      </c>
      <c r="K7" s="0" t="s">
        <v>25</v>
      </c>
      <c r="L7" s="0" t="s">
        <v>65</v>
      </c>
      <c r="M7" s="0" t="s">
        <v>66</v>
      </c>
      <c r="N7" s="0" t="s">
        <v>28</v>
      </c>
      <c r="O7" s="3" t="s">
        <v>67</v>
      </c>
      <c r="P7" s="2" t="s">
        <v>68</v>
      </c>
      <c r="Q7" s="2" t="s">
        <v>69</v>
      </c>
      <c r="R7" s="2" t="s">
        <v>32</v>
      </c>
      <c r="S7" s="2" t="s">
        <v>33</v>
      </c>
    </row>
    <row r="8" customFormat="false" ht="15" hidden="false" customHeight="false" outlineLevel="0" collapsed="false">
      <c r="A8" s="0" t="n">
        <v>7</v>
      </c>
      <c r="D8" s="0" t="s">
        <v>70</v>
      </c>
      <c r="E8" s="0" t="s">
        <v>20</v>
      </c>
      <c r="F8" s="0" t="s">
        <v>71</v>
      </c>
      <c r="H8" s="0" t="s">
        <v>22</v>
      </c>
      <c r="I8" s="2" t="s">
        <v>23</v>
      </c>
      <c r="J8" s="2" t="s">
        <v>24</v>
      </c>
      <c r="K8" s="0" t="s">
        <v>25</v>
      </c>
      <c r="L8" s="0" t="s">
        <v>26</v>
      </c>
      <c r="M8" s="0" t="s">
        <v>27</v>
      </c>
      <c r="N8" s="0" t="s">
        <v>28</v>
      </c>
      <c r="O8" s="3" t="s">
        <v>72</v>
      </c>
      <c r="P8" s="2" t="s">
        <v>73</v>
      </c>
      <c r="Q8" s="2" t="s">
        <v>74</v>
      </c>
      <c r="R8" s="2" t="s">
        <v>32</v>
      </c>
      <c r="S8" s="2" t="s">
        <v>33</v>
      </c>
    </row>
    <row r="9" customFormat="false" ht="15" hidden="false" customHeight="false" outlineLevel="0" collapsed="false">
      <c r="A9" s="0" t="n">
        <v>8</v>
      </c>
      <c r="D9" s="0" t="s">
        <v>75</v>
      </c>
      <c r="E9" s="0" t="s">
        <v>20</v>
      </c>
      <c r="F9" s="0" t="s">
        <v>76</v>
      </c>
      <c r="H9" s="0" t="s">
        <v>22</v>
      </c>
      <c r="I9" s="2" t="s">
        <v>23</v>
      </c>
      <c r="J9" s="2" t="s">
        <v>24</v>
      </c>
      <c r="K9" s="0" t="s">
        <v>25</v>
      </c>
      <c r="L9" s="0" t="s">
        <v>77</v>
      </c>
      <c r="M9" s="0" t="s">
        <v>78</v>
      </c>
      <c r="N9" s="0" t="s">
        <v>28</v>
      </c>
      <c r="O9" s="3" t="s">
        <v>79</v>
      </c>
      <c r="P9" s="2" t="s">
        <v>80</v>
      </c>
      <c r="Q9" s="2" t="s">
        <v>81</v>
      </c>
      <c r="R9" s="2" t="s">
        <v>32</v>
      </c>
      <c r="S9" s="2" t="s">
        <v>33</v>
      </c>
    </row>
    <row r="10" customFormat="false" ht="15" hidden="false" customHeight="false" outlineLevel="0" collapsed="false">
      <c r="A10" s="0" t="n">
        <v>9</v>
      </c>
      <c r="D10" s="0" t="s">
        <v>82</v>
      </c>
      <c r="E10" s="0" t="s">
        <v>20</v>
      </c>
      <c r="F10" s="0" t="s">
        <v>83</v>
      </c>
      <c r="H10" s="0" t="s">
        <v>22</v>
      </c>
      <c r="I10" s="2" t="s">
        <v>23</v>
      </c>
      <c r="J10" s="2" t="s">
        <v>24</v>
      </c>
      <c r="K10" s="0" t="s">
        <v>25</v>
      </c>
      <c r="L10" s="0" t="s">
        <v>51</v>
      </c>
      <c r="M10" s="0" t="s">
        <v>84</v>
      </c>
      <c r="N10" s="0" t="s">
        <v>28</v>
      </c>
      <c r="O10" s="3" t="s">
        <v>85</v>
      </c>
      <c r="P10" s="2" t="s">
        <v>86</v>
      </c>
      <c r="Q10" s="2" t="s">
        <v>87</v>
      </c>
      <c r="R10" s="2" t="s">
        <v>32</v>
      </c>
      <c r="S10" s="2" t="s">
        <v>33</v>
      </c>
    </row>
    <row r="11" customFormat="false" ht="15" hidden="false" customHeight="false" outlineLevel="0" collapsed="false">
      <c r="A11" s="0" t="n">
        <v>10</v>
      </c>
      <c r="D11" s="0" t="s">
        <v>88</v>
      </c>
      <c r="E11" s="0" t="s">
        <v>20</v>
      </c>
      <c r="F11" s="0" t="s">
        <v>89</v>
      </c>
      <c r="H11" s="0" t="s">
        <v>22</v>
      </c>
      <c r="I11" s="2" t="s">
        <v>23</v>
      </c>
      <c r="J11" s="2" t="s">
        <v>24</v>
      </c>
      <c r="K11" s="0" t="s">
        <v>25</v>
      </c>
      <c r="L11" s="0" t="s">
        <v>90</v>
      </c>
      <c r="M11" s="0" t="s">
        <v>91</v>
      </c>
      <c r="N11" s="0" t="s">
        <v>28</v>
      </c>
      <c r="O11" s="3"/>
      <c r="P11" s="2" t="s">
        <v>92</v>
      </c>
      <c r="Q11" s="2" t="s">
        <v>93</v>
      </c>
      <c r="R11" s="2" t="s">
        <v>32</v>
      </c>
      <c r="S11" s="2" t="s">
        <v>33</v>
      </c>
    </row>
    <row r="12" customFormat="false" ht="15" hidden="false" customHeight="false" outlineLevel="0" collapsed="false">
      <c r="A12" s="0" t="n">
        <v>11</v>
      </c>
      <c r="D12" s="0" t="s">
        <v>94</v>
      </c>
      <c r="E12" s="0" t="s">
        <v>20</v>
      </c>
      <c r="F12" s="0" t="s">
        <v>95</v>
      </c>
      <c r="H12" s="0" t="s">
        <v>22</v>
      </c>
      <c r="I12" s="2" t="s">
        <v>23</v>
      </c>
      <c r="J12" s="2" t="s">
        <v>24</v>
      </c>
      <c r="K12" s="0" t="s">
        <v>25</v>
      </c>
      <c r="L12" s="0" t="s">
        <v>65</v>
      </c>
      <c r="M12" s="0" t="s">
        <v>66</v>
      </c>
      <c r="N12" s="0" t="s">
        <v>28</v>
      </c>
      <c r="O12" s="3" t="s">
        <v>96</v>
      </c>
      <c r="P12" s="2" t="s">
        <v>97</v>
      </c>
      <c r="Q12" s="2" t="s">
        <v>98</v>
      </c>
      <c r="R12" s="2" t="s">
        <v>99</v>
      </c>
      <c r="S12" s="2" t="s">
        <v>33</v>
      </c>
    </row>
    <row r="13" customFormat="false" ht="15" hidden="false" customHeight="false" outlineLevel="0" collapsed="false">
      <c r="A13" s="0" t="n">
        <v>12</v>
      </c>
      <c r="D13" s="0" t="s">
        <v>100</v>
      </c>
      <c r="E13" s="0" t="s">
        <v>20</v>
      </c>
      <c r="F13" s="0" t="s">
        <v>101</v>
      </c>
      <c r="H13" s="0" t="s">
        <v>22</v>
      </c>
      <c r="I13" s="2" t="s">
        <v>23</v>
      </c>
      <c r="J13" s="2" t="s">
        <v>24</v>
      </c>
      <c r="K13" s="0" t="s">
        <v>25</v>
      </c>
      <c r="L13" s="0" t="s">
        <v>102</v>
      </c>
      <c r="M13" s="0" t="s">
        <v>103</v>
      </c>
      <c r="N13" s="0" t="s">
        <v>28</v>
      </c>
      <c r="O13" s="3" t="s">
        <v>104</v>
      </c>
      <c r="P13" s="2" t="s">
        <v>105</v>
      </c>
      <c r="Q13" s="2" t="s">
        <v>106</v>
      </c>
      <c r="R13" s="2" t="s">
        <v>32</v>
      </c>
      <c r="S13" s="2" t="s">
        <v>33</v>
      </c>
    </row>
    <row r="14" customFormat="false" ht="15" hidden="false" customHeight="false" outlineLevel="0" collapsed="false">
      <c r="A14" s="0" t="n">
        <v>13</v>
      </c>
      <c r="D14" s="0" t="s">
        <v>107</v>
      </c>
      <c r="E14" s="0" t="s">
        <v>20</v>
      </c>
      <c r="F14" s="0" t="s">
        <v>108</v>
      </c>
      <c r="H14" s="0" t="s">
        <v>22</v>
      </c>
      <c r="I14" s="2" t="s">
        <v>23</v>
      </c>
      <c r="J14" s="2" t="s">
        <v>24</v>
      </c>
      <c r="K14" s="0" t="s">
        <v>25</v>
      </c>
      <c r="L14" s="0" t="s">
        <v>65</v>
      </c>
      <c r="M14" s="0" t="s">
        <v>66</v>
      </c>
      <c r="N14" s="0" t="s">
        <v>28</v>
      </c>
      <c r="O14" s="3" t="s">
        <v>109</v>
      </c>
      <c r="P14" s="2" t="s">
        <v>110</v>
      </c>
      <c r="Q14" s="2" t="s">
        <v>111</v>
      </c>
      <c r="R14" s="2" t="s">
        <v>32</v>
      </c>
      <c r="S14" s="2" t="s">
        <v>33</v>
      </c>
    </row>
    <row r="15" customFormat="false" ht="15" hidden="false" customHeight="false" outlineLevel="0" collapsed="false">
      <c r="A15" s="0" t="n">
        <v>14</v>
      </c>
      <c r="D15" s="0" t="s">
        <v>112</v>
      </c>
      <c r="E15" s="0" t="s">
        <v>20</v>
      </c>
      <c r="F15" s="0" t="s">
        <v>113</v>
      </c>
      <c r="H15" s="0" t="s">
        <v>22</v>
      </c>
      <c r="I15" s="2" t="s">
        <v>23</v>
      </c>
      <c r="J15" s="2" t="s">
        <v>24</v>
      </c>
      <c r="K15" s="0" t="s">
        <v>25</v>
      </c>
      <c r="L15" s="0" t="s">
        <v>77</v>
      </c>
      <c r="M15" s="0" t="s">
        <v>78</v>
      </c>
      <c r="N15" s="0" t="s">
        <v>28</v>
      </c>
      <c r="O15" s="3" t="s">
        <v>114</v>
      </c>
      <c r="P15" s="2" t="s">
        <v>115</v>
      </c>
      <c r="Q15" s="2" t="s">
        <v>116</v>
      </c>
      <c r="R15" s="2" t="s">
        <v>32</v>
      </c>
      <c r="S15" s="2" t="s">
        <v>33</v>
      </c>
    </row>
    <row r="16" customFormat="false" ht="15" hidden="false" customHeight="false" outlineLevel="0" collapsed="false">
      <c r="A16" s="0" t="n">
        <v>15</v>
      </c>
      <c r="D16" s="0" t="s">
        <v>117</v>
      </c>
      <c r="E16" s="0" t="s">
        <v>20</v>
      </c>
      <c r="F16" s="0" t="s">
        <v>118</v>
      </c>
      <c r="H16" s="0" t="s">
        <v>22</v>
      </c>
      <c r="I16" s="2" t="s">
        <v>23</v>
      </c>
      <c r="J16" s="2" t="s">
        <v>24</v>
      </c>
      <c r="K16" s="0" t="s">
        <v>25</v>
      </c>
      <c r="L16" s="0" t="s">
        <v>26</v>
      </c>
      <c r="M16" s="0" t="s">
        <v>27</v>
      </c>
      <c r="N16" s="0" t="s">
        <v>28</v>
      </c>
      <c r="O16" s="3" t="s">
        <v>119</v>
      </c>
      <c r="P16" s="2" t="s">
        <v>120</v>
      </c>
      <c r="Q16" s="2" t="s">
        <v>121</v>
      </c>
      <c r="R16" s="2" t="s">
        <v>32</v>
      </c>
      <c r="S16" s="2" t="s">
        <v>33</v>
      </c>
    </row>
    <row r="17" customFormat="false" ht="15" hidden="false" customHeight="false" outlineLevel="0" collapsed="false">
      <c r="A17" s="0" t="n">
        <v>16</v>
      </c>
      <c r="D17" s="0" t="s">
        <v>122</v>
      </c>
      <c r="E17" s="0" t="s">
        <v>20</v>
      </c>
      <c r="F17" s="0" t="s">
        <v>123</v>
      </c>
      <c r="H17" s="0" t="s">
        <v>22</v>
      </c>
      <c r="I17" s="2" t="s">
        <v>23</v>
      </c>
      <c r="J17" s="2" t="s">
        <v>24</v>
      </c>
      <c r="K17" s="0" t="s">
        <v>25</v>
      </c>
      <c r="L17" s="0" t="s">
        <v>124</v>
      </c>
      <c r="M17" s="0" t="s">
        <v>125</v>
      </c>
      <c r="N17" s="0" t="s">
        <v>28</v>
      </c>
      <c r="O17" s="3" t="s">
        <v>126</v>
      </c>
      <c r="P17" s="2" t="s">
        <v>127</v>
      </c>
      <c r="Q17" s="2" t="s">
        <v>128</v>
      </c>
      <c r="R17" s="2" t="s">
        <v>32</v>
      </c>
      <c r="S17" s="2" t="s">
        <v>33</v>
      </c>
    </row>
    <row r="18" customFormat="false" ht="15" hidden="false" customHeight="false" outlineLevel="0" collapsed="false">
      <c r="A18" s="0" t="n">
        <v>17</v>
      </c>
      <c r="D18" s="0" t="s">
        <v>129</v>
      </c>
      <c r="E18" s="0" t="s">
        <v>20</v>
      </c>
      <c r="F18" s="0" t="s">
        <v>130</v>
      </c>
      <c r="H18" s="0" t="s">
        <v>22</v>
      </c>
      <c r="I18" s="2" t="s">
        <v>23</v>
      </c>
      <c r="J18" s="2" t="s">
        <v>24</v>
      </c>
      <c r="K18" s="0" t="s">
        <v>25</v>
      </c>
      <c r="L18" s="0" t="s">
        <v>26</v>
      </c>
      <c r="M18" s="0" t="s">
        <v>27</v>
      </c>
      <c r="N18" s="0" t="s">
        <v>28</v>
      </c>
      <c r="O18" s="3" t="s">
        <v>131</v>
      </c>
      <c r="P18" s="2" t="s">
        <v>132</v>
      </c>
      <c r="Q18" s="2" t="s">
        <v>133</v>
      </c>
      <c r="R18" s="2" t="s">
        <v>32</v>
      </c>
      <c r="S18" s="2" t="s">
        <v>33</v>
      </c>
    </row>
    <row r="19" customFormat="false" ht="15" hidden="false" customHeight="false" outlineLevel="0" collapsed="false">
      <c r="A19" s="0" t="n">
        <v>18</v>
      </c>
      <c r="D19" s="0" t="s">
        <v>134</v>
      </c>
      <c r="E19" s="0" t="s">
        <v>20</v>
      </c>
      <c r="F19" s="0" t="s">
        <v>135</v>
      </c>
      <c r="H19" s="0" t="s">
        <v>22</v>
      </c>
      <c r="I19" s="2" t="s">
        <v>23</v>
      </c>
      <c r="J19" s="2" t="s">
        <v>24</v>
      </c>
      <c r="K19" s="0" t="s">
        <v>25</v>
      </c>
      <c r="L19" s="0" t="s">
        <v>26</v>
      </c>
      <c r="M19" s="0" t="s">
        <v>27</v>
      </c>
      <c r="N19" s="0" t="s">
        <v>28</v>
      </c>
      <c r="O19" s="3" t="s">
        <v>136</v>
      </c>
      <c r="P19" s="2" t="s">
        <v>137</v>
      </c>
      <c r="Q19" s="2" t="s">
        <v>138</v>
      </c>
      <c r="R19" s="2" t="s">
        <v>32</v>
      </c>
      <c r="S19" s="2" t="s">
        <v>33</v>
      </c>
    </row>
    <row r="20" customFormat="false" ht="15" hidden="false" customHeight="false" outlineLevel="0" collapsed="false">
      <c r="A20" s="0" t="n">
        <v>19</v>
      </c>
      <c r="D20" s="0" t="s">
        <v>139</v>
      </c>
      <c r="E20" s="0" t="s">
        <v>20</v>
      </c>
      <c r="F20" s="0" t="s">
        <v>140</v>
      </c>
      <c r="H20" s="0" t="s">
        <v>22</v>
      </c>
      <c r="I20" s="2" t="s">
        <v>23</v>
      </c>
      <c r="J20" s="2" t="s">
        <v>24</v>
      </c>
      <c r="K20" s="0" t="s">
        <v>25</v>
      </c>
      <c r="L20" s="0" t="s">
        <v>141</v>
      </c>
      <c r="M20" s="0" t="s">
        <v>142</v>
      </c>
      <c r="N20" s="0" t="s">
        <v>28</v>
      </c>
      <c r="O20" s="3" t="s">
        <v>143</v>
      </c>
      <c r="P20" s="2" t="s">
        <v>144</v>
      </c>
      <c r="Q20" s="2" t="s">
        <v>145</v>
      </c>
      <c r="R20" s="2" t="s">
        <v>32</v>
      </c>
      <c r="S20" s="2" t="s">
        <v>33</v>
      </c>
    </row>
    <row r="21" customFormat="false" ht="15" hidden="false" customHeight="false" outlineLevel="0" collapsed="false">
      <c r="A21" s="0" t="n">
        <v>20</v>
      </c>
      <c r="B21" s="0" t="s">
        <v>146</v>
      </c>
      <c r="D21" s="0" t="s">
        <v>147</v>
      </c>
      <c r="E21" s="0" t="s">
        <v>20</v>
      </c>
      <c r="F21" s="0" t="s">
        <v>148</v>
      </c>
      <c r="H21" s="0" t="s">
        <v>22</v>
      </c>
      <c r="I21" s="2" t="s">
        <v>23</v>
      </c>
      <c r="J21" s="2" t="s">
        <v>24</v>
      </c>
      <c r="K21" s="0" t="s">
        <v>25</v>
      </c>
      <c r="L21" s="0" t="s">
        <v>149</v>
      </c>
      <c r="M21" s="0" t="s">
        <v>150</v>
      </c>
      <c r="N21" s="0" t="s">
        <v>28</v>
      </c>
      <c r="O21" s="3" t="s">
        <v>151</v>
      </c>
      <c r="P21" s="2" t="s">
        <v>152</v>
      </c>
      <c r="Q21" s="2" t="s">
        <v>153</v>
      </c>
      <c r="R21" s="2" t="s">
        <v>32</v>
      </c>
      <c r="S21" s="2" t="s">
        <v>154</v>
      </c>
    </row>
    <row r="22" customFormat="false" ht="15" hidden="false" customHeight="false" outlineLevel="0" collapsed="false">
      <c r="A22" s="0" t="n">
        <v>21</v>
      </c>
      <c r="D22" s="0" t="s">
        <v>155</v>
      </c>
      <c r="E22" s="0" t="s">
        <v>20</v>
      </c>
      <c r="F22" s="0" t="s">
        <v>156</v>
      </c>
      <c r="H22" s="0" t="s">
        <v>22</v>
      </c>
      <c r="I22" s="2" t="s">
        <v>23</v>
      </c>
      <c r="J22" s="2" t="s">
        <v>24</v>
      </c>
      <c r="K22" s="0" t="s">
        <v>25</v>
      </c>
      <c r="L22" s="0" t="s">
        <v>26</v>
      </c>
      <c r="M22" s="0" t="s">
        <v>27</v>
      </c>
      <c r="N22" s="0" t="s">
        <v>28</v>
      </c>
      <c r="O22" s="3" t="s">
        <v>157</v>
      </c>
      <c r="P22" s="2" t="s">
        <v>158</v>
      </c>
      <c r="Q22" s="2" t="s">
        <v>159</v>
      </c>
      <c r="R22" s="2" t="s">
        <v>32</v>
      </c>
      <c r="S22" s="2" t="s">
        <v>33</v>
      </c>
    </row>
    <row r="23" customFormat="false" ht="15" hidden="false" customHeight="false" outlineLevel="0" collapsed="false">
      <c r="A23" s="0" t="n">
        <v>22</v>
      </c>
      <c r="D23" s="0" t="s">
        <v>160</v>
      </c>
      <c r="E23" s="0" t="s">
        <v>20</v>
      </c>
      <c r="F23" s="0" t="s">
        <v>161</v>
      </c>
      <c r="H23" s="0" t="s">
        <v>22</v>
      </c>
      <c r="I23" s="2" t="s">
        <v>23</v>
      </c>
      <c r="J23" s="2" t="s">
        <v>24</v>
      </c>
      <c r="K23" s="0" t="s">
        <v>25</v>
      </c>
      <c r="L23" s="0" t="s">
        <v>162</v>
      </c>
      <c r="M23" s="0" t="s">
        <v>163</v>
      </c>
      <c r="N23" s="0" t="s">
        <v>28</v>
      </c>
      <c r="O23" s="3" t="s">
        <v>164</v>
      </c>
      <c r="P23" s="2" t="s">
        <v>165</v>
      </c>
      <c r="Q23" s="2" t="s">
        <v>166</v>
      </c>
      <c r="R23" s="2" t="s">
        <v>48</v>
      </c>
      <c r="S23" s="2" t="s">
        <v>33</v>
      </c>
    </row>
    <row r="24" customFormat="false" ht="15" hidden="false" customHeight="false" outlineLevel="0" collapsed="false">
      <c r="A24" s="0" t="n">
        <v>23</v>
      </c>
      <c r="D24" s="0" t="s">
        <v>167</v>
      </c>
      <c r="E24" s="0" t="s">
        <v>20</v>
      </c>
      <c r="F24" s="0" t="s">
        <v>168</v>
      </c>
      <c r="H24" s="0" t="s">
        <v>22</v>
      </c>
      <c r="I24" s="2" t="s">
        <v>23</v>
      </c>
      <c r="J24" s="2" t="s">
        <v>24</v>
      </c>
      <c r="K24" s="0" t="s">
        <v>25</v>
      </c>
      <c r="L24" s="0" t="s">
        <v>26</v>
      </c>
      <c r="M24" s="0" t="s">
        <v>27</v>
      </c>
      <c r="N24" s="0" t="s">
        <v>28</v>
      </c>
      <c r="O24" s="3" t="s">
        <v>169</v>
      </c>
      <c r="P24" s="2" t="s">
        <v>170</v>
      </c>
      <c r="Q24" s="2" t="s">
        <v>171</v>
      </c>
      <c r="R24" s="2" t="s">
        <v>32</v>
      </c>
      <c r="S24" s="2" t="s">
        <v>33</v>
      </c>
    </row>
    <row r="25" customFormat="false" ht="15" hidden="false" customHeight="false" outlineLevel="0" collapsed="false">
      <c r="A25" s="0" t="n">
        <v>24</v>
      </c>
      <c r="D25" s="0" t="s">
        <v>172</v>
      </c>
      <c r="E25" s="0" t="s">
        <v>20</v>
      </c>
      <c r="F25" s="0" t="s">
        <v>173</v>
      </c>
      <c r="H25" s="0" t="s">
        <v>22</v>
      </c>
      <c r="I25" s="2" t="s">
        <v>23</v>
      </c>
      <c r="J25" s="2" t="s">
        <v>24</v>
      </c>
      <c r="K25" s="0" t="s">
        <v>25</v>
      </c>
      <c r="L25" s="0" t="s">
        <v>43</v>
      </c>
      <c r="M25" s="0" t="s">
        <v>44</v>
      </c>
      <c r="N25" s="0" t="s">
        <v>28</v>
      </c>
      <c r="O25" s="3" t="s">
        <v>174</v>
      </c>
      <c r="P25" s="2" t="s">
        <v>175</v>
      </c>
      <c r="Q25" s="2" t="s">
        <v>176</v>
      </c>
      <c r="R25" s="2" t="s">
        <v>99</v>
      </c>
      <c r="S25" s="2" t="s">
        <v>33</v>
      </c>
    </row>
    <row r="26" customFormat="false" ht="15" hidden="false" customHeight="false" outlineLevel="0" collapsed="false">
      <c r="A26" s="0" t="n">
        <v>25</v>
      </c>
      <c r="D26" s="0" t="s">
        <v>177</v>
      </c>
      <c r="E26" s="0" t="s">
        <v>20</v>
      </c>
      <c r="F26" s="0" t="s">
        <v>178</v>
      </c>
      <c r="H26" s="0" t="s">
        <v>22</v>
      </c>
      <c r="I26" s="2" t="s">
        <v>23</v>
      </c>
      <c r="J26" s="2" t="s">
        <v>24</v>
      </c>
      <c r="K26" s="0" t="s">
        <v>25</v>
      </c>
      <c r="L26" s="0" t="s">
        <v>179</v>
      </c>
      <c r="M26" s="0" t="s">
        <v>27</v>
      </c>
      <c r="N26" s="0" t="s">
        <v>28</v>
      </c>
      <c r="O26" s="3" t="s">
        <v>180</v>
      </c>
      <c r="P26" s="2" t="s">
        <v>181</v>
      </c>
      <c r="Q26" s="2" t="s">
        <v>182</v>
      </c>
      <c r="R26" s="2" t="s">
        <v>32</v>
      </c>
      <c r="S26" s="2" t="s">
        <v>33</v>
      </c>
    </row>
    <row r="27" customFormat="false" ht="15" hidden="false" customHeight="false" outlineLevel="0" collapsed="false">
      <c r="A27" s="0" t="n">
        <v>26</v>
      </c>
      <c r="D27" s="0" t="s">
        <v>183</v>
      </c>
      <c r="E27" s="0" t="s">
        <v>20</v>
      </c>
      <c r="F27" s="0" t="s">
        <v>184</v>
      </c>
      <c r="H27" s="0" t="s">
        <v>22</v>
      </c>
      <c r="I27" s="2" t="s">
        <v>23</v>
      </c>
      <c r="J27" s="2" t="s">
        <v>24</v>
      </c>
      <c r="K27" s="0" t="s">
        <v>25</v>
      </c>
      <c r="L27" s="0" t="s">
        <v>26</v>
      </c>
      <c r="M27" s="0" t="s">
        <v>27</v>
      </c>
      <c r="N27" s="0" t="s">
        <v>28</v>
      </c>
      <c r="O27" s="3" t="s">
        <v>185</v>
      </c>
      <c r="P27" s="2" t="s">
        <v>186</v>
      </c>
      <c r="Q27" s="2" t="s">
        <v>187</v>
      </c>
      <c r="R27" s="2" t="s">
        <v>32</v>
      </c>
      <c r="S27" s="2" t="s">
        <v>33</v>
      </c>
    </row>
    <row r="28" customFormat="false" ht="15" hidden="false" customHeight="false" outlineLevel="0" collapsed="false">
      <c r="A28" s="0" t="n">
        <v>27</v>
      </c>
      <c r="D28" s="0" t="s">
        <v>188</v>
      </c>
      <c r="E28" s="0" t="s">
        <v>20</v>
      </c>
      <c r="F28" s="0" t="s">
        <v>189</v>
      </c>
      <c r="H28" s="0" t="s">
        <v>22</v>
      </c>
      <c r="I28" s="2" t="s">
        <v>23</v>
      </c>
      <c r="J28" s="2" t="s">
        <v>24</v>
      </c>
      <c r="K28" s="0" t="s">
        <v>25</v>
      </c>
      <c r="L28" s="0" t="s">
        <v>26</v>
      </c>
      <c r="M28" s="0" t="s">
        <v>27</v>
      </c>
      <c r="N28" s="0" t="s">
        <v>28</v>
      </c>
      <c r="O28" s="3" t="s">
        <v>190</v>
      </c>
      <c r="P28" s="2" t="s">
        <v>191</v>
      </c>
      <c r="Q28" s="2" t="s">
        <v>192</v>
      </c>
      <c r="R28" s="2" t="s">
        <v>32</v>
      </c>
      <c r="S28" s="2" t="s">
        <v>33</v>
      </c>
    </row>
    <row r="29" customFormat="false" ht="15" hidden="false" customHeight="false" outlineLevel="0" collapsed="false">
      <c r="A29" s="0" t="n">
        <v>28</v>
      </c>
      <c r="D29" s="0" t="s">
        <v>193</v>
      </c>
      <c r="E29" s="0" t="s">
        <v>20</v>
      </c>
      <c r="F29" s="0" t="s">
        <v>194</v>
      </c>
      <c r="H29" s="0" t="s">
        <v>22</v>
      </c>
      <c r="I29" s="2" t="s">
        <v>23</v>
      </c>
      <c r="J29" s="2" t="s">
        <v>24</v>
      </c>
      <c r="K29" s="0" t="s">
        <v>25</v>
      </c>
      <c r="L29" s="0" t="s">
        <v>102</v>
      </c>
      <c r="M29" s="0" t="s">
        <v>103</v>
      </c>
      <c r="N29" s="0" t="s">
        <v>28</v>
      </c>
      <c r="O29" s="3" t="s">
        <v>195</v>
      </c>
      <c r="P29" s="2" t="s">
        <v>196</v>
      </c>
      <c r="Q29" s="2" t="s">
        <v>197</v>
      </c>
      <c r="R29" s="2" t="s">
        <v>32</v>
      </c>
      <c r="S29" s="2" t="s">
        <v>33</v>
      </c>
    </row>
    <row r="30" customFormat="false" ht="15" hidden="false" customHeight="false" outlineLevel="0" collapsed="false">
      <c r="A30" s="0" t="n">
        <v>29</v>
      </c>
      <c r="D30" s="0" t="s">
        <v>198</v>
      </c>
      <c r="E30" s="0" t="s">
        <v>20</v>
      </c>
      <c r="H30" s="0" t="s">
        <v>22</v>
      </c>
      <c r="I30" s="2" t="s">
        <v>23</v>
      </c>
      <c r="J30" s="2" t="s">
        <v>24</v>
      </c>
      <c r="K30" s="0" t="s">
        <v>25</v>
      </c>
      <c r="L30" s="0" t="s">
        <v>26</v>
      </c>
      <c r="M30" s="0" t="s">
        <v>27</v>
      </c>
      <c r="N30" s="0" t="s">
        <v>28</v>
      </c>
      <c r="O30" s="3" t="s">
        <v>199</v>
      </c>
      <c r="P30" s="2" t="s">
        <v>200</v>
      </c>
      <c r="Q30" s="2" t="s">
        <v>201</v>
      </c>
      <c r="R30" s="2" t="s">
        <v>32</v>
      </c>
      <c r="S30" s="2" t="s">
        <v>33</v>
      </c>
    </row>
    <row r="31" customFormat="false" ht="15" hidden="false" customHeight="false" outlineLevel="0" collapsed="false">
      <c r="A31" s="0" t="n">
        <v>30</v>
      </c>
      <c r="D31" s="0" t="s">
        <v>202</v>
      </c>
      <c r="E31" s="0" t="s">
        <v>20</v>
      </c>
      <c r="H31" s="0" t="s">
        <v>22</v>
      </c>
      <c r="I31" s="2" t="s">
        <v>23</v>
      </c>
      <c r="J31" s="2" t="s">
        <v>24</v>
      </c>
      <c r="K31" s="0" t="s">
        <v>25</v>
      </c>
      <c r="L31" s="0" t="s">
        <v>26</v>
      </c>
      <c r="M31" s="0" t="s">
        <v>27</v>
      </c>
      <c r="N31" s="0" t="s">
        <v>28</v>
      </c>
      <c r="O31" s="3" t="s">
        <v>203</v>
      </c>
      <c r="P31" s="2" t="s">
        <v>204</v>
      </c>
      <c r="Q31" s="2" t="s">
        <v>205</v>
      </c>
      <c r="R31" s="2" t="s">
        <v>32</v>
      </c>
      <c r="S31" s="2" t="s">
        <v>33</v>
      </c>
    </row>
    <row r="32" customFormat="false" ht="15" hidden="false" customHeight="false" outlineLevel="0" collapsed="false">
      <c r="A32" s="0" t="n">
        <v>31</v>
      </c>
      <c r="D32" s="0" t="s">
        <v>206</v>
      </c>
      <c r="E32" s="0" t="s">
        <v>20</v>
      </c>
      <c r="F32" s="0" t="s">
        <v>207</v>
      </c>
      <c r="H32" s="0" t="s">
        <v>22</v>
      </c>
      <c r="I32" s="2" t="s">
        <v>23</v>
      </c>
      <c r="J32" s="2" t="s">
        <v>24</v>
      </c>
      <c r="K32" s="0" t="s">
        <v>25</v>
      </c>
      <c r="L32" s="0" t="s">
        <v>141</v>
      </c>
      <c r="M32" s="0" t="s">
        <v>142</v>
      </c>
      <c r="N32" s="0" t="s">
        <v>28</v>
      </c>
      <c r="O32" s="3" t="s">
        <v>208</v>
      </c>
      <c r="P32" s="2" t="s">
        <v>209</v>
      </c>
      <c r="Q32" s="2" t="s">
        <v>210</v>
      </c>
      <c r="R32" s="2" t="s">
        <v>32</v>
      </c>
      <c r="S32" s="2" t="s">
        <v>33</v>
      </c>
    </row>
    <row r="33" customFormat="false" ht="15" hidden="false" customHeight="false" outlineLevel="0" collapsed="false">
      <c r="A33" s="0" t="n">
        <v>32</v>
      </c>
      <c r="D33" s="0" t="s">
        <v>211</v>
      </c>
      <c r="E33" s="0" t="s">
        <v>20</v>
      </c>
      <c r="F33" s="0" t="s">
        <v>212</v>
      </c>
      <c r="H33" s="0" t="s">
        <v>22</v>
      </c>
      <c r="I33" s="2" t="s">
        <v>23</v>
      </c>
      <c r="J33" s="2" t="s">
        <v>24</v>
      </c>
      <c r="K33" s="0" t="s">
        <v>25</v>
      </c>
      <c r="L33" s="0" t="s">
        <v>26</v>
      </c>
      <c r="M33" s="0" t="s">
        <v>27</v>
      </c>
      <c r="N33" s="0" t="s">
        <v>28</v>
      </c>
      <c r="O33" s="3" t="s">
        <v>213</v>
      </c>
      <c r="P33" s="2" t="s">
        <v>214</v>
      </c>
      <c r="Q33" s="2" t="s">
        <v>215</v>
      </c>
      <c r="R33" s="2" t="s">
        <v>32</v>
      </c>
      <c r="S33" s="2" t="s">
        <v>33</v>
      </c>
    </row>
    <row r="34" customFormat="false" ht="15" hidden="false" customHeight="false" outlineLevel="0" collapsed="false">
      <c r="A34" s="0" t="n">
        <v>33</v>
      </c>
      <c r="D34" s="0" t="s">
        <v>216</v>
      </c>
      <c r="E34" s="0" t="s">
        <v>20</v>
      </c>
      <c r="F34" s="0" t="s">
        <v>217</v>
      </c>
      <c r="H34" s="0" t="s">
        <v>22</v>
      </c>
      <c r="I34" s="2" t="s">
        <v>23</v>
      </c>
      <c r="J34" s="2" t="s">
        <v>24</v>
      </c>
      <c r="K34" s="0" t="s">
        <v>25</v>
      </c>
      <c r="L34" s="0" t="s">
        <v>65</v>
      </c>
      <c r="M34" s="0" t="s">
        <v>66</v>
      </c>
      <c r="N34" s="0" t="s">
        <v>28</v>
      </c>
      <c r="O34" s="3" t="s">
        <v>218</v>
      </c>
      <c r="P34" s="2" t="s">
        <v>219</v>
      </c>
      <c r="Q34" s="2" t="s">
        <v>220</v>
      </c>
      <c r="R34" s="2" t="s">
        <v>99</v>
      </c>
      <c r="S34" s="2" t="s">
        <v>33</v>
      </c>
    </row>
    <row r="35" customFormat="false" ht="15" hidden="false" customHeight="false" outlineLevel="0" collapsed="false">
      <c r="A35" s="0" t="n">
        <v>34</v>
      </c>
      <c r="D35" s="0" t="s">
        <v>221</v>
      </c>
      <c r="E35" s="0" t="s">
        <v>20</v>
      </c>
      <c r="F35" s="0" t="s">
        <v>222</v>
      </c>
      <c r="H35" s="0" t="s">
        <v>22</v>
      </c>
      <c r="I35" s="2" t="s">
        <v>23</v>
      </c>
      <c r="J35" s="2" t="s">
        <v>24</v>
      </c>
      <c r="K35" s="0" t="s">
        <v>25</v>
      </c>
      <c r="L35" s="0" t="s">
        <v>223</v>
      </c>
      <c r="M35" s="0" t="s">
        <v>27</v>
      </c>
      <c r="N35" s="0" t="s">
        <v>28</v>
      </c>
      <c r="O35" s="3" t="s">
        <v>224</v>
      </c>
      <c r="P35" s="2" t="s">
        <v>225</v>
      </c>
      <c r="Q35" s="2" t="s">
        <v>226</v>
      </c>
      <c r="R35" s="2" t="s">
        <v>32</v>
      </c>
      <c r="S35" s="2" t="s">
        <v>33</v>
      </c>
    </row>
    <row r="36" customFormat="false" ht="15" hidden="false" customHeight="false" outlineLevel="0" collapsed="false">
      <c r="A36" s="0" t="n">
        <v>35</v>
      </c>
      <c r="D36" s="0" t="s">
        <v>227</v>
      </c>
      <c r="E36" s="0" t="s">
        <v>20</v>
      </c>
      <c r="F36" s="0" t="s">
        <v>228</v>
      </c>
      <c r="H36" s="0" t="s">
        <v>22</v>
      </c>
      <c r="I36" s="2" t="s">
        <v>23</v>
      </c>
      <c r="J36" s="2" t="s">
        <v>24</v>
      </c>
      <c r="K36" s="0" t="s">
        <v>25</v>
      </c>
      <c r="L36" s="0" t="s">
        <v>26</v>
      </c>
      <c r="M36" s="0" t="s">
        <v>27</v>
      </c>
      <c r="N36" s="0" t="s">
        <v>28</v>
      </c>
      <c r="O36" s="3" t="s">
        <v>229</v>
      </c>
      <c r="P36" s="2" t="s">
        <v>230</v>
      </c>
      <c r="Q36" s="2" t="s">
        <v>231</v>
      </c>
      <c r="R36" s="2" t="s">
        <v>32</v>
      </c>
      <c r="S36" s="2" t="s">
        <v>33</v>
      </c>
    </row>
    <row r="37" customFormat="false" ht="15" hidden="false" customHeight="false" outlineLevel="0" collapsed="false">
      <c r="A37" s="0" t="n">
        <v>36</v>
      </c>
      <c r="D37" s="0" t="s">
        <v>232</v>
      </c>
      <c r="E37" s="0" t="s">
        <v>20</v>
      </c>
      <c r="F37" s="0" t="s">
        <v>233</v>
      </c>
      <c r="H37" s="0" t="s">
        <v>22</v>
      </c>
      <c r="I37" s="2" t="s">
        <v>23</v>
      </c>
      <c r="J37" s="2" t="s">
        <v>24</v>
      </c>
      <c r="K37" s="0" t="s">
        <v>25</v>
      </c>
      <c r="L37" s="0" t="s">
        <v>26</v>
      </c>
      <c r="M37" s="0" t="s">
        <v>27</v>
      </c>
      <c r="N37" s="0" t="s">
        <v>28</v>
      </c>
      <c r="O37" s="3" t="s">
        <v>234</v>
      </c>
      <c r="P37" s="2" t="s">
        <v>235</v>
      </c>
      <c r="Q37" s="2" t="s">
        <v>236</v>
      </c>
      <c r="R37" s="2" t="s">
        <v>32</v>
      </c>
      <c r="S37" s="2" t="s">
        <v>33</v>
      </c>
    </row>
    <row r="38" customFormat="false" ht="15" hidden="false" customHeight="false" outlineLevel="0" collapsed="false">
      <c r="A38" s="0" t="n">
        <v>37</v>
      </c>
      <c r="D38" s="0" t="s">
        <v>237</v>
      </c>
      <c r="E38" s="0" t="s">
        <v>20</v>
      </c>
      <c r="H38" s="0" t="s">
        <v>22</v>
      </c>
      <c r="I38" s="2" t="s">
        <v>23</v>
      </c>
      <c r="J38" s="2" t="s">
        <v>24</v>
      </c>
      <c r="K38" s="0" t="s">
        <v>25</v>
      </c>
      <c r="L38" s="0" t="s">
        <v>238</v>
      </c>
      <c r="M38" s="0" t="s">
        <v>239</v>
      </c>
      <c r="N38" s="0" t="s">
        <v>28</v>
      </c>
      <c r="O38" s="3" t="s">
        <v>240</v>
      </c>
      <c r="Q38" s="2" t="s">
        <v>241</v>
      </c>
      <c r="R38" s="2" t="s">
        <v>32</v>
      </c>
      <c r="S38" s="2" t="s">
        <v>33</v>
      </c>
    </row>
    <row r="39" customFormat="false" ht="15" hidden="false" customHeight="false" outlineLevel="0" collapsed="false">
      <c r="A39" s="0" t="n">
        <v>38</v>
      </c>
      <c r="D39" s="0" t="s">
        <v>242</v>
      </c>
      <c r="E39" s="0" t="s">
        <v>20</v>
      </c>
      <c r="H39" s="0" t="s">
        <v>22</v>
      </c>
      <c r="I39" s="2" t="s">
        <v>23</v>
      </c>
      <c r="J39" s="2" t="s">
        <v>24</v>
      </c>
      <c r="K39" s="0" t="s">
        <v>25</v>
      </c>
      <c r="L39" s="0" t="s">
        <v>102</v>
      </c>
      <c r="M39" s="0" t="s">
        <v>103</v>
      </c>
      <c r="N39" s="0" t="s">
        <v>28</v>
      </c>
      <c r="O39" s="3" t="s">
        <v>243</v>
      </c>
      <c r="P39" s="2" t="s">
        <v>244</v>
      </c>
      <c r="Q39" s="2" t="s">
        <v>245</v>
      </c>
      <c r="R39" s="2" t="s">
        <v>246</v>
      </c>
      <c r="S39" s="2" t="s">
        <v>33</v>
      </c>
    </row>
    <row r="40" customFormat="false" ht="15" hidden="false" customHeight="false" outlineLevel="0" collapsed="false">
      <c r="A40" s="0" t="n">
        <v>39</v>
      </c>
      <c r="D40" s="0" t="s">
        <v>247</v>
      </c>
      <c r="E40" s="0" t="s">
        <v>20</v>
      </c>
      <c r="F40" s="0" t="s">
        <v>248</v>
      </c>
      <c r="H40" s="0" t="s">
        <v>22</v>
      </c>
      <c r="I40" s="2" t="s">
        <v>23</v>
      </c>
      <c r="J40" s="2" t="s">
        <v>24</v>
      </c>
      <c r="K40" s="0" t="s">
        <v>25</v>
      </c>
      <c r="L40" s="0" t="s">
        <v>249</v>
      </c>
      <c r="M40" s="0" t="s">
        <v>103</v>
      </c>
      <c r="N40" s="0" t="s">
        <v>28</v>
      </c>
      <c r="O40" s="3" t="s">
        <v>250</v>
      </c>
      <c r="P40" s="2" t="s">
        <v>251</v>
      </c>
      <c r="Q40" s="2" t="s">
        <v>252</v>
      </c>
      <c r="R40" s="2" t="s">
        <v>32</v>
      </c>
      <c r="S40" s="2" t="s">
        <v>33</v>
      </c>
    </row>
    <row r="41" customFormat="false" ht="15" hidden="false" customHeight="false" outlineLevel="0" collapsed="false">
      <c r="A41" s="0" t="n">
        <v>40</v>
      </c>
      <c r="D41" s="0" t="s">
        <v>253</v>
      </c>
      <c r="E41" s="0" t="s">
        <v>20</v>
      </c>
      <c r="F41" s="0" t="s">
        <v>254</v>
      </c>
      <c r="H41" s="0" t="s">
        <v>22</v>
      </c>
      <c r="I41" s="2" t="s">
        <v>23</v>
      </c>
      <c r="J41" s="2" t="s">
        <v>24</v>
      </c>
      <c r="K41" s="0" t="s">
        <v>25</v>
      </c>
      <c r="L41" s="0" t="s">
        <v>43</v>
      </c>
      <c r="M41" s="0" t="s">
        <v>44</v>
      </c>
      <c r="N41" s="0" t="s">
        <v>28</v>
      </c>
      <c r="O41" s="3" t="s">
        <v>255</v>
      </c>
      <c r="P41" s="2" t="s">
        <v>256</v>
      </c>
      <c r="Q41" s="2" t="s">
        <v>257</v>
      </c>
      <c r="R41" s="2" t="s">
        <v>32</v>
      </c>
      <c r="S41" s="2" t="s">
        <v>33</v>
      </c>
    </row>
    <row r="42" customFormat="false" ht="15" hidden="false" customHeight="false" outlineLevel="0" collapsed="false">
      <c r="A42" s="0" t="n">
        <v>41</v>
      </c>
      <c r="D42" s="0" t="s">
        <v>258</v>
      </c>
      <c r="E42" s="0" t="s">
        <v>20</v>
      </c>
      <c r="F42" s="0" t="s">
        <v>259</v>
      </c>
      <c r="H42" s="0" t="s">
        <v>22</v>
      </c>
      <c r="I42" s="2" t="s">
        <v>23</v>
      </c>
      <c r="J42" s="2" t="s">
        <v>24</v>
      </c>
      <c r="K42" s="0" t="s">
        <v>25</v>
      </c>
      <c r="L42" s="0" t="s">
        <v>26</v>
      </c>
      <c r="M42" s="0" t="s">
        <v>27</v>
      </c>
      <c r="N42" s="0" t="s">
        <v>28</v>
      </c>
      <c r="O42" s="3" t="s">
        <v>260</v>
      </c>
      <c r="P42" s="2" t="s">
        <v>261</v>
      </c>
      <c r="Q42" s="2" t="s">
        <v>262</v>
      </c>
      <c r="R42" s="2" t="s">
        <v>32</v>
      </c>
      <c r="S42" s="2" t="s">
        <v>33</v>
      </c>
    </row>
    <row r="43" customFormat="false" ht="15" hidden="false" customHeight="false" outlineLevel="0" collapsed="false">
      <c r="A43" s="0" t="n">
        <v>42</v>
      </c>
      <c r="D43" s="0" t="s">
        <v>263</v>
      </c>
      <c r="E43" s="0" t="s">
        <v>20</v>
      </c>
      <c r="H43" s="0" t="s">
        <v>22</v>
      </c>
      <c r="I43" s="2" t="s">
        <v>23</v>
      </c>
      <c r="J43" s="2" t="s">
        <v>24</v>
      </c>
      <c r="K43" s="0" t="s">
        <v>25</v>
      </c>
      <c r="L43" s="0" t="s">
        <v>264</v>
      </c>
      <c r="M43" s="0" t="s">
        <v>265</v>
      </c>
      <c r="N43" s="0" t="s">
        <v>28</v>
      </c>
      <c r="O43" s="3" t="s">
        <v>266</v>
      </c>
      <c r="P43" s="2" t="s">
        <v>267</v>
      </c>
      <c r="Q43" s="2" t="s">
        <v>268</v>
      </c>
      <c r="R43" s="2" t="s">
        <v>32</v>
      </c>
      <c r="S43" s="2" t="s">
        <v>33</v>
      </c>
    </row>
    <row r="44" customFormat="false" ht="15" hidden="false" customHeight="false" outlineLevel="0" collapsed="false">
      <c r="A44" s="0" t="n">
        <v>43</v>
      </c>
      <c r="D44" s="0" t="s">
        <v>269</v>
      </c>
      <c r="E44" s="0" t="s">
        <v>20</v>
      </c>
      <c r="F44" s="0" t="s">
        <v>270</v>
      </c>
      <c r="H44" s="0" t="s">
        <v>22</v>
      </c>
      <c r="I44" s="2" t="s">
        <v>23</v>
      </c>
      <c r="J44" s="2" t="s">
        <v>24</v>
      </c>
      <c r="K44" s="0" t="s">
        <v>25</v>
      </c>
      <c r="L44" s="0" t="s">
        <v>271</v>
      </c>
      <c r="M44" s="0" t="s">
        <v>66</v>
      </c>
      <c r="N44" s="0" t="s">
        <v>28</v>
      </c>
      <c r="O44" s="3" t="s">
        <v>272</v>
      </c>
      <c r="P44" s="2" t="s">
        <v>273</v>
      </c>
      <c r="Q44" s="2" t="s">
        <v>274</v>
      </c>
      <c r="R44" s="2" t="s">
        <v>32</v>
      </c>
      <c r="S44" s="2" t="s">
        <v>33</v>
      </c>
    </row>
    <row r="45" customFormat="false" ht="15" hidden="false" customHeight="false" outlineLevel="0" collapsed="false">
      <c r="A45" s="0" t="n">
        <v>44</v>
      </c>
      <c r="D45" s="0" t="s">
        <v>275</v>
      </c>
      <c r="E45" s="0" t="s">
        <v>20</v>
      </c>
      <c r="F45" s="0" t="s">
        <v>276</v>
      </c>
      <c r="H45" s="0" t="s">
        <v>22</v>
      </c>
      <c r="I45" s="2" t="s">
        <v>23</v>
      </c>
      <c r="J45" s="2" t="s">
        <v>24</v>
      </c>
      <c r="K45" s="0" t="s">
        <v>25</v>
      </c>
      <c r="L45" s="0" t="s">
        <v>65</v>
      </c>
      <c r="M45" s="0" t="s">
        <v>66</v>
      </c>
      <c r="N45" s="0" t="s">
        <v>28</v>
      </c>
      <c r="O45" s="3" t="s">
        <v>277</v>
      </c>
      <c r="P45" s="2" t="s">
        <v>278</v>
      </c>
      <c r="Q45" s="2" t="s">
        <v>279</v>
      </c>
      <c r="R45" s="2" t="s">
        <v>280</v>
      </c>
      <c r="S45" s="2" t="s">
        <v>33</v>
      </c>
    </row>
    <row r="46" customFormat="false" ht="15" hidden="false" customHeight="false" outlineLevel="0" collapsed="false">
      <c r="A46" s="0" t="n">
        <v>45</v>
      </c>
      <c r="D46" s="0" t="s">
        <v>281</v>
      </c>
      <c r="E46" s="0" t="s">
        <v>20</v>
      </c>
      <c r="F46" s="0" t="s">
        <v>282</v>
      </c>
      <c r="H46" s="0" t="s">
        <v>22</v>
      </c>
      <c r="I46" s="2" t="s">
        <v>23</v>
      </c>
      <c r="J46" s="2" t="s">
        <v>24</v>
      </c>
      <c r="K46" s="0" t="s">
        <v>25</v>
      </c>
      <c r="L46" s="0" t="s">
        <v>249</v>
      </c>
      <c r="M46" s="0" t="s">
        <v>103</v>
      </c>
      <c r="N46" s="0" t="s">
        <v>28</v>
      </c>
      <c r="O46" s="3" t="s">
        <v>283</v>
      </c>
      <c r="P46" s="2" t="s">
        <v>284</v>
      </c>
      <c r="Q46" s="2" t="s">
        <v>285</v>
      </c>
      <c r="R46" s="2" t="s">
        <v>32</v>
      </c>
      <c r="S46" s="2" t="s">
        <v>33</v>
      </c>
    </row>
    <row r="47" customFormat="false" ht="15" hidden="false" customHeight="false" outlineLevel="0" collapsed="false">
      <c r="A47" s="0" t="n">
        <v>46</v>
      </c>
      <c r="D47" s="0" t="s">
        <v>286</v>
      </c>
      <c r="E47" s="0" t="s">
        <v>20</v>
      </c>
      <c r="F47" s="0" t="s">
        <v>287</v>
      </c>
      <c r="H47" s="0" t="s">
        <v>22</v>
      </c>
      <c r="I47" s="2" t="s">
        <v>23</v>
      </c>
      <c r="J47" s="2" t="s">
        <v>24</v>
      </c>
      <c r="K47" s="0" t="s">
        <v>25</v>
      </c>
      <c r="L47" s="0" t="s">
        <v>65</v>
      </c>
      <c r="M47" s="0" t="s">
        <v>66</v>
      </c>
      <c r="N47" s="0" t="s">
        <v>28</v>
      </c>
      <c r="O47" s="3" t="s">
        <v>288</v>
      </c>
      <c r="P47" s="2" t="s">
        <v>289</v>
      </c>
      <c r="Q47" s="2" t="s">
        <v>290</v>
      </c>
      <c r="R47" s="2" t="s">
        <v>32</v>
      </c>
      <c r="S47" s="2" t="s">
        <v>33</v>
      </c>
    </row>
    <row r="48" customFormat="false" ht="15" hidden="false" customHeight="false" outlineLevel="0" collapsed="false">
      <c r="A48" s="0" t="n">
        <v>47</v>
      </c>
      <c r="D48" s="0" t="s">
        <v>291</v>
      </c>
      <c r="E48" s="0" t="s">
        <v>20</v>
      </c>
      <c r="F48" s="0" t="s">
        <v>292</v>
      </c>
      <c r="H48" s="0" t="s">
        <v>22</v>
      </c>
      <c r="I48" s="2" t="s">
        <v>23</v>
      </c>
      <c r="J48" s="2" t="s">
        <v>24</v>
      </c>
      <c r="K48" s="0" t="s">
        <v>25</v>
      </c>
      <c r="L48" s="0" t="s">
        <v>249</v>
      </c>
      <c r="M48" s="0" t="s">
        <v>103</v>
      </c>
      <c r="N48" s="0" t="s">
        <v>28</v>
      </c>
      <c r="O48" s="3" t="s">
        <v>293</v>
      </c>
      <c r="P48" s="2" t="s">
        <v>294</v>
      </c>
      <c r="Q48" s="2" t="s">
        <v>295</v>
      </c>
      <c r="R48" s="2" t="s">
        <v>32</v>
      </c>
      <c r="S48" s="2" t="s">
        <v>33</v>
      </c>
    </row>
    <row r="49" customFormat="false" ht="15" hidden="false" customHeight="false" outlineLevel="0" collapsed="false">
      <c r="A49" s="0" t="n">
        <v>48</v>
      </c>
      <c r="D49" s="0" t="s">
        <v>296</v>
      </c>
      <c r="E49" s="0" t="s">
        <v>20</v>
      </c>
      <c r="F49" s="0" t="s">
        <v>297</v>
      </c>
      <c r="H49" s="0" t="s">
        <v>22</v>
      </c>
      <c r="I49" s="2" t="s">
        <v>23</v>
      </c>
      <c r="J49" s="2" t="s">
        <v>24</v>
      </c>
      <c r="K49" s="0" t="s">
        <v>25</v>
      </c>
      <c r="L49" s="0" t="s">
        <v>298</v>
      </c>
      <c r="M49" s="0" t="s">
        <v>299</v>
      </c>
      <c r="N49" s="0" t="s">
        <v>28</v>
      </c>
      <c r="O49" s="3" t="s">
        <v>300</v>
      </c>
      <c r="Q49" s="2" t="s">
        <v>301</v>
      </c>
      <c r="R49" s="2" t="s">
        <v>302</v>
      </c>
      <c r="S49" s="2" t="s">
        <v>33</v>
      </c>
    </row>
    <row r="50" customFormat="false" ht="15" hidden="false" customHeight="false" outlineLevel="0" collapsed="false">
      <c r="A50" s="0" t="n">
        <v>49</v>
      </c>
      <c r="D50" s="0" t="s">
        <v>303</v>
      </c>
      <c r="E50" s="0" t="s">
        <v>20</v>
      </c>
      <c r="F50" s="0" t="s">
        <v>304</v>
      </c>
      <c r="H50" s="0" t="s">
        <v>22</v>
      </c>
      <c r="I50" s="2" t="s">
        <v>23</v>
      </c>
      <c r="J50" s="2" t="s">
        <v>24</v>
      </c>
      <c r="K50" s="0" t="s">
        <v>25</v>
      </c>
      <c r="L50" s="0" t="s">
        <v>305</v>
      </c>
      <c r="M50" s="0" t="s">
        <v>306</v>
      </c>
      <c r="N50" s="0" t="s">
        <v>28</v>
      </c>
      <c r="O50" s="3" t="s">
        <v>307</v>
      </c>
      <c r="P50" s="2" t="s">
        <v>308</v>
      </c>
      <c r="Q50" s="2" t="s">
        <v>309</v>
      </c>
      <c r="R50" s="2" t="s">
        <v>32</v>
      </c>
      <c r="S50" s="2" t="s">
        <v>33</v>
      </c>
    </row>
    <row r="51" customFormat="false" ht="15" hidden="false" customHeight="false" outlineLevel="0" collapsed="false">
      <c r="A51" s="0" t="n">
        <v>50</v>
      </c>
      <c r="D51" s="0" t="s">
        <v>310</v>
      </c>
      <c r="E51" s="0" t="s">
        <v>20</v>
      </c>
      <c r="F51" s="0" t="s">
        <v>311</v>
      </c>
      <c r="H51" s="0" t="s">
        <v>22</v>
      </c>
      <c r="I51" s="2" t="s">
        <v>23</v>
      </c>
      <c r="J51" s="2" t="s">
        <v>24</v>
      </c>
      <c r="K51" s="0" t="s">
        <v>25</v>
      </c>
      <c r="L51" s="0" t="s">
        <v>65</v>
      </c>
      <c r="M51" s="0" t="s">
        <v>66</v>
      </c>
      <c r="N51" s="0" t="s">
        <v>28</v>
      </c>
      <c r="O51" s="3" t="s">
        <v>312</v>
      </c>
      <c r="Q51" s="2" t="s">
        <v>313</v>
      </c>
      <c r="R51" s="2" t="s">
        <v>280</v>
      </c>
      <c r="S51" s="2" t="s">
        <v>33</v>
      </c>
    </row>
    <row r="52" customFormat="false" ht="15" hidden="false" customHeight="false" outlineLevel="0" collapsed="false">
      <c r="A52" s="0" t="n">
        <v>51</v>
      </c>
      <c r="D52" s="0" t="s">
        <v>314</v>
      </c>
      <c r="E52" s="0" t="s">
        <v>20</v>
      </c>
      <c r="F52" s="0" t="s">
        <v>315</v>
      </c>
      <c r="H52" s="0" t="s">
        <v>22</v>
      </c>
      <c r="I52" s="2" t="s">
        <v>23</v>
      </c>
      <c r="J52" s="2" t="s">
        <v>24</v>
      </c>
      <c r="K52" s="0" t="s">
        <v>25</v>
      </c>
      <c r="L52" s="0" t="s">
        <v>249</v>
      </c>
      <c r="M52" s="0" t="s">
        <v>103</v>
      </c>
      <c r="N52" s="0" t="s">
        <v>28</v>
      </c>
      <c r="O52" s="3" t="s">
        <v>316</v>
      </c>
      <c r="P52" s="2" t="s">
        <v>317</v>
      </c>
      <c r="Q52" s="2" t="s">
        <v>318</v>
      </c>
      <c r="R52" s="2" t="s">
        <v>32</v>
      </c>
      <c r="S52" s="2" t="s">
        <v>33</v>
      </c>
    </row>
    <row r="53" customFormat="false" ht="15" hidden="false" customHeight="false" outlineLevel="0" collapsed="false">
      <c r="A53" s="0" t="n">
        <v>52</v>
      </c>
      <c r="D53" s="0" t="s">
        <v>319</v>
      </c>
      <c r="E53" s="0" t="s">
        <v>20</v>
      </c>
      <c r="F53" s="0" t="s">
        <v>320</v>
      </c>
      <c r="H53" s="0" t="s">
        <v>22</v>
      </c>
      <c r="I53" s="2" t="s">
        <v>23</v>
      </c>
      <c r="J53" s="2" t="s">
        <v>24</v>
      </c>
      <c r="K53" s="0" t="s">
        <v>25</v>
      </c>
      <c r="L53" s="0" t="s">
        <v>321</v>
      </c>
      <c r="M53" s="0" t="s">
        <v>37</v>
      </c>
      <c r="N53" s="0" t="s">
        <v>28</v>
      </c>
      <c r="O53" s="3"/>
      <c r="P53" s="2" t="s">
        <v>322</v>
      </c>
      <c r="Q53" s="2" t="s">
        <v>323</v>
      </c>
      <c r="R53" s="2" t="s">
        <v>32</v>
      </c>
      <c r="S53" s="2" t="s">
        <v>33</v>
      </c>
    </row>
    <row r="54" customFormat="false" ht="15" hidden="false" customHeight="false" outlineLevel="0" collapsed="false">
      <c r="A54" s="0" t="n">
        <v>53</v>
      </c>
      <c r="D54" s="0" t="s">
        <v>324</v>
      </c>
      <c r="E54" s="0" t="s">
        <v>20</v>
      </c>
      <c r="F54" s="0" t="s">
        <v>325</v>
      </c>
      <c r="H54" s="0" t="s">
        <v>22</v>
      </c>
      <c r="I54" s="2" t="s">
        <v>23</v>
      </c>
      <c r="J54" s="2" t="s">
        <v>24</v>
      </c>
      <c r="K54" s="0" t="s">
        <v>25</v>
      </c>
      <c r="L54" s="0" t="s">
        <v>326</v>
      </c>
      <c r="M54" s="0" t="s">
        <v>327</v>
      </c>
      <c r="N54" s="0" t="s">
        <v>28</v>
      </c>
      <c r="O54" s="3" t="s">
        <v>328</v>
      </c>
      <c r="P54" s="2" t="s">
        <v>329</v>
      </c>
      <c r="Q54" s="2" t="s">
        <v>330</v>
      </c>
      <c r="R54" s="2" t="s">
        <v>32</v>
      </c>
      <c r="S54" s="2" t="s">
        <v>33</v>
      </c>
    </row>
    <row r="55" customFormat="false" ht="15" hidden="false" customHeight="false" outlineLevel="0" collapsed="false">
      <c r="A55" s="0" t="n">
        <v>54</v>
      </c>
      <c r="D55" s="0" t="s">
        <v>331</v>
      </c>
      <c r="E55" s="0" t="s">
        <v>20</v>
      </c>
      <c r="H55" s="0" t="s">
        <v>22</v>
      </c>
      <c r="I55" s="2" t="s">
        <v>23</v>
      </c>
      <c r="J55" s="2" t="s">
        <v>24</v>
      </c>
      <c r="K55" s="0" t="s">
        <v>25</v>
      </c>
      <c r="L55" s="0" t="s">
        <v>26</v>
      </c>
      <c r="M55" s="0" t="s">
        <v>27</v>
      </c>
      <c r="N55" s="0" t="s">
        <v>28</v>
      </c>
      <c r="O55" s="3" t="s">
        <v>332</v>
      </c>
      <c r="P55" s="2" t="s">
        <v>333</v>
      </c>
      <c r="Q55" s="2" t="s">
        <v>334</v>
      </c>
      <c r="R55" s="2" t="s">
        <v>48</v>
      </c>
      <c r="S55" s="2" t="s">
        <v>33</v>
      </c>
    </row>
    <row r="56" customFormat="false" ht="15" hidden="false" customHeight="false" outlineLevel="0" collapsed="false">
      <c r="A56" s="0" t="n">
        <v>55</v>
      </c>
      <c r="D56" s="0" t="s">
        <v>335</v>
      </c>
      <c r="E56" s="0" t="s">
        <v>20</v>
      </c>
      <c r="F56" s="0" t="s">
        <v>336</v>
      </c>
      <c r="H56" s="0" t="s">
        <v>22</v>
      </c>
      <c r="I56" s="2" t="s">
        <v>23</v>
      </c>
      <c r="J56" s="2" t="s">
        <v>24</v>
      </c>
      <c r="K56" s="0" t="s">
        <v>25</v>
      </c>
      <c r="L56" s="0" t="s">
        <v>26</v>
      </c>
      <c r="M56" s="0" t="s">
        <v>27</v>
      </c>
      <c r="N56" s="0" t="s">
        <v>28</v>
      </c>
      <c r="O56" s="3" t="s">
        <v>337</v>
      </c>
      <c r="P56" s="2" t="s">
        <v>338</v>
      </c>
      <c r="Q56" s="2" t="s">
        <v>339</v>
      </c>
      <c r="R56" s="2" t="s">
        <v>48</v>
      </c>
      <c r="S56" s="2" t="s">
        <v>33</v>
      </c>
    </row>
    <row r="57" customFormat="false" ht="15" hidden="false" customHeight="false" outlineLevel="0" collapsed="false">
      <c r="A57" s="0" t="n">
        <v>56</v>
      </c>
      <c r="D57" s="0" t="s">
        <v>340</v>
      </c>
      <c r="E57" s="0" t="s">
        <v>20</v>
      </c>
      <c r="F57" s="0" t="s">
        <v>341</v>
      </c>
      <c r="H57" s="0" t="s">
        <v>22</v>
      </c>
      <c r="I57" s="2" t="s">
        <v>23</v>
      </c>
      <c r="J57" s="2" t="s">
        <v>24</v>
      </c>
      <c r="K57" s="0" t="s">
        <v>25</v>
      </c>
      <c r="L57" s="0" t="s">
        <v>342</v>
      </c>
      <c r="M57" s="0" t="s">
        <v>52</v>
      </c>
      <c r="N57" s="0" t="s">
        <v>28</v>
      </c>
      <c r="O57" s="3" t="s">
        <v>343</v>
      </c>
      <c r="P57" s="2" t="s">
        <v>344</v>
      </c>
      <c r="Q57" s="2" t="s">
        <v>345</v>
      </c>
      <c r="R57" s="2" t="s">
        <v>32</v>
      </c>
      <c r="S57" s="2" t="s">
        <v>33</v>
      </c>
    </row>
    <row r="58" customFormat="false" ht="15" hidden="false" customHeight="false" outlineLevel="0" collapsed="false">
      <c r="A58" s="0" t="n">
        <v>57</v>
      </c>
      <c r="D58" s="0" t="s">
        <v>346</v>
      </c>
      <c r="E58" s="0" t="s">
        <v>20</v>
      </c>
      <c r="F58" s="0" t="s">
        <v>347</v>
      </c>
      <c r="H58" s="0" t="s">
        <v>22</v>
      </c>
      <c r="I58" s="2" t="s">
        <v>23</v>
      </c>
      <c r="J58" s="2" t="s">
        <v>24</v>
      </c>
      <c r="K58" s="0" t="s">
        <v>25</v>
      </c>
      <c r="L58" s="0" t="s">
        <v>26</v>
      </c>
      <c r="M58" s="0" t="s">
        <v>27</v>
      </c>
      <c r="N58" s="0" t="s">
        <v>28</v>
      </c>
      <c r="O58" s="3" t="s">
        <v>348</v>
      </c>
      <c r="P58" s="2" t="s">
        <v>349</v>
      </c>
      <c r="Q58" s="2" t="s">
        <v>350</v>
      </c>
      <c r="R58" s="2" t="s">
        <v>280</v>
      </c>
      <c r="S58" s="2" t="s">
        <v>33</v>
      </c>
    </row>
    <row r="59" customFormat="false" ht="15" hidden="false" customHeight="false" outlineLevel="0" collapsed="false">
      <c r="A59" s="0" t="n">
        <v>58</v>
      </c>
      <c r="D59" s="0" t="s">
        <v>351</v>
      </c>
      <c r="E59" s="0" t="s">
        <v>20</v>
      </c>
      <c r="F59" s="0" t="s">
        <v>352</v>
      </c>
      <c r="H59" s="0" t="s">
        <v>22</v>
      </c>
      <c r="I59" s="2" t="s">
        <v>23</v>
      </c>
      <c r="J59" s="2" t="s">
        <v>24</v>
      </c>
      <c r="K59" s="0" t="s">
        <v>25</v>
      </c>
      <c r="L59" s="0" t="s">
        <v>26</v>
      </c>
      <c r="M59" s="0" t="s">
        <v>27</v>
      </c>
      <c r="N59" s="0" t="s">
        <v>28</v>
      </c>
      <c r="O59" s="3" t="s">
        <v>353</v>
      </c>
      <c r="P59" s="2" t="s">
        <v>354</v>
      </c>
      <c r="Q59" s="2" t="s">
        <v>355</v>
      </c>
      <c r="R59" s="2" t="s">
        <v>32</v>
      </c>
      <c r="S59" s="2" t="s">
        <v>33</v>
      </c>
    </row>
    <row r="60" customFormat="false" ht="15" hidden="false" customHeight="false" outlineLevel="0" collapsed="false">
      <c r="A60" s="0" t="n">
        <v>59</v>
      </c>
      <c r="D60" s="0" t="s">
        <v>356</v>
      </c>
      <c r="E60" s="0" t="s">
        <v>20</v>
      </c>
      <c r="H60" s="0" t="s">
        <v>22</v>
      </c>
      <c r="I60" s="2" t="s">
        <v>23</v>
      </c>
      <c r="J60" s="2" t="s">
        <v>24</v>
      </c>
      <c r="K60" s="0" t="s">
        <v>25</v>
      </c>
      <c r="L60" s="0" t="s">
        <v>357</v>
      </c>
      <c r="M60" s="0" t="s">
        <v>358</v>
      </c>
      <c r="N60" s="0" t="s">
        <v>28</v>
      </c>
      <c r="O60" s="3" t="s">
        <v>359</v>
      </c>
      <c r="P60" s="2" t="s">
        <v>360</v>
      </c>
      <c r="Q60" s="2" t="s">
        <v>361</v>
      </c>
      <c r="R60" s="2" t="s">
        <v>32</v>
      </c>
      <c r="S60" s="2" t="s">
        <v>33</v>
      </c>
    </row>
    <row r="61" customFormat="false" ht="15" hidden="false" customHeight="false" outlineLevel="0" collapsed="false">
      <c r="A61" s="0" t="n">
        <v>60</v>
      </c>
      <c r="D61" s="0" t="s">
        <v>362</v>
      </c>
      <c r="E61" s="0" t="s">
        <v>20</v>
      </c>
      <c r="F61" s="0" t="s">
        <v>363</v>
      </c>
      <c r="H61" s="0" t="s">
        <v>22</v>
      </c>
      <c r="I61" s="2" t="s">
        <v>23</v>
      </c>
      <c r="J61" s="2" t="s">
        <v>24</v>
      </c>
      <c r="K61" s="0" t="s">
        <v>25</v>
      </c>
      <c r="L61" s="0" t="s">
        <v>364</v>
      </c>
      <c r="M61" s="0" t="s">
        <v>365</v>
      </c>
      <c r="N61" s="0" t="s">
        <v>28</v>
      </c>
      <c r="O61" s="3" t="s">
        <v>366</v>
      </c>
      <c r="P61" s="2" t="s">
        <v>367</v>
      </c>
      <c r="Q61" s="2" t="s">
        <v>368</v>
      </c>
      <c r="R61" s="2" t="s">
        <v>32</v>
      </c>
      <c r="S61" s="2" t="s">
        <v>33</v>
      </c>
    </row>
    <row r="62" customFormat="false" ht="15" hidden="false" customHeight="false" outlineLevel="0" collapsed="false">
      <c r="A62" s="0" t="n">
        <v>61</v>
      </c>
      <c r="D62" s="0" t="s">
        <v>369</v>
      </c>
      <c r="E62" s="0" t="s">
        <v>20</v>
      </c>
      <c r="H62" s="0" t="s">
        <v>22</v>
      </c>
      <c r="I62" s="2" t="s">
        <v>23</v>
      </c>
      <c r="J62" s="2" t="s">
        <v>24</v>
      </c>
      <c r="K62" s="0" t="s">
        <v>25</v>
      </c>
      <c r="L62" s="0" t="s">
        <v>249</v>
      </c>
      <c r="M62" s="0" t="s">
        <v>103</v>
      </c>
      <c r="N62" s="0" t="s">
        <v>28</v>
      </c>
      <c r="O62" s="3" t="s">
        <v>370</v>
      </c>
      <c r="Q62" s="2" t="s">
        <v>371</v>
      </c>
      <c r="R62" s="2" t="s">
        <v>99</v>
      </c>
      <c r="S62" s="2" t="s">
        <v>33</v>
      </c>
    </row>
    <row r="63" customFormat="false" ht="15" hidden="false" customHeight="false" outlineLevel="0" collapsed="false">
      <c r="A63" s="0" t="n">
        <v>62</v>
      </c>
      <c r="D63" s="0" t="s">
        <v>372</v>
      </c>
      <c r="E63" s="0" t="s">
        <v>20</v>
      </c>
      <c r="F63" s="0" t="s">
        <v>373</v>
      </c>
      <c r="H63" s="0" t="s">
        <v>22</v>
      </c>
      <c r="I63" s="2" t="s">
        <v>23</v>
      </c>
      <c r="J63" s="2" t="s">
        <v>24</v>
      </c>
      <c r="K63" s="0" t="s">
        <v>25</v>
      </c>
      <c r="L63" s="0" t="s">
        <v>374</v>
      </c>
      <c r="M63" s="0" t="s">
        <v>375</v>
      </c>
      <c r="N63" s="0" t="s">
        <v>28</v>
      </c>
      <c r="O63" s="3" t="s">
        <v>376</v>
      </c>
      <c r="P63" s="2" t="s">
        <v>377</v>
      </c>
      <c r="Q63" s="2" t="s">
        <v>378</v>
      </c>
      <c r="R63" s="2" t="s">
        <v>32</v>
      </c>
      <c r="S63" s="2" t="s">
        <v>33</v>
      </c>
    </row>
    <row r="64" customFormat="false" ht="15" hidden="false" customHeight="false" outlineLevel="0" collapsed="false">
      <c r="A64" s="0" t="n">
        <v>63</v>
      </c>
      <c r="D64" s="0" t="s">
        <v>379</v>
      </c>
      <c r="E64" s="0" t="s">
        <v>20</v>
      </c>
      <c r="F64" s="0" t="s">
        <v>380</v>
      </c>
      <c r="H64" s="0" t="s">
        <v>22</v>
      </c>
      <c r="I64" s="2" t="s">
        <v>23</v>
      </c>
      <c r="J64" s="2" t="s">
        <v>24</v>
      </c>
      <c r="K64" s="0" t="s">
        <v>25</v>
      </c>
      <c r="L64" s="0" t="s">
        <v>26</v>
      </c>
      <c r="M64" s="0" t="s">
        <v>27</v>
      </c>
      <c r="N64" s="0" t="s">
        <v>28</v>
      </c>
      <c r="O64" s="3" t="s">
        <v>381</v>
      </c>
      <c r="P64" s="2" t="s">
        <v>382</v>
      </c>
      <c r="Q64" s="2" t="s">
        <v>383</v>
      </c>
      <c r="R64" s="2" t="s">
        <v>32</v>
      </c>
      <c r="S64" s="2" t="s">
        <v>33</v>
      </c>
    </row>
    <row r="65" customFormat="false" ht="15" hidden="false" customHeight="false" outlineLevel="0" collapsed="false">
      <c r="A65" s="0" t="n">
        <v>64</v>
      </c>
      <c r="D65" s="0" t="s">
        <v>384</v>
      </c>
      <c r="E65" s="0" t="s">
        <v>20</v>
      </c>
      <c r="F65" s="0" t="s">
        <v>385</v>
      </c>
      <c r="H65" s="0" t="s">
        <v>22</v>
      </c>
      <c r="I65" s="2" t="s">
        <v>23</v>
      </c>
      <c r="J65" s="2" t="s">
        <v>24</v>
      </c>
      <c r="K65" s="0" t="s">
        <v>25</v>
      </c>
      <c r="L65" s="0" t="s">
        <v>342</v>
      </c>
      <c r="M65" s="0" t="s">
        <v>52</v>
      </c>
      <c r="N65" s="0" t="s">
        <v>28</v>
      </c>
      <c r="O65" s="3" t="s">
        <v>386</v>
      </c>
      <c r="P65" s="2" t="s">
        <v>387</v>
      </c>
      <c r="Q65" s="2" t="s">
        <v>388</v>
      </c>
      <c r="R65" s="2" t="s">
        <v>48</v>
      </c>
      <c r="S65" s="2" t="s">
        <v>33</v>
      </c>
    </row>
    <row r="66" customFormat="false" ht="15" hidden="false" customHeight="false" outlineLevel="0" collapsed="false">
      <c r="A66" s="0" t="n">
        <v>65</v>
      </c>
      <c r="D66" s="0" t="s">
        <v>389</v>
      </c>
      <c r="E66" s="0" t="s">
        <v>20</v>
      </c>
      <c r="F66" s="0" t="s">
        <v>390</v>
      </c>
      <c r="H66" s="0" t="s">
        <v>22</v>
      </c>
      <c r="I66" s="2" t="s">
        <v>23</v>
      </c>
      <c r="J66" s="2" t="s">
        <v>24</v>
      </c>
      <c r="K66" s="0" t="s">
        <v>25</v>
      </c>
      <c r="L66" s="0" t="s">
        <v>342</v>
      </c>
      <c r="M66" s="0" t="s">
        <v>52</v>
      </c>
      <c r="N66" s="0" t="s">
        <v>28</v>
      </c>
      <c r="O66" s="3" t="s">
        <v>391</v>
      </c>
      <c r="P66" s="2" t="s">
        <v>392</v>
      </c>
      <c r="Q66" s="2" t="s">
        <v>393</v>
      </c>
      <c r="R66" s="2" t="s">
        <v>99</v>
      </c>
      <c r="S66" s="2" t="s">
        <v>33</v>
      </c>
    </row>
    <row r="67" customFormat="false" ht="15" hidden="false" customHeight="false" outlineLevel="0" collapsed="false">
      <c r="A67" s="0" t="n">
        <v>66</v>
      </c>
      <c r="D67" s="0" t="s">
        <v>394</v>
      </c>
      <c r="E67" s="0" t="s">
        <v>20</v>
      </c>
      <c r="F67" s="0" t="s">
        <v>395</v>
      </c>
      <c r="H67" s="0" t="s">
        <v>22</v>
      </c>
      <c r="I67" s="2" t="s">
        <v>23</v>
      </c>
      <c r="J67" s="2" t="s">
        <v>24</v>
      </c>
      <c r="K67" s="0" t="s">
        <v>25</v>
      </c>
      <c r="L67" s="0" t="s">
        <v>26</v>
      </c>
      <c r="M67" s="0" t="s">
        <v>27</v>
      </c>
      <c r="N67" s="0" t="s">
        <v>28</v>
      </c>
      <c r="O67" s="3" t="s">
        <v>396</v>
      </c>
      <c r="P67" s="2" t="s">
        <v>397</v>
      </c>
      <c r="Q67" s="2" t="s">
        <v>398</v>
      </c>
      <c r="R67" s="2" t="s">
        <v>32</v>
      </c>
      <c r="S67" s="2" t="s">
        <v>33</v>
      </c>
    </row>
    <row r="68" customFormat="false" ht="15" hidden="false" customHeight="false" outlineLevel="0" collapsed="false">
      <c r="A68" s="0" t="n">
        <v>67</v>
      </c>
      <c r="D68" s="0" t="s">
        <v>399</v>
      </c>
      <c r="E68" s="0" t="s">
        <v>20</v>
      </c>
      <c r="F68" s="0" t="s">
        <v>400</v>
      </c>
      <c r="H68" s="0" t="s">
        <v>22</v>
      </c>
      <c r="I68" s="2" t="s">
        <v>23</v>
      </c>
      <c r="J68" s="2" t="s">
        <v>24</v>
      </c>
      <c r="K68" s="0" t="s">
        <v>25</v>
      </c>
      <c r="L68" s="0" t="s">
        <v>249</v>
      </c>
      <c r="M68" s="0" t="s">
        <v>103</v>
      </c>
      <c r="N68" s="0" t="s">
        <v>28</v>
      </c>
      <c r="O68" s="3" t="s">
        <v>401</v>
      </c>
      <c r="P68" s="2" t="s">
        <v>402</v>
      </c>
      <c r="Q68" s="2" t="s">
        <v>403</v>
      </c>
      <c r="R68" s="2" t="s">
        <v>32</v>
      </c>
      <c r="S68" s="2" t="s">
        <v>33</v>
      </c>
    </row>
    <row r="69" customFormat="false" ht="15" hidden="false" customHeight="false" outlineLevel="0" collapsed="false">
      <c r="A69" s="0" t="n">
        <v>68</v>
      </c>
      <c r="D69" s="0" t="s">
        <v>404</v>
      </c>
      <c r="E69" s="0" t="s">
        <v>20</v>
      </c>
      <c r="F69" s="0" t="s">
        <v>405</v>
      </c>
      <c r="H69" s="0" t="s">
        <v>22</v>
      </c>
      <c r="I69" s="2" t="s">
        <v>23</v>
      </c>
      <c r="J69" s="2" t="s">
        <v>24</v>
      </c>
      <c r="K69" s="0" t="s">
        <v>25</v>
      </c>
      <c r="L69" s="0" t="s">
        <v>342</v>
      </c>
      <c r="M69" s="0" t="s">
        <v>52</v>
      </c>
      <c r="N69" s="0" t="s">
        <v>28</v>
      </c>
      <c r="O69" s="3" t="s">
        <v>406</v>
      </c>
      <c r="P69" s="2" t="s">
        <v>407</v>
      </c>
      <c r="Q69" s="2" t="s">
        <v>408</v>
      </c>
      <c r="R69" s="2" t="s">
        <v>32</v>
      </c>
      <c r="S69" s="2" t="s">
        <v>33</v>
      </c>
    </row>
    <row r="70" customFormat="false" ht="15" hidden="false" customHeight="false" outlineLevel="0" collapsed="false">
      <c r="A70" s="0" t="n">
        <v>69</v>
      </c>
      <c r="D70" s="0" t="s">
        <v>409</v>
      </c>
      <c r="E70" s="0" t="s">
        <v>20</v>
      </c>
      <c r="F70" s="0" t="s">
        <v>410</v>
      </c>
      <c r="H70" s="0" t="s">
        <v>22</v>
      </c>
      <c r="I70" s="2" t="s">
        <v>23</v>
      </c>
      <c r="J70" s="2" t="s">
        <v>24</v>
      </c>
      <c r="K70" s="0" t="s">
        <v>25</v>
      </c>
      <c r="L70" s="0" t="s">
        <v>411</v>
      </c>
      <c r="M70" s="0" t="s">
        <v>412</v>
      </c>
      <c r="N70" s="0" t="s">
        <v>28</v>
      </c>
      <c r="O70" s="3" t="s">
        <v>413</v>
      </c>
      <c r="P70" s="2" t="s">
        <v>414</v>
      </c>
      <c r="Q70" s="2" t="s">
        <v>415</v>
      </c>
      <c r="R70" s="2" t="s">
        <v>32</v>
      </c>
      <c r="S70" s="2" t="s">
        <v>33</v>
      </c>
    </row>
    <row r="71" customFormat="false" ht="15" hidden="false" customHeight="false" outlineLevel="0" collapsed="false">
      <c r="A71" s="0" t="n">
        <v>70</v>
      </c>
      <c r="D71" s="0" t="s">
        <v>416</v>
      </c>
      <c r="E71" s="0" t="s">
        <v>20</v>
      </c>
      <c r="F71" s="0" t="s">
        <v>417</v>
      </c>
      <c r="H71" s="0" t="s">
        <v>22</v>
      </c>
      <c r="I71" s="2" t="s">
        <v>23</v>
      </c>
      <c r="J71" s="2" t="s">
        <v>24</v>
      </c>
      <c r="K71" s="0" t="s">
        <v>25</v>
      </c>
      <c r="L71" s="0" t="s">
        <v>418</v>
      </c>
      <c r="M71" s="0" t="s">
        <v>78</v>
      </c>
      <c r="N71" s="0" t="s">
        <v>28</v>
      </c>
      <c r="O71" s="3" t="s">
        <v>419</v>
      </c>
      <c r="P71" s="2" t="s">
        <v>420</v>
      </c>
      <c r="Q71" s="2" t="s">
        <v>421</v>
      </c>
      <c r="R71" s="2" t="s">
        <v>32</v>
      </c>
      <c r="S71" s="2" t="s">
        <v>33</v>
      </c>
    </row>
    <row r="72" customFormat="false" ht="15" hidden="false" customHeight="false" outlineLevel="0" collapsed="false">
      <c r="A72" s="0" t="n">
        <v>71</v>
      </c>
      <c r="D72" s="0" t="s">
        <v>422</v>
      </c>
      <c r="E72" s="0" t="s">
        <v>20</v>
      </c>
      <c r="F72" s="0" t="s">
        <v>233</v>
      </c>
      <c r="H72" s="0" t="s">
        <v>22</v>
      </c>
      <c r="I72" s="2" t="s">
        <v>23</v>
      </c>
      <c r="J72" s="2" t="s">
        <v>24</v>
      </c>
      <c r="K72" s="0" t="s">
        <v>25</v>
      </c>
      <c r="L72" s="0" t="s">
        <v>423</v>
      </c>
      <c r="M72" s="0" t="s">
        <v>424</v>
      </c>
      <c r="N72" s="0" t="s">
        <v>28</v>
      </c>
      <c r="O72" s="3" t="s">
        <v>425</v>
      </c>
      <c r="P72" s="2" t="s">
        <v>426</v>
      </c>
      <c r="Q72" s="2" t="s">
        <v>427</v>
      </c>
      <c r="R72" s="2" t="s">
        <v>32</v>
      </c>
      <c r="S72" s="2" t="s">
        <v>33</v>
      </c>
    </row>
    <row r="73" customFormat="false" ht="15" hidden="false" customHeight="false" outlineLevel="0" collapsed="false">
      <c r="A73" s="0" t="n">
        <v>72</v>
      </c>
      <c r="D73" s="0" t="s">
        <v>428</v>
      </c>
      <c r="E73" s="0" t="s">
        <v>20</v>
      </c>
      <c r="F73" s="0" t="s">
        <v>429</v>
      </c>
      <c r="H73" s="0" t="s">
        <v>22</v>
      </c>
      <c r="I73" s="2" t="s">
        <v>23</v>
      </c>
      <c r="J73" s="2" t="s">
        <v>24</v>
      </c>
      <c r="K73" s="0" t="s">
        <v>25</v>
      </c>
      <c r="L73" s="0" t="s">
        <v>430</v>
      </c>
      <c r="M73" s="0" t="s">
        <v>431</v>
      </c>
      <c r="N73" s="0" t="s">
        <v>28</v>
      </c>
      <c r="O73" s="3" t="s">
        <v>432</v>
      </c>
      <c r="P73" s="2" t="s">
        <v>433</v>
      </c>
      <c r="Q73" s="2" t="s">
        <v>434</v>
      </c>
      <c r="R73" s="2" t="s">
        <v>32</v>
      </c>
      <c r="S73" s="2" t="s">
        <v>33</v>
      </c>
    </row>
    <row r="74" customFormat="false" ht="15" hidden="false" customHeight="false" outlineLevel="0" collapsed="false">
      <c r="A74" s="0" t="n">
        <v>73</v>
      </c>
      <c r="D74" s="0" t="s">
        <v>435</v>
      </c>
      <c r="E74" s="0" t="s">
        <v>20</v>
      </c>
      <c r="F74" s="0" t="s">
        <v>436</v>
      </c>
      <c r="H74" s="0" t="s">
        <v>22</v>
      </c>
      <c r="I74" s="2" t="s">
        <v>23</v>
      </c>
      <c r="J74" s="2" t="s">
        <v>24</v>
      </c>
      <c r="K74" s="0" t="s">
        <v>25</v>
      </c>
      <c r="L74" s="0" t="s">
        <v>249</v>
      </c>
      <c r="M74" s="0" t="s">
        <v>103</v>
      </c>
      <c r="N74" s="0" t="s">
        <v>28</v>
      </c>
      <c r="O74" s="3" t="s">
        <v>437</v>
      </c>
      <c r="P74" s="2" t="s">
        <v>438</v>
      </c>
      <c r="Q74" s="2" t="s">
        <v>439</v>
      </c>
      <c r="R74" s="2" t="s">
        <v>32</v>
      </c>
      <c r="S74" s="2" t="s">
        <v>33</v>
      </c>
    </row>
    <row r="75" customFormat="false" ht="15" hidden="false" customHeight="false" outlineLevel="0" collapsed="false">
      <c r="A75" s="0" t="n">
        <v>74</v>
      </c>
      <c r="D75" s="0" t="s">
        <v>440</v>
      </c>
      <c r="E75" s="0" t="s">
        <v>20</v>
      </c>
      <c r="F75" s="0" t="s">
        <v>441</v>
      </c>
      <c r="H75" s="0" t="s">
        <v>22</v>
      </c>
      <c r="I75" s="2" t="s">
        <v>23</v>
      </c>
      <c r="J75" s="2" t="s">
        <v>24</v>
      </c>
      <c r="K75" s="0" t="s">
        <v>25</v>
      </c>
      <c r="L75" s="0" t="s">
        <v>442</v>
      </c>
      <c r="M75" s="0" t="s">
        <v>443</v>
      </c>
      <c r="N75" s="0" t="s">
        <v>28</v>
      </c>
      <c r="O75" s="3" t="s">
        <v>444</v>
      </c>
      <c r="P75" s="2" t="s">
        <v>445</v>
      </c>
      <c r="Q75" s="2" t="s">
        <v>446</v>
      </c>
      <c r="R75" s="2" t="s">
        <v>32</v>
      </c>
      <c r="S75" s="2" t="s">
        <v>33</v>
      </c>
    </row>
    <row r="76" customFormat="false" ht="15" hidden="false" customHeight="false" outlineLevel="0" collapsed="false">
      <c r="A76" s="0" t="n">
        <v>75</v>
      </c>
      <c r="D76" s="0" t="s">
        <v>447</v>
      </c>
      <c r="E76" s="0" t="s">
        <v>20</v>
      </c>
      <c r="F76" s="0" t="s">
        <v>448</v>
      </c>
      <c r="H76" s="0" t="s">
        <v>22</v>
      </c>
      <c r="I76" s="2" t="s">
        <v>23</v>
      </c>
      <c r="J76" s="2" t="s">
        <v>24</v>
      </c>
      <c r="K76" s="0" t="s">
        <v>25</v>
      </c>
      <c r="L76" s="0" t="s">
        <v>26</v>
      </c>
      <c r="M76" s="0" t="s">
        <v>27</v>
      </c>
      <c r="N76" s="0" t="s">
        <v>28</v>
      </c>
      <c r="O76" s="3" t="s">
        <v>449</v>
      </c>
      <c r="P76" s="2" t="s">
        <v>450</v>
      </c>
      <c r="Q76" s="2" t="s">
        <v>451</v>
      </c>
      <c r="R76" s="2" t="s">
        <v>32</v>
      </c>
      <c r="S76" s="2" t="s">
        <v>33</v>
      </c>
    </row>
    <row r="77" customFormat="false" ht="15" hidden="false" customHeight="false" outlineLevel="0" collapsed="false">
      <c r="A77" s="0" t="n">
        <v>76</v>
      </c>
      <c r="D77" s="0" t="s">
        <v>452</v>
      </c>
      <c r="E77" s="0" t="s">
        <v>20</v>
      </c>
      <c r="F77" s="0" t="s">
        <v>453</v>
      </c>
      <c r="H77" s="0" t="s">
        <v>22</v>
      </c>
      <c r="I77" s="2" t="s">
        <v>23</v>
      </c>
      <c r="J77" s="2" t="s">
        <v>24</v>
      </c>
      <c r="K77" s="0" t="s">
        <v>25</v>
      </c>
      <c r="L77" s="0" t="s">
        <v>454</v>
      </c>
      <c r="M77" s="0" t="s">
        <v>455</v>
      </c>
      <c r="N77" s="0" t="s">
        <v>28</v>
      </c>
      <c r="O77" s="3" t="s">
        <v>456</v>
      </c>
      <c r="P77" s="2" t="s">
        <v>457</v>
      </c>
      <c r="Q77" s="2" t="s">
        <v>458</v>
      </c>
      <c r="R77" s="2" t="s">
        <v>32</v>
      </c>
      <c r="S77" s="2" t="s">
        <v>33</v>
      </c>
    </row>
    <row r="78" customFormat="false" ht="15" hidden="false" customHeight="false" outlineLevel="0" collapsed="false">
      <c r="A78" s="0" t="n">
        <v>77</v>
      </c>
      <c r="D78" s="0" t="s">
        <v>459</v>
      </c>
      <c r="E78" s="0" t="s">
        <v>20</v>
      </c>
      <c r="F78" s="0" t="s">
        <v>460</v>
      </c>
      <c r="H78" s="0" t="s">
        <v>22</v>
      </c>
      <c r="I78" s="2" t="s">
        <v>23</v>
      </c>
      <c r="J78" s="2" t="s">
        <v>24</v>
      </c>
      <c r="K78" s="0" t="s">
        <v>25</v>
      </c>
      <c r="L78" s="0" t="s">
        <v>26</v>
      </c>
      <c r="M78" s="0" t="s">
        <v>27</v>
      </c>
      <c r="N78" s="0" t="s">
        <v>28</v>
      </c>
      <c r="O78" s="3" t="s">
        <v>461</v>
      </c>
      <c r="P78" s="2" t="s">
        <v>462</v>
      </c>
      <c r="Q78" s="2" t="s">
        <v>463</v>
      </c>
      <c r="R78" s="2" t="s">
        <v>32</v>
      </c>
      <c r="S78" s="2" t="s">
        <v>33</v>
      </c>
    </row>
    <row r="79" customFormat="false" ht="15" hidden="false" customHeight="false" outlineLevel="0" collapsed="false">
      <c r="A79" s="0" t="n">
        <v>78</v>
      </c>
      <c r="D79" s="0" t="s">
        <v>464</v>
      </c>
      <c r="E79" s="0" t="s">
        <v>20</v>
      </c>
      <c r="F79" s="0" t="s">
        <v>465</v>
      </c>
      <c r="H79" s="0" t="s">
        <v>22</v>
      </c>
      <c r="I79" s="2" t="s">
        <v>23</v>
      </c>
      <c r="J79" s="2" t="s">
        <v>24</v>
      </c>
      <c r="K79" s="0" t="s">
        <v>25</v>
      </c>
      <c r="L79" s="0" t="s">
        <v>26</v>
      </c>
      <c r="M79" s="0" t="s">
        <v>27</v>
      </c>
      <c r="N79" s="0" t="s">
        <v>28</v>
      </c>
      <c r="O79" s="3" t="s">
        <v>466</v>
      </c>
      <c r="P79" s="2" t="s">
        <v>467</v>
      </c>
      <c r="Q79" s="2" t="s">
        <v>468</v>
      </c>
      <c r="R79" s="2" t="s">
        <v>99</v>
      </c>
      <c r="S79" s="2" t="s">
        <v>33</v>
      </c>
    </row>
    <row r="80" customFormat="false" ht="15" hidden="false" customHeight="false" outlineLevel="0" collapsed="false">
      <c r="A80" s="0" t="n">
        <v>79</v>
      </c>
      <c r="D80" s="0" t="s">
        <v>469</v>
      </c>
      <c r="E80" s="0" t="s">
        <v>20</v>
      </c>
      <c r="H80" s="0" t="s">
        <v>22</v>
      </c>
      <c r="I80" s="2" t="s">
        <v>23</v>
      </c>
      <c r="J80" s="2" t="s">
        <v>24</v>
      </c>
      <c r="K80" s="0" t="s">
        <v>25</v>
      </c>
      <c r="L80" s="0" t="s">
        <v>26</v>
      </c>
      <c r="M80" s="0" t="s">
        <v>27</v>
      </c>
      <c r="N80" s="0" t="s">
        <v>28</v>
      </c>
      <c r="O80" s="3" t="s">
        <v>470</v>
      </c>
      <c r="P80" s="2" t="s">
        <v>471</v>
      </c>
      <c r="Q80" s="2" t="s">
        <v>472</v>
      </c>
      <c r="R80" s="2" t="s">
        <v>32</v>
      </c>
      <c r="S80" s="2" t="s">
        <v>33</v>
      </c>
    </row>
    <row r="81" customFormat="false" ht="15" hidden="false" customHeight="false" outlineLevel="0" collapsed="false">
      <c r="A81" s="0" t="n">
        <v>80</v>
      </c>
      <c r="D81" s="0" t="s">
        <v>473</v>
      </c>
      <c r="E81" s="0" t="s">
        <v>20</v>
      </c>
      <c r="F81" s="0" t="s">
        <v>474</v>
      </c>
      <c r="H81" s="0" t="s">
        <v>22</v>
      </c>
      <c r="I81" s="2" t="s">
        <v>23</v>
      </c>
      <c r="J81" s="2" t="s">
        <v>24</v>
      </c>
      <c r="K81" s="0" t="s">
        <v>25</v>
      </c>
      <c r="L81" s="0" t="s">
        <v>26</v>
      </c>
      <c r="M81" s="0" t="s">
        <v>27</v>
      </c>
      <c r="N81" s="0" t="s">
        <v>28</v>
      </c>
      <c r="O81" s="3" t="s">
        <v>475</v>
      </c>
      <c r="P81" s="2" t="s">
        <v>476</v>
      </c>
      <c r="Q81" s="2" t="s">
        <v>477</v>
      </c>
      <c r="R81" s="2" t="s">
        <v>32</v>
      </c>
      <c r="S81" s="2" t="s">
        <v>33</v>
      </c>
    </row>
    <row r="82" customFormat="false" ht="15" hidden="false" customHeight="false" outlineLevel="0" collapsed="false">
      <c r="A82" s="0" t="n">
        <v>81</v>
      </c>
      <c r="D82" s="0" t="s">
        <v>478</v>
      </c>
      <c r="E82" s="0" t="s">
        <v>20</v>
      </c>
      <c r="H82" s="0" t="s">
        <v>22</v>
      </c>
      <c r="I82" s="2" t="s">
        <v>23</v>
      </c>
      <c r="J82" s="2" t="s">
        <v>24</v>
      </c>
      <c r="K82" s="0" t="s">
        <v>25</v>
      </c>
      <c r="L82" s="0" t="s">
        <v>418</v>
      </c>
      <c r="M82" s="0" t="s">
        <v>78</v>
      </c>
      <c r="N82" s="0" t="s">
        <v>28</v>
      </c>
      <c r="O82" s="3" t="s">
        <v>479</v>
      </c>
      <c r="Q82" s="2" t="s">
        <v>480</v>
      </c>
      <c r="R82" s="2" t="s">
        <v>32</v>
      </c>
      <c r="S82" s="2" t="s">
        <v>33</v>
      </c>
    </row>
    <row r="83" customFormat="false" ht="15" hidden="false" customHeight="false" outlineLevel="0" collapsed="false">
      <c r="A83" s="0" t="n">
        <v>82</v>
      </c>
      <c r="D83" s="0" t="s">
        <v>481</v>
      </c>
      <c r="E83" s="0" t="s">
        <v>20</v>
      </c>
      <c r="F83" s="0" t="s">
        <v>482</v>
      </c>
      <c r="H83" s="0" t="s">
        <v>22</v>
      </c>
      <c r="I83" s="2" t="s">
        <v>23</v>
      </c>
      <c r="J83" s="2" t="s">
        <v>24</v>
      </c>
      <c r="K83" s="0" t="s">
        <v>25</v>
      </c>
      <c r="L83" s="0" t="s">
        <v>483</v>
      </c>
      <c r="M83" s="0" t="s">
        <v>37</v>
      </c>
      <c r="N83" s="0" t="s">
        <v>28</v>
      </c>
      <c r="O83" s="3" t="s">
        <v>484</v>
      </c>
      <c r="P83" s="2" t="s">
        <v>485</v>
      </c>
      <c r="Q83" s="2" t="s">
        <v>486</v>
      </c>
      <c r="R83" s="2" t="s">
        <v>32</v>
      </c>
      <c r="S83" s="2" t="s">
        <v>33</v>
      </c>
    </row>
    <row r="84" customFormat="false" ht="15" hidden="false" customHeight="false" outlineLevel="0" collapsed="false">
      <c r="A84" s="0" t="n">
        <v>83</v>
      </c>
      <c r="D84" s="0" t="s">
        <v>487</v>
      </c>
      <c r="E84" s="0" t="s">
        <v>20</v>
      </c>
      <c r="F84" s="0" t="s">
        <v>488</v>
      </c>
      <c r="H84" s="0" t="s">
        <v>22</v>
      </c>
      <c r="I84" s="2" t="s">
        <v>23</v>
      </c>
      <c r="J84" s="2" t="s">
        <v>24</v>
      </c>
      <c r="K84" s="0" t="s">
        <v>25</v>
      </c>
      <c r="L84" s="0" t="s">
        <v>65</v>
      </c>
      <c r="M84" s="0" t="s">
        <v>66</v>
      </c>
      <c r="N84" s="0" t="s">
        <v>28</v>
      </c>
      <c r="O84" s="3" t="s">
        <v>489</v>
      </c>
      <c r="Q84" s="2" t="s">
        <v>490</v>
      </c>
      <c r="R84" s="2" t="s">
        <v>32</v>
      </c>
      <c r="S84" s="2" t="s">
        <v>33</v>
      </c>
    </row>
    <row r="85" customFormat="false" ht="15" hidden="false" customHeight="false" outlineLevel="0" collapsed="false">
      <c r="A85" s="0" t="n">
        <v>84</v>
      </c>
      <c r="D85" s="0" t="s">
        <v>491</v>
      </c>
      <c r="E85" s="0" t="s">
        <v>20</v>
      </c>
      <c r="F85" s="0" t="s">
        <v>492</v>
      </c>
      <c r="H85" s="0" t="s">
        <v>22</v>
      </c>
      <c r="I85" s="2" t="s">
        <v>23</v>
      </c>
      <c r="J85" s="2" t="s">
        <v>24</v>
      </c>
      <c r="K85" s="0" t="s">
        <v>25</v>
      </c>
      <c r="L85" s="0" t="s">
        <v>418</v>
      </c>
      <c r="M85" s="0" t="s">
        <v>78</v>
      </c>
      <c r="N85" s="0" t="s">
        <v>28</v>
      </c>
      <c r="O85" s="3" t="s">
        <v>493</v>
      </c>
      <c r="P85" s="2" t="s">
        <v>494</v>
      </c>
      <c r="Q85" s="2" t="s">
        <v>495</v>
      </c>
      <c r="R85" s="2" t="s">
        <v>32</v>
      </c>
      <c r="S85" s="2" t="s">
        <v>33</v>
      </c>
    </row>
    <row r="86" customFormat="false" ht="15" hidden="false" customHeight="false" outlineLevel="0" collapsed="false">
      <c r="A86" s="0" t="n">
        <v>85</v>
      </c>
      <c r="D86" s="0" t="s">
        <v>496</v>
      </c>
      <c r="E86" s="0" t="s">
        <v>20</v>
      </c>
      <c r="F86" s="0" t="s">
        <v>497</v>
      </c>
      <c r="H86" s="0" t="s">
        <v>22</v>
      </c>
      <c r="I86" s="2" t="s">
        <v>23</v>
      </c>
      <c r="J86" s="2" t="s">
        <v>24</v>
      </c>
      <c r="K86" s="0" t="s">
        <v>25</v>
      </c>
      <c r="L86" s="0" t="s">
        <v>26</v>
      </c>
      <c r="M86" s="0" t="s">
        <v>27</v>
      </c>
      <c r="N86" s="0" t="s">
        <v>28</v>
      </c>
      <c r="O86" s="3" t="s">
        <v>498</v>
      </c>
      <c r="P86" s="2" t="s">
        <v>499</v>
      </c>
      <c r="Q86" s="2" t="s">
        <v>500</v>
      </c>
      <c r="R86" s="2" t="s">
        <v>32</v>
      </c>
      <c r="S86" s="2" t="s">
        <v>33</v>
      </c>
    </row>
    <row r="87" customFormat="false" ht="15" hidden="false" customHeight="false" outlineLevel="0" collapsed="false">
      <c r="A87" s="0" t="n">
        <v>86</v>
      </c>
      <c r="D87" s="0" t="s">
        <v>501</v>
      </c>
      <c r="E87" s="0" t="s">
        <v>20</v>
      </c>
      <c r="F87" s="0" t="s">
        <v>502</v>
      </c>
      <c r="H87" s="0" t="s">
        <v>22</v>
      </c>
      <c r="I87" s="2" t="s">
        <v>23</v>
      </c>
      <c r="J87" s="2" t="s">
        <v>24</v>
      </c>
      <c r="K87" s="0" t="s">
        <v>25</v>
      </c>
      <c r="L87" s="0" t="s">
        <v>503</v>
      </c>
      <c r="M87" s="0" t="s">
        <v>504</v>
      </c>
      <c r="N87" s="0" t="s">
        <v>28</v>
      </c>
      <c r="O87" s="3" t="s">
        <v>505</v>
      </c>
      <c r="P87" s="2" t="s">
        <v>506</v>
      </c>
      <c r="Q87" s="2" t="s">
        <v>507</v>
      </c>
      <c r="R87" s="2" t="s">
        <v>32</v>
      </c>
      <c r="S87" s="2" t="s">
        <v>33</v>
      </c>
    </row>
    <row r="88" customFormat="false" ht="15" hidden="false" customHeight="false" outlineLevel="0" collapsed="false">
      <c r="A88" s="0" t="n">
        <v>87</v>
      </c>
      <c r="D88" s="0" t="s">
        <v>508</v>
      </c>
      <c r="E88" s="0" t="s">
        <v>20</v>
      </c>
      <c r="F88" s="0" t="s">
        <v>509</v>
      </c>
      <c r="H88" s="0" t="s">
        <v>22</v>
      </c>
      <c r="I88" s="2" t="s">
        <v>23</v>
      </c>
      <c r="J88" s="2" t="s">
        <v>24</v>
      </c>
      <c r="K88" s="0" t="s">
        <v>25</v>
      </c>
      <c r="L88" s="0" t="s">
        <v>65</v>
      </c>
      <c r="M88" s="0" t="s">
        <v>66</v>
      </c>
      <c r="N88" s="0" t="s">
        <v>28</v>
      </c>
      <c r="O88" s="3" t="s">
        <v>510</v>
      </c>
      <c r="P88" s="2" t="s">
        <v>511</v>
      </c>
      <c r="Q88" s="2" t="s">
        <v>512</v>
      </c>
      <c r="R88" s="2" t="s">
        <v>32</v>
      </c>
      <c r="S88" s="2" t="s">
        <v>33</v>
      </c>
    </row>
    <row r="89" customFormat="false" ht="15" hidden="false" customHeight="false" outlineLevel="0" collapsed="false">
      <c r="A89" s="0" t="n">
        <v>88</v>
      </c>
      <c r="D89" s="0" t="s">
        <v>513</v>
      </c>
      <c r="E89" s="0" t="s">
        <v>20</v>
      </c>
      <c r="F89" s="0" t="s">
        <v>514</v>
      </c>
      <c r="H89" s="0" t="s">
        <v>22</v>
      </c>
      <c r="I89" s="2" t="s">
        <v>23</v>
      </c>
      <c r="J89" s="2" t="s">
        <v>24</v>
      </c>
      <c r="K89" s="0" t="s">
        <v>25</v>
      </c>
      <c r="L89" s="0" t="s">
        <v>249</v>
      </c>
      <c r="M89" s="0" t="s">
        <v>103</v>
      </c>
      <c r="N89" s="0" t="s">
        <v>28</v>
      </c>
      <c r="O89" s="3" t="s">
        <v>515</v>
      </c>
      <c r="P89" s="2" t="s">
        <v>516</v>
      </c>
      <c r="Q89" s="2" t="s">
        <v>517</v>
      </c>
      <c r="R89" s="2" t="s">
        <v>32</v>
      </c>
      <c r="S89" s="2" t="s">
        <v>33</v>
      </c>
    </row>
    <row r="90" customFormat="false" ht="15" hidden="false" customHeight="false" outlineLevel="0" collapsed="false">
      <c r="A90" s="0" t="n">
        <v>89</v>
      </c>
      <c r="D90" s="0" t="s">
        <v>518</v>
      </c>
      <c r="E90" s="0" t="s">
        <v>20</v>
      </c>
      <c r="H90" s="0" t="s">
        <v>22</v>
      </c>
      <c r="I90" s="2" t="s">
        <v>23</v>
      </c>
      <c r="J90" s="2" t="s">
        <v>24</v>
      </c>
      <c r="K90" s="0" t="s">
        <v>25</v>
      </c>
      <c r="L90" s="0" t="s">
        <v>26</v>
      </c>
      <c r="M90" s="0" t="s">
        <v>27</v>
      </c>
      <c r="N90" s="0" t="s">
        <v>28</v>
      </c>
      <c r="O90" s="3" t="s">
        <v>519</v>
      </c>
      <c r="P90" s="2" t="s">
        <v>520</v>
      </c>
      <c r="Q90" s="2" t="s">
        <v>521</v>
      </c>
      <c r="R90" s="2" t="s">
        <v>32</v>
      </c>
      <c r="S90" s="2" t="s">
        <v>33</v>
      </c>
    </row>
    <row r="91" customFormat="false" ht="15" hidden="false" customHeight="false" outlineLevel="0" collapsed="false">
      <c r="A91" s="0" t="n">
        <v>90</v>
      </c>
      <c r="D91" s="0" t="s">
        <v>522</v>
      </c>
      <c r="E91" s="0" t="s">
        <v>20</v>
      </c>
      <c r="F91" s="0" t="s">
        <v>523</v>
      </c>
      <c r="H91" s="0" t="s">
        <v>22</v>
      </c>
      <c r="I91" s="2" t="s">
        <v>23</v>
      </c>
      <c r="J91" s="2" t="s">
        <v>24</v>
      </c>
      <c r="K91" s="0" t="s">
        <v>25</v>
      </c>
      <c r="L91" s="0" t="s">
        <v>524</v>
      </c>
      <c r="M91" s="0" t="s">
        <v>525</v>
      </c>
      <c r="N91" s="0" t="s">
        <v>28</v>
      </c>
      <c r="O91" s="3" t="s">
        <v>526</v>
      </c>
      <c r="P91" s="2" t="s">
        <v>527</v>
      </c>
      <c r="Q91" s="2" t="s">
        <v>528</v>
      </c>
      <c r="R91" s="2" t="s">
        <v>99</v>
      </c>
      <c r="S91" s="2" t="s">
        <v>33</v>
      </c>
    </row>
    <row r="92" customFormat="false" ht="15" hidden="false" customHeight="false" outlineLevel="0" collapsed="false">
      <c r="A92" s="0" t="n">
        <v>91</v>
      </c>
      <c r="D92" s="0" t="s">
        <v>529</v>
      </c>
      <c r="E92" s="0" t="s">
        <v>20</v>
      </c>
      <c r="F92" s="0" t="s">
        <v>530</v>
      </c>
      <c r="H92" s="0" t="s">
        <v>22</v>
      </c>
      <c r="I92" s="2" t="s">
        <v>23</v>
      </c>
      <c r="J92" s="2" t="s">
        <v>24</v>
      </c>
      <c r="K92" s="0" t="s">
        <v>25</v>
      </c>
      <c r="L92" s="0" t="s">
        <v>531</v>
      </c>
      <c r="M92" s="0" t="s">
        <v>150</v>
      </c>
      <c r="N92" s="0" t="s">
        <v>28</v>
      </c>
      <c r="O92" s="3" t="s">
        <v>532</v>
      </c>
      <c r="P92" s="2" t="s">
        <v>533</v>
      </c>
      <c r="Q92" s="2" t="s">
        <v>534</v>
      </c>
      <c r="R92" s="2" t="s">
        <v>32</v>
      </c>
      <c r="S92" s="2" t="s">
        <v>33</v>
      </c>
    </row>
    <row r="93" customFormat="false" ht="15" hidden="false" customHeight="false" outlineLevel="0" collapsed="false">
      <c r="A93" s="0" t="n">
        <v>92</v>
      </c>
      <c r="D93" s="0" t="s">
        <v>535</v>
      </c>
      <c r="E93" s="0" t="s">
        <v>20</v>
      </c>
      <c r="F93" s="0" t="s">
        <v>536</v>
      </c>
      <c r="H93" s="0" t="s">
        <v>22</v>
      </c>
      <c r="I93" s="2" t="s">
        <v>23</v>
      </c>
      <c r="J93" s="2" t="s">
        <v>24</v>
      </c>
      <c r="K93" s="0" t="s">
        <v>25</v>
      </c>
      <c r="L93" s="0" t="s">
        <v>342</v>
      </c>
      <c r="M93" s="0" t="s">
        <v>52</v>
      </c>
      <c r="N93" s="0" t="s">
        <v>28</v>
      </c>
      <c r="O93" s="3" t="s">
        <v>537</v>
      </c>
      <c r="P93" s="2" t="s">
        <v>538</v>
      </c>
      <c r="Q93" s="2" t="s">
        <v>539</v>
      </c>
      <c r="R93" s="2" t="s">
        <v>32</v>
      </c>
      <c r="S93" s="2" t="s">
        <v>33</v>
      </c>
    </row>
    <row r="94" customFormat="false" ht="15" hidden="false" customHeight="false" outlineLevel="0" collapsed="false">
      <c r="A94" s="0" t="n">
        <v>93</v>
      </c>
      <c r="D94" s="0" t="s">
        <v>540</v>
      </c>
      <c r="E94" s="0" t="s">
        <v>20</v>
      </c>
      <c r="F94" s="0" t="s">
        <v>541</v>
      </c>
      <c r="H94" s="0" t="s">
        <v>22</v>
      </c>
      <c r="I94" s="2" t="s">
        <v>23</v>
      </c>
      <c r="J94" s="2" t="s">
        <v>24</v>
      </c>
      <c r="K94" s="0" t="s">
        <v>25</v>
      </c>
      <c r="L94" s="0" t="s">
        <v>418</v>
      </c>
      <c r="M94" s="0" t="s">
        <v>78</v>
      </c>
      <c r="N94" s="0" t="s">
        <v>28</v>
      </c>
      <c r="O94" s="3" t="s">
        <v>542</v>
      </c>
      <c r="P94" s="2" t="s">
        <v>543</v>
      </c>
      <c r="Q94" s="2" t="s">
        <v>544</v>
      </c>
      <c r="R94" s="2" t="s">
        <v>32</v>
      </c>
      <c r="S94" s="2" t="s">
        <v>33</v>
      </c>
    </row>
    <row r="95" customFormat="false" ht="15" hidden="false" customHeight="false" outlineLevel="0" collapsed="false">
      <c r="A95" s="0" t="n">
        <v>94</v>
      </c>
      <c r="D95" s="0" t="s">
        <v>545</v>
      </c>
      <c r="E95" s="0" t="s">
        <v>20</v>
      </c>
      <c r="F95" s="0" t="s">
        <v>546</v>
      </c>
      <c r="H95" s="0" t="s">
        <v>22</v>
      </c>
      <c r="I95" s="2" t="s">
        <v>23</v>
      </c>
      <c r="J95" s="2" t="s">
        <v>24</v>
      </c>
      <c r="K95" s="0" t="s">
        <v>25</v>
      </c>
      <c r="L95" s="0" t="s">
        <v>26</v>
      </c>
      <c r="M95" s="0" t="s">
        <v>27</v>
      </c>
      <c r="N95" s="0" t="s">
        <v>28</v>
      </c>
      <c r="O95" s="3" t="s">
        <v>547</v>
      </c>
      <c r="P95" s="2" t="s">
        <v>548</v>
      </c>
      <c r="Q95" s="2" t="s">
        <v>549</v>
      </c>
      <c r="R95" s="2" t="s">
        <v>32</v>
      </c>
      <c r="S95" s="2" t="s">
        <v>33</v>
      </c>
    </row>
    <row r="96" customFormat="false" ht="15" hidden="false" customHeight="false" outlineLevel="0" collapsed="false">
      <c r="A96" s="0" t="n">
        <v>95</v>
      </c>
      <c r="D96" s="0" t="s">
        <v>550</v>
      </c>
      <c r="E96" s="0" t="s">
        <v>20</v>
      </c>
      <c r="F96" s="0" t="s">
        <v>546</v>
      </c>
      <c r="H96" s="0" t="s">
        <v>22</v>
      </c>
      <c r="I96" s="2" t="s">
        <v>23</v>
      </c>
      <c r="J96" s="2" t="s">
        <v>24</v>
      </c>
      <c r="K96" s="0" t="s">
        <v>25</v>
      </c>
      <c r="L96" s="0" t="s">
        <v>551</v>
      </c>
      <c r="M96" s="0" t="s">
        <v>552</v>
      </c>
      <c r="N96" s="0" t="s">
        <v>28</v>
      </c>
      <c r="O96" s="3" t="s">
        <v>553</v>
      </c>
      <c r="P96" s="2" t="s">
        <v>548</v>
      </c>
      <c r="Q96" s="2" t="s">
        <v>554</v>
      </c>
      <c r="R96" s="2" t="s">
        <v>32</v>
      </c>
      <c r="S96" s="2" t="s">
        <v>33</v>
      </c>
    </row>
    <row r="97" customFormat="false" ht="15" hidden="false" customHeight="false" outlineLevel="0" collapsed="false">
      <c r="A97" s="0" t="n">
        <v>96</v>
      </c>
      <c r="D97" s="0" t="s">
        <v>555</v>
      </c>
      <c r="E97" s="0" t="s">
        <v>20</v>
      </c>
      <c r="F97" s="0" t="s">
        <v>556</v>
      </c>
      <c r="H97" s="0" t="s">
        <v>22</v>
      </c>
      <c r="I97" s="2" t="s">
        <v>23</v>
      </c>
      <c r="J97" s="2" t="s">
        <v>24</v>
      </c>
      <c r="K97" s="0" t="s">
        <v>25</v>
      </c>
      <c r="L97" s="0" t="s">
        <v>557</v>
      </c>
      <c r="M97" s="0" t="s">
        <v>558</v>
      </c>
      <c r="N97" s="0" t="s">
        <v>28</v>
      </c>
      <c r="O97" s="3" t="s">
        <v>559</v>
      </c>
      <c r="P97" s="2" t="s">
        <v>560</v>
      </c>
      <c r="Q97" s="2" t="s">
        <v>561</v>
      </c>
      <c r="R97" s="2" t="s">
        <v>48</v>
      </c>
      <c r="S97" s="2" t="s">
        <v>33</v>
      </c>
    </row>
    <row r="98" customFormat="false" ht="15" hidden="false" customHeight="false" outlineLevel="0" collapsed="false">
      <c r="A98" s="0" t="n">
        <v>97</v>
      </c>
      <c r="D98" s="0" t="s">
        <v>562</v>
      </c>
      <c r="E98" s="0" t="s">
        <v>20</v>
      </c>
      <c r="F98" s="0" t="s">
        <v>563</v>
      </c>
      <c r="H98" s="0" t="s">
        <v>22</v>
      </c>
      <c r="I98" s="2" t="s">
        <v>23</v>
      </c>
      <c r="J98" s="2" t="s">
        <v>24</v>
      </c>
      <c r="K98" s="0" t="s">
        <v>25</v>
      </c>
      <c r="L98" s="0" t="s">
        <v>483</v>
      </c>
      <c r="M98" s="0" t="s">
        <v>37</v>
      </c>
      <c r="N98" s="0" t="s">
        <v>28</v>
      </c>
      <c r="O98" s="3"/>
      <c r="P98" s="2" t="s">
        <v>564</v>
      </c>
      <c r="Q98" s="2" t="s">
        <v>565</v>
      </c>
      <c r="R98" s="2" t="s">
        <v>32</v>
      </c>
      <c r="S98" s="2" t="s">
        <v>33</v>
      </c>
    </row>
    <row r="99" customFormat="false" ht="15" hidden="false" customHeight="false" outlineLevel="0" collapsed="false">
      <c r="A99" s="0" t="n">
        <v>98</v>
      </c>
      <c r="D99" s="0" t="s">
        <v>566</v>
      </c>
      <c r="E99" s="0" t="s">
        <v>20</v>
      </c>
      <c r="F99" s="0" t="s">
        <v>567</v>
      </c>
      <c r="H99" s="0" t="s">
        <v>22</v>
      </c>
      <c r="I99" s="2" t="s">
        <v>23</v>
      </c>
      <c r="J99" s="2" t="s">
        <v>24</v>
      </c>
      <c r="K99" s="0" t="s">
        <v>25</v>
      </c>
      <c r="L99" s="0" t="s">
        <v>26</v>
      </c>
      <c r="M99" s="0" t="s">
        <v>27</v>
      </c>
      <c r="N99" s="0" t="s">
        <v>28</v>
      </c>
      <c r="O99" s="3" t="s">
        <v>568</v>
      </c>
      <c r="P99" s="2" t="s">
        <v>569</v>
      </c>
      <c r="Q99" s="2" t="s">
        <v>570</v>
      </c>
      <c r="R99" s="2" t="s">
        <v>32</v>
      </c>
      <c r="S99" s="2" t="s">
        <v>33</v>
      </c>
    </row>
    <row r="100" customFormat="false" ht="15" hidden="false" customHeight="false" outlineLevel="0" collapsed="false">
      <c r="A100" s="0" t="n">
        <v>99</v>
      </c>
      <c r="D100" s="0" t="s">
        <v>571</v>
      </c>
      <c r="E100" s="0" t="s">
        <v>20</v>
      </c>
      <c r="F100" s="0" t="s">
        <v>572</v>
      </c>
      <c r="H100" s="0" t="s">
        <v>22</v>
      </c>
      <c r="I100" s="2" t="s">
        <v>23</v>
      </c>
      <c r="J100" s="2" t="s">
        <v>24</v>
      </c>
      <c r="K100" s="0" t="s">
        <v>25</v>
      </c>
      <c r="L100" s="0" t="s">
        <v>249</v>
      </c>
      <c r="M100" s="0" t="s">
        <v>103</v>
      </c>
      <c r="N100" s="0" t="s">
        <v>28</v>
      </c>
      <c r="O100" s="3" t="s">
        <v>573</v>
      </c>
      <c r="P100" s="2" t="s">
        <v>574</v>
      </c>
      <c r="Q100" s="2" t="s">
        <v>575</v>
      </c>
      <c r="R100" s="2" t="s">
        <v>32</v>
      </c>
      <c r="S100" s="2" t="s">
        <v>33</v>
      </c>
    </row>
    <row r="101" customFormat="false" ht="15" hidden="false" customHeight="false" outlineLevel="0" collapsed="false">
      <c r="A101" s="0" t="n">
        <v>100</v>
      </c>
      <c r="D101" s="0" t="s">
        <v>576</v>
      </c>
      <c r="E101" s="0" t="s">
        <v>20</v>
      </c>
      <c r="F101" s="0" t="s">
        <v>577</v>
      </c>
      <c r="H101" s="0" t="s">
        <v>22</v>
      </c>
      <c r="I101" s="2" t="s">
        <v>23</v>
      </c>
      <c r="J101" s="2" t="s">
        <v>24</v>
      </c>
      <c r="K101" s="0" t="s">
        <v>25</v>
      </c>
      <c r="L101" s="0" t="s">
        <v>26</v>
      </c>
      <c r="M101" s="0" t="s">
        <v>27</v>
      </c>
      <c r="N101" s="0" t="s">
        <v>28</v>
      </c>
      <c r="O101" s="3" t="s">
        <v>578</v>
      </c>
      <c r="P101" s="2" t="s">
        <v>579</v>
      </c>
      <c r="Q101" s="2" t="s">
        <v>580</v>
      </c>
      <c r="R101" s="2" t="s">
        <v>32</v>
      </c>
      <c r="S101" s="2" t="s">
        <v>33</v>
      </c>
    </row>
    <row r="102" customFormat="false" ht="15" hidden="false" customHeight="false" outlineLevel="0" collapsed="false">
      <c r="A102" s="0" t="n">
        <v>101</v>
      </c>
      <c r="D102" s="0" t="s">
        <v>581</v>
      </c>
      <c r="E102" s="0" t="s">
        <v>20</v>
      </c>
      <c r="H102" s="0" t="s">
        <v>22</v>
      </c>
      <c r="I102" s="2" t="s">
        <v>23</v>
      </c>
      <c r="J102" s="2" t="s">
        <v>24</v>
      </c>
      <c r="K102" s="0" t="s">
        <v>25</v>
      </c>
      <c r="L102" s="0" t="s">
        <v>26</v>
      </c>
      <c r="M102" s="0" t="s">
        <v>27</v>
      </c>
      <c r="N102" s="0" t="s">
        <v>28</v>
      </c>
      <c r="O102" s="3" t="s">
        <v>582</v>
      </c>
      <c r="P102" s="2" t="s">
        <v>583</v>
      </c>
      <c r="Q102" s="2" t="s">
        <v>584</v>
      </c>
      <c r="R102" s="2" t="s">
        <v>32</v>
      </c>
      <c r="S102" s="2" t="s">
        <v>33</v>
      </c>
    </row>
    <row r="103" customFormat="false" ht="15" hidden="false" customHeight="false" outlineLevel="0" collapsed="false">
      <c r="A103" s="0" t="n">
        <v>102</v>
      </c>
      <c r="D103" s="0" t="s">
        <v>585</v>
      </c>
      <c r="E103" s="0" t="s">
        <v>20</v>
      </c>
      <c r="F103" s="0" t="s">
        <v>586</v>
      </c>
      <c r="H103" s="0" t="s">
        <v>22</v>
      </c>
      <c r="I103" s="2" t="s">
        <v>23</v>
      </c>
      <c r="J103" s="2" t="s">
        <v>24</v>
      </c>
      <c r="K103" s="0" t="s">
        <v>25</v>
      </c>
      <c r="L103" s="0" t="s">
        <v>65</v>
      </c>
      <c r="M103" s="0" t="s">
        <v>66</v>
      </c>
      <c r="N103" s="0" t="s">
        <v>28</v>
      </c>
      <c r="O103" s="3" t="s">
        <v>587</v>
      </c>
      <c r="Q103" s="2" t="s">
        <v>588</v>
      </c>
      <c r="R103" s="2" t="s">
        <v>280</v>
      </c>
      <c r="S103" s="2" t="s">
        <v>33</v>
      </c>
    </row>
    <row r="104" customFormat="false" ht="15" hidden="false" customHeight="false" outlineLevel="0" collapsed="false">
      <c r="A104" s="0" t="n">
        <v>103</v>
      </c>
      <c r="D104" s="0" t="s">
        <v>589</v>
      </c>
      <c r="E104" s="0" t="s">
        <v>20</v>
      </c>
      <c r="H104" s="0" t="s">
        <v>22</v>
      </c>
      <c r="I104" s="2" t="s">
        <v>23</v>
      </c>
      <c r="J104" s="2" t="s">
        <v>24</v>
      </c>
      <c r="K104" s="0" t="s">
        <v>25</v>
      </c>
      <c r="L104" s="0" t="s">
        <v>65</v>
      </c>
      <c r="M104" s="0" t="s">
        <v>66</v>
      </c>
      <c r="N104" s="0" t="s">
        <v>28</v>
      </c>
      <c r="O104" s="3"/>
      <c r="Q104" s="2" t="s">
        <v>590</v>
      </c>
      <c r="R104" s="2" t="s">
        <v>32</v>
      </c>
      <c r="S104" s="2" t="s">
        <v>33</v>
      </c>
    </row>
    <row r="105" customFormat="false" ht="15" hidden="false" customHeight="false" outlineLevel="0" collapsed="false">
      <c r="A105" s="0" t="n">
        <v>104</v>
      </c>
      <c r="D105" s="0" t="s">
        <v>591</v>
      </c>
      <c r="E105" s="0" t="s">
        <v>20</v>
      </c>
      <c r="F105" s="0" t="s">
        <v>592</v>
      </c>
      <c r="H105" s="0" t="s">
        <v>22</v>
      </c>
      <c r="I105" s="2" t="s">
        <v>23</v>
      </c>
      <c r="J105" s="2" t="s">
        <v>24</v>
      </c>
      <c r="K105" s="0" t="s">
        <v>25</v>
      </c>
      <c r="L105" s="0" t="s">
        <v>65</v>
      </c>
      <c r="M105" s="0" t="s">
        <v>66</v>
      </c>
      <c r="N105" s="0" t="s">
        <v>28</v>
      </c>
      <c r="O105" s="3" t="s">
        <v>593</v>
      </c>
      <c r="P105" s="2" t="s">
        <v>594</v>
      </c>
      <c r="Q105" s="2" t="s">
        <v>595</v>
      </c>
      <c r="R105" s="2" t="s">
        <v>32</v>
      </c>
      <c r="S105" s="2" t="s">
        <v>33</v>
      </c>
    </row>
    <row r="106" customFormat="false" ht="15" hidden="false" customHeight="false" outlineLevel="0" collapsed="false">
      <c r="A106" s="0" t="n">
        <v>105</v>
      </c>
      <c r="D106" s="0" t="s">
        <v>596</v>
      </c>
      <c r="E106" s="0" t="s">
        <v>20</v>
      </c>
      <c r="F106" s="0" t="s">
        <v>597</v>
      </c>
      <c r="H106" s="0" t="s">
        <v>22</v>
      </c>
      <c r="I106" s="2" t="s">
        <v>23</v>
      </c>
      <c r="J106" s="2" t="s">
        <v>24</v>
      </c>
      <c r="K106" s="0" t="s">
        <v>25</v>
      </c>
      <c r="L106" s="0" t="s">
        <v>26</v>
      </c>
      <c r="M106" s="0" t="s">
        <v>27</v>
      </c>
      <c r="N106" s="0" t="s">
        <v>28</v>
      </c>
      <c r="O106" s="3" t="s">
        <v>598</v>
      </c>
      <c r="P106" s="2" t="s">
        <v>599</v>
      </c>
      <c r="Q106" s="2" t="s">
        <v>600</v>
      </c>
      <c r="R106" s="2" t="s">
        <v>32</v>
      </c>
      <c r="S106" s="2" t="s">
        <v>33</v>
      </c>
    </row>
    <row r="107" customFormat="false" ht="15" hidden="false" customHeight="false" outlineLevel="0" collapsed="false">
      <c r="A107" s="0" t="n">
        <v>106</v>
      </c>
      <c r="D107" s="0" t="s">
        <v>601</v>
      </c>
      <c r="E107" s="0" t="s">
        <v>20</v>
      </c>
      <c r="F107" s="0" t="s">
        <v>602</v>
      </c>
      <c r="H107" s="0" t="s">
        <v>22</v>
      </c>
      <c r="I107" s="2" t="s">
        <v>23</v>
      </c>
      <c r="J107" s="2" t="s">
        <v>24</v>
      </c>
      <c r="K107" s="0" t="s">
        <v>25</v>
      </c>
      <c r="L107" s="0" t="s">
        <v>65</v>
      </c>
      <c r="M107" s="0" t="s">
        <v>66</v>
      </c>
      <c r="N107" s="0" t="s">
        <v>28</v>
      </c>
      <c r="O107" s="3" t="s">
        <v>603</v>
      </c>
      <c r="P107" s="2" t="s">
        <v>604</v>
      </c>
      <c r="Q107" s="2" t="s">
        <v>605</v>
      </c>
      <c r="R107" s="2" t="s">
        <v>32</v>
      </c>
      <c r="S107" s="2" t="s">
        <v>33</v>
      </c>
    </row>
    <row r="108" customFormat="false" ht="15" hidden="false" customHeight="false" outlineLevel="0" collapsed="false">
      <c r="A108" s="0" t="n">
        <v>107</v>
      </c>
      <c r="D108" s="0" t="s">
        <v>606</v>
      </c>
      <c r="E108" s="0" t="s">
        <v>20</v>
      </c>
      <c r="H108" s="0" t="s">
        <v>22</v>
      </c>
      <c r="I108" s="2" t="s">
        <v>23</v>
      </c>
      <c r="J108" s="2" t="s">
        <v>24</v>
      </c>
      <c r="K108" s="0" t="s">
        <v>25</v>
      </c>
      <c r="L108" s="0" t="s">
        <v>483</v>
      </c>
      <c r="M108" s="0" t="s">
        <v>37</v>
      </c>
      <c r="N108" s="0" t="s">
        <v>28</v>
      </c>
      <c r="O108" s="3"/>
      <c r="P108" s="2" t="s">
        <v>607</v>
      </c>
      <c r="Q108" s="2" t="s">
        <v>608</v>
      </c>
      <c r="R108" s="2" t="s">
        <v>32</v>
      </c>
      <c r="S108" s="2" t="s">
        <v>33</v>
      </c>
    </row>
    <row r="109" customFormat="false" ht="15" hidden="false" customHeight="false" outlineLevel="0" collapsed="false">
      <c r="A109" s="0" t="n">
        <v>108</v>
      </c>
      <c r="B109" s="0" t="s">
        <v>609</v>
      </c>
      <c r="D109" s="0" t="s">
        <v>610</v>
      </c>
      <c r="E109" s="0" t="s">
        <v>20</v>
      </c>
      <c r="F109" s="0" t="s">
        <v>611</v>
      </c>
      <c r="H109" s="0" t="s">
        <v>22</v>
      </c>
      <c r="I109" s="2" t="s">
        <v>23</v>
      </c>
      <c r="J109" s="2" t="s">
        <v>24</v>
      </c>
      <c r="K109" s="0" t="s">
        <v>25</v>
      </c>
      <c r="L109" s="0" t="s">
        <v>612</v>
      </c>
      <c r="M109" s="0" t="s">
        <v>613</v>
      </c>
      <c r="N109" s="0" t="s">
        <v>28</v>
      </c>
      <c r="O109" s="3" t="s">
        <v>614</v>
      </c>
      <c r="P109" s="2" t="s">
        <v>615</v>
      </c>
      <c r="Q109" s="2" t="s">
        <v>616</v>
      </c>
      <c r="R109" s="2" t="s">
        <v>32</v>
      </c>
      <c r="S109" s="2" t="s">
        <v>154</v>
      </c>
    </row>
    <row r="110" customFormat="false" ht="15" hidden="false" customHeight="false" outlineLevel="0" collapsed="false">
      <c r="A110" s="0" t="n">
        <v>109</v>
      </c>
      <c r="D110" s="0" t="s">
        <v>617</v>
      </c>
      <c r="E110" s="0" t="s">
        <v>20</v>
      </c>
      <c r="F110" s="0" t="s">
        <v>618</v>
      </c>
      <c r="H110" s="0" t="s">
        <v>22</v>
      </c>
      <c r="I110" s="2" t="s">
        <v>23</v>
      </c>
      <c r="J110" s="2" t="s">
        <v>24</v>
      </c>
      <c r="K110" s="0" t="s">
        <v>25</v>
      </c>
      <c r="L110" s="0" t="s">
        <v>619</v>
      </c>
      <c r="M110" s="0" t="s">
        <v>150</v>
      </c>
      <c r="N110" s="0" t="s">
        <v>28</v>
      </c>
      <c r="O110" s="3" t="s">
        <v>620</v>
      </c>
      <c r="P110" s="2" t="s">
        <v>621</v>
      </c>
      <c r="Q110" s="2" t="s">
        <v>622</v>
      </c>
      <c r="R110" s="2" t="s">
        <v>32</v>
      </c>
      <c r="S110" s="2" t="s">
        <v>33</v>
      </c>
    </row>
    <row r="111" customFormat="false" ht="15" hidden="false" customHeight="false" outlineLevel="0" collapsed="false">
      <c r="A111" s="0" t="n">
        <v>110</v>
      </c>
      <c r="D111" s="0" t="s">
        <v>623</v>
      </c>
      <c r="E111" s="0" t="s">
        <v>20</v>
      </c>
      <c r="H111" s="0" t="s">
        <v>22</v>
      </c>
      <c r="I111" s="2" t="s">
        <v>23</v>
      </c>
      <c r="J111" s="2" t="s">
        <v>24</v>
      </c>
      <c r="K111" s="0" t="s">
        <v>25</v>
      </c>
      <c r="L111" s="0" t="s">
        <v>357</v>
      </c>
      <c r="M111" s="0" t="s">
        <v>358</v>
      </c>
      <c r="N111" s="0" t="s">
        <v>28</v>
      </c>
      <c r="O111" s="3" t="s">
        <v>359</v>
      </c>
      <c r="P111" s="2" t="s">
        <v>360</v>
      </c>
      <c r="Q111" s="2" t="s">
        <v>624</v>
      </c>
      <c r="R111" s="2" t="s">
        <v>32</v>
      </c>
      <c r="S111" s="2" t="s">
        <v>33</v>
      </c>
    </row>
    <row r="112" customFormat="false" ht="15" hidden="false" customHeight="false" outlineLevel="0" collapsed="false">
      <c r="A112" s="0" t="n">
        <v>111</v>
      </c>
      <c r="D112" s="0" t="s">
        <v>625</v>
      </c>
      <c r="E112" s="0" t="s">
        <v>20</v>
      </c>
      <c r="H112" s="0" t="s">
        <v>22</v>
      </c>
      <c r="I112" s="2" t="s">
        <v>23</v>
      </c>
      <c r="J112" s="2" t="s">
        <v>24</v>
      </c>
      <c r="K112" s="0" t="s">
        <v>25</v>
      </c>
      <c r="L112" s="0" t="s">
        <v>418</v>
      </c>
      <c r="M112" s="0" t="s">
        <v>78</v>
      </c>
      <c r="N112" s="0" t="s">
        <v>28</v>
      </c>
      <c r="O112" s="3" t="s">
        <v>626</v>
      </c>
      <c r="P112" s="2" t="s">
        <v>627</v>
      </c>
      <c r="Q112" s="2" t="s">
        <v>628</v>
      </c>
      <c r="R112" s="2" t="s">
        <v>32</v>
      </c>
      <c r="S112" s="2" t="s">
        <v>33</v>
      </c>
    </row>
    <row r="113" customFormat="false" ht="15" hidden="false" customHeight="false" outlineLevel="0" collapsed="false">
      <c r="A113" s="0" t="n">
        <v>112</v>
      </c>
      <c r="D113" s="0" t="s">
        <v>629</v>
      </c>
      <c r="E113" s="0" t="s">
        <v>20</v>
      </c>
      <c r="F113" s="0" t="s">
        <v>630</v>
      </c>
      <c r="H113" s="0" t="s">
        <v>22</v>
      </c>
      <c r="I113" s="2" t="s">
        <v>23</v>
      </c>
      <c r="J113" s="2" t="s">
        <v>24</v>
      </c>
      <c r="K113" s="0" t="s">
        <v>25</v>
      </c>
      <c r="L113" s="0" t="s">
        <v>631</v>
      </c>
      <c r="M113" s="0" t="s">
        <v>632</v>
      </c>
      <c r="N113" s="0" t="s">
        <v>28</v>
      </c>
      <c r="O113" s="3" t="s">
        <v>633</v>
      </c>
      <c r="P113" s="2" t="s">
        <v>634</v>
      </c>
      <c r="Q113" s="2" t="s">
        <v>635</v>
      </c>
      <c r="R113" s="2" t="s">
        <v>32</v>
      </c>
      <c r="S113" s="2" t="s">
        <v>33</v>
      </c>
    </row>
    <row r="114" customFormat="false" ht="15" hidden="false" customHeight="false" outlineLevel="0" collapsed="false">
      <c r="A114" s="0" t="n">
        <v>113</v>
      </c>
      <c r="D114" s="0" t="s">
        <v>636</v>
      </c>
      <c r="E114" s="0" t="s">
        <v>20</v>
      </c>
      <c r="F114" s="0" t="s">
        <v>637</v>
      </c>
      <c r="H114" s="0" t="s">
        <v>22</v>
      </c>
      <c r="I114" s="2" t="s">
        <v>23</v>
      </c>
      <c r="J114" s="2" t="s">
        <v>24</v>
      </c>
      <c r="K114" s="0" t="s">
        <v>25</v>
      </c>
      <c r="L114" s="0" t="s">
        <v>638</v>
      </c>
      <c r="M114" s="0" t="s">
        <v>239</v>
      </c>
      <c r="N114" s="0" t="s">
        <v>28</v>
      </c>
      <c r="O114" s="3" t="s">
        <v>639</v>
      </c>
      <c r="P114" s="2" t="s">
        <v>640</v>
      </c>
      <c r="Q114" s="2" t="s">
        <v>641</v>
      </c>
      <c r="R114" s="2" t="s">
        <v>32</v>
      </c>
      <c r="S114" s="2" t="s">
        <v>33</v>
      </c>
    </row>
    <row r="115" customFormat="false" ht="15" hidden="false" customHeight="false" outlineLevel="0" collapsed="false">
      <c r="A115" s="0" t="n">
        <v>114</v>
      </c>
      <c r="D115" s="0" t="s">
        <v>642</v>
      </c>
      <c r="E115" s="0" t="s">
        <v>20</v>
      </c>
      <c r="F115" s="0" t="s">
        <v>643</v>
      </c>
      <c r="H115" s="0" t="s">
        <v>22</v>
      </c>
      <c r="I115" s="2" t="s">
        <v>23</v>
      </c>
      <c r="J115" s="2" t="s">
        <v>24</v>
      </c>
      <c r="K115" s="0" t="s">
        <v>25</v>
      </c>
      <c r="L115" s="0" t="s">
        <v>249</v>
      </c>
      <c r="M115" s="0" t="s">
        <v>103</v>
      </c>
      <c r="N115" s="0" t="s">
        <v>28</v>
      </c>
      <c r="O115" s="3" t="s">
        <v>644</v>
      </c>
      <c r="P115" s="2" t="s">
        <v>645</v>
      </c>
      <c r="Q115" s="2" t="s">
        <v>646</v>
      </c>
      <c r="R115" s="2" t="s">
        <v>32</v>
      </c>
      <c r="S115" s="2" t="s">
        <v>33</v>
      </c>
    </row>
    <row r="116" customFormat="false" ht="15" hidden="false" customHeight="false" outlineLevel="0" collapsed="false">
      <c r="A116" s="0" t="n">
        <v>115</v>
      </c>
      <c r="D116" s="0" t="s">
        <v>647</v>
      </c>
      <c r="E116" s="0" t="s">
        <v>20</v>
      </c>
      <c r="F116" s="0" t="s">
        <v>648</v>
      </c>
      <c r="H116" s="0" t="s">
        <v>22</v>
      </c>
      <c r="I116" s="2" t="s">
        <v>23</v>
      </c>
      <c r="J116" s="2" t="s">
        <v>24</v>
      </c>
      <c r="K116" s="0" t="s">
        <v>25</v>
      </c>
      <c r="L116" s="0" t="s">
        <v>649</v>
      </c>
      <c r="M116" s="0" t="s">
        <v>650</v>
      </c>
      <c r="N116" s="0" t="s">
        <v>28</v>
      </c>
      <c r="O116" s="3" t="s">
        <v>651</v>
      </c>
      <c r="P116" s="2" t="s">
        <v>652</v>
      </c>
      <c r="Q116" s="2" t="s">
        <v>653</v>
      </c>
      <c r="R116" s="2" t="s">
        <v>32</v>
      </c>
      <c r="S116" s="2" t="s">
        <v>33</v>
      </c>
    </row>
    <row r="117" customFormat="false" ht="15" hidden="false" customHeight="false" outlineLevel="0" collapsed="false">
      <c r="A117" s="0" t="n">
        <v>116</v>
      </c>
      <c r="D117" s="0" t="s">
        <v>654</v>
      </c>
      <c r="E117" s="0" t="s">
        <v>20</v>
      </c>
      <c r="F117" s="0" t="s">
        <v>655</v>
      </c>
      <c r="H117" s="0" t="s">
        <v>22</v>
      </c>
      <c r="I117" s="2" t="s">
        <v>23</v>
      </c>
      <c r="J117" s="2" t="s">
        <v>24</v>
      </c>
      <c r="K117" s="0" t="s">
        <v>25</v>
      </c>
      <c r="L117" s="0" t="s">
        <v>619</v>
      </c>
      <c r="M117" s="0" t="s">
        <v>150</v>
      </c>
      <c r="N117" s="0" t="s">
        <v>28</v>
      </c>
      <c r="O117" s="3" t="s">
        <v>656</v>
      </c>
      <c r="P117" s="2" t="s">
        <v>657</v>
      </c>
      <c r="Q117" s="2" t="s">
        <v>658</v>
      </c>
      <c r="R117" s="2" t="s">
        <v>99</v>
      </c>
      <c r="S117" s="2" t="s">
        <v>33</v>
      </c>
    </row>
    <row r="118" customFormat="false" ht="15" hidden="false" customHeight="false" outlineLevel="0" collapsed="false">
      <c r="A118" s="0" t="n">
        <v>117</v>
      </c>
      <c r="D118" s="0" t="s">
        <v>659</v>
      </c>
      <c r="E118" s="0" t="s">
        <v>20</v>
      </c>
      <c r="H118" s="0" t="s">
        <v>22</v>
      </c>
      <c r="I118" s="2" t="s">
        <v>23</v>
      </c>
      <c r="J118" s="2" t="s">
        <v>24</v>
      </c>
      <c r="K118" s="0" t="s">
        <v>25</v>
      </c>
      <c r="L118" s="0" t="s">
        <v>660</v>
      </c>
      <c r="M118" s="0" t="s">
        <v>661</v>
      </c>
      <c r="N118" s="0" t="s">
        <v>28</v>
      </c>
      <c r="O118" s="3" t="s">
        <v>662</v>
      </c>
      <c r="P118" s="2" t="s">
        <v>663</v>
      </c>
      <c r="Q118" s="2" t="s">
        <v>664</v>
      </c>
      <c r="R118" s="2" t="s">
        <v>32</v>
      </c>
      <c r="S118" s="2" t="s">
        <v>33</v>
      </c>
    </row>
    <row r="119" customFormat="false" ht="15" hidden="false" customHeight="false" outlineLevel="0" collapsed="false">
      <c r="A119" s="0" t="n">
        <v>118</v>
      </c>
      <c r="D119" s="0" t="s">
        <v>665</v>
      </c>
      <c r="E119" s="0" t="s">
        <v>20</v>
      </c>
      <c r="F119" s="0" t="s">
        <v>666</v>
      </c>
      <c r="H119" s="0" t="s">
        <v>22</v>
      </c>
      <c r="I119" s="2" t="s">
        <v>23</v>
      </c>
      <c r="J119" s="2" t="s">
        <v>24</v>
      </c>
      <c r="K119" s="0" t="s">
        <v>25</v>
      </c>
      <c r="L119" s="0" t="s">
        <v>483</v>
      </c>
      <c r="M119" s="0" t="s">
        <v>37</v>
      </c>
      <c r="N119" s="0" t="s">
        <v>28</v>
      </c>
      <c r="O119" s="3" t="s">
        <v>667</v>
      </c>
      <c r="P119" s="2" t="s">
        <v>668</v>
      </c>
      <c r="Q119" s="2" t="s">
        <v>669</v>
      </c>
      <c r="R119" s="2" t="s">
        <v>32</v>
      </c>
      <c r="S119" s="2" t="s">
        <v>33</v>
      </c>
    </row>
    <row r="120" customFormat="false" ht="15" hidden="false" customHeight="false" outlineLevel="0" collapsed="false">
      <c r="A120" s="0" t="n">
        <v>119</v>
      </c>
      <c r="D120" s="0" t="s">
        <v>670</v>
      </c>
      <c r="E120" s="0" t="s">
        <v>20</v>
      </c>
      <c r="F120" s="0" t="s">
        <v>671</v>
      </c>
      <c r="H120" s="0" t="s">
        <v>22</v>
      </c>
      <c r="I120" s="2" t="s">
        <v>23</v>
      </c>
      <c r="J120" s="2" t="s">
        <v>24</v>
      </c>
      <c r="K120" s="0" t="s">
        <v>25</v>
      </c>
      <c r="L120" s="0" t="s">
        <v>65</v>
      </c>
      <c r="M120" s="0" t="s">
        <v>66</v>
      </c>
      <c r="N120" s="0" t="s">
        <v>28</v>
      </c>
      <c r="O120" s="3" t="s">
        <v>672</v>
      </c>
      <c r="P120" s="2" t="s">
        <v>673</v>
      </c>
      <c r="Q120" s="2" t="s">
        <v>674</v>
      </c>
      <c r="R120" s="2" t="s">
        <v>32</v>
      </c>
      <c r="S120" s="2" t="s">
        <v>33</v>
      </c>
    </row>
    <row r="121" customFormat="false" ht="15" hidden="false" customHeight="false" outlineLevel="0" collapsed="false">
      <c r="A121" s="0" t="n">
        <v>120</v>
      </c>
      <c r="D121" s="0" t="s">
        <v>675</v>
      </c>
      <c r="E121" s="0" t="s">
        <v>20</v>
      </c>
      <c r="F121" s="0" t="s">
        <v>676</v>
      </c>
      <c r="H121" s="0" t="s">
        <v>22</v>
      </c>
      <c r="I121" s="2" t="s">
        <v>23</v>
      </c>
      <c r="J121" s="2" t="s">
        <v>24</v>
      </c>
      <c r="K121" s="0" t="s">
        <v>25</v>
      </c>
      <c r="L121" s="0" t="s">
        <v>677</v>
      </c>
      <c r="M121" s="0" t="s">
        <v>678</v>
      </c>
      <c r="N121" s="0" t="s">
        <v>28</v>
      </c>
      <c r="O121" s="3" t="s">
        <v>679</v>
      </c>
      <c r="P121" s="2" t="s">
        <v>680</v>
      </c>
      <c r="Q121" s="2" t="s">
        <v>681</v>
      </c>
      <c r="R121" s="2" t="s">
        <v>99</v>
      </c>
      <c r="S121" s="2" t="s">
        <v>33</v>
      </c>
    </row>
    <row r="122" customFormat="false" ht="15" hidden="false" customHeight="false" outlineLevel="0" collapsed="false">
      <c r="A122" s="0" t="n">
        <v>121</v>
      </c>
      <c r="D122" s="0" t="s">
        <v>682</v>
      </c>
      <c r="E122" s="0" t="s">
        <v>20</v>
      </c>
      <c r="F122" s="0" t="s">
        <v>683</v>
      </c>
      <c r="H122" s="0" t="s">
        <v>22</v>
      </c>
      <c r="I122" s="2" t="s">
        <v>23</v>
      </c>
      <c r="J122" s="2" t="s">
        <v>24</v>
      </c>
      <c r="K122" s="0" t="s">
        <v>25</v>
      </c>
      <c r="L122" s="0" t="s">
        <v>418</v>
      </c>
      <c r="M122" s="0" t="s">
        <v>78</v>
      </c>
      <c r="N122" s="0" t="s">
        <v>28</v>
      </c>
      <c r="O122" s="3" t="s">
        <v>684</v>
      </c>
      <c r="P122" s="2" t="s">
        <v>685</v>
      </c>
      <c r="Q122" s="2" t="s">
        <v>686</v>
      </c>
      <c r="R122" s="2" t="s">
        <v>32</v>
      </c>
      <c r="S122" s="2" t="s">
        <v>33</v>
      </c>
    </row>
    <row r="123" customFormat="false" ht="15" hidden="false" customHeight="false" outlineLevel="0" collapsed="false">
      <c r="A123" s="0" t="n">
        <v>122</v>
      </c>
      <c r="D123" s="0" t="s">
        <v>687</v>
      </c>
      <c r="E123" s="0" t="s">
        <v>20</v>
      </c>
      <c r="F123" s="0" t="s">
        <v>688</v>
      </c>
      <c r="H123" s="0" t="s">
        <v>22</v>
      </c>
      <c r="I123" s="2" t="s">
        <v>23</v>
      </c>
      <c r="J123" s="2" t="s">
        <v>24</v>
      </c>
      <c r="K123" s="0" t="s">
        <v>25</v>
      </c>
      <c r="L123" s="0" t="s">
        <v>619</v>
      </c>
      <c r="M123" s="0" t="s">
        <v>150</v>
      </c>
      <c r="N123" s="0" t="s">
        <v>28</v>
      </c>
      <c r="O123" s="3" t="s">
        <v>689</v>
      </c>
      <c r="P123" s="2" t="s">
        <v>690</v>
      </c>
      <c r="Q123" s="2" t="s">
        <v>686</v>
      </c>
      <c r="R123" s="2" t="s">
        <v>32</v>
      </c>
      <c r="S123" s="2" t="s">
        <v>33</v>
      </c>
    </row>
    <row r="124" customFormat="false" ht="15" hidden="false" customHeight="false" outlineLevel="0" collapsed="false">
      <c r="A124" s="0" t="n">
        <v>123</v>
      </c>
      <c r="D124" s="0" t="s">
        <v>691</v>
      </c>
      <c r="E124" s="0" t="s">
        <v>20</v>
      </c>
      <c r="F124" s="0" t="s">
        <v>692</v>
      </c>
      <c r="H124" s="0" t="s">
        <v>22</v>
      </c>
      <c r="I124" s="2" t="s">
        <v>23</v>
      </c>
      <c r="J124" s="2" t="s">
        <v>24</v>
      </c>
      <c r="K124" s="0" t="s">
        <v>25</v>
      </c>
      <c r="L124" s="0" t="s">
        <v>483</v>
      </c>
      <c r="M124" s="0" t="s">
        <v>693</v>
      </c>
      <c r="N124" s="0" t="s">
        <v>28</v>
      </c>
      <c r="O124" s="3" t="s">
        <v>694</v>
      </c>
      <c r="P124" s="2" t="s">
        <v>695</v>
      </c>
      <c r="Q124" s="2" t="s">
        <v>696</v>
      </c>
      <c r="R124" s="2" t="s">
        <v>32</v>
      </c>
      <c r="S124" s="2" t="s">
        <v>33</v>
      </c>
    </row>
    <row r="125" customFormat="false" ht="15" hidden="false" customHeight="false" outlineLevel="0" collapsed="false">
      <c r="A125" s="0" t="n">
        <v>124</v>
      </c>
      <c r="D125" s="0" t="s">
        <v>697</v>
      </c>
      <c r="E125" s="0" t="s">
        <v>20</v>
      </c>
      <c r="F125" s="0" t="s">
        <v>698</v>
      </c>
      <c r="H125" s="0" t="s">
        <v>22</v>
      </c>
      <c r="I125" s="2" t="s">
        <v>23</v>
      </c>
      <c r="J125" s="2" t="s">
        <v>24</v>
      </c>
      <c r="K125" s="0" t="s">
        <v>25</v>
      </c>
      <c r="L125" s="0" t="s">
        <v>699</v>
      </c>
      <c r="M125" s="0" t="s">
        <v>700</v>
      </c>
      <c r="N125" s="0" t="s">
        <v>28</v>
      </c>
      <c r="O125" s="3" t="s">
        <v>701</v>
      </c>
      <c r="P125" s="2" t="s">
        <v>702</v>
      </c>
      <c r="Q125" s="2" t="s">
        <v>703</v>
      </c>
      <c r="R125" s="2" t="s">
        <v>32</v>
      </c>
      <c r="S125" s="2" t="s">
        <v>33</v>
      </c>
    </row>
    <row r="126" customFormat="false" ht="15" hidden="false" customHeight="false" outlineLevel="0" collapsed="false">
      <c r="A126" s="0" t="n">
        <v>125</v>
      </c>
      <c r="D126" s="0" t="s">
        <v>704</v>
      </c>
      <c r="E126" s="0" t="s">
        <v>20</v>
      </c>
      <c r="F126" s="0" t="s">
        <v>705</v>
      </c>
      <c r="H126" s="0" t="s">
        <v>22</v>
      </c>
      <c r="I126" s="2" t="s">
        <v>23</v>
      </c>
      <c r="J126" s="2" t="s">
        <v>24</v>
      </c>
      <c r="K126" s="0" t="s">
        <v>25</v>
      </c>
      <c r="L126" s="0" t="s">
        <v>706</v>
      </c>
      <c r="M126" s="0" t="s">
        <v>27</v>
      </c>
      <c r="N126" s="0" t="s">
        <v>28</v>
      </c>
      <c r="O126" s="3" t="s">
        <v>707</v>
      </c>
      <c r="P126" s="2" t="s">
        <v>708</v>
      </c>
      <c r="Q126" s="2" t="s">
        <v>709</v>
      </c>
      <c r="R126" s="2" t="s">
        <v>32</v>
      </c>
      <c r="S126" s="2" t="s">
        <v>33</v>
      </c>
    </row>
    <row r="127" customFormat="false" ht="15" hidden="false" customHeight="false" outlineLevel="0" collapsed="false">
      <c r="A127" s="0" t="n">
        <v>126</v>
      </c>
      <c r="D127" s="0" t="s">
        <v>710</v>
      </c>
      <c r="E127" s="0" t="s">
        <v>20</v>
      </c>
      <c r="F127" s="0" t="s">
        <v>711</v>
      </c>
      <c r="H127" s="0" t="s">
        <v>22</v>
      </c>
      <c r="I127" s="2" t="s">
        <v>23</v>
      </c>
      <c r="J127" s="2" t="s">
        <v>24</v>
      </c>
      <c r="K127" s="0" t="s">
        <v>25</v>
      </c>
      <c r="L127" s="0" t="s">
        <v>706</v>
      </c>
      <c r="M127" s="0" t="s">
        <v>27</v>
      </c>
      <c r="N127" s="0" t="s">
        <v>28</v>
      </c>
      <c r="O127" s="3" t="s">
        <v>712</v>
      </c>
      <c r="P127" s="2" t="s">
        <v>713</v>
      </c>
      <c r="Q127" s="2" t="s">
        <v>714</v>
      </c>
      <c r="R127" s="2" t="s">
        <v>32</v>
      </c>
      <c r="S127" s="2" t="s">
        <v>33</v>
      </c>
    </row>
    <row r="128" customFormat="false" ht="15" hidden="false" customHeight="false" outlineLevel="0" collapsed="false">
      <c r="A128" s="0" t="n">
        <v>127</v>
      </c>
      <c r="D128" s="0" t="s">
        <v>715</v>
      </c>
      <c r="E128" s="0" t="s">
        <v>20</v>
      </c>
      <c r="F128" s="0" t="s">
        <v>716</v>
      </c>
      <c r="H128" s="0" t="s">
        <v>22</v>
      </c>
      <c r="I128" s="2" t="s">
        <v>23</v>
      </c>
      <c r="J128" s="2" t="s">
        <v>24</v>
      </c>
      <c r="K128" s="0" t="s">
        <v>25</v>
      </c>
      <c r="L128" s="0" t="s">
        <v>717</v>
      </c>
      <c r="M128" s="0" t="s">
        <v>718</v>
      </c>
      <c r="N128" s="0" t="s">
        <v>28</v>
      </c>
      <c r="O128" s="3" t="s">
        <v>719</v>
      </c>
      <c r="P128" s="2" t="s">
        <v>720</v>
      </c>
      <c r="Q128" s="2" t="s">
        <v>721</v>
      </c>
      <c r="R128" s="2" t="s">
        <v>32</v>
      </c>
      <c r="S128" s="2" t="s">
        <v>33</v>
      </c>
    </row>
    <row r="129" customFormat="false" ht="15" hidden="false" customHeight="false" outlineLevel="0" collapsed="false">
      <c r="A129" s="0" t="n">
        <v>128</v>
      </c>
      <c r="D129" s="0" t="s">
        <v>722</v>
      </c>
      <c r="E129" s="0" t="s">
        <v>20</v>
      </c>
      <c r="F129" s="0" t="s">
        <v>723</v>
      </c>
      <c r="H129" s="0" t="s">
        <v>22</v>
      </c>
      <c r="I129" s="2" t="s">
        <v>23</v>
      </c>
      <c r="J129" s="2" t="s">
        <v>24</v>
      </c>
      <c r="K129" s="0" t="s">
        <v>25</v>
      </c>
      <c r="L129" s="0" t="s">
        <v>418</v>
      </c>
      <c r="M129" s="0" t="s">
        <v>78</v>
      </c>
      <c r="N129" s="0" t="s">
        <v>28</v>
      </c>
      <c r="O129" s="3" t="s">
        <v>724</v>
      </c>
      <c r="P129" s="2" t="s">
        <v>725</v>
      </c>
      <c r="Q129" s="2" t="s">
        <v>726</v>
      </c>
      <c r="R129" s="2" t="s">
        <v>32</v>
      </c>
      <c r="S129" s="2" t="s">
        <v>33</v>
      </c>
    </row>
    <row r="130" customFormat="false" ht="15" hidden="false" customHeight="false" outlineLevel="0" collapsed="false">
      <c r="A130" s="0" t="n">
        <v>129</v>
      </c>
      <c r="D130" s="0" t="s">
        <v>727</v>
      </c>
      <c r="E130" s="0" t="s">
        <v>20</v>
      </c>
      <c r="F130" s="0" t="s">
        <v>728</v>
      </c>
      <c r="H130" s="0" t="s">
        <v>22</v>
      </c>
      <c r="I130" s="2" t="s">
        <v>23</v>
      </c>
      <c r="J130" s="2" t="s">
        <v>24</v>
      </c>
      <c r="K130" s="0" t="s">
        <v>25</v>
      </c>
      <c r="L130" s="0" t="s">
        <v>706</v>
      </c>
      <c r="M130" s="0" t="s">
        <v>27</v>
      </c>
      <c r="N130" s="0" t="s">
        <v>28</v>
      </c>
      <c r="O130" s="3" t="s">
        <v>729</v>
      </c>
      <c r="P130" s="2" t="s">
        <v>730</v>
      </c>
      <c r="Q130" s="2" t="s">
        <v>731</v>
      </c>
      <c r="R130" s="2" t="s">
        <v>32</v>
      </c>
      <c r="S130" s="2" t="s">
        <v>33</v>
      </c>
    </row>
    <row r="131" customFormat="false" ht="15" hidden="false" customHeight="false" outlineLevel="0" collapsed="false">
      <c r="A131" s="0" t="n">
        <v>130</v>
      </c>
      <c r="D131" s="0" t="s">
        <v>732</v>
      </c>
      <c r="E131" s="0" t="s">
        <v>20</v>
      </c>
      <c r="F131" s="0" t="s">
        <v>733</v>
      </c>
      <c r="H131" s="0" t="s">
        <v>22</v>
      </c>
      <c r="I131" s="2" t="s">
        <v>23</v>
      </c>
      <c r="J131" s="2" t="s">
        <v>24</v>
      </c>
      <c r="K131" s="0" t="s">
        <v>25</v>
      </c>
      <c r="L131" s="0" t="s">
        <v>734</v>
      </c>
      <c r="M131" s="0" t="s">
        <v>735</v>
      </c>
      <c r="N131" s="0" t="s">
        <v>28</v>
      </c>
      <c r="O131" s="3" t="s">
        <v>736</v>
      </c>
      <c r="P131" s="2" t="s">
        <v>737</v>
      </c>
      <c r="Q131" s="2" t="s">
        <v>738</v>
      </c>
      <c r="R131" s="2" t="s">
        <v>32</v>
      </c>
      <c r="S131" s="2" t="s">
        <v>154</v>
      </c>
    </row>
    <row r="132" customFormat="false" ht="15" hidden="false" customHeight="false" outlineLevel="0" collapsed="false">
      <c r="A132" s="0" t="n">
        <v>131</v>
      </c>
      <c r="D132" s="0" t="s">
        <v>739</v>
      </c>
      <c r="E132" s="0" t="s">
        <v>20</v>
      </c>
      <c r="H132" s="0" t="s">
        <v>22</v>
      </c>
      <c r="I132" s="2" t="s">
        <v>23</v>
      </c>
      <c r="J132" s="2" t="s">
        <v>24</v>
      </c>
      <c r="K132" s="0" t="s">
        <v>25</v>
      </c>
      <c r="L132" s="0" t="s">
        <v>740</v>
      </c>
      <c r="M132" s="0" t="s">
        <v>412</v>
      </c>
      <c r="N132" s="0" t="s">
        <v>28</v>
      </c>
      <c r="O132" s="3" t="s">
        <v>741</v>
      </c>
      <c r="P132" s="2" t="s">
        <v>742</v>
      </c>
      <c r="Q132" s="2" t="s">
        <v>743</v>
      </c>
      <c r="R132" s="2" t="s">
        <v>32</v>
      </c>
      <c r="S132" s="2" t="s">
        <v>33</v>
      </c>
    </row>
    <row r="133" customFormat="false" ht="15" hidden="false" customHeight="false" outlineLevel="0" collapsed="false">
      <c r="A133" s="0" t="n">
        <v>132</v>
      </c>
      <c r="D133" s="0" t="s">
        <v>744</v>
      </c>
      <c r="E133" s="0" t="s">
        <v>20</v>
      </c>
      <c r="F133" s="0" t="s">
        <v>745</v>
      </c>
      <c r="H133" s="0" t="s">
        <v>22</v>
      </c>
      <c r="I133" s="2" t="s">
        <v>23</v>
      </c>
      <c r="J133" s="2" t="s">
        <v>24</v>
      </c>
      <c r="K133" s="0" t="s">
        <v>25</v>
      </c>
      <c r="L133" s="0" t="s">
        <v>746</v>
      </c>
      <c r="M133" s="0" t="s">
        <v>747</v>
      </c>
      <c r="N133" s="0" t="s">
        <v>28</v>
      </c>
      <c r="O133" s="3" t="s">
        <v>748</v>
      </c>
      <c r="P133" s="2" t="s">
        <v>749</v>
      </c>
      <c r="Q133" s="2" t="s">
        <v>750</v>
      </c>
      <c r="R133" s="2" t="s">
        <v>99</v>
      </c>
      <c r="S133" s="2" t="s">
        <v>33</v>
      </c>
    </row>
    <row r="134" customFormat="false" ht="15" hidden="false" customHeight="false" outlineLevel="0" collapsed="false">
      <c r="A134" s="0" t="n">
        <v>133</v>
      </c>
      <c r="D134" s="0" t="s">
        <v>751</v>
      </c>
      <c r="E134" s="0" t="s">
        <v>20</v>
      </c>
      <c r="F134" s="0" t="s">
        <v>752</v>
      </c>
      <c r="H134" s="0" t="s">
        <v>22</v>
      </c>
      <c r="I134" s="2" t="s">
        <v>23</v>
      </c>
      <c r="J134" s="2" t="s">
        <v>24</v>
      </c>
      <c r="K134" s="0" t="s">
        <v>25</v>
      </c>
      <c r="L134" s="0" t="s">
        <v>418</v>
      </c>
      <c r="M134" s="0" t="s">
        <v>78</v>
      </c>
      <c r="N134" s="0" t="s">
        <v>28</v>
      </c>
      <c r="O134" s="3"/>
      <c r="P134" s="2" t="s">
        <v>753</v>
      </c>
      <c r="Q134" s="2" t="s">
        <v>754</v>
      </c>
      <c r="S134" s="2" t="s">
        <v>33</v>
      </c>
    </row>
    <row r="135" customFormat="false" ht="15" hidden="false" customHeight="false" outlineLevel="0" collapsed="false">
      <c r="A135" s="0" t="n">
        <v>134</v>
      </c>
      <c r="D135" s="0" t="s">
        <v>755</v>
      </c>
      <c r="E135" s="0" t="s">
        <v>20</v>
      </c>
      <c r="F135" s="0" t="s">
        <v>756</v>
      </c>
      <c r="H135" s="0" t="s">
        <v>22</v>
      </c>
      <c r="I135" s="2" t="s">
        <v>23</v>
      </c>
      <c r="J135" s="2" t="s">
        <v>24</v>
      </c>
      <c r="K135" s="0" t="s">
        <v>25</v>
      </c>
      <c r="L135" s="0" t="s">
        <v>757</v>
      </c>
      <c r="M135" s="0" t="s">
        <v>66</v>
      </c>
      <c r="N135" s="0" t="s">
        <v>28</v>
      </c>
      <c r="O135" s="3" t="s">
        <v>758</v>
      </c>
      <c r="P135" s="2" t="s">
        <v>759</v>
      </c>
      <c r="Q135" s="2" t="s">
        <v>760</v>
      </c>
      <c r="R135" s="2" t="s">
        <v>99</v>
      </c>
      <c r="S135" s="2" t="s">
        <v>33</v>
      </c>
    </row>
    <row r="136" customFormat="false" ht="15" hidden="false" customHeight="false" outlineLevel="0" collapsed="false">
      <c r="A136" s="0" t="n">
        <v>135</v>
      </c>
      <c r="D136" s="0" t="s">
        <v>761</v>
      </c>
      <c r="E136" s="0" t="s">
        <v>20</v>
      </c>
      <c r="H136" s="0" t="s">
        <v>22</v>
      </c>
      <c r="I136" s="2" t="s">
        <v>23</v>
      </c>
      <c r="J136" s="2" t="s">
        <v>24</v>
      </c>
      <c r="K136" s="0" t="s">
        <v>25</v>
      </c>
      <c r="L136" s="0" t="s">
        <v>706</v>
      </c>
      <c r="M136" s="0" t="s">
        <v>27</v>
      </c>
      <c r="N136" s="0" t="s">
        <v>28</v>
      </c>
      <c r="O136" s="3"/>
      <c r="P136" s="2" t="s">
        <v>762</v>
      </c>
      <c r="Q136" s="2" t="s">
        <v>763</v>
      </c>
      <c r="R136" s="2" t="s">
        <v>32</v>
      </c>
      <c r="S136" s="2" t="s">
        <v>33</v>
      </c>
    </row>
    <row r="137" customFormat="false" ht="15" hidden="false" customHeight="false" outlineLevel="0" collapsed="false">
      <c r="A137" s="0" t="n">
        <v>136</v>
      </c>
      <c r="D137" s="0" t="s">
        <v>764</v>
      </c>
      <c r="E137" s="0" t="s">
        <v>20</v>
      </c>
      <c r="F137" s="0" t="s">
        <v>765</v>
      </c>
      <c r="H137" s="0" t="s">
        <v>22</v>
      </c>
      <c r="I137" s="2" t="s">
        <v>23</v>
      </c>
      <c r="J137" s="2" t="s">
        <v>24</v>
      </c>
      <c r="K137" s="0" t="s">
        <v>25</v>
      </c>
      <c r="L137" s="0" t="s">
        <v>77</v>
      </c>
      <c r="M137" s="0" t="s">
        <v>78</v>
      </c>
      <c r="N137" s="0" t="s">
        <v>28</v>
      </c>
      <c r="O137" s="3" t="s">
        <v>766</v>
      </c>
      <c r="P137" s="2" t="s">
        <v>767</v>
      </c>
      <c r="Q137" s="2" t="s">
        <v>768</v>
      </c>
      <c r="R137" s="2" t="s">
        <v>32</v>
      </c>
      <c r="S137" s="2" t="s">
        <v>33</v>
      </c>
    </row>
    <row r="138" customFormat="false" ht="15" hidden="false" customHeight="false" outlineLevel="0" collapsed="false">
      <c r="A138" s="0" t="n">
        <v>137</v>
      </c>
      <c r="D138" s="0" t="s">
        <v>769</v>
      </c>
      <c r="E138" s="0" t="s">
        <v>20</v>
      </c>
      <c r="F138" s="0" t="s">
        <v>770</v>
      </c>
      <c r="H138" s="0" t="s">
        <v>22</v>
      </c>
      <c r="I138" s="2" t="s">
        <v>23</v>
      </c>
      <c r="J138" s="2" t="s">
        <v>24</v>
      </c>
      <c r="K138" s="0" t="s">
        <v>25</v>
      </c>
      <c r="L138" s="0" t="s">
        <v>771</v>
      </c>
      <c r="M138" s="0" t="s">
        <v>265</v>
      </c>
      <c r="N138" s="0" t="s">
        <v>28</v>
      </c>
      <c r="O138" s="3" t="s">
        <v>772</v>
      </c>
      <c r="P138" s="2" t="s">
        <v>773</v>
      </c>
      <c r="Q138" s="2" t="s">
        <v>774</v>
      </c>
      <c r="R138" s="2" t="s">
        <v>32</v>
      </c>
      <c r="S138" s="2" t="s">
        <v>33</v>
      </c>
    </row>
    <row r="139" customFormat="false" ht="15" hidden="false" customHeight="false" outlineLevel="0" collapsed="false">
      <c r="A139" s="0" t="n">
        <v>138</v>
      </c>
      <c r="D139" s="0" t="s">
        <v>775</v>
      </c>
      <c r="E139" s="0" t="s">
        <v>20</v>
      </c>
      <c r="F139" s="0" t="s">
        <v>776</v>
      </c>
      <c r="H139" s="0" t="s">
        <v>22</v>
      </c>
      <c r="I139" s="2" t="s">
        <v>23</v>
      </c>
      <c r="J139" s="2" t="s">
        <v>24</v>
      </c>
      <c r="K139" s="0" t="s">
        <v>25</v>
      </c>
      <c r="L139" s="0" t="s">
        <v>77</v>
      </c>
      <c r="M139" s="0" t="s">
        <v>78</v>
      </c>
      <c r="N139" s="0" t="s">
        <v>28</v>
      </c>
      <c r="O139" s="3" t="s">
        <v>777</v>
      </c>
      <c r="P139" s="2" t="s">
        <v>778</v>
      </c>
      <c r="Q139" s="2" t="s">
        <v>779</v>
      </c>
      <c r="R139" s="2" t="s">
        <v>32</v>
      </c>
      <c r="S139" s="2" t="s">
        <v>33</v>
      </c>
    </row>
    <row r="140" customFormat="false" ht="15" hidden="false" customHeight="false" outlineLevel="0" collapsed="false">
      <c r="A140" s="0" t="n">
        <v>139</v>
      </c>
      <c r="D140" s="0" t="s">
        <v>780</v>
      </c>
      <c r="E140" s="0" t="s">
        <v>20</v>
      </c>
      <c r="F140" s="0" t="s">
        <v>781</v>
      </c>
      <c r="H140" s="0" t="s">
        <v>22</v>
      </c>
      <c r="I140" s="2" t="s">
        <v>23</v>
      </c>
      <c r="J140" s="2" t="s">
        <v>24</v>
      </c>
      <c r="K140" s="0" t="s">
        <v>25</v>
      </c>
      <c r="L140" s="0" t="s">
        <v>782</v>
      </c>
      <c r="M140" s="0" t="s">
        <v>783</v>
      </c>
      <c r="N140" s="0" t="s">
        <v>28</v>
      </c>
      <c r="O140" s="3" t="s">
        <v>784</v>
      </c>
      <c r="P140" s="2" t="s">
        <v>785</v>
      </c>
      <c r="Q140" s="2" t="s">
        <v>786</v>
      </c>
      <c r="R140" s="2" t="s">
        <v>32</v>
      </c>
      <c r="S140" s="2" t="s">
        <v>33</v>
      </c>
    </row>
    <row r="141" customFormat="false" ht="15" hidden="false" customHeight="false" outlineLevel="0" collapsed="false">
      <c r="A141" s="0" t="n">
        <v>140</v>
      </c>
      <c r="D141" s="0" t="s">
        <v>787</v>
      </c>
      <c r="E141" s="0" t="s">
        <v>20</v>
      </c>
      <c r="F141" s="0" t="s">
        <v>788</v>
      </c>
      <c r="H141" s="0" t="s">
        <v>22</v>
      </c>
      <c r="I141" s="2" t="s">
        <v>23</v>
      </c>
      <c r="J141" s="2" t="s">
        <v>24</v>
      </c>
      <c r="K141" s="0" t="s">
        <v>25</v>
      </c>
      <c r="L141" s="0" t="s">
        <v>249</v>
      </c>
      <c r="M141" s="0" t="s">
        <v>103</v>
      </c>
      <c r="N141" s="0" t="s">
        <v>28</v>
      </c>
      <c r="O141" s="3" t="s">
        <v>789</v>
      </c>
      <c r="P141" s="2" t="s">
        <v>790</v>
      </c>
      <c r="Q141" s="2" t="s">
        <v>791</v>
      </c>
      <c r="R141" s="2" t="s">
        <v>32</v>
      </c>
      <c r="S141" s="2" t="s">
        <v>33</v>
      </c>
    </row>
    <row r="142" customFormat="false" ht="15" hidden="false" customHeight="false" outlineLevel="0" collapsed="false">
      <c r="A142" s="0" t="n">
        <v>141</v>
      </c>
      <c r="D142" s="0" t="s">
        <v>792</v>
      </c>
      <c r="E142" s="0" t="s">
        <v>20</v>
      </c>
      <c r="H142" s="0" t="s">
        <v>22</v>
      </c>
      <c r="I142" s="2" t="s">
        <v>23</v>
      </c>
      <c r="J142" s="2" t="s">
        <v>24</v>
      </c>
      <c r="K142" s="0" t="s">
        <v>25</v>
      </c>
      <c r="L142" s="0" t="s">
        <v>706</v>
      </c>
      <c r="M142" s="0" t="s">
        <v>27</v>
      </c>
      <c r="N142" s="0" t="s">
        <v>28</v>
      </c>
      <c r="O142" s="3" t="s">
        <v>793</v>
      </c>
      <c r="P142" s="2" t="s">
        <v>794</v>
      </c>
      <c r="Q142" s="2" t="s">
        <v>795</v>
      </c>
      <c r="R142" s="2" t="s">
        <v>32</v>
      </c>
      <c r="S142" s="2" t="s">
        <v>33</v>
      </c>
    </row>
    <row r="143" customFormat="false" ht="15" hidden="false" customHeight="false" outlineLevel="0" collapsed="false">
      <c r="A143" s="0" t="n">
        <v>142</v>
      </c>
      <c r="D143" s="0" t="s">
        <v>796</v>
      </c>
      <c r="E143" s="0" t="s">
        <v>20</v>
      </c>
      <c r="F143" s="0" t="s">
        <v>797</v>
      </c>
      <c r="H143" s="0" t="s">
        <v>22</v>
      </c>
      <c r="I143" s="2" t="s">
        <v>23</v>
      </c>
      <c r="J143" s="2" t="s">
        <v>24</v>
      </c>
      <c r="K143" s="0" t="s">
        <v>25</v>
      </c>
      <c r="L143" s="0" t="s">
        <v>706</v>
      </c>
      <c r="M143" s="0" t="s">
        <v>27</v>
      </c>
      <c r="N143" s="0" t="s">
        <v>28</v>
      </c>
      <c r="O143" s="3" t="s">
        <v>651</v>
      </c>
      <c r="P143" s="2" t="s">
        <v>798</v>
      </c>
      <c r="Q143" s="2" t="s">
        <v>799</v>
      </c>
      <c r="R143" s="2" t="s">
        <v>32</v>
      </c>
      <c r="S143" s="2" t="s">
        <v>33</v>
      </c>
    </row>
    <row r="144" customFormat="false" ht="15" hidden="false" customHeight="false" outlineLevel="0" collapsed="false">
      <c r="A144" s="0" t="n">
        <v>143</v>
      </c>
      <c r="D144" s="0" t="s">
        <v>800</v>
      </c>
      <c r="E144" s="0" t="s">
        <v>20</v>
      </c>
      <c r="F144" s="0" t="s">
        <v>801</v>
      </c>
      <c r="H144" s="0" t="s">
        <v>22</v>
      </c>
      <c r="I144" s="2" t="s">
        <v>23</v>
      </c>
      <c r="J144" s="2" t="s">
        <v>24</v>
      </c>
      <c r="K144" s="0" t="s">
        <v>25</v>
      </c>
      <c r="L144" s="0" t="s">
        <v>706</v>
      </c>
      <c r="M144" s="0" t="s">
        <v>27</v>
      </c>
      <c r="N144" s="0" t="s">
        <v>28</v>
      </c>
      <c r="O144" s="3" t="s">
        <v>802</v>
      </c>
      <c r="P144" s="2" t="s">
        <v>803</v>
      </c>
      <c r="Q144" s="2" t="s">
        <v>804</v>
      </c>
      <c r="R144" s="2" t="s">
        <v>32</v>
      </c>
      <c r="S144" s="2" t="s">
        <v>33</v>
      </c>
    </row>
    <row r="145" customFormat="false" ht="15" hidden="false" customHeight="false" outlineLevel="0" collapsed="false">
      <c r="A145" s="0" t="n">
        <v>144</v>
      </c>
      <c r="D145" s="0" t="s">
        <v>805</v>
      </c>
      <c r="E145" s="0" t="s">
        <v>20</v>
      </c>
      <c r="H145" s="0" t="s">
        <v>22</v>
      </c>
      <c r="I145" s="2" t="s">
        <v>23</v>
      </c>
      <c r="J145" s="2" t="s">
        <v>24</v>
      </c>
      <c r="K145" s="0" t="s">
        <v>25</v>
      </c>
      <c r="L145" s="0" t="s">
        <v>102</v>
      </c>
      <c r="M145" s="0" t="s">
        <v>103</v>
      </c>
      <c r="N145" s="0" t="s">
        <v>28</v>
      </c>
      <c r="O145" s="3" t="s">
        <v>806</v>
      </c>
      <c r="P145" s="2" t="s">
        <v>807</v>
      </c>
      <c r="Q145" s="2" t="s">
        <v>808</v>
      </c>
      <c r="R145" s="2" t="s">
        <v>32</v>
      </c>
      <c r="S145" s="2" t="s">
        <v>33</v>
      </c>
    </row>
    <row r="146" customFormat="false" ht="15" hidden="false" customHeight="false" outlineLevel="0" collapsed="false">
      <c r="A146" s="0" t="n">
        <v>145</v>
      </c>
      <c r="D146" s="0" t="s">
        <v>809</v>
      </c>
      <c r="E146" s="0" t="s">
        <v>20</v>
      </c>
      <c r="F146" s="0" t="s">
        <v>810</v>
      </c>
      <c r="H146" s="0" t="s">
        <v>22</v>
      </c>
      <c r="I146" s="2" t="s">
        <v>23</v>
      </c>
      <c r="J146" s="2" t="s">
        <v>24</v>
      </c>
      <c r="K146" s="0" t="s">
        <v>25</v>
      </c>
      <c r="L146" s="0" t="s">
        <v>757</v>
      </c>
      <c r="M146" s="0" t="s">
        <v>66</v>
      </c>
      <c r="N146" s="0" t="s">
        <v>28</v>
      </c>
      <c r="O146" s="3" t="s">
        <v>811</v>
      </c>
      <c r="P146" s="2" t="s">
        <v>812</v>
      </c>
      <c r="Q146" s="2" t="s">
        <v>813</v>
      </c>
      <c r="R146" s="2" t="s">
        <v>99</v>
      </c>
      <c r="S146" s="2" t="s">
        <v>33</v>
      </c>
    </row>
    <row r="147" customFormat="false" ht="15" hidden="false" customHeight="false" outlineLevel="0" collapsed="false">
      <c r="A147" s="0" t="n">
        <v>146</v>
      </c>
      <c r="D147" s="0" t="s">
        <v>814</v>
      </c>
      <c r="E147" s="0" t="s">
        <v>20</v>
      </c>
      <c r="F147" s="0" t="s">
        <v>815</v>
      </c>
      <c r="H147" s="0" t="s">
        <v>22</v>
      </c>
      <c r="I147" s="2" t="s">
        <v>23</v>
      </c>
      <c r="J147" s="2" t="s">
        <v>24</v>
      </c>
      <c r="K147" s="0" t="s">
        <v>25</v>
      </c>
      <c r="L147" s="0" t="s">
        <v>706</v>
      </c>
      <c r="M147" s="0" t="s">
        <v>27</v>
      </c>
      <c r="N147" s="0" t="s">
        <v>28</v>
      </c>
      <c r="O147" s="3" t="s">
        <v>816</v>
      </c>
      <c r="P147" s="2" t="s">
        <v>817</v>
      </c>
      <c r="Q147" s="2" t="s">
        <v>818</v>
      </c>
      <c r="R147" s="2" t="s">
        <v>32</v>
      </c>
      <c r="S147" s="2" t="s">
        <v>33</v>
      </c>
    </row>
    <row r="148" customFormat="false" ht="15" hidden="false" customHeight="false" outlineLevel="0" collapsed="false">
      <c r="A148" s="0" t="n">
        <v>147</v>
      </c>
      <c r="D148" s="0" t="s">
        <v>819</v>
      </c>
      <c r="E148" s="0" t="s">
        <v>20</v>
      </c>
      <c r="F148" s="0" t="s">
        <v>820</v>
      </c>
      <c r="H148" s="0" t="s">
        <v>22</v>
      </c>
      <c r="I148" s="2" t="s">
        <v>23</v>
      </c>
      <c r="J148" s="2" t="s">
        <v>24</v>
      </c>
      <c r="K148" s="0" t="s">
        <v>25</v>
      </c>
      <c r="L148" s="0" t="s">
        <v>706</v>
      </c>
      <c r="M148" s="0" t="s">
        <v>27</v>
      </c>
      <c r="N148" s="0" t="s">
        <v>28</v>
      </c>
      <c r="O148" s="3" t="s">
        <v>821</v>
      </c>
      <c r="P148" s="2" t="s">
        <v>822</v>
      </c>
      <c r="Q148" s="2" t="s">
        <v>823</v>
      </c>
      <c r="R148" s="2" t="s">
        <v>32</v>
      </c>
      <c r="S148" s="2" t="s">
        <v>33</v>
      </c>
    </row>
    <row r="149" customFormat="false" ht="15" hidden="false" customHeight="false" outlineLevel="0" collapsed="false">
      <c r="A149" s="0" t="n">
        <v>148</v>
      </c>
      <c r="D149" s="0" t="s">
        <v>824</v>
      </c>
      <c r="E149" s="0" t="s">
        <v>20</v>
      </c>
      <c r="H149" s="0" t="s">
        <v>22</v>
      </c>
      <c r="I149" s="2" t="s">
        <v>23</v>
      </c>
      <c r="J149" s="2" t="s">
        <v>24</v>
      </c>
      <c r="K149" s="0" t="s">
        <v>25</v>
      </c>
      <c r="L149" s="0" t="s">
        <v>551</v>
      </c>
      <c r="M149" s="0" t="s">
        <v>552</v>
      </c>
      <c r="N149" s="0" t="s">
        <v>28</v>
      </c>
      <c r="O149" s="3" t="s">
        <v>825</v>
      </c>
      <c r="P149" s="2" t="s">
        <v>826</v>
      </c>
      <c r="Q149" s="2" t="s">
        <v>827</v>
      </c>
      <c r="R149" s="2" t="s">
        <v>32</v>
      </c>
      <c r="S149" s="2" t="s">
        <v>33</v>
      </c>
    </row>
    <row r="150" customFormat="false" ht="15" hidden="false" customHeight="false" outlineLevel="0" collapsed="false">
      <c r="A150" s="0" t="n">
        <v>149</v>
      </c>
      <c r="D150" s="0" t="s">
        <v>828</v>
      </c>
      <c r="E150" s="0" t="s">
        <v>20</v>
      </c>
      <c r="F150" s="0" t="s">
        <v>829</v>
      </c>
      <c r="H150" s="0" t="s">
        <v>22</v>
      </c>
      <c r="I150" s="2" t="s">
        <v>23</v>
      </c>
      <c r="J150" s="2" t="s">
        <v>24</v>
      </c>
      <c r="K150" s="0" t="s">
        <v>25</v>
      </c>
      <c r="L150" s="0" t="s">
        <v>757</v>
      </c>
      <c r="M150" s="0" t="s">
        <v>66</v>
      </c>
      <c r="N150" s="0" t="s">
        <v>28</v>
      </c>
      <c r="O150" s="3" t="s">
        <v>830</v>
      </c>
      <c r="P150" s="2" t="s">
        <v>831</v>
      </c>
      <c r="Q150" s="2" t="s">
        <v>832</v>
      </c>
      <c r="R150" s="2" t="s">
        <v>32</v>
      </c>
      <c r="S150" s="2" t="s">
        <v>33</v>
      </c>
    </row>
    <row r="151" customFormat="false" ht="15" hidden="false" customHeight="false" outlineLevel="0" collapsed="false">
      <c r="A151" s="0" t="n">
        <v>150</v>
      </c>
      <c r="D151" s="0" t="s">
        <v>833</v>
      </c>
      <c r="E151" s="0" t="s">
        <v>20</v>
      </c>
      <c r="F151" s="0" t="s">
        <v>834</v>
      </c>
      <c r="H151" s="0" t="s">
        <v>22</v>
      </c>
      <c r="I151" s="2" t="s">
        <v>23</v>
      </c>
      <c r="J151" s="2" t="s">
        <v>24</v>
      </c>
      <c r="K151" s="0" t="s">
        <v>25</v>
      </c>
      <c r="L151" s="0" t="s">
        <v>706</v>
      </c>
      <c r="M151" s="0" t="s">
        <v>27</v>
      </c>
      <c r="N151" s="0" t="s">
        <v>28</v>
      </c>
      <c r="O151" s="3" t="s">
        <v>835</v>
      </c>
      <c r="P151" s="2" t="s">
        <v>836</v>
      </c>
      <c r="Q151" s="2" t="s">
        <v>837</v>
      </c>
      <c r="R151" s="2" t="s">
        <v>32</v>
      </c>
      <c r="S151" s="2" t="s">
        <v>33</v>
      </c>
    </row>
    <row r="152" customFormat="false" ht="15" hidden="false" customHeight="false" outlineLevel="0" collapsed="false">
      <c r="A152" s="0" t="n">
        <v>151</v>
      </c>
      <c r="D152" s="0" t="s">
        <v>838</v>
      </c>
      <c r="E152" s="0" t="s">
        <v>20</v>
      </c>
      <c r="F152" s="0" t="s">
        <v>839</v>
      </c>
      <c r="H152" s="0" t="s">
        <v>22</v>
      </c>
      <c r="I152" s="2" t="s">
        <v>23</v>
      </c>
      <c r="J152" s="2" t="s">
        <v>24</v>
      </c>
      <c r="K152" s="0" t="s">
        <v>25</v>
      </c>
      <c r="L152" s="0" t="s">
        <v>706</v>
      </c>
      <c r="M152" s="0" t="s">
        <v>27</v>
      </c>
      <c r="N152" s="0" t="s">
        <v>28</v>
      </c>
      <c r="O152" s="3" t="s">
        <v>840</v>
      </c>
      <c r="P152" s="2" t="s">
        <v>841</v>
      </c>
      <c r="Q152" s="2" t="s">
        <v>842</v>
      </c>
      <c r="R152" s="2" t="s">
        <v>32</v>
      </c>
      <c r="S152" s="2" t="s">
        <v>33</v>
      </c>
    </row>
    <row r="153" customFormat="false" ht="15" hidden="false" customHeight="false" outlineLevel="0" collapsed="false">
      <c r="A153" s="0" t="n">
        <v>152</v>
      </c>
      <c r="D153" s="0" t="s">
        <v>843</v>
      </c>
      <c r="E153" s="0" t="s">
        <v>20</v>
      </c>
      <c r="H153" s="0" t="s">
        <v>22</v>
      </c>
      <c r="I153" s="2" t="s">
        <v>23</v>
      </c>
      <c r="J153" s="2" t="s">
        <v>24</v>
      </c>
      <c r="K153" s="0" t="s">
        <v>25</v>
      </c>
      <c r="L153" s="0" t="s">
        <v>706</v>
      </c>
      <c r="M153" s="0" t="s">
        <v>27</v>
      </c>
      <c r="N153" s="0" t="s">
        <v>28</v>
      </c>
      <c r="O153" s="3" t="s">
        <v>844</v>
      </c>
      <c r="P153" s="2" t="s">
        <v>845</v>
      </c>
      <c r="Q153" s="2" t="s">
        <v>846</v>
      </c>
      <c r="R153" s="2" t="s">
        <v>32</v>
      </c>
      <c r="S153" s="2" t="s">
        <v>33</v>
      </c>
    </row>
    <row r="154" customFormat="false" ht="15" hidden="false" customHeight="false" outlineLevel="0" collapsed="false">
      <c r="A154" s="0" t="n">
        <v>153</v>
      </c>
      <c r="D154" s="0" t="s">
        <v>847</v>
      </c>
      <c r="E154" s="0" t="s">
        <v>20</v>
      </c>
      <c r="F154" s="0" t="s">
        <v>848</v>
      </c>
      <c r="H154" s="0" t="s">
        <v>22</v>
      </c>
      <c r="I154" s="2" t="s">
        <v>23</v>
      </c>
      <c r="J154" s="2" t="s">
        <v>24</v>
      </c>
      <c r="K154" s="0" t="s">
        <v>25</v>
      </c>
      <c r="L154" s="0" t="s">
        <v>706</v>
      </c>
      <c r="M154" s="0" t="s">
        <v>27</v>
      </c>
      <c r="N154" s="0" t="s">
        <v>28</v>
      </c>
      <c r="O154" s="3" t="s">
        <v>849</v>
      </c>
      <c r="P154" s="2" t="s">
        <v>850</v>
      </c>
      <c r="Q154" s="2" t="s">
        <v>851</v>
      </c>
      <c r="R154" s="2" t="s">
        <v>32</v>
      </c>
      <c r="S154" s="2" t="s">
        <v>33</v>
      </c>
    </row>
    <row r="155" customFormat="false" ht="15" hidden="false" customHeight="false" outlineLevel="0" collapsed="false">
      <c r="A155" s="0" t="n">
        <v>154</v>
      </c>
      <c r="D155" s="0" t="s">
        <v>852</v>
      </c>
      <c r="E155" s="0" t="s">
        <v>20</v>
      </c>
      <c r="F155" s="0" t="s">
        <v>853</v>
      </c>
      <c r="H155" s="0" t="s">
        <v>22</v>
      </c>
      <c r="I155" s="2" t="s">
        <v>23</v>
      </c>
      <c r="J155" s="2" t="s">
        <v>24</v>
      </c>
      <c r="K155" s="0" t="s">
        <v>25</v>
      </c>
      <c r="L155" s="0" t="s">
        <v>854</v>
      </c>
      <c r="M155" s="0" t="s">
        <v>855</v>
      </c>
      <c r="N155" s="0" t="s">
        <v>28</v>
      </c>
      <c r="O155" s="3" t="s">
        <v>856</v>
      </c>
      <c r="P155" s="2" t="s">
        <v>857</v>
      </c>
      <c r="Q155" s="2" t="s">
        <v>858</v>
      </c>
      <c r="R155" s="2" t="s">
        <v>32</v>
      </c>
      <c r="S155" s="2" t="s">
        <v>33</v>
      </c>
    </row>
    <row r="156" customFormat="false" ht="15" hidden="false" customHeight="false" outlineLevel="0" collapsed="false">
      <c r="A156" s="0" t="n">
        <v>155</v>
      </c>
      <c r="D156" s="0" t="s">
        <v>859</v>
      </c>
      <c r="E156" s="0" t="s">
        <v>20</v>
      </c>
      <c r="F156" s="0" t="s">
        <v>860</v>
      </c>
      <c r="H156" s="0" t="s">
        <v>22</v>
      </c>
      <c r="I156" s="2" t="s">
        <v>23</v>
      </c>
      <c r="J156" s="2" t="s">
        <v>24</v>
      </c>
      <c r="K156" s="0" t="s">
        <v>25</v>
      </c>
      <c r="L156" s="0" t="s">
        <v>757</v>
      </c>
      <c r="M156" s="0" t="s">
        <v>66</v>
      </c>
      <c r="N156" s="0" t="s">
        <v>28</v>
      </c>
      <c r="O156" s="3" t="s">
        <v>861</v>
      </c>
      <c r="P156" s="2" t="s">
        <v>862</v>
      </c>
      <c r="Q156" s="2" t="s">
        <v>863</v>
      </c>
      <c r="R156" s="2" t="s">
        <v>99</v>
      </c>
      <c r="S156" s="2" t="s">
        <v>33</v>
      </c>
    </row>
    <row r="157" customFormat="false" ht="15" hidden="false" customHeight="false" outlineLevel="0" collapsed="false">
      <c r="A157" s="0" t="n">
        <v>156</v>
      </c>
      <c r="D157" s="0" t="s">
        <v>864</v>
      </c>
      <c r="E157" s="0" t="s">
        <v>20</v>
      </c>
      <c r="F157" s="0" t="s">
        <v>865</v>
      </c>
      <c r="H157" s="0" t="s">
        <v>22</v>
      </c>
      <c r="I157" s="2" t="s">
        <v>23</v>
      </c>
      <c r="J157" s="2" t="s">
        <v>24</v>
      </c>
      <c r="K157" s="0" t="s">
        <v>25</v>
      </c>
      <c r="L157" s="0" t="s">
        <v>757</v>
      </c>
      <c r="M157" s="0" t="s">
        <v>66</v>
      </c>
      <c r="N157" s="0" t="s">
        <v>28</v>
      </c>
      <c r="O157" s="3" t="s">
        <v>866</v>
      </c>
      <c r="P157" s="2" t="s">
        <v>867</v>
      </c>
      <c r="Q157" s="2" t="s">
        <v>868</v>
      </c>
      <c r="R157" s="2" t="s">
        <v>48</v>
      </c>
      <c r="S157" s="2" t="s">
        <v>33</v>
      </c>
    </row>
    <row r="158" customFormat="false" ht="15" hidden="false" customHeight="false" outlineLevel="0" collapsed="false">
      <c r="A158" s="0" t="n">
        <v>157</v>
      </c>
      <c r="D158" s="0" t="s">
        <v>869</v>
      </c>
      <c r="E158" s="0" t="s">
        <v>20</v>
      </c>
      <c r="F158" s="0" t="s">
        <v>870</v>
      </c>
      <c r="H158" s="0" t="s">
        <v>22</v>
      </c>
      <c r="I158" s="2" t="s">
        <v>23</v>
      </c>
      <c r="J158" s="2" t="s">
        <v>24</v>
      </c>
      <c r="K158" s="0" t="s">
        <v>25</v>
      </c>
      <c r="L158" s="0" t="s">
        <v>757</v>
      </c>
      <c r="M158" s="0" t="s">
        <v>66</v>
      </c>
      <c r="N158" s="0" t="s">
        <v>28</v>
      </c>
      <c r="O158" s="3" t="s">
        <v>871</v>
      </c>
      <c r="P158" s="2" t="s">
        <v>872</v>
      </c>
      <c r="Q158" s="2" t="s">
        <v>873</v>
      </c>
      <c r="R158" s="2" t="s">
        <v>32</v>
      </c>
      <c r="S158" s="2" t="s">
        <v>33</v>
      </c>
    </row>
    <row r="159" customFormat="false" ht="15" hidden="false" customHeight="false" outlineLevel="0" collapsed="false">
      <c r="A159" s="0" t="n">
        <v>158</v>
      </c>
      <c r="D159" s="0" t="s">
        <v>874</v>
      </c>
      <c r="E159" s="0" t="s">
        <v>20</v>
      </c>
      <c r="F159" s="0" t="s">
        <v>875</v>
      </c>
      <c r="H159" s="0" t="s">
        <v>22</v>
      </c>
      <c r="I159" s="2" t="s">
        <v>23</v>
      </c>
      <c r="J159" s="2" t="s">
        <v>24</v>
      </c>
      <c r="K159" s="0" t="s">
        <v>25</v>
      </c>
      <c r="L159" s="0" t="s">
        <v>757</v>
      </c>
      <c r="M159" s="0" t="s">
        <v>66</v>
      </c>
      <c r="N159" s="0" t="s">
        <v>28</v>
      </c>
      <c r="O159" s="3" t="s">
        <v>876</v>
      </c>
      <c r="P159" s="2" t="s">
        <v>877</v>
      </c>
      <c r="Q159" s="2" t="s">
        <v>878</v>
      </c>
      <c r="R159" s="2" t="s">
        <v>99</v>
      </c>
      <c r="S159" s="2" t="s">
        <v>33</v>
      </c>
    </row>
    <row r="160" customFormat="false" ht="15" hidden="false" customHeight="false" outlineLevel="0" collapsed="false">
      <c r="A160" s="0" t="n">
        <v>159</v>
      </c>
      <c r="D160" s="0" t="s">
        <v>879</v>
      </c>
      <c r="E160" s="0" t="s">
        <v>20</v>
      </c>
      <c r="F160" s="0" t="s">
        <v>880</v>
      </c>
      <c r="H160" s="0" t="s">
        <v>22</v>
      </c>
      <c r="I160" s="2" t="s">
        <v>23</v>
      </c>
      <c r="J160" s="2" t="s">
        <v>24</v>
      </c>
      <c r="K160" s="0" t="s">
        <v>25</v>
      </c>
      <c r="L160" s="0" t="s">
        <v>757</v>
      </c>
      <c r="M160" s="0" t="s">
        <v>881</v>
      </c>
      <c r="N160" s="0" t="s">
        <v>28</v>
      </c>
      <c r="O160" s="3" t="s">
        <v>882</v>
      </c>
      <c r="P160" s="2" t="s">
        <v>883</v>
      </c>
      <c r="Q160" s="2" t="s">
        <v>884</v>
      </c>
      <c r="R160" s="2" t="s">
        <v>32</v>
      </c>
      <c r="S160" s="2" t="s">
        <v>33</v>
      </c>
    </row>
    <row r="161" customFormat="false" ht="15" hidden="false" customHeight="false" outlineLevel="0" collapsed="false">
      <c r="A161" s="0" t="n">
        <v>160</v>
      </c>
      <c r="D161" s="0" t="s">
        <v>885</v>
      </c>
      <c r="E161" s="0" t="s">
        <v>20</v>
      </c>
      <c r="F161" s="0" t="s">
        <v>886</v>
      </c>
      <c r="H161" s="0" t="s">
        <v>22</v>
      </c>
      <c r="I161" s="2" t="s">
        <v>23</v>
      </c>
      <c r="J161" s="2" t="s">
        <v>24</v>
      </c>
      <c r="K161" s="0" t="s">
        <v>25</v>
      </c>
      <c r="L161" s="0" t="s">
        <v>757</v>
      </c>
      <c r="M161" s="0" t="s">
        <v>66</v>
      </c>
      <c r="N161" s="0" t="s">
        <v>28</v>
      </c>
      <c r="O161" s="3" t="s">
        <v>887</v>
      </c>
      <c r="Q161" s="2" t="s">
        <v>888</v>
      </c>
      <c r="R161" s="2" t="s">
        <v>99</v>
      </c>
      <c r="S161" s="2" t="s">
        <v>33</v>
      </c>
    </row>
    <row r="162" customFormat="false" ht="15" hidden="false" customHeight="false" outlineLevel="0" collapsed="false">
      <c r="A162" s="0" t="n">
        <v>161</v>
      </c>
      <c r="D162" s="0" t="s">
        <v>889</v>
      </c>
      <c r="E162" s="0" t="s">
        <v>20</v>
      </c>
      <c r="F162" s="0" t="s">
        <v>890</v>
      </c>
      <c r="H162" s="0" t="s">
        <v>22</v>
      </c>
      <c r="I162" s="2" t="s">
        <v>23</v>
      </c>
      <c r="J162" s="2" t="s">
        <v>24</v>
      </c>
      <c r="K162" s="0" t="s">
        <v>25</v>
      </c>
      <c r="L162" s="0" t="s">
        <v>706</v>
      </c>
      <c r="M162" s="0" t="s">
        <v>27</v>
      </c>
      <c r="N162" s="0" t="s">
        <v>28</v>
      </c>
      <c r="O162" s="3" t="s">
        <v>891</v>
      </c>
      <c r="P162" s="2" t="s">
        <v>892</v>
      </c>
      <c r="Q162" s="2" t="s">
        <v>893</v>
      </c>
      <c r="R162" s="2" t="s">
        <v>32</v>
      </c>
      <c r="S162" s="2" t="s">
        <v>33</v>
      </c>
    </row>
    <row r="163" customFormat="false" ht="15" hidden="false" customHeight="false" outlineLevel="0" collapsed="false">
      <c r="A163" s="0" t="n">
        <v>162</v>
      </c>
      <c r="D163" s="0" t="s">
        <v>894</v>
      </c>
      <c r="E163" s="0" t="s">
        <v>20</v>
      </c>
      <c r="F163" s="0" t="s">
        <v>895</v>
      </c>
      <c r="H163" s="0" t="s">
        <v>22</v>
      </c>
      <c r="I163" s="2" t="s">
        <v>23</v>
      </c>
      <c r="J163" s="2" t="s">
        <v>24</v>
      </c>
      <c r="K163" s="0" t="s">
        <v>25</v>
      </c>
      <c r="L163" s="0" t="s">
        <v>706</v>
      </c>
      <c r="M163" s="0" t="s">
        <v>27</v>
      </c>
      <c r="N163" s="0" t="s">
        <v>28</v>
      </c>
      <c r="O163" s="3" t="s">
        <v>896</v>
      </c>
      <c r="P163" s="2" t="s">
        <v>897</v>
      </c>
      <c r="Q163" s="2" t="s">
        <v>898</v>
      </c>
      <c r="R163" s="2" t="s">
        <v>32</v>
      </c>
      <c r="S163" s="2" t="s">
        <v>33</v>
      </c>
    </row>
    <row r="164" customFormat="false" ht="15" hidden="false" customHeight="false" outlineLevel="0" collapsed="false">
      <c r="A164" s="0" t="n">
        <v>163</v>
      </c>
      <c r="D164" s="0" t="s">
        <v>899</v>
      </c>
      <c r="E164" s="0" t="s">
        <v>20</v>
      </c>
      <c r="F164" s="0" t="s">
        <v>900</v>
      </c>
      <c r="H164" s="0" t="s">
        <v>22</v>
      </c>
      <c r="I164" s="2" t="s">
        <v>23</v>
      </c>
      <c r="J164" s="2" t="s">
        <v>24</v>
      </c>
      <c r="K164" s="0" t="s">
        <v>25</v>
      </c>
      <c r="L164" s="0" t="s">
        <v>901</v>
      </c>
      <c r="M164" s="0" t="s">
        <v>52</v>
      </c>
      <c r="N164" s="0" t="s">
        <v>28</v>
      </c>
      <c r="O164" s="3" t="s">
        <v>902</v>
      </c>
      <c r="P164" s="2" t="s">
        <v>903</v>
      </c>
      <c r="Q164" s="2" t="s">
        <v>904</v>
      </c>
      <c r="R164" s="2" t="s">
        <v>32</v>
      </c>
      <c r="S164" s="2" t="s">
        <v>33</v>
      </c>
    </row>
    <row r="165" customFormat="false" ht="15" hidden="false" customHeight="false" outlineLevel="0" collapsed="false">
      <c r="A165" s="0" t="n">
        <v>164</v>
      </c>
      <c r="D165" s="0" t="s">
        <v>905</v>
      </c>
      <c r="E165" s="0" t="s">
        <v>20</v>
      </c>
      <c r="F165" s="0" t="s">
        <v>906</v>
      </c>
      <c r="H165" s="0" t="s">
        <v>22</v>
      </c>
      <c r="I165" s="2" t="s">
        <v>23</v>
      </c>
      <c r="J165" s="2" t="s">
        <v>24</v>
      </c>
      <c r="K165" s="0" t="s">
        <v>25</v>
      </c>
      <c r="L165" s="0" t="s">
        <v>649</v>
      </c>
      <c r="M165" s="0" t="s">
        <v>907</v>
      </c>
      <c r="N165" s="0" t="s">
        <v>28</v>
      </c>
      <c r="O165" s="3" t="s">
        <v>908</v>
      </c>
      <c r="P165" s="2" t="s">
        <v>909</v>
      </c>
      <c r="Q165" s="2" t="s">
        <v>910</v>
      </c>
      <c r="R165" s="2" t="s">
        <v>32</v>
      </c>
      <c r="S165" s="2" t="s">
        <v>33</v>
      </c>
    </row>
    <row r="166" customFormat="false" ht="15" hidden="false" customHeight="false" outlineLevel="0" collapsed="false">
      <c r="A166" s="0" t="n">
        <v>165</v>
      </c>
      <c r="D166" s="0" t="s">
        <v>911</v>
      </c>
      <c r="E166" s="0" t="s">
        <v>20</v>
      </c>
      <c r="F166" s="0" t="s">
        <v>912</v>
      </c>
      <c r="H166" s="0" t="s">
        <v>22</v>
      </c>
      <c r="I166" s="2" t="s">
        <v>23</v>
      </c>
      <c r="J166" s="2" t="s">
        <v>24</v>
      </c>
      <c r="K166" s="0" t="s">
        <v>25</v>
      </c>
      <c r="L166" s="0" t="s">
        <v>102</v>
      </c>
      <c r="M166" s="0" t="s">
        <v>103</v>
      </c>
      <c r="N166" s="0" t="s">
        <v>28</v>
      </c>
      <c r="O166" s="3" t="s">
        <v>913</v>
      </c>
      <c r="P166" s="2" t="s">
        <v>914</v>
      </c>
      <c r="Q166" s="2" t="s">
        <v>915</v>
      </c>
      <c r="R166" s="2" t="s">
        <v>32</v>
      </c>
      <c r="S166" s="2" t="s">
        <v>33</v>
      </c>
    </row>
    <row r="167" customFormat="false" ht="15" hidden="false" customHeight="false" outlineLevel="0" collapsed="false">
      <c r="A167" s="0" t="n">
        <v>166</v>
      </c>
      <c r="D167" s="0" t="s">
        <v>916</v>
      </c>
      <c r="E167" s="0" t="s">
        <v>20</v>
      </c>
      <c r="F167" s="0" t="s">
        <v>917</v>
      </c>
      <c r="H167" s="0" t="s">
        <v>22</v>
      </c>
      <c r="I167" s="2" t="s">
        <v>23</v>
      </c>
      <c r="J167" s="2" t="s">
        <v>24</v>
      </c>
      <c r="K167" s="0" t="s">
        <v>25</v>
      </c>
      <c r="L167" s="0" t="s">
        <v>706</v>
      </c>
      <c r="M167" s="0" t="s">
        <v>27</v>
      </c>
      <c r="N167" s="0" t="s">
        <v>28</v>
      </c>
      <c r="O167" s="3" t="s">
        <v>918</v>
      </c>
      <c r="P167" s="2" t="s">
        <v>919</v>
      </c>
      <c r="Q167" s="2" t="s">
        <v>920</v>
      </c>
      <c r="R167" s="2" t="s">
        <v>32</v>
      </c>
      <c r="S167" s="2" t="s">
        <v>33</v>
      </c>
    </row>
    <row r="168" customFormat="false" ht="15" hidden="false" customHeight="false" outlineLevel="0" collapsed="false">
      <c r="A168" s="0" t="n">
        <v>167</v>
      </c>
      <c r="D168" s="0" t="s">
        <v>921</v>
      </c>
      <c r="E168" s="0" t="s">
        <v>20</v>
      </c>
      <c r="F168" s="0" t="s">
        <v>922</v>
      </c>
      <c r="H168" s="0" t="s">
        <v>22</v>
      </c>
      <c r="I168" s="2" t="s">
        <v>23</v>
      </c>
      <c r="J168" s="2" t="s">
        <v>24</v>
      </c>
      <c r="K168" s="0" t="s">
        <v>25</v>
      </c>
      <c r="L168" s="0" t="s">
        <v>102</v>
      </c>
      <c r="M168" s="0" t="s">
        <v>103</v>
      </c>
      <c r="N168" s="0" t="s">
        <v>28</v>
      </c>
      <c r="O168" s="3" t="s">
        <v>923</v>
      </c>
      <c r="P168" s="2" t="s">
        <v>924</v>
      </c>
      <c r="Q168" s="2" t="s">
        <v>925</v>
      </c>
      <c r="R168" s="2" t="s">
        <v>32</v>
      </c>
      <c r="S168" s="2" t="s">
        <v>33</v>
      </c>
    </row>
    <row r="169" customFormat="false" ht="15" hidden="false" customHeight="false" outlineLevel="0" collapsed="false">
      <c r="A169" s="0" t="n">
        <v>168</v>
      </c>
      <c r="D169" s="0" t="s">
        <v>926</v>
      </c>
      <c r="E169" s="0" t="s">
        <v>20</v>
      </c>
      <c r="F169" s="0" t="s">
        <v>927</v>
      </c>
      <c r="H169" s="0" t="s">
        <v>22</v>
      </c>
      <c r="I169" s="2" t="s">
        <v>23</v>
      </c>
      <c r="J169" s="2" t="s">
        <v>24</v>
      </c>
      <c r="K169" s="0" t="s">
        <v>25</v>
      </c>
      <c r="L169" s="0" t="s">
        <v>928</v>
      </c>
      <c r="M169" s="0" t="s">
        <v>306</v>
      </c>
      <c r="N169" s="0" t="s">
        <v>28</v>
      </c>
      <c r="O169" s="3" t="s">
        <v>929</v>
      </c>
      <c r="P169" s="2" t="s">
        <v>930</v>
      </c>
      <c r="Q169" s="2" t="s">
        <v>931</v>
      </c>
      <c r="R169" s="2" t="s">
        <v>32</v>
      </c>
      <c r="S169" s="2" t="s">
        <v>33</v>
      </c>
    </row>
    <row r="170" customFormat="false" ht="15" hidden="false" customHeight="false" outlineLevel="0" collapsed="false">
      <c r="A170" s="0" t="n">
        <v>169</v>
      </c>
      <c r="D170" s="0" t="s">
        <v>932</v>
      </c>
      <c r="E170" s="0" t="s">
        <v>20</v>
      </c>
      <c r="F170" s="0" t="s">
        <v>933</v>
      </c>
      <c r="H170" s="0" t="s">
        <v>22</v>
      </c>
      <c r="I170" s="2" t="s">
        <v>23</v>
      </c>
      <c r="J170" s="2" t="s">
        <v>24</v>
      </c>
      <c r="K170" s="0" t="s">
        <v>934</v>
      </c>
      <c r="L170" s="0" t="s">
        <v>249</v>
      </c>
      <c r="M170" s="0" t="s">
        <v>935</v>
      </c>
      <c r="N170" s="0" t="s">
        <v>936</v>
      </c>
      <c r="O170" s="3" t="s">
        <v>937</v>
      </c>
      <c r="P170" s="2" t="s">
        <v>938</v>
      </c>
      <c r="Q170" s="2" t="s">
        <v>939</v>
      </c>
      <c r="R170" s="2" t="s">
        <v>32</v>
      </c>
      <c r="S170" s="2" t="s">
        <v>33</v>
      </c>
    </row>
    <row r="171" customFormat="false" ht="15" hidden="false" customHeight="false" outlineLevel="0" collapsed="false">
      <c r="A171" s="0" t="n">
        <v>170</v>
      </c>
      <c r="D171" s="0" t="s">
        <v>940</v>
      </c>
      <c r="E171" s="0" t="s">
        <v>20</v>
      </c>
      <c r="F171" s="0" t="s">
        <v>941</v>
      </c>
      <c r="H171" s="0" t="s">
        <v>22</v>
      </c>
      <c r="I171" s="2" t="s">
        <v>23</v>
      </c>
      <c r="J171" s="2" t="s">
        <v>24</v>
      </c>
      <c r="K171" s="0" t="s">
        <v>934</v>
      </c>
      <c r="L171" s="0" t="s">
        <v>249</v>
      </c>
      <c r="M171" s="0" t="s">
        <v>935</v>
      </c>
      <c r="N171" s="0" t="s">
        <v>936</v>
      </c>
      <c r="O171" s="3" t="s">
        <v>942</v>
      </c>
      <c r="P171" s="2" t="s">
        <v>943</v>
      </c>
      <c r="Q171" s="2" t="s">
        <v>944</v>
      </c>
      <c r="R171" s="2" t="s">
        <v>32</v>
      </c>
      <c r="S171" s="2" t="s">
        <v>33</v>
      </c>
    </row>
    <row r="172" customFormat="false" ht="15" hidden="false" customHeight="false" outlineLevel="0" collapsed="false">
      <c r="A172" s="0" t="n">
        <v>171</v>
      </c>
      <c r="D172" s="0" t="s">
        <v>945</v>
      </c>
      <c r="E172" s="0" t="s">
        <v>20</v>
      </c>
      <c r="F172" s="0" t="s">
        <v>946</v>
      </c>
      <c r="H172" s="0" t="s">
        <v>22</v>
      </c>
      <c r="I172" s="2" t="s">
        <v>23</v>
      </c>
      <c r="J172" s="2" t="s">
        <v>24</v>
      </c>
      <c r="K172" s="0" t="s">
        <v>934</v>
      </c>
      <c r="L172" s="0" t="s">
        <v>249</v>
      </c>
      <c r="M172" s="0" t="s">
        <v>935</v>
      </c>
      <c r="N172" s="0" t="s">
        <v>936</v>
      </c>
      <c r="O172" s="3" t="s">
        <v>947</v>
      </c>
      <c r="P172" s="2" t="s">
        <v>948</v>
      </c>
      <c r="Q172" s="2" t="s">
        <v>949</v>
      </c>
      <c r="R172" s="2" t="s">
        <v>32</v>
      </c>
      <c r="S172" s="2" t="s">
        <v>33</v>
      </c>
    </row>
    <row r="173" customFormat="false" ht="15" hidden="false" customHeight="false" outlineLevel="0" collapsed="false">
      <c r="A173" s="0" t="n">
        <v>172</v>
      </c>
      <c r="D173" s="0" t="s">
        <v>950</v>
      </c>
      <c r="E173" s="0" t="s">
        <v>20</v>
      </c>
      <c r="F173" s="0" t="s">
        <v>951</v>
      </c>
      <c r="H173" s="0" t="s">
        <v>22</v>
      </c>
      <c r="I173" s="2" t="s">
        <v>23</v>
      </c>
      <c r="J173" s="2" t="s">
        <v>24</v>
      </c>
      <c r="K173" s="0" t="s">
        <v>934</v>
      </c>
      <c r="L173" s="0" t="s">
        <v>249</v>
      </c>
      <c r="M173" s="0" t="s">
        <v>935</v>
      </c>
      <c r="N173" s="0" t="s">
        <v>936</v>
      </c>
      <c r="O173" s="3" t="s">
        <v>952</v>
      </c>
      <c r="P173" s="2" t="s">
        <v>953</v>
      </c>
      <c r="Q173" s="2" t="s">
        <v>954</v>
      </c>
      <c r="R173" s="2" t="s">
        <v>32</v>
      </c>
      <c r="S173" s="2" t="s">
        <v>33</v>
      </c>
    </row>
    <row r="174" customFormat="false" ht="15" hidden="false" customHeight="false" outlineLevel="0" collapsed="false">
      <c r="A174" s="0" t="n">
        <v>173</v>
      </c>
      <c r="D174" s="0" t="s">
        <v>955</v>
      </c>
      <c r="E174" s="0" t="s">
        <v>20</v>
      </c>
      <c r="F174" s="0" t="s">
        <v>956</v>
      </c>
      <c r="H174" s="0" t="s">
        <v>22</v>
      </c>
      <c r="I174" s="2" t="s">
        <v>23</v>
      </c>
      <c r="J174" s="2" t="s">
        <v>24</v>
      </c>
      <c r="K174" s="0" t="s">
        <v>934</v>
      </c>
      <c r="L174" s="0" t="s">
        <v>249</v>
      </c>
      <c r="M174" s="0" t="s">
        <v>935</v>
      </c>
      <c r="N174" s="0" t="s">
        <v>936</v>
      </c>
      <c r="O174" s="3"/>
      <c r="P174" s="2" t="s">
        <v>957</v>
      </c>
      <c r="Q174" s="2" t="s">
        <v>958</v>
      </c>
      <c r="R174" s="2" t="s">
        <v>32</v>
      </c>
      <c r="S174" s="2" t="s">
        <v>33</v>
      </c>
    </row>
    <row r="175" customFormat="false" ht="15" hidden="false" customHeight="false" outlineLevel="0" collapsed="false">
      <c r="A175" s="0" t="n">
        <v>174</v>
      </c>
      <c r="D175" s="0" t="s">
        <v>959</v>
      </c>
      <c r="E175" s="0" t="s">
        <v>20</v>
      </c>
      <c r="H175" s="0" t="s">
        <v>22</v>
      </c>
      <c r="I175" s="2" t="s">
        <v>23</v>
      </c>
      <c r="J175" s="2" t="s">
        <v>24</v>
      </c>
      <c r="K175" s="0" t="s">
        <v>934</v>
      </c>
      <c r="L175" s="0" t="s">
        <v>249</v>
      </c>
      <c r="M175" s="0" t="s">
        <v>935</v>
      </c>
      <c r="N175" s="0" t="s">
        <v>936</v>
      </c>
      <c r="O175" s="3" t="s">
        <v>960</v>
      </c>
      <c r="P175" s="2" t="s">
        <v>961</v>
      </c>
      <c r="Q175" s="2" t="s">
        <v>962</v>
      </c>
      <c r="R175" s="2" t="s">
        <v>32</v>
      </c>
      <c r="S175" s="2" t="s">
        <v>33</v>
      </c>
    </row>
    <row r="176" customFormat="false" ht="15" hidden="false" customHeight="false" outlineLevel="0" collapsed="false">
      <c r="A176" s="0" t="n">
        <v>175</v>
      </c>
      <c r="D176" s="0" t="s">
        <v>963</v>
      </c>
      <c r="E176" s="0" t="s">
        <v>20</v>
      </c>
      <c r="F176" s="0" t="s">
        <v>964</v>
      </c>
      <c r="H176" s="0" t="s">
        <v>22</v>
      </c>
      <c r="I176" s="2" t="s">
        <v>23</v>
      </c>
      <c r="J176" s="2" t="s">
        <v>24</v>
      </c>
      <c r="K176" s="0" t="s">
        <v>934</v>
      </c>
      <c r="L176" s="0" t="s">
        <v>965</v>
      </c>
      <c r="M176" s="0" t="s">
        <v>966</v>
      </c>
      <c r="N176" s="0" t="s">
        <v>936</v>
      </c>
      <c r="O176" s="3" t="s">
        <v>967</v>
      </c>
      <c r="P176" s="2" t="s">
        <v>968</v>
      </c>
      <c r="Q176" s="2" t="s">
        <v>969</v>
      </c>
      <c r="R176" s="2" t="s">
        <v>32</v>
      </c>
      <c r="S176" s="2" t="s">
        <v>33</v>
      </c>
    </row>
    <row r="177" customFormat="false" ht="15" hidden="false" customHeight="false" outlineLevel="0" collapsed="false">
      <c r="A177" s="0" t="n">
        <v>176</v>
      </c>
      <c r="D177" s="0" t="s">
        <v>970</v>
      </c>
      <c r="E177" s="0" t="s">
        <v>20</v>
      </c>
      <c r="F177" s="0" t="s">
        <v>971</v>
      </c>
      <c r="H177" s="0" t="s">
        <v>22</v>
      </c>
      <c r="I177" s="2" t="s">
        <v>23</v>
      </c>
      <c r="J177" s="2" t="s">
        <v>24</v>
      </c>
      <c r="K177" s="0" t="s">
        <v>934</v>
      </c>
      <c r="L177" s="0" t="s">
        <v>249</v>
      </c>
      <c r="M177" s="0" t="s">
        <v>935</v>
      </c>
      <c r="N177" s="0" t="s">
        <v>936</v>
      </c>
      <c r="O177" s="3" t="s">
        <v>972</v>
      </c>
      <c r="P177" s="2" t="s">
        <v>973</v>
      </c>
      <c r="Q177" s="2" t="s">
        <v>974</v>
      </c>
      <c r="R177" s="2" t="s">
        <v>32</v>
      </c>
      <c r="S177" s="2" t="s">
        <v>33</v>
      </c>
    </row>
    <row r="178" customFormat="false" ht="15" hidden="false" customHeight="false" outlineLevel="0" collapsed="false">
      <c r="A178" s="0" t="n">
        <v>177</v>
      </c>
      <c r="D178" s="0" t="s">
        <v>975</v>
      </c>
      <c r="E178" s="0" t="s">
        <v>20</v>
      </c>
      <c r="H178" s="0" t="s">
        <v>22</v>
      </c>
      <c r="I178" s="2" t="s">
        <v>23</v>
      </c>
      <c r="J178" s="2" t="s">
        <v>24</v>
      </c>
      <c r="K178" s="0" t="s">
        <v>934</v>
      </c>
      <c r="L178" s="0" t="s">
        <v>976</v>
      </c>
      <c r="M178" s="0" t="s">
        <v>977</v>
      </c>
      <c r="N178" s="0" t="s">
        <v>936</v>
      </c>
      <c r="O178" s="3" t="s">
        <v>978</v>
      </c>
      <c r="P178" s="2" t="s">
        <v>979</v>
      </c>
      <c r="Q178" s="2" t="s">
        <v>980</v>
      </c>
      <c r="R178" s="2" t="s">
        <v>32</v>
      </c>
      <c r="S178" s="2" t="s">
        <v>33</v>
      </c>
    </row>
    <row r="179" customFormat="false" ht="15" hidden="false" customHeight="false" outlineLevel="0" collapsed="false">
      <c r="A179" s="0" t="n">
        <v>178</v>
      </c>
      <c r="D179" s="0" t="s">
        <v>981</v>
      </c>
      <c r="E179" s="0" t="s">
        <v>20</v>
      </c>
      <c r="F179" s="0" t="s">
        <v>982</v>
      </c>
      <c r="H179" s="0" t="s">
        <v>22</v>
      </c>
      <c r="I179" s="2" t="s">
        <v>23</v>
      </c>
      <c r="J179" s="2" t="s">
        <v>24</v>
      </c>
      <c r="K179" s="0" t="s">
        <v>934</v>
      </c>
      <c r="L179" s="0" t="s">
        <v>249</v>
      </c>
      <c r="M179" s="0" t="s">
        <v>935</v>
      </c>
      <c r="N179" s="0" t="s">
        <v>936</v>
      </c>
      <c r="O179" s="3" t="s">
        <v>983</v>
      </c>
      <c r="P179" s="2" t="s">
        <v>984</v>
      </c>
      <c r="Q179" s="2" t="s">
        <v>985</v>
      </c>
      <c r="R179" s="2" t="s">
        <v>32</v>
      </c>
      <c r="S179" s="2" t="s">
        <v>33</v>
      </c>
    </row>
    <row r="180" customFormat="false" ht="15" hidden="false" customHeight="false" outlineLevel="0" collapsed="false">
      <c r="A180" s="0" t="n">
        <v>179</v>
      </c>
      <c r="D180" s="0" t="s">
        <v>986</v>
      </c>
      <c r="E180" s="0" t="s">
        <v>20</v>
      </c>
      <c r="F180" s="0" t="s">
        <v>987</v>
      </c>
      <c r="H180" s="0" t="s">
        <v>22</v>
      </c>
      <c r="I180" s="2" t="s">
        <v>23</v>
      </c>
      <c r="J180" s="2" t="s">
        <v>24</v>
      </c>
      <c r="K180" s="0" t="s">
        <v>934</v>
      </c>
      <c r="L180" s="0" t="s">
        <v>249</v>
      </c>
      <c r="M180" s="0" t="s">
        <v>935</v>
      </c>
      <c r="N180" s="0" t="s">
        <v>936</v>
      </c>
      <c r="O180" s="3" t="s">
        <v>988</v>
      </c>
      <c r="P180" s="2" t="s">
        <v>989</v>
      </c>
      <c r="Q180" s="2" t="s">
        <v>990</v>
      </c>
      <c r="R180" s="2" t="s">
        <v>32</v>
      </c>
      <c r="S180" s="2" t="s">
        <v>33</v>
      </c>
    </row>
    <row r="181" customFormat="false" ht="15" hidden="false" customHeight="false" outlineLevel="0" collapsed="false">
      <c r="A181" s="0" t="n">
        <v>180</v>
      </c>
      <c r="D181" s="0" t="s">
        <v>991</v>
      </c>
      <c r="E181" s="0" t="s">
        <v>20</v>
      </c>
      <c r="F181" s="0" t="s">
        <v>992</v>
      </c>
      <c r="H181" s="0" t="s">
        <v>22</v>
      </c>
      <c r="I181" s="2" t="s">
        <v>23</v>
      </c>
      <c r="J181" s="2" t="s">
        <v>24</v>
      </c>
      <c r="K181" s="0" t="s">
        <v>934</v>
      </c>
      <c r="L181" s="0" t="s">
        <v>249</v>
      </c>
      <c r="M181" s="0" t="s">
        <v>935</v>
      </c>
      <c r="N181" s="0" t="s">
        <v>936</v>
      </c>
      <c r="O181" s="3" t="s">
        <v>993</v>
      </c>
      <c r="P181" s="2" t="s">
        <v>994</v>
      </c>
      <c r="Q181" s="2" t="s">
        <v>995</v>
      </c>
      <c r="R181" s="2" t="s">
        <v>32</v>
      </c>
      <c r="S181" s="2" t="s">
        <v>33</v>
      </c>
    </row>
    <row r="182" customFormat="false" ht="15" hidden="false" customHeight="false" outlineLevel="0" collapsed="false">
      <c r="A182" s="0" t="n">
        <v>181</v>
      </c>
      <c r="D182" s="0" t="s">
        <v>996</v>
      </c>
      <c r="E182" s="0" t="s">
        <v>20</v>
      </c>
      <c r="F182" s="0" t="s">
        <v>997</v>
      </c>
      <c r="H182" s="0" t="s">
        <v>22</v>
      </c>
      <c r="I182" s="2" t="s">
        <v>23</v>
      </c>
      <c r="J182" s="2" t="s">
        <v>24</v>
      </c>
      <c r="K182" s="0" t="s">
        <v>934</v>
      </c>
      <c r="L182" s="0" t="s">
        <v>249</v>
      </c>
      <c r="M182" s="0" t="s">
        <v>935</v>
      </c>
      <c r="N182" s="0" t="s">
        <v>936</v>
      </c>
      <c r="O182" s="3" t="s">
        <v>998</v>
      </c>
      <c r="P182" s="2" t="s">
        <v>999</v>
      </c>
      <c r="Q182" s="2" t="s">
        <v>1000</v>
      </c>
      <c r="R182" s="2" t="s">
        <v>32</v>
      </c>
      <c r="S182" s="2" t="s">
        <v>33</v>
      </c>
    </row>
    <row r="183" customFormat="false" ht="15" hidden="false" customHeight="false" outlineLevel="0" collapsed="false">
      <c r="A183" s="0" t="n">
        <v>182</v>
      </c>
      <c r="D183" s="0" t="s">
        <v>1001</v>
      </c>
      <c r="E183" s="0" t="s">
        <v>20</v>
      </c>
      <c r="F183" s="0" t="s">
        <v>1002</v>
      </c>
      <c r="H183" s="0" t="s">
        <v>22</v>
      </c>
      <c r="I183" s="2" t="s">
        <v>23</v>
      </c>
      <c r="J183" s="2" t="s">
        <v>24</v>
      </c>
      <c r="K183" s="0" t="s">
        <v>934</v>
      </c>
      <c r="L183" s="0" t="s">
        <v>249</v>
      </c>
      <c r="M183" s="0" t="s">
        <v>935</v>
      </c>
      <c r="N183" s="0" t="s">
        <v>936</v>
      </c>
      <c r="O183" s="3" t="s">
        <v>1003</v>
      </c>
      <c r="P183" s="2" t="s">
        <v>1004</v>
      </c>
      <c r="Q183" s="2" t="s">
        <v>1005</v>
      </c>
      <c r="R183" s="2" t="s">
        <v>32</v>
      </c>
      <c r="S183" s="2" t="s">
        <v>33</v>
      </c>
    </row>
    <row r="184" customFormat="false" ht="15" hidden="false" customHeight="false" outlineLevel="0" collapsed="false">
      <c r="A184" s="0" t="n">
        <v>183</v>
      </c>
      <c r="D184" s="0" t="s">
        <v>1006</v>
      </c>
      <c r="E184" s="0" t="s">
        <v>20</v>
      </c>
      <c r="F184" s="0" t="s">
        <v>1007</v>
      </c>
      <c r="H184" s="0" t="s">
        <v>22</v>
      </c>
      <c r="I184" s="2" t="s">
        <v>23</v>
      </c>
      <c r="J184" s="2" t="s">
        <v>24</v>
      </c>
      <c r="K184" s="0" t="s">
        <v>934</v>
      </c>
      <c r="L184" s="0" t="s">
        <v>1008</v>
      </c>
      <c r="M184" s="0" t="s">
        <v>1009</v>
      </c>
      <c r="N184" s="0" t="s">
        <v>936</v>
      </c>
      <c r="O184" s="3" t="s">
        <v>1010</v>
      </c>
      <c r="P184" s="2" t="s">
        <v>1011</v>
      </c>
      <c r="Q184" s="2" t="s">
        <v>1012</v>
      </c>
      <c r="R184" s="2" t="s">
        <v>32</v>
      </c>
      <c r="S184" s="2" t="s">
        <v>33</v>
      </c>
    </row>
    <row r="185" customFormat="false" ht="15" hidden="false" customHeight="false" outlineLevel="0" collapsed="false">
      <c r="A185" s="0" t="n">
        <v>184</v>
      </c>
      <c r="D185" s="0" t="s">
        <v>1013</v>
      </c>
      <c r="E185" s="0" t="s">
        <v>20</v>
      </c>
      <c r="F185" s="0" t="s">
        <v>1014</v>
      </c>
      <c r="H185" s="0" t="s">
        <v>22</v>
      </c>
      <c r="I185" s="2" t="s">
        <v>23</v>
      </c>
      <c r="J185" s="2" t="s">
        <v>24</v>
      </c>
      <c r="K185" s="0" t="s">
        <v>934</v>
      </c>
      <c r="L185" s="0" t="s">
        <v>1015</v>
      </c>
      <c r="M185" s="0" t="s">
        <v>1016</v>
      </c>
      <c r="N185" s="0" t="s">
        <v>936</v>
      </c>
      <c r="O185" s="3" t="s">
        <v>1017</v>
      </c>
      <c r="P185" s="2" t="s">
        <v>1018</v>
      </c>
      <c r="Q185" s="2" t="s">
        <v>1019</v>
      </c>
      <c r="R185" s="2" t="s">
        <v>32</v>
      </c>
      <c r="S185" s="2" t="s">
        <v>33</v>
      </c>
    </row>
    <row r="186" customFormat="false" ht="15" hidden="false" customHeight="false" outlineLevel="0" collapsed="false">
      <c r="A186" s="0" t="n">
        <v>185</v>
      </c>
      <c r="D186" s="0" t="s">
        <v>1020</v>
      </c>
      <c r="E186" s="0" t="s">
        <v>20</v>
      </c>
      <c r="F186" s="0" t="s">
        <v>1021</v>
      </c>
      <c r="H186" s="0" t="s">
        <v>22</v>
      </c>
      <c r="I186" s="2" t="s">
        <v>23</v>
      </c>
      <c r="J186" s="2" t="s">
        <v>24</v>
      </c>
      <c r="K186" s="0" t="s">
        <v>1022</v>
      </c>
      <c r="L186" s="0" t="s">
        <v>1023</v>
      </c>
      <c r="M186" s="0" t="s">
        <v>1024</v>
      </c>
      <c r="N186" s="0" t="s">
        <v>1025</v>
      </c>
      <c r="O186" s="3" t="s">
        <v>1026</v>
      </c>
      <c r="P186" s="2" t="s">
        <v>1027</v>
      </c>
      <c r="Q186" s="2" t="s">
        <v>1028</v>
      </c>
      <c r="R186" s="2" t="s">
        <v>32</v>
      </c>
      <c r="S186" s="2" t="s">
        <v>33</v>
      </c>
    </row>
    <row r="187" customFormat="false" ht="15" hidden="false" customHeight="false" outlineLevel="0" collapsed="false">
      <c r="A187" s="0" t="n">
        <v>186</v>
      </c>
      <c r="D187" s="0" t="s">
        <v>1029</v>
      </c>
      <c r="E187" s="0" t="s">
        <v>20</v>
      </c>
      <c r="F187" s="0" t="s">
        <v>1030</v>
      </c>
      <c r="H187" s="0" t="s">
        <v>22</v>
      </c>
      <c r="I187" s="2" t="s">
        <v>23</v>
      </c>
      <c r="J187" s="2" t="s">
        <v>24</v>
      </c>
      <c r="K187" s="0" t="s">
        <v>1022</v>
      </c>
      <c r="L187" s="0" t="s">
        <v>1031</v>
      </c>
      <c r="M187" s="0" t="s">
        <v>1032</v>
      </c>
      <c r="N187" s="0" t="s">
        <v>1025</v>
      </c>
      <c r="O187" s="3" t="s">
        <v>1033</v>
      </c>
      <c r="P187" s="2" t="s">
        <v>1034</v>
      </c>
      <c r="Q187" s="2" t="s">
        <v>1035</v>
      </c>
      <c r="R187" s="2" t="s">
        <v>32</v>
      </c>
      <c r="S187" s="2" t="s">
        <v>33</v>
      </c>
    </row>
    <row r="188" customFormat="false" ht="15" hidden="false" customHeight="false" outlineLevel="0" collapsed="false">
      <c r="A188" s="0" t="n">
        <v>187</v>
      </c>
      <c r="D188" s="0" t="s">
        <v>1036</v>
      </c>
      <c r="E188" s="0" t="s">
        <v>20</v>
      </c>
      <c r="F188" s="0" t="s">
        <v>1037</v>
      </c>
      <c r="H188" s="0" t="s">
        <v>22</v>
      </c>
      <c r="I188" s="2" t="s">
        <v>23</v>
      </c>
      <c r="J188" s="2" t="s">
        <v>24</v>
      </c>
      <c r="K188" s="0" t="s">
        <v>1022</v>
      </c>
      <c r="L188" s="0" t="s">
        <v>1038</v>
      </c>
      <c r="M188" s="0" t="s">
        <v>1039</v>
      </c>
      <c r="N188" s="0" t="s">
        <v>1025</v>
      </c>
      <c r="O188" s="3"/>
      <c r="P188" s="2" t="s">
        <v>1040</v>
      </c>
      <c r="Q188" s="2" t="s">
        <v>1041</v>
      </c>
      <c r="R188" s="2" t="s">
        <v>32</v>
      </c>
      <c r="S188" s="2" t="s">
        <v>33</v>
      </c>
    </row>
    <row r="189" customFormat="false" ht="15" hidden="false" customHeight="false" outlineLevel="0" collapsed="false">
      <c r="A189" s="0" t="n">
        <v>188</v>
      </c>
      <c r="D189" s="0" t="s">
        <v>1042</v>
      </c>
      <c r="E189" s="0" t="s">
        <v>1043</v>
      </c>
      <c r="F189" s="0" t="s">
        <v>1044</v>
      </c>
      <c r="H189" s="0" t="s">
        <v>22</v>
      </c>
      <c r="I189" s="2" t="s">
        <v>23</v>
      </c>
      <c r="J189" s="2" t="s">
        <v>24</v>
      </c>
      <c r="K189" s="0" t="s">
        <v>1022</v>
      </c>
      <c r="L189" s="0" t="s">
        <v>1038</v>
      </c>
      <c r="M189" s="0" t="s">
        <v>1039</v>
      </c>
      <c r="N189" s="0" t="s">
        <v>1025</v>
      </c>
      <c r="O189" s="3" t="s">
        <v>1045</v>
      </c>
      <c r="P189" s="2" t="s">
        <v>1046</v>
      </c>
      <c r="Q189" s="2" t="s">
        <v>1047</v>
      </c>
      <c r="R189" s="2" t="s">
        <v>1048</v>
      </c>
      <c r="S189" s="2" t="s">
        <v>33</v>
      </c>
    </row>
    <row r="190" customFormat="false" ht="15" hidden="false" customHeight="false" outlineLevel="0" collapsed="false">
      <c r="A190" s="0" t="n">
        <v>189</v>
      </c>
      <c r="D190" s="0" t="s">
        <v>1049</v>
      </c>
      <c r="E190" s="0" t="s">
        <v>20</v>
      </c>
      <c r="F190" s="0" t="s">
        <v>1050</v>
      </c>
      <c r="H190" s="0" t="s">
        <v>22</v>
      </c>
      <c r="I190" s="2" t="s">
        <v>23</v>
      </c>
      <c r="J190" s="2" t="s">
        <v>24</v>
      </c>
      <c r="K190" s="0" t="s">
        <v>1022</v>
      </c>
      <c r="L190" s="0" t="s">
        <v>1051</v>
      </c>
      <c r="M190" s="0" t="s">
        <v>1052</v>
      </c>
      <c r="N190" s="0" t="s">
        <v>1025</v>
      </c>
      <c r="O190" s="3" t="s">
        <v>1053</v>
      </c>
      <c r="P190" s="2" t="s">
        <v>1054</v>
      </c>
      <c r="Q190" s="2" t="s">
        <v>1055</v>
      </c>
      <c r="R190" s="2" t="s">
        <v>32</v>
      </c>
      <c r="S190" s="2" t="s">
        <v>33</v>
      </c>
    </row>
    <row r="191" customFormat="false" ht="15" hidden="false" customHeight="false" outlineLevel="0" collapsed="false">
      <c r="A191" s="0" t="n">
        <v>190</v>
      </c>
      <c r="D191" s="0" t="s">
        <v>1056</v>
      </c>
      <c r="E191" s="0" t="s">
        <v>20</v>
      </c>
      <c r="F191" s="0" t="s">
        <v>1057</v>
      </c>
      <c r="H191" s="0" t="s">
        <v>22</v>
      </c>
      <c r="I191" s="2" t="s">
        <v>23</v>
      </c>
      <c r="J191" s="2" t="s">
        <v>24</v>
      </c>
      <c r="K191" s="0" t="s">
        <v>1022</v>
      </c>
      <c r="L191" s="0" t="s">
        <v>1058</v>
      </c>
      <c r="M191" s="0" t="s">
        <v>1059</v>
      </c>
      <c r="N191" s="0" t="s">
        <v>1025</v>
      </c>
      <c r="O191" s="3" t="s">
        <v>1060</v>
      </c>
      <c r="P191" s="2" t="s">
        <v>1061</v>
      </c>
      <c r="Q191" s="2" t="s">
        <v>1062</v>
      </c>
      <c r="R191" s="2" t="s">
        <v>32</v>
      </c>
      <c r="S191" s="2" t="s">
        <v>33</v>
      </c>
    </row>
    <row r="192" customFormat="false" ht="15" hidden="false" customHeight="false" outlineLevel="0" collapsed="false">
      <c r="A192" s="0" t="n">
        <v>191</v>
      </c>
      <c r="D192" s="0" t="s">
        <v>1063</v>
      </c>
      <c r="E192" s="0" t="s">
        <v>20</v>
      </c>
      <c r="F192" s="0" t="s">
        <v>1064</v>
      </c>
      <c r="H192" s="0" t="s">
        <v>22</v>
      </c>
      <c r="I192" s="2" t="s">
        <v>23</v>
      </c>
      <c r="J192" s="2" t="s">
        <v>24</v>
      </c>
      <c r="K192" s="0" t="s">
        <v>1022</v>
      </c>
      <c r="L192" s="0" t="s">
        <v>1065</v>
      </c>
      <c r="M192" s="0" t="s">
        <v>1066</v>
      </c>
      <c r="N192" s="0" t="s">
        <v>1025</v>
      </c>
      <c r="O192" s="3" t="s">
        <v>1067</v>
      </c>
      <c r="Q192" s="2" t="s">
        <v>1068</v>
      </c>
      <c r="R192" s="2" t="s">
        <v>32</v>
      </c>
      <c r="S192" s="2" t="s">
        <v>33</v>
      </c>
    </row>
    <row r="193" customFormat="false" ht="15" hidden="false" customHeight="false" outlineLevel="0" collapsed="false">
      <c r="A193" s="0" t="n">
        <v>192</v>
      </c>
      <c r="D193" s="0" t="s">
        <v>1069</v>
      </c>
      <c r="E193" s="0" t="s">
        <v>20</v>
      </c>
      <c r="F193" s="0" t="s">
        <v>1070</v>
      </c>
      <c r="H193" s="0" t="s">
        <v>22</v>
      </c>
      <c r="I193" s="2" t="s">
        <v>23</v>
      </c>
      <c r="J193" s="2" t="s">
        <v>24</v>
      </c>
      <c r="K193" s="0" t="s">
        <v>1022</v>
      </c>
      <c r="L193" s="0" t="s">
        <v>1038</v>
      </c>
      <c r="M193" s="0" t="s">
        <v>1039</v>
      </c>
      <c r="N193" s="0" t="s">
        <v>1025</v>
      </c>
      <c r="O193" s="3" t="s">
        <v>1071</v>
      </c>
      <c r="P193" s="2" t="s">
        <v>1072</v>
      </c>
      <c r="Q193" s="2" t="s">
        <v>1073</v>
      </c>
      <c r="R193" s="2" t="s">
        <v>32</v>
      </c>
      <c r="S193" s="2" t="s">
        <v>33</v>
      </c>
    </row>
    <row r="194" customFormat="false" ht="15" hidden="false" customHeight="false" outlineLevel="0" collapsed="false">
      <c r="A194" s="0" t="n">
        <v>193</v>
      </c>
      <c r="D194" s="0" t="s">
        <v>1074</v>
      </c>
      <c r="E194" s="0" t="s">
        <v>20</v>
      </c>
      <c r="F194" s="0" t="s">
        <v>1075</v>
      </c>
      <c r="H194" s="0" t="s">
        <v>22</v>
      </c>
      <c r="I194" s="2" t="s">
        <v>23</v>
      </c>
      <c r="J194" s="2" t="s">
        <v>24</v>
      </c>
      <c r="K194" s="0" t="s">
        <v>1022</v>
      </c>
      <c r="L194" s="0" t="s">
        <v>1038</v>
      </c>
      <c r="M194" s="0" t="s">
        <v>1039</v>
      </c>
      <c r="N194" s="0" t="s">
        <v>1025</v>
      </c>
      <c r="O194" s="3" t="s">
        <v>1076</v>
      </c>
      <c r="P194" s="2" t="s">
        <v>1077</v>
      </c>
      <c r="Q194" s="2" t="s">
        <v>1078</v>
      </c>
      <c r="R194" s="2" t="s">
        <v>32</v>
      </c>
      <c r="S194" s="2" t="s">
        <v>33</v>
      </c>
    </row>
    <row r="195" customFormat="false" ht="15" hidden="false" customHeight="false" outlineLevel="0" collapsed="false">
      <c r="A195" s="0" t="n">
        <v>194</v>
      </c>
      <c r="D195" s="0" t="s">
        <v>1079</v>
      </c>
      <c r="E195" s="0" t="s">
        <v>20</v>
      </c>
      <c r="F195" s="0" t="s">
        <v>1080</v>
      </c>
      <c r="H195" s="0" t="s">
        <v>22</v>
      </c>
      <c r="I195" s="2" t="s">
        <v>23</v>
      </c>
      <c r="J195" s="2" t="s">
        <v>24</v>
      </c>
      <c r="K195" s="0" t="s">
        <v>1022</v>
      </c>
      <c r="L195" s="0" t="s">
        <v>1038</v>
      </c>
      <c r="M195" s="0" t="s">
        <v>1039</v>
      </c>
      <c r="N195" s="0" t="s">
        <v>1025</v>
      </c>
      <c r="O195" s="3" t="s">
        <v>1081</v>
      </c>
      <c r="P195" s="2" t="s">
        <v>1082</v>
      </c>
      <c r="Q195" s="2" t="s">
        <v>1083</v>
      </c>
      <c r="R195" s="2" t="s">
        <v>32</v>
      </c>
      <c r="S195" s="2" t="s">
        <v>33</v>
      </c>
    </row>
    <row r="196" customFormat="false" ht="15" hidden="false" customHeight="false" outlineLevel="0" collapsed="false">
      <c r="A196" s="0" t="n">
        <v>195</v>
      </c>
      <c r="D196" s="0" t="s">
        <v>1084</v>
      </c>
      <c r="E196" s="0" t="s">
        <v>20</v>
      </c>
      <c r="F196" s="0" t="s">
        <v>1085</v>
      </c>
      <c r="H196" s="0" t="s">
        <v>22</v>
      </c>
      <c r="I196" s="2" t="s">
        <v>23</v>
      </c>
      <c r="J196" s="2" t="s">
        <v>24</v>
      </c>
      <c r="K196" s="0" t="s">
        <v>1022</v>
      </c>
      <c r="L196" s="0" t="s">
        <v>1086</v>
      </c>
      <c r="M196" s="0" t="s">
        <v>1066</v>
      </c>
      <c r="N196" s="0" t="s">
        <v>1025</v>
      </c>
      <c r="O196" s="3" t="s">
        <v>1087</v>
      </c>
      <c r="P196" s="2" t="s">
        <v>1088</v>
      </c>
      <c r="Q196" s="2" t="s">
        <v>1089</v>
      </c>
      <c r="R196" s="2" t="s">
        <v>32</v>
      </c>
      <c r="S196" s="2" t="s">
        <v>33</v>
      </c>
    </row>
    <row r="197" customFormat="false" ht="15" hidden="false" customHeight="false" outlineLevel="0" collapsed="false">
      <c r="A197" s="0" t="n">
        <v>196</v>
      </c>
      <c r="D197" s="0" t="s">
        <v>1090</v>
      </c>
      <c r="E197" s="0" t="s">
        <v>20</v>
      </c>
      <c r="F197" s="0" t="s">
        <v>1091</v>
      </c>
      <c r="H197" s="0" t="s">
        <v>22</v>
      </c>
      <c r="I197" s="2" t="s">
        <v>23</v>
      </c>
      <c r="J197" s="2" t="s">
        <v>24</v>
      </c>
      <c r="K197" s="0" t="s">
        <v>1022</v>
      </c>
      <c r="L197" s="0" t="s">
        <v>1092</v>
      </c>
      <c r="M197" s="0" t="s">
        <v>1093</v>
      </c>
      <c r="N197" s="0" t="s">
        <v>1025</v>
      </c>
      <c r="O197" s="3" t="s">
        <v>1094</v>
      </c>
      <c r="P197" s="2" t="s">
        <v>1095</v>
      </c>
      <c r="Q197" s="2" t="s">
        <v>1096</v>
      </c>
      <c r="R197" s="2" t="s">
        <v>32</v>
      </c>
      <c r="S197" s="2" t="s">
        <v>33</v>
      </c>
    </row>
    <row r="198" customFormat="false" ht="15" hidden="false" customHeight="false" outlineLevel="0" collapsed="false">
      <c r="A198" s="0" t="n">
        <v>197</v>
      </c>
      <c r="D198" s="0" t="s">
        <v>1097</v>
      </c>
      <c r="E198" s="0" t="s">
        <v>20</v>
      </c>
      <c r="F198" s="0" t="s">
        <v>1098</v>
      </c>
      <c r="H198" s="0" t="s">
        <v>22</v>
      </c>
      <c r="I198" s="2" t="s">
        <v>23</v>
      </c>
      <c r="J198" s="2" t="s">
        <v>24</v>
      </c>
      <c r="K198" s="0" t="s">
        <v>1022</v>
      </c>
      <c r="L198" s="0" t="s">
        <v>1038</v>
      </c>
      <c r="M198" s="0" t="s">
        <v>1039</v>
      </c>
      <c r="N198" s="0" t="s">
        <v>1025</v>
      </c>
      <c r="O198" s="3" t="s">
        <v>1099</v>
      </c>
      <c r="Q198" s="2" t="s">
        <v>1100</v>
      </c>
      <c r="R198" s="2" t="s">
        <v>32</v>
      </c>
      <c r="S198" s="2" t="s">
        <v>33</v>
      </c>
    </row>
    <row r="199" customFormat="false" ht="15" hidden="false" customHeight="false" outlineLevel="0" collapsed="false">
      <c r="A199" s="0" t="n">
        <v>198</v>
      </c>
      <c r="D199" s="0" t="s">
        <v>1101</v>
      </c>
      <c r="E199" s="0" t="s">
        <v>20</v>
      </c>
      <c r="F199" s="0" t="s">
        <v>1102</v>
      </c>
      <c r="H199" s="0" t="s">
        <v>22</v>
      </c>
      <c r="I199" s="2" t="s">
        <v>23</v>
      </c>
      <c r="J199" s="2" t="s">
        <v>24</v>
      </c>
      <c r="K199" s="0" t="s">
        <v>1022</v>
      </c>
      <c r="L199" s="0" t="s">
        <v>1103</v>
      </c>
      <c r="M199" s="0" t="s">
        <v>1104</v>
      </c>
      <c r="N199" s="0" t="s">
        <v>1025</v>
      </c>
      <c r="O199" s="3" t="s">
        <v>1105</v>
      </c>
      <c r="P199" s="2" t="s">
        <v>1106</v>
      </c>
      <c r="Q199" s="2" t="s">
        <v>1107</v>
      </c>
      <c r="R199" s="2" t="s">
        <v>99</v>
      </c>
      <c r="S199" s="2" t="s">
        <v>33</v>
      </c>
    </row>
    <row r="200" customFormat="false" ht="15" hidden="false" customHeight="false" outlineLevel="0" collapsed="false">
      <c r="A200" s="0" t="n">
        <v>199</v>
      </c>
      <c r="D200" s="0" t="s">
        <v>1108</v>
      </c>
      <c r="E200" s="0" t="s">
        <v>20</v>
      </c>
      <c r="F200" s="0" t="s">
        <v>1109</v>
      </c>
      <c r="H200" s="0" t="s">
        <v>22</v>
      </c>
      <c r="I200" s="2" t="s">
        <v>23</v>
      </c>
      <c r="J200" s="2" t="s">
        <v>24</v>
      </c>
      <c r="K200" s="0" t="s">
        <v>1022</v>
      </c>
      <c r="L200" s="0" t="s">
        <v>1110</v>
      </c>
      <c r="M200" s="0" t="s">
        <v>1111</v>
      </c>
      <c r="N200" s="0" t="s">
        <v>1025</v>
      </c>
      <c r="O200" s="3" t="s">
        <v>1112</v>
      </c>
      <c r="P200" s="2" t="s">
        <v>1113</v>
      </c>
      <c r="Q200" s="2" t="s">
        <v>1114</v>
      </c>
      <c r="R200" s="2" t="s">
        <v>32</v>
      </c>
      <c r="S200" s="2" t="s">
        <v>33</v>
      </c>
    </row>
    <row r="201" customFormat="false" ht="15" hidden="false" customHeight="false" outlineLevel="0" collapsed="false">
      <c r="A201" s="0" t="n">
        <v>200</v>
      </c>
      <c r="D201" s="0" t="s">
        <v>1115</v>
      </c>
      <c r="E201" s="0" t="s">
        <v>20</v>
      </c>
      <c r="F201" s="0" t="s">
        <v>1116</v>
      </c>
      <c r="H201" s="0" t="s">
        <v>22</v>
      </c>
      <c r="I201" s="2" t="s">
        <v>23</v>
      </c>
      <c r="J201" s="2" t="s">
        <v>24</v>
      </c>
      <c r="K201" s="0" t="s">
        <v>1022</v>
      </c>
      <c r="L201" s="0" t="s">
        <v>1038</v>
      </c>
      <c r="M201" s="0" t="s">
        <v>1039</v>
      </c>
      <c r="N201" s="0" t="s">
        <v>1025</v>
      </c>
      <c r="O201" s="3" t="s">
        <v>1117</v>
      </c>
      <c r="P201" s="2" t="s">
        <v>1118</v>
      </c>
      <c r="Q201" s="2" t="s">
        <v>1119</v>
      </c>
      <c r="R201" s="2" t="s">
        <v>32</v>
      </c>
      <c r="S201" s="2" t="s">
        <v>33</v>
      </c>
    </row>
    <row r="202" customFormat="false" ht="15" hidden="false" customHeight="false" outlineLevel="0" collapsed="false">
      <c r="A202" s="0" t="n">
        <v>201</v>
      </c>
      <c r="D202" s="0" t="s">
        <v>1120</v>
      </c>
      <c r="E202" s="0" t="s">
        <v>20</v>
      </c>
      <c r="F202" s="0" t="s">
        <v>1121</v>
      </c>
      <c r="H202" s="0" t="s">
        <v>22</v>
      </c>
      <c r="I202" s="2" t="s">
        <v>23</v>
      </c>
      <c r="J202" s="2" t="s">
        <v>24</v>
      </c>
      <c r="K202" s="0" t="s">
        <v>1022</v>
      </c>
      <c r="L202" s="0" t="s">
        <v>1122</v>
      </c>
      <c r="M202" s="0" t="s">
        <v>1123</v>
      </c>
      <c r="N202" s="0" t="s">
        <v>1025</v>
      </c>
      <c r="O202" s="3" t="s">
        <v>1124</v>
      </c>
      <c r="P202" s="2" t="s">
        <v>1125</v>
      </c>
      <c r="Q202" s="2" t="s">
        <v>1126</v>
      </c>
      <c r="R202" s="2" t="s">
        <v>1127</v>
      </c>
      <c r="S202" s="2" t="s">
        <v>33</v>
      </c>
    </row>
    <row r="203" customFormat="false" ht="15" hidden="false" customHeight="false" outlineLevel="0" collapsed="false">
      <c r="A203" s="0" t="n">
        <v>202</v>
      </c>
      <c r="D203" s="0" t="s">
        <v>1128</v>
      </c>
      <c r="E203" s="0" t="s">
        <v>20</v>
      </c>
      <c r="F203" s="0" t="s">
        <v>1129</v>
      </c>
      <c r="H203" s="0" t="s">
        <v>22</v>
      </c>
      <c r="I203" s="2" t="s">
        <v>23</v>
      </c>
      <c r="J203" s="2" t="s">
        <v>24</v>
      </c>
      <c r="K203" s="0" t="s">
        <v>1022</v>
      </c>
      <c r="L203" s="0" t="s">
        <v>1130</v>
      </c>
      <c r="M203" s="0" t="s">
        <v>1131</v>
      </c>
      <c r="N203" s="0" t="s">
        <v>1025</v>
      </c>
      <c r="O203" s="3" t="s">
        <v>1132</v>
      </c>
      <c r="P203" s="2" t="s">
        <v>1133</v>
      </c>
      <c r="Q203" s="2" t="s">
        <v>1134</v>
      </c>
      <c r="R203" s="2" t="s">
        <v>32</v>
      </c>
      <c r="S203" s="2" t="s">
        <v>33</v>
      </c>
    </row>
    <row r="204" customFormat="false" ht="15" hidden="false" customHeight="false" outlineLevel="0" collapsed="false">
      <c r="A204" s="0" t="n">
        <v>203</v>
      </c>
      <c r="D204" s="0" t="s">
        <v>1135</v>
      </c>
      <c r="E204" s="0" t="s">
        <v>20</v>
      </c>
      <c r="F204" s="0" t="s">
        <v>1136</v>
      </c>
      <c r="H204" s="0" t="s">
        <v>22</v>
      </c>
      <c r="I204" s="2" t="s">
        <v>23</v>
      </c>
      <c r="J204" s="2" t="s">
        <v>24</v>
      </c>
      <c r="K204" s="0" t="s">
        <v>1022</v>
      </c>
      <c r="L204" s="0" t="s">
        <v>1137</v>
      </c>
      <c r="M204" s="0" t="s">
        <v>1138</v>
      </c>
      <c r="N204" s="0" t="s">
        <v>1025</v>
      </c>
      <c r="O204" s="3" t="s">
        <v>1139</v>
      </c>
      <c r="P204" s="2" t="s">
        <v>1140</v>
      </c>
      <c r="Q204" s="2" t="s">
        <v>1141</v>
      </c>
      <c r="R204" s="2" t="s">
        <v>32</v>
      </c>
      <c r="S204" s="2" t="s">
        <v>33</v>
      </c>
    </row>
    <row r="205" customFormat="false" ht="15" hidden="false" customHeight="false" outlineLevel="0" collapsed="false">
      <c r="A205" s="0" t="n">
        <v>204</v>
      </c>
      <c r="D205" s="0" t="s">
        <v>1142</v>
      </c>
      <c r="E205" s="0" t="s">
        <v>20</v>
      </c>
      <c r="F205" s="0" t="s">
        <v>1143</v>
      </c>
      <c r="H205" s="0" t="s">
        <v>22</v>
      </c>
      <c r="I205" s="2" t="s">
        <v>23</v>
      </c>
      <c r="J205" s="2" t="s">
        <v>24</v>
      </c>
      <c r="K205" s="0" t="s">
        <v>1022</v>
      </c>
      <c r="L205" s="0" t="s">
        <v>1038</v>
      </c>
      <c r="M205" s="0" t="s">
        <v>1039</v>
      </c>
      <c r="N205" s="0" t="s">
        <v>1025</v>
      </c>
      <c r="O205" s="3" t="s">
        <v>1144</v>
      </c>
      <c r="P205" s="2" t="s">
        <v>1145</v>
      </c>
      <c r="Q205" s="2" t="s">
        <v>1146</v>
      </c>
      <c r="R205" s="2" t="s">
        <v>32</v>
      </c>
      <c r="S205" s="2" t="s">
        <v>33</v>
      </c>
    </row>
    <row r="206" customFormat="false" ht="15" hidden="false" customHeight="false" outlineLevel="0" collapsed="false">
      <c r="A206" s="0" t="n">
        <v>205</v>
      </c>
      <c r="D206" s="0" t="s">
        <v>1147</v>
      </c>
      <c r="E206" s="0" t="s">
        <v>20</v>
      </c>
      <c r="F206" s="0" t="s">
        <v>1148</v>
      </c>
      <c r="H206" s="0" t="s">
        <v>22</v>
      </c>
      <c r="I206" s="2" t="s">
        <v>23</v>
      </c>
      <c r="J206" s="2" t="s">
        <v>24</v>
      </c>
      <c r="K206" s="0" t="s">
        <v>1022</v>
      </c>
      <c r="L206" s="0" t="s">
        <v>1038</v>
      </c>
      <c r="M206" s="0" t="s">
        <v>1039</v>
      </c>
      <c r="N206" s="0" t="s">
        <v>1025</v>
      </c>
      <c r="O206" s="3" t="s">
        <v>1149</v>
      </c>
      <c r="P206" s="2" t="s">
        <v>1150</v>
      </c>
      <c r="Q206" s="2" t="s">
        <v>1151</v>
      </c>
      <c r="R206" s="2" t="s">
        <v>32</v>
      </c>
      <c r="S206" s="2" t="s">
        <v>33</v>
      </c>
    </row>
    <row r="207" customFormat="false" ht="15" hidden="false" customHeight="false" outlineLevel="0" collapsed="false">
      <c r="A207" s="0" t="n">
        <v>206</v>
      </c>
      <c r="D207" s="0" t="s">
        <v>1152</v>
      </c>
      <c r="E207" s="0" t="s">
        <v>20</v>
      </c>
      <c r="F207" s="0" t="s">
        <v>1153</v>
      </c>
      <c r="H207" s="0" t="s">
        <v>22</v>
      </c>
      <c r="I207" s="2" t="s">
        <v>23</v>
      </c>
      <c r="J207" s="2" t="s">
        <v>24</v>
      </c>
      <c r="K207" s="0" t="s">
        <v>1022</v>
      </c>
      <c r="L207" s="0" t="s">
        <v>1137</v>
      </c>
      <c r="M207" s="0" t="s">
        <v>1138</v>
      </c>
      <c r="N207" s="0" t="s">
        <v>1025</v>
      </c>
      <c r="O207" s="3" t="s">
        <v>1154</v>
      </c>
      <c r="P207" s="2" t="s">
        <v>1155</v>
      </c>
      <c r="Q207" s="2" t="s">
        <v>1156</v>
      </c>
      <c r="R207" s="2" t="s">
        <v>32</v>
      </c>
      <c r="S207" s="2" t="s">
        <v>33</v>
      </c>
    </row>
    <row r="208" customFormat="false" ht="15" hidden="false" customHeight="false" outlineLevel="0" collapsed="false">
      <c r="A208" s="0" t="n">
        <v>207</v>
      </c>
      <c r="D208" s="0" t="s">
        <v>1157</v>
      </c>
      <c r="E208" s="0" t="s">
        <v>20</v>
      </c>
      <c r="F208" s="0" t="s">
        <v>1158</v>
      </c>
      <c r="H208" s="0" t="s">
        <v>22</v>
      </c>
      <c r="I208" s="2" t="s">
        <v>23</v>
      </c>
      <c r="J208" s="2" t="s">
        <v>24</v>
      </c>
      <c r="K208" s="0" t="s">
        <v>1022</v>
      </c>
      <c r="L208" s="0" t="s">
        <v>1159</v>
      </c>
      <c r="M208" s="0" t="s">
        <v>1160</v>
      </c>
      <c r="N208" s="0" t="s">
        <v>1025</v>
      </c>
      <c r="O208" s="3" t="s">
        <v>1161</v>
      </c>
      <c r="P208" s="2" t="s">
        <v>1162</v>
      </c>
      <c r="Q208" s="2" t="s">
        <v>1163</v>
      </c>
      <c r="R208" s="2" t="s">
        <v>32</v>
      </c>
      <c r="S208" s="2" t="s">
        <v>33</v>
      </c>
    </row>
    <row r="209" customFormat="false" ht="15" hidden="false" customHeight="false" outlineLevel="0" collapsed="false">
      <c r="A209" s="0" t="n">
        <v>208</v>
      </c>
      <c r="D209" s="0" t="s">
        <v>1164</v>
      </c>
      <c r="E209" s="0" t="s">
        <v>20</v>
      </c>
      <c r="F209" s="0" t="s">
        <v>1165</v>
      </c>
      <c r="H209" s="0" t="s">
        <v>22</v>
      </c>
      <c r="I209" s="2" t="s">
        <v>23</v>
      </c>
      <c r="J209" s="2" t="s">
        <v>24</v>
      </c>
      <c r="K209" s="0" t="s">
        <v>1022</v>
      </c>
      <c r="L209" s="0" t="s">
        <v>1166</v>
      </c>
      <c r="M209" s="0" t="s">
        <v>1167</v>
      </c>
      <c r="N209" s="0" t="s">
        <v>1025</v>
      </c>
      <c r="O209" s="3" t="s">
        <v>1168</v>
      </c>
      <c r="P209" s="2" t="s">
        <v>1169</v>
      </c>
      <c r="Q209" s="2" t="s">
        <v>1170</v>
      </c>
      <c r="R209" s="2" t="s">
        <v>32</v>
      </c>
      <c r="S209" s="2" t="s">
        <v>33</v>
      </c>
    </row>
    <row r="210" customFormat="false" ht="15" hidden="false" customHeight="false" outlineLevel="0" collapsed="false">
      <c r="A210" s="0" t="n">
        <v>209</v>
      </c>
      <c r="D210" s="0" t="s">
        <v>1171</v>
      </c>
      <c r="E210" s="0" t="s">
        <v>20</v>
      </c>
      <c r="F210" s="0" t="s">
        <v>1172</v>
      </c>
      <c r="H210" s="0" t="s">
        <v>22</v>
      </c>
      <c r="I210" s="2" t="s">
        <v>23</v>
      </c>
      <c r="J210" s="2" t="s">
        <v>24</v>
      </c>
      <c r="K210" s="0" t="s">
        <v>1022</v>
      </c>
      <c r="L210" s="0" t="s">
        <v>1173</v>
      </c>
      <c r="M210" s="0" t="s">
        <v>1174</v>
      </c>
      <c r="N210" s="0" t="s">
        <v>1025</v>
      </c>
      <c r="O210" s="3" t="s">
        <v>1175</v>
      </c>
      <c r="P210" s="2" t="s">
        <v>1176</v>
      </c>
      <c r="Q210" s="2" t="s">
        <v>1177</v>
      </c>
      <c r="R210" s="2" t="s">
        <v>32</v>
      </c>
      <c r="S210" s="2" t="s">
        <v>33</v>
      </c>
    </row>
    <row r="211" customFormat="false" ht="15" hidden="false" customHeight="false" outlineLevel="0" collapsed="false">
      <c r="A211" s="0" t="n">
        <v>210</v>
      </c>
      <c r="D211" s="0" t="s">
        <v>1178</v>
      </c>
      <c r="E211" s="0" t="s">
        <v>20</v>
      </c>
      <c r="F211" s="0" t="s">
        <v>1179</v>
      </c>
      <c r="H211" s="0" t="s">
        <v>22</v>
      </c>
      <c r="I211" s="2" t="s">
        <v>23</v>
      </c>
      <c r="J211" s="2" t="s">
        <v>24</v>
      </c>
      <c r="K211" s="0" t="s">
        <v>1022</v>
      </c>
      <c r="L211" s="0" t="s">
        <v>1180</v>
      </c>
      <c r="M211" s="0" t="s">
        <v>1181</v>
      </c>
      <c r="N211" s="0" t="s">
        <v>1025</v>
      </c>
      <c r="O211" s="3" t="s">
        <v>1182</v>
      </c>
      <c r="P211" s="2" t="s">
        <v>1183</v>
      </c>
      <c r="Q211" s="2" t="s">
        <v>1184</v>
      </c>
      <c r="R211" s="2" t="s">
        <v>32</v>
      </c>
      <c r="S211" s="2" t="s">
        <v>33</v>
      </c>
    </row>
    <row r="212" customFormat="false" ht="15" hidden="false" customHeight="false" outlineLevel="0" collapsed="false">
      <c r="A212" s="0" t="n">
        <v>211</v>
      </c>
      <c r="D212" s="0" t="s">
        <v>1185</v>
      </c>
      <c r="E212" s="0" t="s">
        <v>20</v>
      </c>
      <c r="F212" s="0" t="s">
        <v>1186</v>
      </c>
      <c r="H212" s="0" t="s">
        <v>22</v>
      </c>
      <c r="I212" s="2" t="s">
        <v>23</v>
      </c>
      <c r="J212" s="2" t="s">
        <v>24</v>
      </c>
      <c r="K212" s="0" t="s">
        <v>1022</v>
      </c>
      <c r="L212" s="0" t="s">
        <v>1038</v>
      </c>
      <c r="M212" s="0" t="s">
        <v>1039</v>
      </c>
      <c r="N212" s="0" t="s">
        <v>1025</v>
      </c>
      <c r="O212" s="3" t="s">
        <v>1187</v>
      </c>
      <c r="P212" s="2" t="s">
        <v>1188</v>
      </c>
      <c r="Q212" s="2" t="s">
        <v>1189</v>
      </c>
      <c r="R212" s="2" t="s">
        <v>32</v>
      </c>
      <c r="S212" s="2" t="s">
        <v>33</v>
      </c>
    </row>
    <row r="213" customFormat="false" ht="15" hidden="false" customHeight="false" outlineLevel="0" collapsed="false">
      <c r="A213" s="0" t="n">
        <v>212</v>
      </c>
      <c r="D213" s="0" t="s">
        <v>1190</v>
      </c>
      <c r="E213" s="0" t="s">
        <v>20</v>
      </c>
      <c r="F213" s="0" t="s">
        <v>1191</v>
      </c>
      <c r="H213" s="0" t="s">
        <v>22</v>
      </c>
      <c r="I213" s="2" t="s">
        <v>23</v>
      </c>
      <c r="J213" s="2" t="s">
        <v>24</v>
      </c>
      <c r="K213" s="0" t="s">
        <v>1022</v>
      </c>
      <c r="L213" s="0" t="s">
        <v>1092</v>
      </c>
      <c r="M213" s="0" t="s">
        <v>1093</v>
      </c>
      <c r="N213" s="0" t="s">
        <v>1025</v>
      </c>
      <c r="O213" s="3" t="s">
        <v>1192</v>
      </c>
      <c r="P213" s="2" t="s">
        <v>1193</v>
      </c>
      <c r="Q213" s="2" t="s">
        <v>1194</v>
      </c>
      <c r="R213" s="2" t="s">
        <v>32</v>
      </c>
      <c r="S213" s="2" t="s">
        <v>33</v>
      </c>
    </row>
    <row r="214" customFormat="false" ht="15" hidden="false" customHeight="false" outlineLevel="0" collapsed="false">
      <c r="A214" s="0" t="n">
        <v>213</v>
      </c>
      <c r="D214" s="0" t="s">
        <v>1195</v>
      </c>
      <c r="E214" s="0" t="s">
        <v>20</v>
      </c>
      <c r="F214" s="0" t="s">
        <v>1196</v>
      </c>
      <c r="H214" s="0" t="s">
        <v>22</v>
      </c>
      <c r="I214" s="2" t="s">
        <v>23</v>
      </c>
      <c r="J214" s="2" t="s">
        <v>24</v>
      </c>
      <c r="K214" s="0" t="s">
        <v>1022</v>
      </c>
      <c r="L214" s="0" t="s">
        <v>1197</v>
      </c>
      <c r="M214" s="0" t="s">
        <v>1198</v>
      </c>
      <c r="N214" s="0" t="s">
        <v>1025</v>
      </c>
      <c r="O214" s="3" t="s">
        <v>1199</v>
      </c>
      <c r="P214" s="2" t="s">
        <v>1200</v>
      </c>
      <c r="Q214" s="2" t="s">
        <v>1201</v>
      </c>
      <c r="R214" s="2" t="s">
        <v>32</v>
      </c>
      <c r="S214" s="2" t="s">
        <v>33</v>
      </c>
    </row>
    <row r="215" customFormat="false" ht="15" hidden="false" customHeight="false" outlineLevel="0" collapsed="false">
      <c r="A215" s="0" t="n">
        <v>214</v>
      </c>
      <c r="D215" s="0" t="s">
        <v>1202</v>
      </c>
      <c r="E215" s="0" t="s">
        <v>20</v>
      </c>
      <c r="F215" s="0" t="s">
        <v>1203</v>
      </c>
      <c r="H215" s="0" t="s">
        <v>22</v>
      </c>
      <c r="I215" s="2" t="s">
        <v>23</v>
      </c>
      <c r="J215" s="2" t="s">
        <v>24</v>
      </c>
      <c r="K215" s="0" t="s">
        <v>1022</v>
      </c>
      <c r="L215" s="0" t="s">
        <v>1086</v>
      </c>
      <c r="M215" s="0" t="s">
        <v>1066</v>
      </c>
      <c r="N215" s="0" t="s">
        <v>1025</v>
      </c>
      <c r="O215" s="3" t="s">
        <v>1204</v>
      </c>
      <c r="P215" s="2" t="s">
        <v>1205</v>
      </c>
      <c r="Q215" s="2" t="s">
        <v>1206</v>
      </c>
      <c r="R215" s="2" t="s">
        <v>32</v>
      </c>
      <c r="S215" s="2" t="s">
        <v>33</v>
      </c>
    </row>
    <row r="216" customFormat="false" ht="15" hidden="false" customHeight="false" outlineLevel="0" collapsed="false">
      <c r="A216" s="0" t="n">
        <v>215</v>
      </c>
      <c r="D216" s="0" t="s">
        <v>1207</v>
      </c>
      <c r="E216" s="0" t="s">
        <v>20</v>
      </c>
      <c r="F216" s="0" t="s">
        <v>1208</v>
      </c>
      <c r="H216" s="0" t="s">
        <v>22</v>
      </c>
      <c r="I216" s="2" t="s">
        <v>23</v>
      </c>
      <c r="J216" s="2" t="s">
        <v>24</v>
      </c>
      <c r="K216" s="0" t="s">
        <v>1022</v>
      </c>
      <c r="L216" s="0" t="s">
        <v>1086</v>
      </c>
      <c r="M216" s="0" t="s">
        <v>1066</v>
      </c>
      <c r="N216" s="0" t="s">
        <v>1025</v>
      </c>
      <c r="O216" s="3" t="s">
        <v>1209</v>
      </c>
      <c r="P216" s="2" t="s">
        <v>1210</v>
      </c>
      <c r="Q216" s="2" t="s">
        <v>1211</v>
      </c>
      <c r="R216" s="2" t="s">
        <v>32</v>
      </c>
      <c r="S216" s="2" t="s">
        <v>33</v>
      </c>
    </row>
    <row r="217" customFormat="false" ht="15" hidden="false" customHeight="false" outlineLevel="0" collapsed="false">
      <c r="A217" s="0" t="n">
        <v>216</v>
      </c>
      <c r="D217" s="0" t="s">
        <v>1212</v>
      </c>
      <c r="E217" s="0" t="s">
        <v>20</v>
      </c>
      <c r="F217" s="0" t="s">
        <v>1213</v>
      </c>
      <c r="H217" s="0" t="s">
        <v>22</v>
      </c>
      <c r="I217" s="2" t="s">
        <v>23</v>
      </c>
      <c r="J217" s="2" t="s">
        <v>24</v>
      </c>
      <c r="K217" s="0" t="s">
        <v>1022</v>
      </c>
      <c r="L217" s="0" t="s">
        <v>1038</v>
      </c>
      <c r="M217" s="0" t="s">
        <v>1039</v>
      </c>
      <c r="N217" s="0" t="s">
        <v>1025</v>
      </c>
      <c r="O217" s="3" t="s">
        <v>1214</v>
      </c>
      <c r="P217" s="2" t="s">
        <v>1215</v>
      </c>
      <c r="Q217" s="2" t="s">
        <v>1216</v>
      </c>
      <c r="R217" s="2" t="s">
        <v>32</v>
      </c>
      <c r="S217" s="2" t="s">
        <v>33</v>
      </c>
    </row>
    <row r="218" customFormat="false" ht="15" hidden="false" customHeight="false" outlineLevel="0" collapsed="false">
      <c r="A218" s="0" t="n">
        <v>217</v>
      </c>
      <c r="D218" s="0" t="s">
        <v>1217</v>
      </c>
      <c r="E218" s="0" t="s">
        <v>20</v>
      </c>
      <c r="F218" s="0" t="s">
        <v>1218</v>
      </c>
      <c r="H218" s="0" t="s">
        <v>22</v>
      </c>
      <c r="I218" s="2" t="s">
        <v>23</v>
      </c>
      <c r="J218" s="2" t="s">
        <v>24</v>
      </c>
      <c r="K218" s="0" t="s">
        <v>1022</v>
      </c>
      <c r="L218" s="0" t="s">
        <v>1038</v>
      </c>
      <c r="M218" s="0" t="s">
        <v>1039</v>
      </c>
      <c r="N218" s="0" t="s">
        <v>1025</v>
      </c>
      <c r="O218" s="3" t="s">
        <v>1219</v>
      </c>
      <c r="P218" s="2" t="s">
        <v>1220</v>
      </c>
      <c r="Q218" s="2" t="s">
        <v>1221</v>
      </c>
      <c r="R218" s="2" t="s">
        <v>32</v>
      </c>
      <c r="S218" s="2" t="s">
        <v>33</v>
      </c>
    </row>
    <row r="219" customFormat="false" ht="15" hidden="false" customHeight="false" outlineLevel="0" collapsed="false">
      <c r="A219" s="0" t="n">
        <v>218</v>
      </c>
      <c r="B219" s="0" t="s">
        <v>1222</v>
      </c>
      <c r="D219" s="0" t="s">
        <v>1223</v>
      </c>
      <c r="E219" s="0" t="s">
        <v>20</v>
      </c>
      <c r="F219" s="0" t="s">
        <v>1224</v>
      </c>
      <c r="H219" s="0" t="s">
        <v>22</v>
      </c>
      <c r="I219" s="2" t="s">
        <v>23</v>
      </c>
      <c r="J219" s="2" t="s">
        <v>24</v>
      </c>
      <c r="K219" s="0" t="s">
        <v>1022</v>
      </c>
      <c r="L219" s="0" t="s">
        <v>1225</v>
      </c>
      <c r="M219" s="0" t="s">
        <v>1226</v>
      </c>
      <c r="N219" s="0" t="s">
        <v>1025</v>
      </c>
      <c r="O219" s="3" t="s">
        <v>1227</v>
      </c>
      <c r="P219" s="2" t="s">
        <v>1228</v>
      </c>
      <c r="Q219" s="2" t="s">
        <v>1229</v>
      </c>
      <c r="R219" s="2" t="s">
        <v>99</v>
      </c>
      <c r="S219" s="2" t="s">
        <v>154</v>
      </c>
    </row>
    <row r="220" customFormat="false" ht="15" hidden="false" customHeight="false" outlineLevel="0" collapsed="false">
      <c r="A220" s="0" t="n">
        <v>219</v>
      </c>
      <c r="D220" s="0" t="s">
        <v>1230</v>
      </c>
      <c r="E220" s="0" t="s">
        <v>20</v>
      </c>
      <c r="F220" s="0" t="s">
        <v>1231</v>
      </c>
      <c r="H220" s="0" t="s">
        <v>22</v>
      </c>
      <c r="I220" s="2" t="s">
        <v>23</v>
      </c>
      <c r="J220" s="2" t="s">
        <v>24</v>
      </c>
      <c r="K220" s="0" t="s">
        <v>1022</v>
      </c>
      <c r="L220" s="0" t="s">
        <v>1232</v>
      </c>
      <c r="M220" s="0" t="s">
        <v>1233</v>
      </c>
      <c r="N220" s="0" t="s">
        <v>1025</v>
      </c>
      <c r="O220" s="3" t="s">
        <v>1234</v>
      </c>
      <c r="P220" s="2" t="s">
        <v>1235</v>
      </c>
      <c r="Q220" s="2" t="s">
        <v>1236</v>
      </c>
      <c r="R220" s="2" t="s">
        <v>48</v>
      </c>
      <c r="S220" s="2" t="s">
        <v>33</v>
      </c>
    </row>
    <row r="221" customFormat="false" ht="15" hidden="false" customHeight="false" outlineLevel="0" collapsed="false">
      <c r="A221" s="0" t="n">
        <v>220</v>
      </c>
      <c r="D221" s="0" t="s">
        <v>1237</v>
      </c>
      <c r="E221" s="0" t="s">
        <v>20</v>
      </c>
      <c r="F221" s="0" t="s">
        <v>1238</v>
      </c>
      <c r="H221" s="0" t="s">
        <v>22</v>
      </c>
      <c r="I221" s="2" t="s">
        <v>23</v>
      </c>
      <c r="J221" s="2" t="s">
        <v>24</v>
      </c>
      <c r="K221" s="0" t="s">
        <v>1022</v>
      </c>
      <c r="L221" s="0" t="s">
        <v>1092</v>
      </c>
      <c r="M221" s="0" t="s">
        <v>1093</v>
      </c>
      <c r="N221" s="0" t="s">
        <v>1025</v>
      </c>
      <c r="O221" s="3" t="s">
        <v>1239</v>
      </c>
      <c r="P221" s="2" t="s">
        <v>1240</v>
      </c>
      <c r="Q221" s="2" t="s">
        <v>1241</v>
      </c>
      <c r="R221" s="2" t="s">
        <v>32</v>
      </c>
      <c r="S221" s="2" t="s">
        <v>33</v>
      </c>
    </row>
    <row r="222" customFormat="false" ht="15" hidden="false" customHeight="false" outlineLevel="0" collapsed="false">
      <c r="A222" s="0" t="n">
        <v>221</v>
      </c>
      <c r="D222" s="0" t="s">
        <v>1242</v>
      </c>
      <c r="E222" s="0" t="s">
        <v>20</v>
      </c>
      <c r="F222" s="0" t="s">
        <v>1243</v>
      </c>
      <c r="H222" s="0" t="s">
        <v>22</v>
      </c>
      <c r="I222" s="2" t="s">
        <v>23</v>
      </c>
      <c r="J222" s="2" t="s">
        <v>24</v>
      </c>
      <c r="K222" s="0" t="s">
        <v>1022</v>
      </c>
      <c r="L222" s="0" t="s">
        <v>1092</v>
      </c>
      <c r="M222" s="0" t="s">
        <v>1093</v>
      </c>
      <c r="N222" s="0" t="s">
        <v>1025</v>
      </c>
      <c r="O222" s="3" t="s">
        <v>1244</v>
      </c>
      <c r="P222" s="2" t="s">
        <v>1245</v>
      </c>
      <c r="Q222" s="2" t="s">
        <v>1246</v>
      </c>
      <c r="R222" s="2" t="s">
        <v>99</v>
      </c>
      <c r="S222" s="2" t="s">
        <v>33</v>
      </c>
    </row>
    <row r="223" customFormat="false" ht="15" hidden="false" customHeight="false" outlineLevel="0" collapsed="false">
      <c r="A223" s="0" t="n">
        <v>222</v>
      </c>
      <c r="D223" s="0" t="s">
        <v>1247</v>
      </c>
      <c r="E223" s="0" t="s">
        <v>20</v>
      </c>
      <c r="F223" s="0" t="s">
        <v>1248</v>
      </c>
      <c r="H223" s="0" t="s">
        <v>22</v>
      </c>
      <c r="I223" s="2" t="s">
        <v>23</v>
      </c>
      <c r="J223" s="2" t="s">
        <v>24</v>
      </c>
      <c r="K223" s="0" t="s">
        <v>1022</v>
      </c>
      <c r="L223" s="0" t="s">
        <v>1249</v>
      </c>
      <c r="M223" s="0" t="s">
        <v>1250</v>
      </c>
      <c r="N223" s="0" t="s">
        <v>1025</v>
      </c>
      <c r="O223" s="3" t="s">
        <v>1251</v>
      </c>
      <c r="P223" s="2" t="s">
        <v>1252</v>
      </c>
      <c r="Q223" s="2" t="s">
        <v>1253</v>
      </c>
      <c r="R223" s="2" t="s">
        <v>32</v>
      </c>
      <c r="S223" s="2" t="s">
        <v>33</v>
      </c>
    </row>
    <row r="224" customFormat="false" ht="15" hidden="false" customHeight="false" outlineLevel="0" collapsed="false">
      <c r="A224" s="0" t="n">
        <v>223</v>
      </c>
      <c r="D224" s="0" t="s">
        <v>1254</v>
      </c>
      <c r="E224" s="0" t="s">
        <v>20</v>
      </c>
      <c r="F224" s="0" t="s">
        <v>1255</v>
      </c>
      <c r="H224" s="0" t="s">
        <v>22</v>
      </c>
      <c r="I224" s="2" t="s">
        <v>23</v>
      </c>
      <c r="J224" s="2" t="s">
        <v>24</v>
      </c>
      <c r="K224" s="0" t="s">
        <v>1022</v>
      </c>
      <c r="L224" s="0" t="s">
        <v>1038</v>
      </c>
      <c r="M224" s="0" t="s">
        <v>1039</v>
      </c>
      <c r="N224" s="0" t="s">
        <v>1025</v>
      </c>
      <c r="O224" s="3" t="s">
        <v>1256</v>
      </c>
      <c r="P224" s="2" t="s">
        <v>1257</v>
      </c>
      <c r="Q224" s="2" t="s">
        <v>1258</v>
      </c>
      <c r="R224" s="2" t="s">
        <v>32</v>
      </c>
      <c r="S224" s="2" t="s">
        <v>33</v>
      </c>
    </row>
    <row r="225" customFormat="false" ht="15" hidden="false" customHeight="false" outlineLevel="0" collapsed="false">
      <c r="A225" s="0" t="n">
        <v>224</v>
      </c>
      <c r="D225" s="0" t="s">
        <v>1259</v>
      </c>
      <c r="E225" s="0" t="s">
        <v>20</v>
      </c>
      <c r="F225" s="0" t="s">
        <v>1260</v>
      </c>
      <c r="H225" s="0" t="s">
        <v>22</v>
      </c>
      <c r="I225" s="2" t="s">
        <v>23</v>
      </c>
      <c r="J225" s="2" t="s">
        <v>24</v>
      </c>
      <c r="K225" s="0" t="s">
        <v>1022</v>
      </c>
      <c r="L225" s="0" t="s">
        <v>1031</v>
      </c>
      <c r="M225" s="0" t="s">
        <v>1032</v>
      </c>
      <c r="N225" s="0" t="s">
        <v>1025</v>
      </c>
      <c r="O225" s="3" t="s">
        <v>1261</v>
      </c>
      <c r="P225" s="2" t="s">
        <v>1262</v>
      </c>
      <c r="Q225" s="2" t="s">
        <v>1263</v>
      </c>
      <c r="R225" s="2" t="s">
        <v>32</v>
      </c>
      <c r="S225" s="2" t="s">
        <v>33</v>
      </c>
    </row>
    <row r="226" customFormat="false" ht="15" hidden="false" customHeight="false" outlineLevel="0" collapsed="false">
      <c r="A226" s="0" t="n">
        <v>225</v>
      </c>
      <c r="D226" s="0" t="s">
        <v>1264</v>
      </c>
      <c r="E226" s="0" t="s">
        <v>20</v>
      </c>
      <c r="H226" s="0" t="s">
        <v>22</v>
      </c>
      <c r="I226" s="2" t="s">
        <v>23</v>
      </c>
      <c r="J226" s="2" t="s">
        <v>24</v>
      </c>
      <c r="K226" s="0" t="s">
        <v>1022</v>
      </c>
      <c r="L226" s="0" t="s">
        <v>1031</v>
      </c>
      <c r="M226" s="0" t="s">
        <v>1032</v>
      </c>
      <c r="N226" s="0" t="s">
        <v>1025</v>
      </c>
      <c r="O226" s="3" t="s">
        <v>1265</v>
      </c>
      <c r="P226" s="2" t="s">
        <v>1266</v>
      </c>
      <c r="Q226" s="2" t="s">
        <v>1267</v>
      </c>
      <c r="R226" s="2" t="s">
        <v>32</v>
      </c>
      <c r="S226" s="2" t="s">
        <v>33</v>
      </c>
    </row>
    <row r="227" customFormat="false" ht="15" hidden="false" customHeight="false" outlineLevel="0" collapsed="false">
      <c r="A227" s="0" t="n">
        <v>226</v>
      </c>
      <c r="D227" s="0" t="s">
        <v>1268</v>
      </c>
      <c r="E227" s="0" t="s">
        <v>20</v>
      </c>
      <c r="F227" s="0" t="s">
        <v>1269</v>
      </c>
      <c r="H227" s="0" t="s">
        <v>22</v>
      </c>
      <c r="I227" s="2" t="s">
        <v>23</v>
      </c>
      <c r="J227" s="2" t="s">
        <v>24</v>
      </c>
      <c r="K227" s="0" t="s">
        <v>1022</v>
      </c>
      <c r="L227" s="0" t="s">
        <v>1038</v>
      </c>
      <c r="M227" s="0" t="s">
        <v>1039</v>
      </c>
      <c r="N227" s="0" t="s">
        <v>1025</v>
      </c>
      <c r="O227" s="3" t="s">
        <v>1270</v>
      </c>
      <c r="P227" s="2" t="s">
        <v>1271</v>
      </c>
      <c r="Q227" s="2" t="s">
        <v>1272</v>
      </c>
      <c r="R227" s="2" t="s">
        <v>32</v>
      </c>
      <c r="S227" s="2" t="s">
        <v>33</v>
      </c>
    </row>
    <row r="228" customFormat="false" ht="15" hidden="false" customHeight="false" outlineLevel="0" collapsed="false">
      <c r="A228" s="0" t="n">
        <v>227</v>
      </c>
      <c r="D228" s="0" t="s">
        <v>1273</v>
      </c>
      <c r="E228" s="0" t="s">
        <v>20</v>
      </c>
      <c r="F228" s="0" t="s">
        <v>1274</v>
      </c>
      <c r="H228" s="0" t="s">
        <v>22</v>
      </c>
      <c r="I228" s="2" t="s">
        <v>23</v>
      </c>
      <c r="J228" s="2" t="s">
        <v>24</v>
      </c>
      <c r="K228" s="0" t="s">
        <v>1022</v>
      </c>
      <c r="L228" s="0" t="s">
        <v>1275</v>
      </c>
      <c r="M228" s="0" t="s">
        <v>1276</v>
      </c>
      <c r="N228" s="0" t="s">
        <v>1025</v>
      </c>
      <c r="O228" s="3" t="s">
        <v>1277</v>
      </c>
      <c r="P228" s="2" t="s">
        <v>1278</v>
      </c>
      <c r="Q228" s="2" t="s">
        <v>1279</v>
      </c>
      <c r="R228" s="2" t="s">
        <v>32</v>
      </c>
      <c r="S228" s="2" t="s">
        <v>33</v>
      </c>
    </row>
    <row r="229" customFormat="false" ht="15" hidden="false" customHeight="false" outlineLevel="0" collapsed="false">
      <c r="A229" s="0" t="n">
        <v>228</v>
      </c>
      <c r="D229" s="0" t="s">
        <v>1280</v>
      </c>
      <c r="E229" s="0" t="s">
        <v>20</v>
      </c>
      <c r="F229" s="0" t="s">
        <v>1281</v>
      </c>
      <c r="H229" s="0" t="s">
        <v>22</v>
      </c>
      <c r="I229" s="2" t="s">
        <v>23</v>
      </c>
      <c r="J229" s="2" t="s">
        <v>24</v>
      </c>
      <c r="K229" s="0" t="s">
        <v>1022</v>
      </c>
      <c r="L229" s="0" t="s">
        <v>1038</v>
      </c>
      <c r="M229" s="0" t="s">
        <v>1039</v>
      </c>
      <c r="N229" s="0" t="s">
        <v>1025</v>
      </c>
      <c r="O229" s="3" t="s">
        <v>1282</v>
      </c>
      <c r="P229" s="2" t="s">
        <v>1283</v>
      </c>
      <c r="Q229" s="2" t="s">
        <v>1284</v>
      </c>
      <c r="R229" s="2" t="s">
        <v>32</v>
      </c>
      <c r="S229" s="2" t="s">
        <v>33</v>
      </c>
    </row>
    <row r="230" customFormat="false" ht="15" hidden="false" customHeight="false" outlineLevel="0" collapsed="false">
      <c r="A230" s="0" t="n">
        <v>229</v>
      </c>
      <c r="D230" s="0" t="s">
        <v>1285</v>
      </c>
      <c r="E230" s="0" t="s">
        <v>20</v>
      </c>
      <c r="F230" s="0" t="s">
        <v>1286</v>
      </c>
      <c r="H230" s="0" t="s">
        <v>22</v>
      </c>
      <c r="I230" s="2" t="s">
        <v>23</v>
      </c>
      <c r="J230" s="2" t="s">
        <v>24</v>
      </c>
      <c r="K230" s="0" t="s">
        <v>1022</v>
      </c>
      <c r="L230" s="0" t="s">
        <v>1092</v>
      </c>
      <c r="M230" s="0" t="s">
        <v>1093</v>
      </c>
      <c r="N230" s="0" t="s">
        <v>1025</v>
      </c>
      <c r="O230" s="3" t="s">
        <v>1287</v>
      </c>
      <c r="P230" s="2" t="s">
        <v>1288</v>
      </c>
      <c r="Q230" s="2" t="s">
        <v>1289</v>
      </c>
      <c r="R230" s="2" t="s">
        <v>32</v>
      </c>
      <c r="S230" s="2" t="s">
        <v>33</v>
      </c>
    </row>
    <row r="231" customFormat="false" ht="15" hidden="false" customHeight="false" outlineLevel="0" collapsed="false">
      <c r="A231" s="0" t="n">
        <v>230</v>
      </c>
      <c r="D231" s="0" t="s">
        <v>1290</v>
      </c>
      <c r="E231" s="0" t="s">
        <v>20</v>
      </c>
      <c r="F231" s="0" t="s">
        <v>1291</v>
      </c>
      <c r="H231" s="0" t="s">
        <v>22</v>
      </c>
      <c r="I231" s="2" t="s">
        <v>23</v>
      </c>
      <c r="J231" s="2" t="s">
        <v>24</v>
      </c>
      <c r="K231" s="0" t="s">
        <v>1022</v>
      </c>
      <c r="L231" s="0" t="s">
        <v>1038</v>
      </c>
      <c r="M231" s="0" t="s">
        <v>1039</v>
      </c>
      <c r="N231" s="0" t="s">
        <v>1025</v>
      </c>
      <c r="O231" s="3" t="s">
        <v>1292</v>
      </c>
      <c r="Q231" s="2" t="s">
        <v>1293</v>
      </c>
      <c r="R231" s="2" t="s">
        <v>1294</v>
      </c>
      <c r="S231" s="2" t="s">
        <v>33</v>
      </c>
    </row>
    <row r="232" customFormat="false" ht="15" hidden="false" customHeight="false" outlineLevel="0" collapsed="false">
      <c r="A232" s="0" t="n">
        <v>231</v>
      </c>
      <c r="D232" s="0" t="s">
        <v>1295</v>
      </c>
      <c r="E232" s="0" t="s">
        <v>20</v>
      </c>
      <c r="F232" s="0" t="s">
        <v>1296</v>
      </c>
      <c r="H232" s="0" t="s">
        <v>22</v>
      </c>
      <c r="I232" s="2" t="s">
        <v>23</v>
      </c>
      <c r="J232" s="2" t="s">
        <v>24</v>
      </c>
      <c r="K232" s="0" t="s">
        <v>1022</v>
      </c>
      <c r="L232" s="0" t="s">
        <v>1031</v>
      </c>
      <c r="M232" s="0" t="s">
        <v>1032</v>
      </c>
      <c r="N232" s="0" t="s">
        <v>1025</v>
      </c>
      <c r="O232" s="3" t="s">
        <v>1297</v>
      </c>
      <c r="P232" s="2" t="s">
        <v>1298</v>
      </c>
      <c r="Q232" s="2" t="s">
        <v>1299</v>
      </c>
      <c r="R232" s="2" t="s">
        <v>32</v>
      </c>
      <c r="S232" s="2" t="s">
        <v>33</v>
      </c>
    </row>
    <row r="233" customFormat="false" ht="15" hidden="false" customHeight="false" outlineLevel="0" collapsed="false">
      <c r="A233" s="0" t="n">
        <v>232</v>
      </c>
      <c r="D233" s="0" t="s">
        <v>1300</v>
      </c>
      <c r="E233" s="0" t="s">
        <v>20</v>
      </c>
      <c r="F233" s="0" t="s">
        <v>1301</v>
      </c>
      <c r="H233" s="0" t="s">
        <v>22</v>
      </c>
      <c r="I233" s="2" t="s">
        <v>23</v>
      </c>
      <c r="J233" s="2" t="s">
        <v>24</v>
      </c>
      <c r="K233" s="0" t="s">
        <v>1022</v>
      </c>
      <c r="L233" s="0" t="s">
        <v>1302</v>
      </c>
      <c r="M233" s="0" t="s">
        <v>1039</v>
      </c>
      <c r="N233" s="0" t="s">
        <v>1025</v>
      </c>
      <c r="O233" s="3" t="s">
        <v>1303</v>
      </c>
      <c r="Q233" s="2" t="s">
        <v>1304</v>
      </c>
      <c r="R233" s="2" t="s">
        <v>32</v>
      </c>
      <c r="S233" s="2" t="s">
        <v>33</v>
      </c>
    </row>
    <row r="234" customFormat="false" ht="15" hidden="false" customHeight="false" outlineLevel="0" collapsed="false">
      <c r="A234" s="0" t="n">
        <v>233</v>
      </c>
      <c r="D234" s="0" t="s">
        <v>1305</v>
      </c>
      <c r="E234" s="0" t="s">
        <v>20</v>
      </c>
      <c r="F234" s="0" t="s">
        <v>1306</v>
      </c>
      <c r="H234" s="0" t="s">
        <v>22</v>
      </c>
      <c r="I234" s="2" t="s">
        <v>23</v>
      </c>
      <c r="J234" s="2" t="s">
        <v>24</v>
      </c>
      <c r="K234" s="0" t="s">
        <v>1022</v>
      </c>
      <c r="L234" s="0" t="s">
        <v>1307</v>
      </c>
      <c r="M234" s="0" t="s">
        <v>1138</v>
      </c>
      <c r="N234" s="0" t="s">
        <v>1025</v>
      </c>
      <c r="O234" s="3"/>
      <c r="P234" s="2" t="s">
        <v>1308</v>
      </c>
      <c r="Q234" s="2" t="s">
        <v>1309</v>
      </c>
      <c r="R234" s="2" t="s">
        <v>32</v>
      </c>
      <c r="S234" s="2" t="s">
        <v>33</v>
      </c>
    </row>
    <row r="235" customFormat="false" ht="15" hidden="false" customHeight="false" outlineLevel="0" collapsed="false">
      <c r="A235" s="0" t="n">
        <v>234</v>
      </c>
      <c r="D235" s="0" t="s">
        <v>1310</v>
      </c>
      <c r="E235" s="0" t="s">
        <v>20</v>
      </c>
      <c r="F235" s="0" t="s">
        <v>1311</v>
      </c>
      <c r="H235" s="0" t="s">
        <v>22</v>
      </c>
      <c r="I235" s="2" t="s">
        <v>23</v>
      </c>
      <c r="J235" s="2" t="s">
        <v>24</v>
      </c>
      <c r="K235" s="0" t="s">
        <v>1022</v>
      </c>
      <c r="L235" s="0" t="s">
        <v>1312</v>
      </c>
      <c r="M235" s="0" t="s">
        <v>1024</v>
      </c>
      <c r="N235" s="0" t="s">
        <v>1025</v>
      </c>
      <c r="O235" s="3" t="s">
        <v>1313</v>
      </c>
      <c r="P235" s="2" t="s">
        <v>1314</v>
      </c>
      <c r="Q235" s="2" t="s">
        <v>1315</v>
      </c>
      <c r="R235" s="2" t="s">
        <v>32</v>
      </c>
      <c r="S235" s="2" t="s">
        <v>33</v>
      </c>
    </row>
    <row r="236" customFormat="false" ht="15" hidden="false" customHeight="false" outlineLevel="0" collapsed="false">
      <c r="A236" s="0" t="n">
        <v>235</v>
      </c>
      <c r="D236" s="0" t="s">
        <v>1316</v>
      </c>
      <c r="E236" s="0" t="s">
        <v>20</v>
      </c>
      <c r="F236" s="0" t="s">
        <v>1317</v>
      </c>
      <c r="H236" s="0" t="s">
        <v>22</v>
      </c>
      <c r="I236" s="2" t="s">
        <v>23</v>
      </c>
      <c r="J236" s="2" t="s">
        <v>24</v>
      </c>
      <c r="K236" s="0" t="s">
        <v>1022</v>
      </c>
      <c r="L236" s="0" t="s">
        <v>1302</v>
      </c>
      <c r="M236" s="0" t="s">
        <v>1039</v>
      </c>
      <c r="N236" s="0" t="s">
        <v>1025</v>
      </c>
      <c r="O236" s="3" t="s">
        <v>1318</v>
      </c>
      <c r="P236" s="2" t="s">
        <v>1319</v>
      </c>
      <c r="Q236" s="2" t="s">
        <v>1320</v>
      </c>
      <c r="R236" s="2" t="s">
        <v>32</v>
      </c>
      <c r="S236" s="2" t="s">
        <v>33</v>
      </c>
    </row>
    <row r="237" customFormat="false" ht="15" hidden="false" customHeight="false" outlineLevel="0" collapsed="false">
      <c r="A237" s="0" t="n">
        <v>236</v>
      </c>
      <c r="D237" s="0" t="s">
        <v>1321</v>
      </c>
      <c r="E237" s="0" t="s">
        <v>20</v>
      </c>
      <c r="F237" s="0" t="s">
        <v>1322</v>
      </c>
      <c r="H237" s="0" t="s">
        <v>22</v>
      </c>
      <c r="I237" s="2" t="s">
        <v>23</v>
      </c>
      <c r="J237" s="2" t="s">
        <v>24</v>
      </c>
      <c r="K237" s="0" t="s">
        <v>1022</v>
      </c>
      <c r="L237" s="0" t="s">
        <v>1031</v>
      </c>
      <c r="M237" s="0" t="s">
        <v>1032</v>
      </c>
      <c r="N237" s="0" t="s">
        <v>1025</v>
      </c>
      <c r="O237" s="3" t="s">
        <v>1323</v>
      </c>
      <c r="P237" s="2" t="s">
        <v>1324</v>
      </c>
      <c r="Q237" s="2" t="s">
        <v>1325</v>
      </c>
      <c r="R237" s="2" t="s">
        <v>32</v>
      </c>
      <c r="S237" s="2" t="s">
        <v>33</v>
      </c>
    </row>
    <row r="238" customFormat="false" ht="15" hidden="false" customHeight="false" outlineLevel="0" collapsed="false">
      <c r="A238" s="0" t="n">
        <v>237</v>
      </c>
      <c r="D238" s="0" t="s">
        <v>1326</v>
      </c>
      <c r="E238" s="0" t="s">
        <v>20</v>
      </c>
      <c r="F238" s="0" t="s">
        <v>1327</v>
      </c>
      <c r="H238" s="0" t="s">
        <v>22</v>
      </c>
      <c r="I238" s="2" t="s">
        <v>23</v>
      </c>
      <c r="J238" s="2" t="s">
        <v>24</v>
      </c>
      <c r="K238" s="0" t="s">
        <v>1022</v>
      </c>
      <c r="L238" s="0" t="s">
        <v>1328</v>
      </c>
      <c r="M238" s="0" t="s">
        <v>1329</v>
      </c>
      <c r="N238" s="0" t="s">
        <v>1025</v>
      </c>
      <c r="O238" s="3" t="s">
        <v>1330</v>
      </c>
      <c r="P238" s="2" t="s">
        <v>1331</v>
      </c>
      <c r="Q238" s="2" t="s">
        <v>1332</v>
      </c>
      <c r="R238" s="2" t="s">
        <v>32</v>
      </c>
      <c r="S238" s="2" t="s">
        <v>33</v>
      </c>
    </row>
    <row r="239" customFormat="false" ht="15" hidden="false" customHeight="false" outlineLevel="0" collapsed="false">
      <c r="A239" s="0" t="n">
        <v>238</v>
      </c>
      <c r="D239" s="0" t="s">
        <v>1333</v>
      </c>
      <c r="E239" s="0" t="s">
        <v>1334</v>
      </c>
      <c r="F239" s="0" t="s">
        <v>1335</v>
      </c>
      <c r="H239" s="0" t="s">
        <v>22</v>
      </c>
      <c r="I239" s="2" t="s">
        <v>23</v>
      </c>
      <c r="J239" s="2" t="s">
        <v>24</v>
      </c>
      <c r="K239" s="0" t="s">
        <v>1022</v>
      </c>
      <c r="L239" s="0" t="s">
        <v>1302</v>
      </c>
      <c r="M239" s="0" t="s">
        <v>1039</v>
      </c>
      <c r="N239" s="0" t="s">
        <v>1025</v>
      </c>
      <c r="O239" s="3" t="s">
        <v>1336</v>
      </c>
      <c r="P239" s="2" t="s">
        <v>1337</v>
      </c>
      <c r="Q239" s="2" t="s">
        <v>1338</v>
      </c>
      <c r="R239" s="2" t="s">
        <v>1339</v>
      </c>
      <c r="S239" s="2" t="s">
        <v>33</v>
      </c>
    </row>
    <row r="240" customFormat="false" ht="15" hidden="false" customHeight="false" outlineLevel="0" collapsed="false">
      <c r="A240" s="0" t="n">
        <v>239</v>
      </c>
      <c r="D240" s="0" t="s">
        <v>1340</v>
      </c>
      <c r="E240" s="0" t="s">
        <v>20</v>
      </c>
      <c r="F240" s="0" t="s">
        <v>1341</v>
      </c>
      <c r="H240" s="0" t="s">
        <v>22</v>
      </c>
      <c r="I240" s="2" t="s">
        <v>23</v>
      </c>
      <c r="J240" s="2" t="s">
        <v>24</v>
      </c>
      <c r="K240" s="0" t="s">
        <v>1022</v>
      </c>
      <c r="L240" s="0" t="s">
        <v>1031</v>
      </c>
      <c r="M240" s="0" t="s">
        <v>1032</v>
      </c>
      <c r="N240" s="0" t="s">
        <v>1025</v>
      </c>
      <c r="O240" s="3" t="s">
        <v>1342</v>
      </c>
      <c r="P240" s="2" t="s">
        <v>1343</v>
      </c>
      <c r="Q240" s="2" t="s">
        <v>1344</v>
      </c>
      <c r="R240" s="2" t="s">
        <v>32</v>
      </c>
      <c r="S240" s="2" t="s">
        <v>33</v>
      </c>
    </row>
    <row r="241" customFormat="false" ht="15" hidden="false" customHeight="false" outlineLevel="0" collapsed="false">
      <c r="A241" s="0" t="n">
        <v>240</v>
      </c>
      <c r="D241" s="0" t="s">
        <v>1345</v>
      </c>
      <c r="E241" s="0" t="s">
        <v>20</v>
      </c>
      <c r="F241" s="0" t="s">
        <v>1346</v>
      </c>
      <c r="H241" s="0" t="s">
        <v>22</v>
      </c>
      <c r="I241" s="2" t="s">
        <v>23</v>
      </c>
      <c r="J241" s="2" t="s">
        <v>24</v>
      </c>
      <c r="K241" s="0" t="s">
        <v>1022</v>
      </c>
      <c r="L241" s="0" t="s">
        <v>1347</v>
      </c>
      <c r="M241" s="0" t="s">
        <v>1348</v>
      </c>
      <c r="N241" s="0" t="s">
        <v>1025</v>
      </c>
      <c r="O241" s="3" t="s">
        <v>1349</v>
      </c>
      <c r="P241" s="2" t="s">
        <v>1350</v>
      </c>
      <c r="Q241" s="2" t="s">
        <v>1351</v>
      </c>
      <c r="R241" s="2" t="s">
        <v>99</v>
      </c>
      <c r="S241" s="2" t="s">
        <v>33</v>
      </c>
    </row>
    <row r="242" customFormat="false" ht="15" hidden="false" customHeight="false" outlineLevel="0" collapsed="false">
      <c r="A242" s="0" t="n">
        <v>241</v>
      </c>
      <c r="D242" s="0" t="s">
        <v>1352</v>
      </c>
      <c r="E242" s="0" t="s">
        <v>20</v>
      </c>
      <c r="F242" s="0" t="s">
        <v>1353</v>
      </c>
      <c r="H242" s="0" t="s">
        <v>22</v>
      </c>
      <c r="I242" s="2" t="s">
        <v>23</v>
      </c>
      <c r="J242" s="2" t="s">
        <v>24</v>
      </c>
      <c r="K242" s="0" t="s">
        <v>1022</v>
      </c>
      <c r="L242" s="0" t="s">
        <v>1354</v>
      </c>
      <c r="M242" s="0" t="s">
        <v>1355</v>
      </c>
      <c r="N242" s="0" t="s">
        <v>1025</v>
      </c>
      <c r="O242" s="3" t="s">
        <v>1356</v>
      </c>
      <c r="P242" s="2" t="s">
        <v>1357</v>
      </c>
      <c r="Q242" s="2" t="s">
        <v>1358</v>
      </c>
      <c r="R242" s="2" t="s">
        <v>32</v>
      </c>
      <c r="S242" s="2" t="s">
        <v>33</v>
      </c>
    </row>
    <row r="243" customFormat="false" ht="15" hidden="false" customHeight="false" outlineLevel="0" collapsed="false">
      <c r="A243" s="0" t="n">
        <v>242</v>
      </c>
      <c r="D243" s="0" t="s">
        <v>1359</v>
      </c>
      <c r="E243" s="0" t="s">
        <v>20</v>
      </c>
      <c r="F243" s="0" t="s">
        <v>1360</v>
      </c>
      <c r="H243" s="0" t="s">
        <v>22</v>
      </c>
      <c r="I243" s="2" t="s">
        <v>23</v>
      </c>
      <c r="J243" s="2" t="s">
        <v>24</v>
      </c>
      <c r="K243" s="0" t="s">
        <v>1022</v>
      </c>
      <c r="L243" s="0" t="s">
        <v>1361</v>
      </c>
      <c r="M243" s="0" t="s">
        <v>1052</v>
      </c>
      <c r="N243" s="0" t="s">
        <v>1025</v>
      </c>
      <c r="O243" s="3" t="s">
        <v>1362</v>
      </c>
      <c r="P243" s="2" t="s">
        <v>1363</v>
      </c>
      <c r="Q243" s="2" t="s">
        <v>1364</v>
      </c>
      <c r="R243" s="2" t="s">
        <v>32</v>
      </c>
      <c r="S243" s="2" t="s">
        <v>33</v>
      </c>
    </row>
    <row r="244" customFormat="false" ht="15" hidden="false" customHeight="false" outlineLevel="0" collapsed="false">
      <c r="A244" s="0" t="n">
        <v>243</v>
      </c>
      <c r="D244" s="0" t="s">
        <v>1365</v>
      </c>
      <c r="E244" s="0" t="s">
        <v>20</v>
      </c>
      <c r="H244" s="0" t="s">
        <v>22</v>
      </c>
      <c r="I244" s="2" t="s">
        <v>23</v>
      </c>
      <c r="J244" s="2" t="s">
        <v>24</v>
      </c>
      <c r="K244" s="0" t="s">
        <v>1022</v>
      </c>
      <c r="L244" s="0" t="s">
        <v>1302</v>
      </c>
      <c r="M244" s="0" t="s">
        <v>1039</v>
      </c>
      <c r="N244" s="0" t="s">
        <v>1025</v>
      </c>
      <c r="O244" s="3"/>
      <c r="Q244" s="2" t="s">
        <v>1366</v>
      </c>
      <c r="R244" s="2" t="s">
        <v>32</v>
      </c>
      <c r="S244" s="2" t="s">
        <v>33</v>
      </c>
    </row>
    <row r="245" customFormat="false" ht="15" hidden="false" customHeight="false" outlineLevel="0" collapsed="false">
      <c r="A245" s="0" t="n">
        <v>244</v>
      </c>
      <c r="D245" s="0" t="s">
        <v>1367</v>
      </c>
      <c r="E245" s="0" t="s">
        <v>20</v>
      </c>
      <c r="F245" s="0" t="s">
        <v>1368</v>
      </c>
      <c r="H245" s="0" t="s">
        <v>22</v>
      </c>
      <c r="I245" s="2" t="s">
        <v>23</v>
      </c>
      <c r="J245" s="2" t="s">
        <v>24</v>
      </c>
      <c r="K245" s="0" t="s">
        <v>1022</v>
      </c>
      <c r="L245" s="0" t="s">
        <v>1369</v>
      </c>
      <c r="M245" s="0" t="s">
        <v>1370</v>
      </c>
      <c r="N245" s="0" t="s">
        <v>1025</v>
      </c>
      <c r="O245" s="3" t="s">
        <v>1371</v>
      </c>
      <c r="P245" s="2" t="s">
        <v>1372</v>
      </c>
      <c r="Q245" s="2" t="s">
        <v>1373</v>
      </c>
      <c r="R245" s="2" t="s">
        <v>32</v>
      </c>
      <c r="S245" s="2" t="s">
        <v>33</v>
      </c>
    </row>
    <row r="246" customFormat="false" ht="15" hidden="false" customHeight="false" outlineLevel="0" collapsed="false">
      <c r="A246" s="0" t="n">
        <v>245</v>
      </c>
      <c r="D246" s="0" t="s">
        <v>1374</v>
      </c>
      <c r="E246" s="0" t="s">
        <v>20</v>
      </c>
      <c r="F246" s="0" t="s">
        <v>1375</v>
      </c>
      <c r="H246" s="0" t="s">
        <v>22</v>
      </c>
      <c r="I246" s="2" t="s">
        <v>23</v>
      </c>
      <c r="J246" s="2" t="s">
        <v>24</v>
      </c>
      <c r="K246" s="0" t="s">
        <v>1022</v>
      </c>
      <c r="L246" s="0" t="s">
        <v>1302</v>
      </c>
      <c r="M246" s="0" t="s">
        <v>1039</v>
      </c>
      <c r="N246" s="0" t="s">
        <v>1025</v>
      </c>
      <c r="O246" s="3" t="s">
        <v>1376</v>
      </c>
      <c r="P246" s="2" t="s">
        <v>1377</v>
      </c>
      <c r="Q246" s="2" t="s">
        <v>1378</v>
      </c>
      <c r="R246" s="2" t="s">
        <v>99</v>
      </c>
      <c r="S246" s="2" t="s">
        <v>33</v>
      </c>
    </row>
    <row r="247" customFormat="false" ht="15" hidden="false" customHeight="false" outlineLevel="0" collapsed="false">
      <c r="A247" s="0" t="n">
        <v>246</v>
      </c>
      <c r="D247" s="0" t="s">
        <v>1379</v>
      </c>
      <c r="E247" s="0" t="s">
        <v>20</v>
      </c>
      <c r="H247" s="0" t="s">
        <v>22</v>
      </c>
      <c r="I247" s="2" t="s">
        <v>23</v>
      </c>
      <c r="J247" s="2" t="s">
        <v>24</v>
      </c>
      <c r="K247" s="0" t="s">
        <v>1022</v>
      </c>
      <c r="L247" s="0" t="s">
        <v>1302</v>
      </c>
      <c r="M247" s="0" t="s">
        <v>1039</v>
      </c>
      <c r="N247" s="0" t="s">
        <v>1025</v>
      </c>
      <c r="O247" s="3" t="s">
        <v>1380</v>
      </c>
      <c r="P247" s="2" t="s">
        <v>1381</v>
      </c>
      <c r="Q247" s="2" t="s">
        <v>1382</v>
      </c>
      <c r="R247" s="2" t="s">
        <v>32</v>
      </c>
      <c r="S247" s="2" t="s">
        <v>33</v>
      </c>
    </row>
    <row r="248" customFormat="false" ht="15" hidden="false" customHeight="false" outlineLevel="0" collapsed="false">
      <c r="A248" s="0" t="n">
        <v>247</v>
      </c>
      <c r="D248" s="0" t="s">
        <v>1383</v>
      </c>
      <c r="E248" s="0" t="s">
        <v>20</v>
      </c>
      <c r="F248" s="0" t="s">
        <v>1384</v>
      </c>
      <c r="H248" s="0" t="s">
        <v>22</v>
      </c>
      <c r="I248" s="2" t="s">
        <v>23</v>
      </c>
      <c r="J248" s="2" t="s">
        <v>24</v>
      </c>
      <c r="K248" s="0" t="s">
        <v>1022</v>
      </c>
      <c r="L248" s="0" t="s">
        <v>1385</v>
      </c>
      <c r="M248" s="0" t="s">
        <v>1386</v>
      </c>
      <c r="N248" s="0" t="s">
        <v>1025</v>
      </c>
      <c r="O248" s="3" t="s">
        <v>1387</v>
      </c>
      <c r="P248" s="2" t="s">
        <v>1388</v>
      </c>
      <c r="Q248" s="2" t="s">
        <v>1389</v>
      </c>
      <c r="R248" s="2" t="s">
        <v>32</v>
      </c>
      <c r="S248" s="2" t="s">
        <v>33</v>
      </c>
    </row>
    <row r="249" customFormat="false" ht="15" hidden="false" customHeight="false" outlineLevel="0" collapsed="false">
      <c r="A249" s="0" t="n">
        <v>248</v>
      </c>
      <c r="B249" s="0" t="s">
        <v>1390</v>
      </c>
      <c r="D249" s="0" t="s">
        <v>1391</v>
      </c>
      <c r="E249" s="0" t="s">
        <v>1392</v>
      </c>
      <c r="F249" s="0" t="s">
        <v>1393</v>
      </c>
      <c r="H249" s="0" t="s">
        <v>22</v>
      </c>
      <c r="I249" s="2" t="s">
        <v>23</v>
      </c>
      <c r="J249" s="2" t="s">
        <v>24</v>
      </c>
      <c r="K249" s="0" t="s">
        <v>1022</v>
      </c>
      <c r="L249" s="0" t="s">
        <v>1394</v>
      </c>
      <c r="M249" s="0" t="s">
        <v>1395</v>
      </c>
      <c r="N249" s="0" t="s">
        <v>1025</v>
      </c>
      <c r="O249" s="3"/>
      <c r="P249" s="2" t="s">
        <v>1396</v>
      </c>
      <c r="Q249" s="2" t="s">
        <v>1397</v>
      </c>
      <c r="R249" s="2" t="s">
        <v>1398</v>
      </c>
      <c r="S249" s="2" t="s">
        <v>154</v>
      </c>
    </row>
    <row r="250" customFormat="false" ht="15" hidden="false" customHeight="false" outlineLevel="0" collapsed="false">
      <c r="A250" s="0" t="n">
        <v>249</v>
      </c>
      <c r="D250" s="0" t="s">
        <v>1399</v>
      </c>
      <c r="E250" s="0" t="s">
        <v>20</v>
      </c>
      <c r="F250" s="0" t="s">
        <v>1400</v>
      </c>
      <c r="H250" s="0" t="s">
        <v>22</v>
      </c>
      <c r="I250" s="2" t="s">
        <v>23</v>
      </c>
      <c r="J250" s="2" t="s">
        <v>24</v>
      </c>
      <c r="K250" s="0" t="s">
        <v>1022</v>
      </c>
      <c r="L250" s="0" t="s">
        <v>1401</v>
      </c>
      <c r="M250" s="0" t="s">
        <v>1402</v>
      </c>
      <c r="N250" s="0" t="s">
        <v>1025</v>
      </c>
      <c r="O250" s="3" t="s">
        <v>1403</v>
      </c>
      <c r="Q250" s="2" t="s">
        <v>1404</v>
      </c>
      <c r="R250" s="2" t="s">
        <v>32</v>
      </c>
      <c r="S250" s="2" t="s">
        <v>33</v>
      </c>
    </row>
    <row r="251" customFormat="false" ht="15" hidden="false" customHeight="false" outlineLevel="0" collapsed="false">
      <c r="A251" s="0" t="n">
        <v>250</v>
      </c>
      <c r="B251" s="0" t="s">
        <v>1405</v>
      </c>
      <c r="C251" s="0" t="s">
        <v>1406</v>
      </c>
      <c r="D251" s="0" t="s">
        <v>1407</v>
      </c>
      <c r="E251" s="0" t="s">
        <v>20</v>
      </c>
      <c r="F251" s="0" t="s">
        <v>1408</v>
      </c>
      <c r="H251" s="0" t="s">
        <v>22</v>
      </c>
      <c r="I251" s="2" t="s">
        <v>23</v>
      </c>
      <c r="J251" s="2" t="s">
        <v>24</v>
      </c>
      <c r="K251" s="0" t="s">
        <v>1022</v>
      </c>
      <c r="L251" s="0" t="s">
        <v>1409</v>
      </c>
      <c r="M251" s="0" t="s">
        <v>1410</v>
      </c>
      <c r="N251" s="0" t="s">
        <v>1025</v>
      </c>
      <c r="O251" s="3" t="s">
        <v>1411</v>
      </c>
      <c r="P251" s="2" t="s">
        <v>1412</v>
      </c>
      <c r="Q251" s="2" t="s">
        <v>1413</v>
      </c>
      <c r="R251" s="2" t="s">
        <v>32</v>
      </c>
      <c r="S251" s="2" t="s">
        <v>154</v>
      </c>
    </row>
    <row r="252" customFormat="false" ht="15" hidden="false" customHeight="false" outlineLevel="0" collapsed="false">
      <c r="A252" s="0" t="n">
        <v>251</v>
      </c>
      <c r="D252" s="0" t="s">
        <v>1414</v>
      </c>
      <c r="E252" s="0" t="s">
        <v>20</v>
      </c>
      <c r="F252" s="0" t="s">
        <v>1415</v>
      </c>
      <c r="H252" s="0" t="s">
        <v>22</v>
      </c>
      <c r="I252" s="2" t="s">
        <v>23</v>
      </c>
      <c r="J252" s="2" t="s">
        <v>24</v>
      </c>
      <c r="K252" s="0" t="s">
        <v>1022</v>
      </c>
      <c r="L252" s="0" t="s">
        <v>1302</v>
      </c>
      <c r="M252" s="0" t="s">
        <v>1039</v>
      </c>
      <c r="N252" s="0" t="s">
        <v>1025</v>
      </c>
      <c r="O252" s="3" t="s">
        <v>1416</v>
      </c>
      <c r="P252" s="2" t="s">
        <v>1417</v>
      </c>
      <c r="Q252" s="2" t="s">
        <v>1418</v>
      </c>
      <c r="R252" s="2" t="s">
        <v>32</v>
      </c>
      <c r="S252" s="2" t="s">
        <v>33</v>
      </c>
    </row>
    <row r="253" customFormat="false" ht="15" hidden="false" customHeight="false" outlineLevel="0" collapsed="false">
      <c r="A253" s="0" t="n">
        <v>252</v>
      </c>
      <c r="D253" s="0" t="s">
        <v>1419</v>
      </c>
      <c r="E253" s="0" t="s">
        <v>20</v>
      </c>
      <c r="F253" s="0" t="s">
        <v>1420</v>
      </c>
      <c r="H253" s="0" t="s">
        <v>22</v>
      </c>
      <c r="I253" s="2" t="s">
        <v>23</v>
      </c>
      <c r="J253" s="2" t="s">
        <v>24</v>
      </c>
      <c r="K253" s="0" t="s">
        <v>1022</v>
      </c>
      <c r="L253" s="0" t="s">
        <v>1421</v>
      </c>
      <c r="M253" s="0" t="s">
        <v>1422</v>
      </c>
      <c r="N253" s="0" t="s">
        <v>1025</v>
      </c>
      <c r="O253" s="3" t="s">
        <v>1423</v>
      </c>
      <c r="P253" s="2" t="s">
        <v>1424</v>
      </c>
      <c r="Q253" s="2" t="s">
        <v>1425</v>
      </c>
      <c r="R253" s="2" t="s">
        <v>32</v>
      </c>
      <c r="S253" s="2" t="s">
        <v>33</v>
      </c>
    </row>
    <row r="254" customFormat="false" ht="15" hidden="false" customHeight="false" outlineLevel="0" collapsed="false">
      <c r="A254" s="0" t="n">
        <v>253</v>
      </c>
      <c r="D254" s="0" t="s">
        <v>1426</v>
      </c>
      <c r="E254" s="0" t="s">
        <v>20</v>
      </c>
      <c r="F254" s="0" t="s">
        <v>1427</v>
      </c>
      <c r="H254" s="0" t="s">
        <v>22</v>
      </c>
      <c r="I254" s="2" t="s">
        <v>23</v>
      </c>
      <c r="J254" s="2" t="s">
        <v>24</v>
      </c>
      <c r="K254" s="0" t="s">
        <v>1022</v>
      </c>
      <c r="L254" s="0" t="s">
        <v>1428</v>
      </c>
      <c r="M254" s="0" t="s">
        <v>1174</v>
      </c>
      <c r="N254" s="0" t="s">
        <v>1025</v>
      </c>
      <c r="O254" s="3" t="s">
        <v>1429</v>
      </c>
      <c r="P254" s="2" t="s">
        <v>1430</v>
      </c>
      <c r="Q254" s="2" t="s">
        <v>1431</v>
      </c>
      <c r="R254" s="2" t="s">
        <v>32</v>
      </c>
      <c r="S254" s="2" t="s">
        <v>33</v>
      </c>
    </row>
    <row r="255" customFormat="false" ht="15" hidden="false" customHeight="false" outlineLevel="0" collapsed="false">
      <c r="A255" s="0" t="n">
        <v>254</v>
      </c>
      <c r="D255" s="0" t="s">
        <v>1432</v>
      </c>
      <c r="E255" s="0" t="s">
        <v>20</v>
      </c>
      <c r="F255" s="0" t="s">
        <v>1433</v>
      </c>
      <c r="H255" s="0" t="s">
        <v>22</v>
      </c>
      <c r="I255" s="2" t="s">
        <v>23</v>
      </c>
      <c r="J255" s="2" t="s">
        <v>24</v>
      </c>
      <c r="K255" s="0" t="s">
        <v>1022</v>
      </c>
      <c r="L255" s="0" t="s">
        <v>1031</v>
      </c>
      <c r="M255" s="0" t="s">
        <v>1032</v>
      </c>
      <c r="N255" s="0" t="s">
        <v>1025</v>
      </c>
      <c r="O255" s="3" t="s">
        <v>1434</v>
      </c>
      <c r="P255" s="2" t="s">
        <v>1435</v>
      </c>
      <c r="Q255" s="2" t="s">
        <v>1436</v>
      </c>
      <c r="R255" s="2" t="s">
        <v>99</v>
      </c>
      <c r="S255" s="2" t="s">
        <v>33</v>
      </c>
    </row>
    <row r="256" customFormat="false" ht="15" hidden="false" customHeight="false" outlineLevel="0" collapsed="false">
      <c r="A256" s="0" t="n">
        <v>255</v>
      </c>
      <c r="D256" s="0" t="s">
        <v>1437</v>
      </c>
      <c r="E256" s="0" t="s">
        <v>20</v>
      </c>
      <c r="F256" s="0" t="s">
        <v>1438</v>
      </c>
      <c r="H256" s="0" t="s">
        <v>22</v>
      </c>
      <c r="I256" s="2" t="s">
        <v>23</v>
      </c>
      <c r="J256" s="2" t="s">
        <v>24</v>
      </c>
      <c r="K256" s="0" t="s">
        <v>1022</v>
      </c>
      <c r="L256" s="0" t="s">
        <v>1439</v>
      </c>
      <c r="M256" s="0" t="s">
        <v>1066</v>
      </c>
      <c r="N256" s="0" t="s">
        <v>1025</v>
      </c>
      <c r="O256" s="3"/>
      <c r="P256" s="2" t="s">
        <v>1440</v>
      </c>
      <c r="Q256" s="2" t="s">
        <v>1441</v>
      </c>
      <c r="R256" s="2" t="s">
        <v>32</v>
      </c>
      <c r="S256" s="2" t="s">
        <v>33</v>
      </c>
    </row>
    <row r="257" customFormat="false" ht="15" hidden="false" customHeight="false" outlineLevel="0" collapsed="false">
      <c r="A257" s="0" t="n">
        <v>256</v>
      </c>
      <c r="D257" s="0" t="s">
        <v>1442</v>
      </c>
      <c r="E257" s="0" t="s">
        <v>20</v>
      </c>
      <c r="F257" s="0" t="s">
        <v>1443</v>
      </c>
      <c r="H257" s="0" t="s">
        <v>22</v>
      </c>
      <c r="I257" s="2" t="s">
        <v>23</v>
      </c>
      <c r="J257" s="2" t="s">
        <v>24</v>
      </c>
      <c r="K257" s="0" t="s">
        <v>1022</v>
      </c>
      <c r="L257" s="0" t="s">
        <v>1444</v>
      </c>
      <c r="M257" s="0" t="s">
        <v>1445</v>
      </c>
      <c r="N257" s="0" t="s">
        <v>1025</v>
      </c>
      <c r="O257" s="3" t="s">
        <v>1446</v>
      </c>
      <c r="P257" s="2" t="s">
        <v>1447</v>
      </c>
      <c r="Q257" s="2" t="s">
        <v>1448</v>
      </c>
      <c r="R257" s="2" t="s">
        <v>32</v>
      </c>
      <c r="S257" s="2" t="s">
        <v>33</v>
      </c>
    </row>
    <row r="258" customFormat="false" ht="15" hidden="false" customHeight="false" outlineLevel="0" collapsed="false">
      <c r="A258" s="0" t="n">
        <v>257</v>
      </c>
      <c r="D258" s="0" t="s">
        <v>1449</v>
      </c>
      <c r="E258" s="0" t="s">
        <v>20</v>
      </c>
      <c r="F258" s="0" t="s">
        <v>1450</v>
      </c>
      <c r="H258" s="0" t="s">
        <v>22</v>
      </c>
      <c r="I258" s="2" t="s">
        <v>23</v>
      </c>
      <c r="J258" s="2" t="s">
        <v>24</v>
      </c>
      <c r="K258" s="0" t="s">
        <v>1022</v>
      </c>
      <c r="L258" s="0" t="s">
        <v>1302</v>
      </c>
      <c r="M258" s="0" t="s">
        <v>1039</v>
      </c>
      <c r="N258" s="0" t="s">
        <v>1025</v>
      </c>
      <c r="O258" s="3"/>
      <c r="P258" s="2" t="s">
        <v>1451</v>
      </c>
      <c r="Q258" s="2" t="s">
        <v>1452</v>
      </c>
      <c r="R258" s="2" t="s">
        <v>32</v>
      </c>
      <c r="S258" s="2" t="s">
        <v>33</v>
      </c>
    </row>
    <row r="259" customFormat="false" ht="15" hidden="false" customHeight="false" outlineLevel="0" collapsed="false">
      <c r="A259" s="0" t="n">
        <v>258</v>
      </c>
      <c r="D259" s="0" t="s">
        <v>1453</v>
      </c>
      <c r="E259" s="0" t="s">
        <v>20</v>
      </c>
      <c r="F259" s="0" t="s">
        <v>1454</v>
      </c>
      <c r="H259" s="0" t="s">
        <v>22</v>
      </c>
      <c r="I259" s="2" t="s">
        <v>23</v>
      </c>
      <c r="J259" s="2" t="s">
        <v>24</v>
      </c>
      <c r="K259" s="0" t="s">
        <v>1022</v>
      </c>
      <c r="L259" s="0" t="s">
        <v>1302</v>
      </c>
      <c r="M259" s="0" t="s">
        <v>1039</v>
      </c>
      <c r="N259" s="0" t="s">
        <v>1025</v>
      </c>
      <c r="O259" s="3" t="s">
        <v>1455</v>
      </c>
      <c r="P259" s="2" t="s">
        <v>1456</v>
      </c>
      <c r="Q259" s="2" t="s">
        <v>1457</v>
      </c>
      <c r="R259" s="2" t="s">
        <v>32</v>
      </c>
      <c r="S259" s="2" t="s">
        <v>33</v>
      </c>
    </row>
    <row r="260" customFormat="false" ht="15" hidden="false" customHeight="false" outlineLevel="0" collapsed="false">
      <c r="A260" s="0" t="n">
        <v>259</v>
      </c>
      <c r="D260" s="0" t="s">
        <v>1458</v>
      </c>
      <c r="E260" s="0" t="s">
        <v>20</v>
      </c>
      <c r="F260" s="0" t="s">
        <v>1459</v>
      </c>
      <c r="H260" s="0" t="s">
        <v>22</v>
      </c>
      <c r="I260" s="2" t="s">
        <v>23</v>
      </c>
      <c r="J260" s="2" t="s">
        <v>24</v>
      </c>
      <c r="K260" s="0" t="s">
        <v>1022</v>
      </c>
      <c r="L260" s="0" t="s">
        <v>1302</v>
      </c>
      <c r="M260" s="0" t="s">
        <v>1039</v>
      </c>
      <c r="N260" s="0" t="s">
        <v>1025</v>
      </c>
      <c r="O260" s="3" t="s">
        <v>1460</v>
      </c>
      <c r="P260" s="2" t="s">
        <v>1461</v>
      </c>
      <c r="Q260" s="2" t="s">
        <v>1462</v>
      </c>
      <c r="R260" s="2" t="s">
        <v>32</v>
      </c>
      <c r="S260" s="2" t="s">
        <v>33</v>
      </c>
    </row>
    <row r="261" customFormat="false" ht="15" hidden="false" customHeight="false" outlineLevel="0" collapsed="false">
      <c r="A261" s="0" t="n">
        <v>260</v>
      </c>
      <c r="D261" s="0" t="s">
        <v>1463</v>
      </c>
      <c r="E261" s="0" t="s">
        <v>20</v>
      </c>
      <c r="H261" s="0" t="s">
        <v>22</v>
      </c>
      <c r="I261" s="2" t="s">
        <v>23</v>
      </c>
      <c r="J261" s="2" t="s">
        <v>24</v>
      </c>
      <c r="K261" s="0" t="s">
        <v>1022</v>
      </c>
      <c r="L261" s="0" t="s">
        <v>1302</v>
      </c>
      <c r="M261" s="0" t="s">
        <v>1039</v>
      </c>
      <c r="N261" s="0" t="s">
        <v>1025</v>
      </c>
      <c r="O261" s="3" t="s">
        <v>1464</v>
      </c>
      <c r="P261" s="2" t="s">
        <v>1465</v>
      </c>
      <c r="Q261" s="2" t="s">
        <v>1466</v>
      </c>
      <c r="R261" s="2" t="s">
        <v>32</v>
      </c>
      <c r="S261" s="2" t="s">
        <v>33</v>
      </c>
    </row>
    <row r="262" customFormat="false" ht="15" hidden="false" customHeight="false" outlineLevel="0" collapsed="false">
      <c r="A262" s="0" t="n">
        <v>261</v>
      </c>
      <c r="D262" s="0" t="s">
        <v>1467</v>
      </c>
      <c r="E262" s="0" t="s">
        <v>20</v>
      </c>
      <c r="F262" s="0" t="s">
        <v>1468</v>
      </c>
      <c r="H262" s="0" t="s">
        <v>22</v>
      </c>
      <c r="I262" s="2" t="s">
        <v>23</v>
      </c>
      <c r="J262" s="2" t="s">
        <v>24</v>
      </c>
      <c r="K262" s="0" t="s">
        <v>1022</v>
      </c>
      <c r="L262" s="0" t="s">
        <v>1469</v>
      </c>
      <c r="M262" s="0" t="s">
        <v>1059</v>
      </c>
      <c r="N262" s="0" t="s">
        <v>1025</v>
      </c>
      <c r="O262" s="3" t="s">
        <v>1470</v>
      </c>
      <c r="P262" s="2" t="s">
        <v>1471</v>
      </c>
      <c r="Q262" s="2" t="s">
        <v>1472</v>
      </c>
      <c r="R262" s="2" t="s">
        <v>32</v>
      </c>
      <c r="S262" s="2" t="s">
        <v>33</v>
      </c>
    </row>
    <row r="263" customFormat="false" ht="15" hidden="false" customHeight="false" outlineLevel="0" collapsed="false">
      <c r="A263" s="0" t="n">
        <v>262</v>
      </c>
      <c r="D263" s="0" t="s">
        <v>1473</v>
      </c>
      <c r="E263" s="0" t="s">
        <v>20</v>
      </c>
      <c r="F263" s="0" t="s">
        <v>1474</v>
      </c>
      <c r="H263" s="0" t="s">
        <v>22</v>
      </c>
      <c r="I263" s="2" t="s">
        <v>23</v>
      </c>
      <c r="J263" s="2" t="s">
        <v>24</v>
      </c>
      <c r="K263" s="0" t="s">
        <v>1022</v>
      </c>
      <c r="L263" s="0" t="s">
        <v>1302</v>
      </c>
      <c r="M263" s="0" t="s">
        <v>1039</v>
      </c>
      <c r="N263" s="0" t="s">
        <v>1025</v>
      </c>
      <c r="O263" s="3" t="s">
        <v>1475</v>
      </c>
      <c r="P263" s="2" t="s">
        <v>1476</v>
      </c>
      <c r="Q263" s="2" t="s">
        <v>1477</v>
      </c>
      <c r="R263" s="2" t="s">
        <v>32</v>
      </c>
      <c r="S263" s="2" t="s">
        <v>33</v>
      </c>
    </row>
    <row r="264" customFormat="false" ht="15" hidden="false" customHeight="false" outlineLevel="0" collapsed="false">
      <c r="A264" s="0" t="n">
        <v>263</v>
      </c>
      <c r="D264" s="0" t="s">
        <v>1478</v>
      </c>
      <c r="E264" s="0" t="s">
        <v>20</v>
      </c>
      <c r="F264" s="0" t="s">
        <v>1479</v>
      </c>
      <c r="H264" s="0" t="s">
        <v>22</v>
      </c>
      <c r="I264" s="2" t="s">
        <v>23</v>
      </c>
      <c r="J264" s="2" t="s">
        <v>24</v>
      </c>
      <c r="K264" s="0" t="s">
        <v>1022</v>
      </c>
      <c r="L264" s="0" t="s">
        <v>1302</v>
      </c>
      <c r="M264" s="0" t="s">
        <v>1039</v>
      </c>
      <c r="N264" s="0" t="s">
        <v>1025</v>
      </c>
      <c r="O264" s="3" t="s">
        <v>1480</v>
      </c>
      <c r="P264" s="2" t="s">
        <v>1481</v>
      </c>
      <c r="Q264" s="2" t="s">
        <v>1482</v>
      </c>
      <c r="R264" s="2" t="s">
        <v>32</v>
      </c>
      <c r="S264" s="2" t="s">
        <v>33</v>
      </c>
    </row>
    <row r="265" customFormat="false" ht="15" hidden="false" customHeight="false" outlineLevel="0" collapsed="false">
      <c r="A265" s="0" t="n">
        <v>264</v>
      </c>
      <c r="D265" s="0" t="s">
        <v>1483</v>
      </c>
      <c r="E265" s="0" t="s">
        <v>20</v>
      </c>
      <c r="F265" s="0" t="s">
        <v>1484</v>
      </c>
      <c r="H265" s="0" t="s">
        <v>22</v>
      </c>
      <c r="I265" s="2" t="s">
        <v>23</v>
      </c>
      <c r="J265" s="2" t="s">
        <v>24</v>
      </c>
      <c r="K265" s="0" t="s">
        <v>1022</v>
      </c>
      <c r="L265" s="0" t="s">
        <v>1485</v>
      </c>
      <c r="M265" s="0" t="s">
        <v>1486</v>
      </c>
      <c r="N265" s="0" t="s">
        <v>1025</v>
      </c>
      <c r="O265" s="3" t="s">
        <v>1487</v>
      </c>
      <c r="P265" s="2" t="s">
        <v>1488</v>
      </c>
      <c r="Q265" s="2" t="s">
        <v>1489</v>
      </c>
      <c r="R265" s="2" t="s">
        <v>32</v>
      </c>
      <c r="S265" s="2" t="s">
        <v>33</v>
      </c>
    </row>
    <row r="266" customFormat="false" ht="15" hidden="false" customHeight="false" outlineLevel="0" collapsed="false">
      <c r="A266" s="0" t="n">
        <v>265</v>
      </c>
      <c r="D266" s="0" t="s">
        <v>1490</v>
      </c>
      <c r="E266" s="0" t="s">
        <v>20</v>
      </c>
      <c r="F266" s="0" t="s">
        <v>1491</v>
      </c>
      <c r="H266" s="0" t="s">
        <v>22</v>
      </c>
      <c r="I266" s="2" t="s">
        <v>23</v>
      </c>
      <c r="J266" s="2" t="s">
        <v>24</v>
      </c>
      <c r="K266" s="0" t="s">
        <v>1022</v>
      </c>
      <c r="L266" s="0" t="s">
        <v>1492</v>
      </c>
      <c r="M266" s="0" t="s">
        <v>1493</v>
      </c>
      <c r="N266" s="0" t="s">
        <v>1025</v>
      </c>
      <c r="O266" s="3" t="s">
        <v>1494</v>
      </c>
      <c r="P266" s="2" t="s">
        <v>1495</v>
      </c>
      <c r="Q266" s="2" t="s">
        <v>1496</v>
      </c>
      <c r="R266" s="2" t="s">
        <v>32</v>
      </c>
      <c r="S266" s="2" t="s">
        <v>33</v>
      </c>
    </row>
    <row r="267" customFormat="false" ht="15" hidden="false" customHeight="false" outlineLevel="0" collapsed="false">
      <c r="A267" s="0" t="n">
        <v>266</v>
      </c>
      <c r="D267" s="0" t="s">
        <v>1497</v>
      </c>
      <c r="E267" s="0" t="s">
        <v>20</v>
      </c>
      <c r="F267" s="0" t="s">
        <v>1498</v>
      </c>
      <c r="H267" s="0" t="s">
        <v>22</v>
      </c>
      <c r="I267" s="2" t="s">
        <v>23</v>
      </c>
      <c r="J267" s="2" t="s">
        <v>24</v>
      </c>
      <c r="K267" s="0" t="s">
        <v>1022</v>
      </c>
      <c r="L267" s="0" t="s">
        <v>1302</v>
      </c>
      <c r="M267" s="0" t="s">
        <v>1039</v>
      </c>
      <c r="N267" s="0" t="s">
        <v>1025</v>
      </c>
      <c r="O267" s="3" t="s">
        <v>1499</v>
      </c>
      <c r="P267" s="2" t="s">
        <v>877</v>
      </c>
      <c r="Q267" s="2" t="s">
        <v>1500</v>
      </c>
      <c r="R267" s="2" t="s">
        <v>32</v>
      </c>
      <c r="S267" s="2" t="s">
        <v>33</v>
      </c>
    </row>
    <row r="268" customFormat="false" ht="15" hidden="false" customHeight="false" outlineLevel="0" collapsed="false">
      <c r="A268" s="0" t="n">
        <v>267</v>
      </c>
      <c r="B268" s="0" t="s">
        <v>1501</v>
      </c>
      <c r="D268" s="0" t="s">
        <v>1502</v>
      </c>
      <c r="E268" s="0" t="s">
        <v>20</v>
      </c>
      <c r="F268" s="0" t="s">
        <v>1503</v>
      </c>
      <c r="H268" s="0" t="s">
        <v>22</v>
      </c>
      <c r="I268" s="2" t="s">
        <v>23</v>
      </c>
      <c r="J268" s="2" t="s">
        <v>24</v>
      </c>
      <c r="K268" s="0" t="s">
        <v>1504</v>
      </c>
      <c r="L268" s="0" t="s">
        <v>1505</v>
      </c>
      <c r="M268" s="0" t="s">
        <v>1506</v>
      </c>
      <c r="N268" s="0" t="s">
        <v>1507</v>
      </c>
      <c r="O268" s="3" t="s">
        <v>1508</v>
      </c>
      <c r="P268" s="2" t="s">
        <v>1509</v>
      </c>
      <c r="Q268" s="2" t="s">
        <v>1510</v>
      </c>
      <c r="R268" s="2" t="s">
        <v>32</v>
      </c>
      <c r="S268" s="2" t="s">
        <v>154</v>
      </c>
    </row>
    <row r="269" customFormat="false" ht="15" hidden="false" customHeight="false" outlineLevel="0" collapsed="false">
      <c r="A269" s="0" t="n">
        <v>268</v>
      </c>
      <c r="B269" s="0" t="s">
        <v>1511</v>
      </c>
      <c r="D269" s="0" t="s">
        <v>1512</v>
      </c>
      <c r="E269" s="0" t="s">
        <v>20</v>
      </c>
      <c r="F269" s="0" t="s">
        <v>1513</v>
      </c>
      <c r="H269" s="0" t="s">
        <v>22</v>
      </c>
      <c r="I269" s="2" t="s">
        <v>23</v>
      </c>
      <c r="J269" s="2" t="s">
        <v>24</v>
      </c>
      <c r="K269" s="0" t="s">
        <v>1504</v>
      </c>
      <c r="L269" s="0" t="s">
        <v>1514</v>
      </c>
      <c r="M269" s="0" t="s">
        <v>1515</v>
      </c>
      <c r="N269" s="0" t="s">
        <v>1507</v>
      </c>
      <c r="O269" s="3" t="s">
        <v>1516</v>
      </c>
      <c r="P269" s="2" t="s">
        <v>1517</v>
      </c>
      <c r="Q269" s="2" t="s">
        <v>1518</v>
      </c>
      <c r="R269" s="2" t="s">
        <v>32</v>
      </c>
      <c r="S269" s="2" t="s">
        <v>154</v>
      </c>
    </row>
    <row r="270" customFormat="false" ht="15" hidden="false" customHeight="false" outlineLevel="0" collapsed="false">
      <c r="A270" s="0" t="n">
        <v>269</v>
      </c>
      <c r="B270" s="0" t="s">
        <v>1405</v>
      </c>
      <c r="C270" s="0" t="s">
        <v>1406</v>
      </c>
      <c r="D270" s="0" t="s">
        <v>1519</v>
      </c>
      <c r="E270" s="0" t="s">
        <v>1520</v>
      </c>
      <c r="H270" s="0" t="s">
        <v>22</v>
      </c>
      <c r="I270" s="2" t="s">
        <v>23</v>
      </c>
      <c r="J270" s="2" t="s">
        <v>24</v>
      </c>
      <c r="K270" s="0" t="s">
        <v>1504</v>
      </c>
      <c r="L270" s="0" t="s">
        <v>1521</v>
      </c>
      <c r="M270" s="0" t="s">
        <v>1522</v>
      </c>
      <c r="N270" s="0" t="s">
        <v>1507</v>
      </c>
      <c r="O270" s="3" t="s">
        <v>1523</v>
      </c>
      <c r="P270" s="2" t="s">
        <v>1524</v>
      </c>
      <c r="Q270" s="2" t="s">
        <v>1525</v>
      </c>
      <c r="R270" s="2" t="s">
        <v>1526</v>
      </c>
      <c r="S270" s="2" t="s">
        <v>154</v>
      </c>
    </row>
    <row r="271" customFormat="false" ht="15" hidden="false" customHeight="false" outlineLevel="0" collapsed="false">
      <c r="A271" s="0" t="n">
        <v>270</v>
      </c>
      <c r="B271" s="0" t="s">
        <v>1527</v>
      </c>
      <c r="D271" s="0" t="s">
        <v>1528</v>
      </c>
      <c r="E271" s="0" t="s">
        <v>20</v>
      </c>
      <c r="F271" s="0" t="s">
        <v>1529</v>
      </c>
      <c r="H271" s="0" t="s">
        <v>22</v>
      </c>
      <c r="I271" s="2" t="s">
        <v>23</v>
      </c>
      <c r="J271" s="2" t="s">
        <v>24</v>
      </c>
      <c r="K271" s="0" t="s">
        <v>1504</v>
      </c>
      <c r="L271" s="0" t="s">
        <v>1530</v>
      </c>
      <c r="M271" s="0" t="s">
        <v>1531</v>
      </c>
      <c r="N271" s="0" t="s">
        <v>1507</v>
      </c>
      <c r="O271" s="3" t="s">
        <v>1532</v>
      </c>
      <c r="P271" s="2" t="s">
        <v>1533</v>
      </c>
      <c r="Q271" s="2" t="s">
        <v>1534</v>
      </c>
      <c r="R271" s="2" t="s">
        <v>32</v>
      </c>
      <c r="S271" s="2" t="s">
        <v>154</v>
      </c>
    </row>
    <row r="272" customFormat="false" ht="15" hidden="false" customHeight="false" outlineLevel="0" collapsed="false">
      <c r="A272" s="0" t="n">
        <v>271</v>
      </c>
      <c r="B272" s="0" t="s">
        <v>1535</v>
      </c>
      <c r="D272" s="0" t="s">
        <v>1536</v>
      </c>
      <c r="E272" s="0" t="s">
        <v>20</v>
      </c>
      <c r="F272" s="0" t="s">
        <v>1537</v>
      </c>
      <c r="H272" s="0" t="s">
        <v>22</v>
      </c>
      <c r="I272" s="2" t="s">
        <v>23</v>
      </c>
      <c r="J272" s="2" t="s">
        <v>24</v>
      </c>
      <c r="K272" s="0" t="s">
        <v>1504</v>
      </c>
      <c r="L272" s="0" t="s">
        <v>1538</v>
      </c>
      <c r="M272" s="0" t="s">
        <v>1539</v>
      </c>
      <c r="N272" s="0" t="s">
        <v>1507</v>
      </c>
      <c r="O272" s="3" t="s">
        <v>1540</v>
      </c>
      <c r="P272" s="2" t="s">
        <v>1541</v>
      </c>
      <c r="Q272" s="2" t="s">
        <v>1542</v>
      </c>
      <c r="R272" s="2" t="s">
        <v>32</v>
      </c>
      <c r="S272" s="2" t="s">
        <v>154</v>
      </c>
    </row>
    <row r="273" customFormat="false" ht="15" hidden="false" customHeight="false" outlineLevel="0" collapsed="false">
      <c r="A273" s="0" t="n">
        <v>272</v>
      </c>
      <c r="B273" s="0" t="s">
        <v>1543</v>
      </c>
      <c r="C273" s="0" t="s">
        <v>1544</v>
      </c>
      <c r="D273" s="0" t="s">
        <v>1545</v>
      </c>
      <c r="E273" s="0" t="s">
        <v>20</v>
      </c>
      <c r="F273" s="0" t="s">
        <v>1546</v>
      </c>
      <c r="H273" s="0" t="s">
        <v>22</v>
      </c>
      <c r="I273" s="2" t="s">
        <v>23</v>
      </c>
      <c r="J273" s="2" t="s">
        <v>24</v>
      </c>
      <c r="K273" s="0" t="s">
        <v>1504</v>
      </c>
      <c r="L273" s="0" t="s">
        <v>1547</v>
      </c>
      <c r="M273" s="0" t="s">
        <v>1548</v>
      </c>
      <c r="N273" s="0" t="s">
        <v>1507</v>
      </c>
      <c r="O273" s="3" t="s">
        <v>1549</v>
      </c>
      <c r="P273" s="2" t="s">
        <v>1550</v>
      </c>
      <c r="Q273" s="2" t="s">
        <v>1551</v>
      </c>
      <c r="R273" s="2" t="s">
        <v>32</v>
      </c>
      <c r="S273" s="2" t="s">
        <v>154</v>
      </c>
    </row>
    <row r="274" customFormat="false" ht="15" hidden="false" customHeight="false" outlineLevel="0" collapsed="false">
      <c r="A274" s="0" t="n">
        <v>273</v>
      </c>
      <c r="B274" s="0" t="s">
        <v>1552</v>
      </c>
      <c r="D274" s="0" t="s">
        <v>1553</v>
      </c>
      <c r="E274" s="0" t="s">
        <v>20</v>
      </c>
      <c r="F274" s="0" t="s">
        <v>1554</v>
      </c>
      <c r="H274" s="0" t="s">
        <v>22</v>
      </c>
      <c r="I274" s="2" t="s">
        <v>23</v>
      </c>
      <c r="J274" s="2" t="s">
        <v>24</v>
      </c>
      <c r="K274" s="0" t="s">
        <v>1504</v>
      </c>
      <c r="L274" s="0" t="s">
        <v>1555</v>
      </c>
      <c r="M274" s="0" t="s">
        <v>1556</v>
      </c>
      <c r="N274" s="0" t="s">
        <v>1507</v>
      </c>
      <c r="O274" s="3" t="s">
        <v>1557</v>
      </c>
      <c r="P274" s="2" t="s">
        <v>1558</v>
      </c>
      <c r="Q274" s="2" t="s">
        <v>1559</v>
      </c>
      <c r="R274" s="2" t="s">
        <v>32</v>
      </c>
      <c r="S274" s="2" t="s">
        <v>154</v>
      </c>
    </row>
    <row r="275" customFormat="false" ht="15" hidden="false" customHeight="false" outlineLevel="0" collapsed="false">
      <c r="A275" s="0" t="n">
        <v>274</v>
      </c>
      <c r="B275" s="0" t="s">
        <v>1560</v>
      </c>
      <c r="D275" s="0" t="s">
        <v>1561</v>
      </c>
      <c r="E275" s="0" t="s">
        <v>20</v>
      </c>
      <c r="F275" s="0" t="s">
        <v>1562</v>
      </c>
      <c r="H275" s="0" t="s">
        <v>22</v>
      </c>
      <c r="I275" s="2" t="s">
        <v>23</v>
      </c>
      <c r="J275" s="2" t="s">
        <v>24</v>
      </c>
      <c r="K275" s="0" t="s">
        <v>1504</v>
      </c>
      <c r="L275" s="0" t="s">
        <v>1563</v>
      </c>
      <c r="M275" s="0" t="s">
        <v>1564</v>
      </c>
      <c r="N275" s="0" t="s">
        <v>1507</v>
      </c>
      <c r="O275" s="3" t="s">
        <v>1565</v>
      </c>
      <c r="P275" s="2" t="s">
        <v>1566</v>
      </c>
      <c r="Q275" s="2" t="s">
        <v>1567</v>
      </c>
      <c r="R275" s="2" t="s">
        <v>32</v>
      </c>
      <c r="S275" s="2" t="s">
        <v>154</v>
      </c>
    </row>
    <row r="276" customFormat="false" ht="15" hidden="false" customHeight="false" outlineLevel="0" collapsed="false">
      <c r="A276" s="0" t="n">
        <v>275</v>
      </c>
      <c r="B276" s="0" t="s">
        <v>1568</v>
      </c>
      <c r="C276" s="0" t="s">
        <v>1569</v>
      </c>
      <c r="D276" s="0" t="s">
        <v>1570</v>
      </c>
      <c r="E276" s="0" t="s">
        <v>20</v>
      </c>
      <c r="F276" s="0" t="s">
        <v>1571</v>
      </c>
      <c r="H276" s="0" t="s">
        <v>22</v>
      </c>
      <c r="I276" s="2" t="s">
        <v>23</v>
      </c>
      <c r="J276" s="2" t="s">
        <v>24</v>
      </c>
      <c r="K276" s="0" t="s">
        <v>1572</v>
      </c>
      <c r="L276" s="0" t="s">
        <v>1573</v>
      </c>
      <c r="M276" s="0" t="s">
        <v>1574</v>
      </c>
      <c r="N276" s="0" t="s">
        <v>1575</v>
      </c>
      <c r="O276" s="3" t="s">
        <v>1576</v>
      </c>
      <c r="P276" s="2" t="s">
        <v>1577</v>
      </c>
      <c r="Q276" s="2" t="s">
        <v>1578</v>
      </c>
      <c r="R276" s="2" t="s">
        <v>32</v>
      </c>
      <c r="S276" s="2" t="s">
        <v>154</v>
      </c>
    </row>
    <row r="277" customFormat="false" ht="15" hidden="false" customHeight="false" outlineLevel="0" collapsed="false">
      <c r="A277" s="0" t="n">
        <v>276</v>
      </c>
      <c r="B277" s="0" t="s">
        <v>1579</v>
      </c>
      <c r="D277" s="0" t="s">
        <v>1580</v>
      </c>
      <c r="E277" s="0" t="s">
        <v>20</v>
      </c>
      <c r="F277" s="0" t="s">
        <v>1581</v>
      </c>
      <c r="H277" s="0" t="s">
        <v>22</v>
      </c>
      <c r="I277" s="2" t="s">
        <v>23</v>
      </c>
      <c r="J277" s="2" t="s">
        <v>24</v>
      </c>
      <c r="K277" s="0" t="s">
        <v>1572</v>
      </c>
      <c r="L277" s="0" t="s">
        <v>1582</v>
      </c>
      <c r="M277" s="0" t="s">
        <v>1583</v>
      </c>
      <c r="N277" s="0" t="s">
        <v>1575</v>
      </c>
      <c r="O277" s="3"/>
      <c r="P277" s="2" t="s">
        <v>1584</v>
      </c>
      <c r="Q277" s="2" t="s">
        <v>1585</v>
      </c>
      <c r="R277" s="2" t="s">
        <v>32</v>
      </c>
      <c r="S277" s="2" t="s">
        <v>154</v>
      </c>
    </row>
    <row r="278" customFormat="false" ht="15" hidden="false" customHeight="false" outlineLevel="0" collapsed="false">
      <c r="A278" s="0" t="n">
        <v>277</v>
      </c>
      <c r="B278" s="0" t="s">
        <v>1586</v>
      </c>
      <c r="D278" s="0" t="s">
        <v>1587</v>
      </c>
      <c r="E278" s="0" t="s">
        <v>20</v>
      </c>
      <c r="F278" s="0" t="s">
        <v>1588</v>
      </c>
      <c r="H278" s="0" t="s">
        <v>22</v>
      </c>
      <c r="I278" s="2" t="s">
        <v>23</v>
      </c>
      <c r="J278" s="2" t="s">
        <v>24</v>
      </c>
      <c r="K278" s="0" t="s">
        <v>1572</v>
      </c>
      <c r="L278" s="0" t="s">
        <v>1589</v>
      </c>
      <c r="M278" s="0" t="s">
        <v>1590</v>
      </c>
      <c r="N278" s="0" t="s">
        <v>1575</v>
      </c>
      <c r="O278" s="3" t="s">
        <v>1591</v>
      </c>
      <c r="P278" s="2" t="s">
        <v>1592</v>
      </c>
      <c r="Q278" s="2" t="s">
        <v>1593</v>
      </c>
      <c r="R278" s="2" t="s">
        <v>32</v>
      </c>
      <c r="S278" s="2" t="s">
        <v>154</v>
      </c>
    </row>
    <row r="279" customFormat="false" ht="15" hidden="false" customHeight="false" outlineLevel="0" collapsed="false">
      <c r="A279" s="0" t="n">
        <v>278</v>
      </c>
      <c r="B279" s="0" t="s">
        <v>1594</v>
      </c>
      <c r="C279" s="0" t="s">
        <v>1595</v>
      </c>
      <c r="D279" s="0" t="s">
        <v>1596</v>
      </c>
      <c r="E279" s="0" t="s">
        <v>1597</v>
      </c>
      <c r="F279" s="0" t="s">
        <v>1598</v>
      </c>
      <c r="H279" s="0" t="s">
        <v>22</v>
      </c>
      <c r="I279" s="2" t="s">
        <v>23</v>
      </c>
      <c r="J279" s="2" t="s">
        <v>24</v>
      </c>
      <c r="K279" s="0" t="s">
        <v>1572</v>
      </c>
      <c r="L279" s="0" t="s">
        <v>1599</v>
      </c>
      <c r="M279" s="0" t="s">
        <v>1600</v>
      </c>
      <c r="N279" s="0" t="s">
        <v>1575</v>
      </c>
      <c r="O279" s="3" t="s">
        <v>1601</v>
      </c>
      <c r="P279" s="2" t="s">
        <v>1602</v>
      </c>
      <c r="Q279" s="2" t="s">
        <v>1603</v>
      </c>
      <c r="R279" s="2" t="s">
        <v>1604</v>
      </c>
      <c r="S279" s="2" t="s">
        <v>154</v>
      </c>
    </row>
    <row r="280" customFormat="false" ht="15" hidden="false" customHeight="false" outlineLevel="0" collapsed="false">
      <c r="A280" s="0" t="n">
        <v>279</v>
      </c>
      <c r="B280" s="0" t="s">
        <v>1605</v>
      </c>
      <c r="D280" s="0" t="s">
        <v>1606</v>
      </c>
      <c r="E280" s="0" t="s">
        <v>20</v>
      </c>
      <c r="F280" s="0" t="s">
        <v>1607</v>
      </c>
      <c r="H280" s="0" t="s">
        <v>22</v>
      </c>
      <c r="I280" s="2" t="s">
        <v>23</v>
      </c>
      <c r="J280" s="2" t="s">
        <v>24</v>
      </c>
      <c r="K280" s="0" t="s">
        <v>1572</v>
      </c>
      <c r="L280" s="0" t="s">
        <v>1608</v>
      </c>
      <c r="M280" s="0" t="s">
        <v>1609</v>
      </c>
      <c r="N280" s="0" t="s">
        <v>1575</v>
      </c>
      <c r="O280" s="3" t="s">
        <v>1610</v>
      </c>
      <c r="P280" s="2" t="s">
        <v>1611</v>
      </c>
      <c r="Q280" s="2" t="s">
        <v>1612</v>
      </c>
      <c r="R280" s="2" t="s">
        <v>32</v>
      </c>
      <c r="S280" s="2" t="s">
        <v>154</v>
      </c>
    </row>
    <row r="281" customFormat="false" ht="15" hidden="false" customHeight="false" outlineLevel="0" collapsed="false">
      <c r="A281" s="0" t="n">
        <v>280</v>
      </c>
      <c r="D281" s="0" t="s">
        <v>1613</v>
      </c>
      <c r="E281" s="0" t="s">
        <v>20</v>
      </c>
      <c r="F281" s="0" t="s">
        <v>1614</v>
      </c>
      <c r="H281" s="0" t="s">
        <v>22</v>
      </c>
      <c r="I281" s="2" t="s">
        <v>23</v>
      </c>
      <c r="J281" s="2" t="s">
        <v>24</v>
      </c>
      <c r="K281" s="0" t="s">
        <v>1572</v>
      </c>
      <c r="L281" s="0" t="s">
        <v>1615</v>
      </c>
      <c r="M281" s="0" t="s">
        <v>1590</v>
      </c>
      <c r="N281" s="0" t="s">
        <v>1575</v>
      </c>
      <c r="O281" s="3" t="s">
        <v>1616</v>
      </c>
      <c r="Q281" s="2" t="s">
        <v>1617</v>
      </c>
      <c r="R281" s="2" t="s">
        <v>32</v>
      </c>
      <c r="S281" s="2" t="s">
        <v>154</v>
      </c>
    </row>
    <row r="282" customFormat="false" ht="15" hidden="false" customHeight="false" outlineLevel="0" collapsed="false">
      <c r="A282" s="0" t="n">
        <v>281</v>
      </c>
      <c r="B282" s="0" t="s">
        <v>1618</v>
      </c>
      <c r="D282" s="0" t="s">
        <v>1619</v>
      </c>
      <c r="E282" s="0" t="s">
        <v>20</v>
      </c>
      <c r="F282" s="0" t="s">
        <v>1620</v>
      </c>
      <c r="H282" s="0" t="s">
        <v>22</v>
      </c>
      <c r="I282" s="2" t="s">
        <v>23</v>
      </c>
      <c r="J282" s="2" t="s">
        <v>24</v>
      </c>
      <c r="K282" s="0" t="s">
        <v>1621</v>
      </c>
      <c r="L282" s="0" t="s">
        <v>1622</v>
      </c>
      <c r="M282" s="0" t="s">
        <v>1623</v>
      </c>
      <c r="N282" s="0" t="s">
        <v>1624</v>
      </c>
      <c r="O282" s="3" t="s">
        <v>1625</v>
      </c>
      <c r="P282" s="2" t="s">
        <v>1626</v>
      </c>
      <c r="Q282" s="2" t="s">
        <v>1627</v>
      </c>
      <c r="R282" s="2" t="s">
        <v>32</v>
      </c>
      <c r="S282" s="2" t="s">
        <v>154</v>
      </c>
    </row>
    <row r="283" customFormat="false" ht="15" hidden="false" customHeight="false" outlineLevel="0" collapsed="false">
      <c r="A283" s="0" t="n">
        <v>282</v>
      </c>
      <c r="D283" s="0" t="s">
        <v>1628</v>
      </c>
      <c r="E283" s="0" t="s">
        <v>20</v>
      </c>
      <c r="F283" s="0" t="s">
        <v>1629</v>
      </c>
      <c r="H283" s="0" t="s">
        <v>22</v>
      </c>
      <c r="I283" s="2" t="s">
        <v>23</v>
      </c>
      <c r="J283" s="2" t="s">
        <v>1630</v>
      </c>
      <c r="K283" s="0" t="s">
        <v>1504</v>
      </c>
      <c r="L283" s="0" t="s">
        <v>418</v>
      </c>
      <c r="M283" s="0" t="s">
        <v>1631</v>
      </c>
      <c r="N283" s="0" t="s">
        <v>1507</v>
      </c>
      <c r="O283" s="3" t="s">
        <v>1632</v>
      </c>
      <c r="P283" s="2" t="s">
        <v>1633</v>
      </c>
      <c r="Q283" s="2" t="s">
        <v>1634</v>
      </c>
      <c r="R283" s="2" t="s">
        <v>32</v>
      </c>
      <c r="S283" s="2" t="s">
        <v>33</v>
      </c>
    </row>
    <row r="284" customFormat="false" ht="15" hidden="false" customHeight="false" outlineLevel="0" collapsed="false">
      <c r="A284" s="0" t="n">
        <v>283</v>
      </c>
      <c r="D284" s="0" t="s">
        <v>1635</v>
      </c>
      <c r="E284" s="0" t="s">
        <v>20</v>
      </c>
      <c r="F284" s="0" t="s">
        <v>1636</v>
      </c>
      <c r="H284" s="0" t="s">
        <v>22</v>
      </c>
      <c r="I284" s="2" t="s">
        <v>23</v>
      </c>
      <c r="J284" s="2" t="s">
        <v>1630</v>
      </c>
      <c r="K284" s="0" t="s">
        <v>1504</v>
      </c>
      <c r="L284" s="0" t="s">
        <v>418</v>
      </c>
      <c r="M284" s="0" t="s">
        <v>1631</v>
      </c>
      <c r="N284" s="0" t="s">
        <v>1507</v>
      </c>
      <c r="O284" s="3" t="s">
        <v>1637</v>
      </c>
      <c r="P284" s="2" t="s">
        <v>1638</v>
      </c>
      <c r="Q284" s="2" t="s">
        <v>1639</v>
      </c>
      <c r="R284" s="2" t="s">
        <v>32</v>
      </c>
      <c r="S284" s="2" t="s">
        <v>33</v>
      </c>
    </row>
    <row r="285" customFormat="false" ht="15" hidden="false" customHeight="false" outlineLevel="0" collapsed="false">
      <c r="A285" s="0" t="n">
        <v>284</v>
      </c>
      <c r="D285" s="0" t="s">
        <v>1640</v>
      </c>
      <c r="E285" s="0" t="s">
        <v>20</v>
      </c>
      <c r="F285" s="0" t="s">
        <v>1641</v>
      </c>
      <c r="H285" s="0" t="s">
        <v>22</v>
      </c>
      <c r="I285" s="2" t="s">
        <v>23</v>
      </c>
      <c r="J285" s="2" t="s">
        <v>1630</v>
      </c>
      <c r="K285" s="0" t="s">
        <v>1504</v>
      </c>
      <c r="L285" s="0" t="s">
        <v>1642</v>
      </c>
      <c r="M285" s="0" t="s">
        <v>1631</v>
      </c>
      <c r="N285" s="0" t="s">
        <v>1507</v>
      </c>
      <c r="O285" s="3" t="s">
        <v>1643</v>
      </c>
      <c r="P285" s="2" t="s">
        <v>1644</v>
      </c>
      <c r="Q285" s="2" t="s">
        <v>1645</v>
      </c>
      <c r="R285" s="2" t="s">
        <v>32</v>
      </c>
      <c r="S285" s="2" t="s">
        <v>33</v>
      </c>
    </row>
    <row r="286" customFormat="false" ht="15" hidden="false" customHeight="false" outlineLevel="0" collapsed="false">
      <c r="A286" s="0" t="n">
        <v>285</v>
      </c>
      <c r="D286" s="0" t="s">
        <v>1646</v>
      </c>
      <c r="E286" s="0" t="s">
        <v>20</v>
      </c>
      <c r="F286" s="0" t="s">
        <v>1647</v>
      </c>
      <c r="H286" s="0" t="s">
        <v>22</v>
      </c>
      <c r="I286" s="2" t="s">
        <v>23</v>
      </c>
      <c r="J286" s="2" t="s">
        <v>1630</v>
      </c>
      <c r="K286" s="0" t="s">
        <v>1504</v>
      </c>
      <c r="L286" s="0" t="s">
        <v>1648</v>
      </c>
      <c r="M286" s="0" t="s">
        <v>1631</v>
      </c>
      <c r="N286" s="0" t="s">
        <v>1507</v>
      </c>
      <c r="O286" s="3" t="s">
        <v>1649</v>
      </c>
      <c r="P286" s="2" t="s">
        <v>1650</v>
      </c>
      <c r="Q286" s="2" t="s">
        <v>1651</v>
      </c>
      <c r="R286" s="2" t="s">
        <v>32</v>
      </c>
      <c r="S286" s="2" t="s">
        <v>33</v>
      </c>
    </row>
    <row r="287" customFormat="false" ht="15" hidden="false" customHeight="false" outlineLevel="0" collapsed="false">
      <c r="A287" s="0" t="n">
        <v>286</v>
      </c>
      <c r="D287" s="0" t="s">
        <v>1652</v>
      </c>
      <c r="E287" s="0" t="s">
        <v>20</v>
      </c>
      <c r="F287" s="0" t="s">
        <v>1653</v>
      </c>
      <c r="H287" s="0" t="s">
        <v>22</v>
      </c>
      <c r="I287" s="2" t="s">
        <v>23</v>
      </c>
      <c r="J287" s="2" t="s">
        <v>1630</v>
      </c>
      <c r="K287" s="0" t="s">
        <v>1504</v>
      </c>
      <c r="L287" s="0" t="s">
        <v>1654</v>
      </c>
      <c r="M287" s="0" t="s">
        <v>1655</v>
      </c>
      <c r="N287" s="0" t="s">
        <v>1507</v>
      </c>
      <c r="O287" s="3" t="s">
        <v>1656</v>
      </c>
      <c r="P287" s="2" t="s">
        <v>1657</v>
      </c>
      <c r="Q287" s="2" t="s">
        <v>1658</v>
      </c>
      <c r="R287" s="2" t="s">
        <v>32</v>
      </c>
      <c r="S287" s="2" t="s">
        <v>33</v>
      </c>
    </row>
    <row r="288" customFormat="false" ht="15" hidden="false" customHeight="false" outlineLevel="0" collapsed="false">
      <c r="A288" s="0" t="n">
        <v>287</v>
      </c>
      <c r="D288" s="0" t="s">
        <v>1659</v>
      </c>
      <c r="E288" s="0" t="s">
        <v>20</v>
      </c>
      <c r="F288" s="0" t="s">
        <v>1660</v>
      </c>
      <c r="H288" s="0" t="s">
        <v>22</v>
      </c>
      <c r="I288" s="2" t="s">
        <v>23</v>
      </c>
      <c r="J288" s="2" t="s">
        <v>1630</v>
      </c>
      <c r="K288" s="0" t="s">
        <v>1504</v>
      </c>
      <c r="L288" s="0" t="s">
        <v>1661</v>
      </c>
      <c r="M288" s="0" t="s">
        <v>1662</v>
      </c>
      <c r="N288" s="0" t="s">
        <v>1507</v>
      </c>
      <c r="O288" s="3" t="s">
        <v>1663</v>
      </c>
      <c r="P288" s="2" t="s">
        <v>1664</v>
      </c>
      <c r="Q288" s="2" t="s">
        <v>1665</v>
      </c>
      <c r="R288" s="2" t="s">
        <v>32</v>
      </c>
      <c r="S288" s="2" t="s">
        <v>33</v>
      </c>
    </row>
    <row r="289" customFormat="false" ht="15" hidden="false" customHeight="false" outlineLevel="0" collapsed="false">
      <c r="A289" s="0" t="n">
        <v>288</v>
      </c>
      <c r="D289" s="0" t="s">
        <v>1666</v>
      </c>
      <c r="E289" s="0" t="s">
        <v>20</v>
      </c>
      <c r="F289" s="0" t="s">
        <v>1667</v>
      </c>
      <c r="H289" s="0" t="s">
        <v>22</v>
      </c>
      <c r="I289" s="2" t="s">
        <v>23</v>
      </c>
      <c r="J289" s="2" t="s">
        <v>1630</v>
      </c>
      <c r="K289" s="0" t="s">
        <v>1504</v>
      </c>
      <c r="L289" s="0" t="s">
        <v>1668</v>
      </c>
      <c r="M289" s="0" t="s">
        <v>1669</v>
      </c>
      <c r="N289" s="0" t="s">
        <v>1507</v>
      </c>
      <c r="O289" s="3" t="s">
        <v>1670</v>
      </c>
      <c r="P289" s="2" t="s">
        <v>1671</v>
      </c>
      <c r="Q289" s="2" t="s">
        <v>1672</v>
      </c>
      <c r="R289" s="2" t="s">
        <v>32</v>
      </c>
      <c r="S289" s="2" t="s">
        <v>33</v>
      </c>
    </row>
    <row r="290" customFormat="false" ht="15" hidden="false" customHeight="false" outlineLevel="0" collapsed="false">
      <c r="A290" s="0" t="n">
        <v>289</v>
      </c>
      <c r="D290" s="0" t="s">
        <v>1673</v>
      </c>
      <c r="E290" s="0" t="s">
        <v>20</v>
      </c>
      <c r="F290" s="0" t="s">
        <v>1674</v>
      </c>
      <c r="H290" s="0" t="s">
        <v>22</v>
      </c>
      <c r="I290" s="2" t="s">
        <v>23</v>
      </c>
      <c r="J290" s="2" t="s">
        <v>1630</v>
      </c>
      <c r="K290" s="0" t="s">
        <v>1504</v>
      </c>
      <c r="L290" s="0" t="s">
        <v>1668</v>
      </c>
      <c r="M290" s="0" t="s">
        <v>1669</v>
      </c>
      <c r="N290" s="0" t="s">
        <v>1507</v>
      </c>
      <c r="O290" s="3" t="s">
        <v>1675</v>
      </c>
      <c r="P290" s="2" t="s">
        <v>1676</v>
      </c>
      <c r="Q290" s="2" t="s">
        <v>1677</v>
      </c>
      <c r="R290" s="2" t="s">
        <v>32</v>
      </c>
      <c r="S290" s="2" t="s">
        <v>33</v>
      </c>
    </row>
    <row r="291" customFormat="false" ht="15" hidden="false" customHeight="false" outlineLevel="0" collapsed="false">
      <c r="A291" s="0" t="n">
        <v>290</v>
      </c>
      <c r="D291" s="0" t="s">
        <v>1678</v>
      </c>
      <c r="E291" s="0" t="s">
        <v>20</v>
      </c>
      <c r="F291" s="0" t="s">
        <v>1679</v>
      </c>
      <c r="H291" s="0" t="s">
        <v>22</v>
      </c>
      <c r="I291" s="2" t="s">
        <v>23</v>
      </c>
      <c r="J291" s="2" t="s">
        <v>1630</v>
      </c>
      <c r="K291" s="0" t="s">
        <v>1504</v>
      </c>
      <c r="L291" s="0" t="s">
        <v>1668</v>
      </c>
      <c r="M291" s="0" t="s">
        <v>1669</v>
      </c>
      <c r="N291" s="0" t="s">
        <v>1507</v>
      </c>
      <c r="O291" s="3" t="s">
        <v>1680</v>
      </c>
      <c r="P291" s="2" t="s">
        <v>1681</v>
      </c>
      <c r="Q291" s="2" t="s">
        <v>1682</v>
      </c>
      <c r="R291" s="2" t="s">
        <v>32</v>
      </c>
      <c r="S291" s="2" t="s">
        <v>33</v>
      </c>
    </row>
    <row r="292" customFormat="false" ht="15" hidden="false" customHeight="false" outlineLevel="0" collapsed="false">
      <c r="A292" s="0" t="n">
        <v>291</v>
      </c>
      <c r="D292" s="0" t="s">
        <v>1683</v>
      </c>
      <c r="E292" s="0" t="s">
        <v>20</v>
      </c>
      <c r="F292" s="0" t="s">
        <v>1684</v>
      </c>
      <c r="H292" s="0" t="s">
        <v>22</v>
      </c>
      <c r="I292" s="2" t="s">
        <v>23</v>
      </c>
      <c r="J292" s="2" t="s">
        <v>1630</v>
      </c>
      <c r="K292" s="0" t="s">
        <v>1504</v>
      </c>
      <c r="L292" s="0" t="s">
        <v>1668</v>
      </c>
      <c r="M292" s="0" t="s">
        <v>1669</v>
      </c>
      <c r="N292" s="0" t="s">
        <v>1507</v>
      </c>
      <c r="O292" s="3" t="s">
        <v>1685</v>
      </c>
      <c r="P292" s="2" t="s">
        <v>1686</v>
      </c>
      <c r="Q292" s="2" t="s">
        <v>1687</v>
      </c>
      <c r="R292" s="2" t="s">
        <v>32</v>
      </c>
      <c r="S292" s="2" t="s">
        <v>33</v>
      </c>
    </row>
    <row r="293" customFormat="false" ht="15" hidden="false" customHeight="false" outlineLevel="0" collapsed="false">
      <c r="A293" s="0" t="n">
        <v>292</v>
      </c>
      <c r="D293" s="0" t="s">
        <v>1688</v>
      </c>
      <c r="E293" s="0" t="s">
        <v>20</v>
      </c>
      <c r="F293" s="0" t="s">
        <v>1689</v>
      </c>
      <c r="H293" s="0" t="s">
        <v>22</v>
      </c>
      <c r="I293" s="2" t="s">
        <v>23</v>
      </c>
      <c r="J293" s="2" t="s">
        <v>1630</v>
      </c>
      <c r="K293" s="0" t="s">
        <v>1504</v>
      </c>
      <c r="L293" s="0" t="s">
        <v>1668</v>
      </c>
      <c r="M293" s="0" t="s">
        <v>1669</v>
      </c>
      <c r="N293" s="0" t="s">
        <v>1507</v>
      </c>
      <c r="O293" s="3" t="s">
        <v>1690</v>
      </c>
      <c r="P293" s="2" t="s">
        <v>1691</v>
      </c>
      <c r="Q293" s="2" t="s">
        <v>1692</v>
      </c>
      <c r="R293" s="2" t="s">
        <v>32</v>
      </c>
      <c r="S293" s="2" t="s">
        <v>33</v>
      </c>
    </row>
    <row r="294" customFormat="false" ht="15" hidden="false" customHeight="false" outlineLevel="0" collapsed="false">
      <c r="A294" s="0" t="n">
        <v>293</v>
      </c>
      <c r="D294" s="0" t="s">
        <v>1693</v>
      </c>
      <c r="E294" s="0" t="s">
        <v>20</v>
      </c>
      <c r="F294" s="0" t="s">
        <v>1694</v>
      </c>
      <c r="H294" s="0" t="s">
        <v>22</v>
      </c>
      <c r="I294" s="2" t="s">
        <v>23</v>
      </c>
      <c r="J294" s="2" t="s">
        <v>1630</v>
      </c>
      <c r="K294" s="0" t="s">
        <v>1504</v>
      </c>
      <c r="L294" s="0" t="s">
        <v>1695</v>
      </c>
      <c r="M294" s="0" t="s">
        <v>1696</v>
      </c>
      <c r="N294" s="0" t="s">
        <v>1507</v>
      </c>
      <c r="O294" s="3" t="s">
        <v>1697</v>
      </c>
      <c r="P294" s="2" t="s">
        <v>1698</v>
      </c>
      <c r="Q294" s="2" t="s">
        <v>1699</v>
      </c>
      <c r="R294" s="2" t="s">
        <v>32</v>
      </c>
      <c r="S294" s="2" t="s">
        <v>33</v>
      </c>
    </row>
    <row r="295" customFormat="false" ht="15" hidden="false" customHeight="false" outlineLevel="0" collapsed="false">
      <c r="A295" s="0" t="n">
        <v>294</v>
      </c>
      <c r="D295" s="0" t="s">
        <v>1700</v>
      </c>
      <c r="E295" s="0" t="s">
        <v>20</v>
      </c>
      <c r="F295" s="0" t="s">
        <v>1701</v>
      </c>
      <c r="H295" s="0" t="s">
        <v>22</v>
      </c>
      <c r="I295" s="2" t="s">
        <v>23</v>
      </c>
      <c r="J295" s="2" t="s">
        <v>1630</v>
      </c>
      <c r="K295" s="0" t="s">
        <v>1504</v>
      </c>
      <c r="L295" s="0" t="s">
        <v>1702</v>
      </c>
      <c r="M295" s="0" t="s">
        <v>1703</v>
      </c>
      <c r="N295" s="0" t="s">
        <v>1507</v>
      </c>
      <c r="O295" s="3" t="s">
        <v>1704</v>
      </c>
      <c r="P295" s="2" t="s">
        <v>1705</v>
      </c>
      <c r="Q295" s="2" t="s">
        <v>1706</v>
      </c>
      <c r="R295" s="2" t="s">
        <v>32</v>
      </c>
      <c r="S295" s="2" t="s">
        <v>33</v>
      </c>
    </row>
    <row r="296" customFormat="false" ht="15" hidden="false" customHeight="false" outlineLevel="0" collapsed="false">
      <c r="A296" s="0" t="n">
        <v>295</v>
      </c>
      <c r="D296" s="0" t="s">
        <v>1707</v>
      </c>
      <c r="E296" s="0" t="s">
        <v>20</v>
      </c>
      <c r="F296" s="0" t="s">
        <v>1708</v>
      </c>
      <c r="H296" s="0" t="s">
        <v>22</v>
      </c>
      <c r="I296" s="2" t="s">
        <v>23</v>
      </c>
      <c r="J296" s="2" t="s">
        <v>1630</v>
      </c>
      <c r="K296" s="0" t="s">
        <v>1504</v>
      </c>
      <c r="L296" s="0" t="s">
        <v>1709</v>
      </c>
      <c r="M296" s="0" t="s">
        <v>1710</v>
      </c>
      <c r="N296" s="0" t="s">
        <v>1507</v>
      </c>
      <c r="O296" s="3" t="s">
        <v>1711</v>
      </c>
      <c r="P296" s="2" t="s">
        <v>1712</v>
      </c>
      <c r="Q296" s="2" t="s">
        <v>1713</v>
      </c>
      <c r="R296" s="2" t="s">
        <v>32</v>
      </c>
      <c r="S296" s="2" t="s">
        <v>33</v>
      </c>
    </row>
    <row r="297" customFormat="false" ht="15" hidden="false" customHeight="false" outlineLevel="0" collapsed="false">
      <c r="A297" s="0" t="n">
        <v>296</v>
      </c>
      <c r="D297" s="0" t="s">
        <v>1714</v>
      </c>
      <c r="E297" s="0" t="s">
        <v>20</v>
      </c>
      <c r="F297" s="0" t="s">
        <v>1715</v>
      </c>
      <c r="H297" s="0" t="s">
        <v>22</v>
      </c>
      <c r="I297" s="2" t="s">
        <v>23</v>
      </c>
      <c r="J297" s="2" t="s">
        <v>1630</v>
      </c>
      <c r="K297" s="0" t="s">
        <v>1504</v>
      </c>
      <c r="L297" s="0" t="s">
        <v>1716</v>
      </c>
      <c r="M297" s="0" t="s">
        <v>1717</v>
      </c>
      <c r="N297" s="0" t="s">
        <v>1507</v>
      </c>
      <c r="O297" s="3" t="s">
        <v>1718</v>
      </c>
      <c r="P297" s="2" t="s">
        <v>1719</v>
      </c>
      <c r="Q297" s="2" t="s">
        <v>1720</v>
      </c>
      <c r="R297" s="2" t="s">
        <v>32</v>
      </c>
      <c r="S297" s="2" t="s">
        <v>33</v>
      </c>
    </row>
    <row r="298" customFormat="false" ht="15" hidden="false" customHeight="false" outlineLevel="0" collapsed="false">
      <c r="A298" s="0" t="n">
        <v>297</v>
      </c>
      <c r="D298" s="0" t="s">
        <v>1721</v>
      </c>
      <c r="E298" s="0" t="s">
        <v>20</v>
      </c>
      <c r="F298" s="0" t="s">
        <v>1722</v>
      </c>
      <c r="H298" s="0" t="s">
        <v>22</v>
      </c>
      <c r="I298" s="2" t="s">
        <v>23</v>
      </c>
      <c r="J298" s="2" t="s">
        <v>1630</v>
      </c>
      <c r="K298" s="0" t="s">
        <v>1504</v>
      </c>
      <c r="L298" s="0" t="s">
        <v>1031</v>
      </c>
      <c r="M298" s="0" t="s">
        <v>1723</v>
      </c>
      <c r="N298" s="0" t="s">
        <v>1507</v>
      </c>
      <c r="O298" s="3" t="s">
        <v>1724</v>
      </c>
      <c r="P298" s="2" t="s">
        <v>1725</v>
      </c>
      <c r="Q298" s="2" t="s">
        <v>1726</v>
      </c>
      <c r="R298" s="2" t="s">
        <v>32</v>
      </c>
      <c r="S298" s="2" t="s">
        <v>33</v>
      </c>
    </row>
    <row r="299" customFormat="false" ht="15" hidden="false" customHeight="false" outlineLevel="0" collapsed="false">
      <c r="A299" s="0" t="n">
        <v>298</v>
      </c>
      <c r="D299" s="0" t="s">
        <v>1727</v>
      </c>
      <c r="E299" s="0" t="s">
        <v>20</v>
      </c>
      <c r="F299" s="0" t="s">
        <v>1728</v>
      </c>
      <c r="H299" s="0" t="s">
        <v>22</v>
      </c>
      <c r="I299" s="2" t="s">
        <v>23</v>
      </c>
      <c r="J299" s="2" t="s">
        <v>1630</v>
      </c>
      <c r="K299" s="0" t="s">
        <v>1504</v>
      </c>
      <c r="L299" s="0" t="s">
        <v>1716</v>
      </c>
      <c r="M299" s="0" t="s">
        <v>1717</v>
      </c>
      <c r="N299" s="0" t="s">
        <v>1507</v>
      </c>
      <c r="O299" s="3" t="s">
        <v>1729</v>
      </c>
      <c r="P299" s="2" t="s">
        <v>1730</v>
      </c>
      <c r="Q299" s="2" t="s">
        <v>1731</v>
      </c>
      <c r="R299" s="2" t="s">
        <v>32</v>
      </c>
      <c r="S299" s="2" t="s">
        <v>33</v>
      </c>
    </row>
    <row r="300" customFormat="false" ht="15" hidden="false" customHeight="false" outlineLevel="0" collapsed="false">
      <c r="A300" s="0" t="n">
        <v>299</v>
      </c>
      <c r="D300" s="0" t="s">
        <v>1732</v>
      </c>
      <c r="E300" s="0" t="s">
        <v>20</v>
      </c>
      <c r="H300" s="0" t="s">
        <v>22</v>
      </c>
      <c r="I300" s="2" t="s">
        <v>23</v>
      </c>
      <c r="J300" s="2" t="s">
        <v>1630</v>
      </c>
      <c r="K300" s="0" t="s">
        <v>1504</v>
      </c>
      <c r="L300" s="0" t="s">
        <v>1668</v>
      </c>
      <c r="M300" s="0" t="s">
        <v>1669</v>
      </c>
      <c r="N300" s="0" t="s">
        <v>1507</v>
      </c>
      <c r="O300" s="3" t="s">
        <v>1733</v>
      </c>
      <c r="P300" s="2" t="s">
        <v>1734</v>
      </c>
      <c r="Q300" s="2" t="s">
        <v>1735</v>
      </c>
      <c r="R300" s="2" t="s">
        <v>32</v>
      </c>
      <c r="S300" s="2" t="s">
        <v>33</v>
      </c>
    </row>
    <row r="301" customFormat="false" ht="15" hidden="false" customHeight="false" outlineLevel="0" collapsed="false">
      <c r="A301" s="0" t="n">
        <v>300</v>
      </c>
      <c r="D301" s="0" t="s">
        <v>1736</v>
      </c>
      <c r="E301" s="0" t="s">
        <v>20</v>
      </c>
      <c r="F301" s="0" t="s">
        <v>1737</v>
      </c>
      <c r="H301" s="0" t="s">
        <v>22</v>
      </c>
      <c r="I301" s="2" t="s">
        <v>23</v>
      </c>
      <c r="J301" s="2" t="s">
        <v>1630</v>
      </c>
      <c r="K301" s="0" t="s">
        <v>1504</v>
      </c>
      <c r="L301" s="0" t="s">
        <v>1668</v>
      </c>
      <c r="M301" s="0" t="s">
        <v>1669</v>
      </c>
      <c r="N301" s="0" t="s">
        <v>1507</v>
      </c>
      <c r="O301" s="3" t="s">
        <v>1738</v>
      </c>
      <c r="P301" s="2" t="s">
        <v>1739</v>
      </c>
      <c r="Q301" s="2" t="s">
        <v>1740</v>
      </c>
      <c r="R301" s="2" t="s">
        <v>32</v>
      </c>
      <c r="S301" s="2" t="s">
        <v>33</v>
      </c>
    </row>
    <row r="302" customFormat="false" ht="15" hidden="false" customHeight="false" outlineLevel="0" collapsed="false">
      <c r="A302" s="0" t="n">
        <v>301</v>
      </c>
      <c r="D302" s="0" t="s">
        <v>1741</v>
      </c>
      <c r="E302" s="0" t="s">
        <v>20</v>
      </c>
      <c r="F302" s="0" t="s">
        <v>1742</v>
      </c>
      <c r="H302" s="0" t="s">
        <v>22</v>
      </c>
      <c r="I302" s="2" t="s">
        <v>23</v>
      </c>
      <c r="J302" s="2" t="s">
        <v>1630</v>
      </c>
      <c r="K302" s="0" t="s">
        <v>1504</v>
      </c>
      <c r="L302" s="0" t="s">
        <v>1743</v>
      </c>
      <c r="M302" s="0" t="s">
        <v>1744</v>
      </c>
      <c r="N302" s="0" t="s">
        <v>1507</v>
      </c>
      <c r="O302" s="3" t="s">
        <v>1745</v>
      </c>
      <c r="P302" s="2" t="s">
        <v>1746</v>
      </c>
      <c r="Q302" s="2" t="s">
        <v>1747</v>
      </c>
      <c r="R302" s="2" t="s">
        <v>32</v>
      </c>
      <c r="S302" s="2" t="s">
        <v>33</v>
      </c>
    </row>
    <row r="303" customFormat="false" ht="15" hidden="false" customHeight="false" outlineLevel="0" collapsed="false">
      <c r="A303" s="0" t="n">
        <v>302</v>
      </c>
      <c r="D303" s="0" t="s">
        <v>1748</v>
      </c>
      <c r="E303" s="0" t="s">
        <v>20</v>
      </c>
      <c r="F303" s="0" t="s">
        <v>1749</v>
      </c>
      <c r="H303" s="0" t="s">
        <v>22</v>
      </c>
      <c r="I303" s="2" t="s">
        <v>23</v>
      </c>
      <c r="J303" s="2" t="s">
        <v>1630</v>
      </c>
      <c r="K303" s="0" t="s">
        <v>1504</v>
      </c>
      <c r="L303" s="0" t="s">
        <v>1750</v>
      </c>
      <c r="M303" s="0" t="s">
        <v>1751</v>
      </c>
      <c r="N303" s="0" t="s">
        <v>1507</v>
      </c>
      <c r="O303" s="3" t="s">
        <v>1752</v>
      </c>
      <c r="P303" s="2" t="s">
        <v>1753</v>
      </c>
      <c r="Q303" s="2" t="s">
        <v>1754</v>
      </c>
      <c r="R303" s="2" t="s">
        <v>32</v>
      </c>
      <c r="S303" s="2" t="s">
        <v>33</v>
      </c>
    </row>
    <row r="304" customFormat="false" ht="15" hidden="false" customHeight="false" outlineLevel="0" collapsed="false">
      <c r="A304" s="0" t="n">
        <v>303</v>
      </c>
      <c r="D304" s="0" t="s">
        <v>1755</v>
      </c>
      <c r="E304" s="0" t="s">
        <v>20</v>
      </c>
      <c r="F304" s="0" t="s">
        <v>1756</v>
      </c>
      <c r="H304" s="0" t="s">
        <v>22</v>
      </c>
      <c r="I304" s="2" t="s">
        <v>23</v>
      </c>
      <c r="J304" s="2" t="s">
        <v>1630</v>
      </c>
      <c r="K304" s="0" t="s">
        <v>1504</v>
      </c>
      <c r="L304" s="0" t="s">
        <v>1709</v>
      </c>
      <c r="M304" s="0" t="s">
        <v>1710</v>
      </c>
      <c r="N304" s="0" t="s">
        <v>1507</v>
      </c>
      <c r="O304" s="3" t="s">
        <v>1757</v>
      </c>
      <c r="P304" s="2" t="s">
        <v>1758</v>
      </c>
      <c r="Q304" s="2" t="s">
        <v>1759</v>
      </c>
      <c r="R304" s="2" t="s">
        <v>32</v>
      </c>
      <c r="S304" s="2" t="s">
        <v>33</v>
      </c>
    </row>
    <row r="305" customFormat="false" ht="15" hidden="false" customHeight="false" outlineLevel="0" collapsed="false">
      <c r="A305" s="0" t="n">
        <v>304</v>
      </c>
      <c r="D305" s="0" t="s">
        <v>1760</v>
      </c>
      <c r="E305" s="0" t="s">
        <v>20</v>
      </c>
      <c r="F305" s="0" t="s">
        <v>1761</v>
      </c>
      <c r="H305" s="0" t="s">
        <v>22</v>
      </c>
      <c r="I305" s="2" t="s">
        <v>23</v>
      </c>
      <c r="J305" s="2" t="s">
        <v>1630</v>
      </c>
      <c r="K305" s="0" t="s">
        <v>1504</v>
      </c>
      <c r="L305" s="0" t="s">
        <v>1709</v>
      </c>
      <c r="M305" s="0" t="s">
        <v>1710</v>
      </c>
      <c r="N305" s="0" t="s">
        <v>1507</v>
      </c>
      <c r="O305" s="3" t="s">
        <v>1762</v>
      </c>
      <c r="Q305" s="2" t="s">
        <v>1763</v>
      </c>
      <c r="R305" s="2" t="s">
        <v>99</v>
      </c>
      <c r="S305" s="2" t="s">
        <v>33</v>
      </c>
    </row>
    <row r="306" customFormat="false" ht="15" hidden="false" customHeight="false" outlineLevel="0" collapsed="false">
      <c r="A306" s="0" t="n">
        <v>305</v>
      </c>
      <c r="D306" s="0" t="s">
        <v>1764</v>
      </c>
      <c r="E306" s="0" t="s">
        <v>20</v>
      </c>
      <c r="F306" s="0" t="s">
        <v>1765</v>
      </c>
      <c r="H306" s="0" t="s">
        <v>22</v>
      </c>
      <c r="I306" s="2" t="s">
        <v>23</v>
      </c>
      <c r="J306" s="2" t="s">
        <v>1630</v>
      </c>
      <c r="K306" s="0" t="s">
        <v>1504</v>
      </c>
      <c r="L306" s="0" t="s">
        <v>418</v>
      </c>
      <c r="M306" s="0" t="s">
        <v>1631</v>
      </c>
      <c r="N306" s="0" t="s">
        <v>1507</v>
      </c>
      <c r="O306" s="3" t="s">
        <v>1766</v>
      </c>
      <c r="P306" s="2" t="s">
        <v>1767</v>
      </c>
      <c r="Q306" s="2" t="s">
        <v>1768</v>
      </c>
      <c r="R306" s="2" t="s">
        <v>32</v>
      </c>
      <c r="S306" s="2" t="s">
        <v>33</v>
      </c>
    </row>
    <row r="307" customFormat="false" ht="15" hidden="false" customHeight="false" outlineLevel="0" collapsed="false">
      <c r="A307" s="0" t="n">
        <v>306</v>
      </c>
      <c r="D307" s="0" t="s">
        <v>1769</v>
      </c>
      <c r="E307" s="0" t="s">
        <v>20</v>
      </c>
      <c r="F307" s="0" t="s">
        <v>1770</v>
      </c>
      <c r="H307" s="0" t="s">
        <v>22</v>
      </c>
      <c r="I307" s="2" t="s">
        <v>23</v>
      </c>
      <c r="J307" s="2" t="s">
        <v>1630</v>
      </c>
      <c r="K307" s="0" t="s">
        <v>1504</v>
      </c>
      <c r="L307" s="0" t="s">
        <v>1709</v>
      </c>
      <c r="M307" s="0" t="s">
        <v>1771</v>
      </c>
      <c r="N307" s="0" t="s">
        <v>1507</v>
      </c>
      <c r="O307" s="3" t="s">
        <v>1772</v>
      </c>
      <c r="P307" s="2" t="s">
        <v>1773</v>
      </c>
      <c r="Q307" s="2" t="s">
        <v>1774</v>
      </c>
      <c r="R307" s="2" t="s">
        <v>32</v>
      </c>
      <c r="S307" s="2" t="s">
        <v>33</v>
      </c>
    </row>
    <row r="308" customFormat="false" ht="15" hidden="false" customHeight="false" outlineLevel="0" collapsed="false">
      <c r="A308" s="0" t="n">
        <v>307</v>
      </c>
      <c r="D308" s="0" t="s">
        <v>1775</v>
      </c>
      <c r="E308" s="0" t="s">
        <v>20</v>
      </c>
      <c r="F308" s="0" t="s">
        <v>1776</v>
      </c>
      <c r="H308" s="0" t="s">
        <v>22</v>
      </c>
      <c r="I308" s="2" t="s">
        <v>23</v>
      </c>
      <c r="J308" s="2" t="s">
        <v>1630</v>
      </c>
      <c r="K308" s="0" t="s">
        <v>1504</v>
      </c>
      <c r="L308" s="0" t="s">
        <v>1777</v>
      </c>
      <c r="M308" s="0" t="s">
        <v>1778</v>
      </c>
      <c r="N308" s="0" t="s">
        <v>1507</v>
      </c>
      <c r="O308" s="3" t="s">
        <v>1779</v>
      </c>
      <c r="P308" s="2" t="s">
        <v>1780</v>
      </c>
      <c r="Q308" s="2" t="s">
        <v>1781</v>
      </c>
      <c r="R308" s="2" t="s">
        <v>32</v>
      </c>
      <c r="S308" s="2" t="s">
        <v>33</v>
      </c>
    </row>
    <row r="309" customFormat="false" ht="15" hidden="false" customHeight="false" outlineLevel="0" collapsed="false">
      <c r="A309" s="0" t="n">
        <v>308</v>
      </c>
      <c r="D309" s="0" t="s">
        <v>1782</v>
      </c>
      <c r="E309" s="0" t="s">
        <v>20</v>
      </c>
      <c r="F309" s="0" t="s">
        <v>1783</v>
      </c>
      <c r="H309" s="0" t="s">
        <v>22</v>
      </c>
      <c r="I309" s="2" t="s">
        <v>23</v>
      </c>
      <c r="J309" s="2" t="s">
        <v>1630</v>
      </c>
      <c r="K309" s="0" t="s">
        <v>1504</v>
      </c>
      <c r="L309" s="0" t="s">
        <v>1784</v>
      </c>
      <c r="M309" s="0" t="s">
        <v>1631</v>
      </c>
      <c r="N309" s="0" t="s">
        <v>1507</v>
      </c>
      <c r="O309" s="3" t="s">
        <v>1785</v>
      </c>
      <c r="P309" s="2" t="s">
        <v>1786</v>
      </c>
      <c r="Q309" s="2" t="s">
        <v>1787</v>
      </c>
      <c r="R309" s="2" t="s">
        <v>32</v>
      </c>
      <c r="S309" s="2" t="s">
        <v>33</v>
      </c>
    </row>
    <row r="310" customFormat="false" ht="15" hidden="false" customHeight="false" outlineLevel="0" collapsed="false">
      <c r="A310" s="0" t="n">
        <v>309</v>
      </c>
      <c r="D310" s="0" t="s">
        <v>1788</v>
      </c>
      <c r="E310" s="0" t="s">
        <v>20</v>
      </c>
      <c r="F310" s="0" t="s">
        <v>1789</v>
      </c>
      <c r="H310" s="0" t="s">
        <v>22</v>
      </c>
      <c r="I310" s="2" t="s">
        <v>23</v>
      </c>
      <c r="J310" s="2" t="s">
        <v>1630</v>
      </c>
      <c r="K310" s="0" t="s">
        <v>1504</v>
      </c>
      <c r="L310" s="0" t="s">
        <v>1709</v>
      </c>
      <c r="M310" s="0" t="s">
        <v>1710</v>
      </c>
      <c r="N310" s="0" t="s">
        <v>1507</v>
      </c>
      <c r="O310" s="3" t="s">
        <v>1790</v>
      </c>
      <c r="P310" s="2" t="s">
        <v>1791</v>
      </c>
      <c r="Q310" s="2" t="s">
        <v>1792</v>
      </c>
      <c r="R310" s="2" t="s">
        <v>99</v>
      </c>
      <c r="S310" s="2" t="s">
        <v>33</v>
      </c>
    </row>
    <row r="311" customFormat="false" ht="15" hidden="false" customHeight="false" outlineLevel="0" collapsed="false">
      <c r="A311" s="0" t="n">
        <v>310</v>
      </c>
      <c r="D311" s="0" t="s">
        <v>1793</v>
      </c>
      <c r="E311" s="0" t="s">
        <v>20</v>
      </c>
      <c r="F311" s="0" t="s">
        <v>1794</v>
      </c>
      <c r="H311" s="0" t="s">
        <v>22</v>
      </c>
      <c r="I311" s="2" t="s">
        <v>23</v>
      </c>
      <c r="J311" s="2" t="s">
        <v>1630</v>
      </c>
      <c r="K311" s="0" t="s">
        <v>1504</v>
      </c>
      <c r="L311" s="0" t="s">
        <v>1668</v>
      </c>
      <c r="M311" s="0" t="s">
        <v>1669</v>
      </c>
      <c r="N311" s="0" t="s">
        <v>1507</v>
      </c>
      <c r="O311" s="3" t="s">
        <v>1795</v>
      </c>
      <c r="P311" s="2" t="s">
        <v>1796</v>
      </c>
      <c r="Q311" s="2" t="s">
        <v>1797</v>
      </c>
      <c r="R311" s="2" t="s">
        <v>32</v>
      </c>
      <c r="S311" s="2" t="s">
        <v>33</v>
      </c>
    </row>
    <row r="312" customFormat="false" ht="15" hidden="false" customHeight="false" outlineLevel="0" collapsed="false">
      <c r="A312" s="0" t="n">
        <v>311</v>
      </c>
      <c r="D312" s="0" t="s">
        <v>1798</v>
      </c>
      <c r="E312" s="0" t="s">
        <v>20</v>
      </c>
      <c r="F312" s="0" t="s">
        <v>1799</v>
      </c>
      <c r="H312" s="0" t="s">
        <v>22</v>
      </c>
      <c r="I312" s="2" t="s">
        <v>23</v>
      </c>
      <c r="J312" s="2" t="s">
        <v>1630</v>
      </c>
      <c r="K312" s="0" t="s">
        <v>1504</v>
      </c>
      <c r="L312" s="0" t="s">
        <v>1800</v>
      </c>
      <c r="M312" s="0" t="s">
        <v>1801</v>
      </c>
      <c r="N312" s="0" t="s">
        <v>1507</v>
      </c>
      <c r="O312" s="3" t="s">
        <v>1802</v>
      </c>
      <c r="P312" s="2" t="s">
        <v>1803</v>
      </c>
      <c r="Q312" s="2" t="s">
        <v>1804</v>
      </c>
      <c r="R312" s="2" t="s">
        <v>32</v>
      </c>
      <c r="S312" s="2" t="s">
        <v>33</v>
      </c>
    </row>
    <row r="313" customFormat="false" ht="15" hidden="false" customHeight="false" outlineLevel="0" collapsed="false">
      <c r="A313" s="0" t="n">
        <v>312</v>
      </c>
      <c r="D313" s="0" t="s">
        <v>1805</v>
      </c>
      <c r="E313" s="0" t="s">
        <v>20</v>
      </c>
      <c r="F313" s="0" t="s">
        <v>1806</v>
      </c>
      <c r="H313" s="0" t="s">
        <v>22</v>
      </c>
      <c r="I313" s="2" t="s">
        <v>23</v>
      </c>
      <c r="J313" s="2" t="s">
        <v>1630</v>
      </c>
      <c r="K313" s="0" t="s">
        <v>1504</v>
      </c>
      <c r="L313" s="0" t="s">
        <v>1807</v>
      </c>
      <c r="M313" s="0" t="s">
        <v>1808</v>
      </c>
      <c r="N313" s="0" t="s">
        <v>1507</v>
      </c>
      <c r="O313" s="3" t="s">
        <v>1809</v>
      </c>
      <c r="P313" s="2" t="s">
        <v>1810</v>
      </c>
      <c r="Q313" s="2" t="s">
        <v>1811</v>
      </c>
      <c r="R313" s="2" t="s">
        <v>32</v>
      </c>
      <c r="S313" s="2" t="s">
        <v>33</v>
      </c>
    </row>
    <row r="314" customFormat="false" ht="15" hidden="false" customHeight="false" outlineLevel="0" collapsed="false">
      <c r="A314" s="0" t="n">
        <v>313</v>
      </c>
      <c r="D314" s="0" t="s">
        <v>1812</v>
      </c>
      <c r="E314" s="0" t="s">
        <v>20</v>
      </c>
      <c r="F314" s="0" t="s">
        <v>1813</v>
      </c>
      <c r="H314" s="0" t="s">
        <v>22</v>
      </c>
      <c r="I314" s="2" t="s">
        <v>23</v>
      </c>
      <c r="J314" s="2" t="s">
        <v>1630</v>
      </c>
      <c r="K314" s="0" t="s">
        <v>1504</v>
      </c>
      <c r="L314" s="0" t="s">
        <v>1814</v>
      </c>
      <c r="M314" s="0" t="s">
        <v>1808</v>
      </c>
      <c r="N314" s="0" t="s">
        <v>1507</v>
      </c>
      <c r="O314" s="3" t="s">
        <v>1815</v>
      </c>
      <c r="P314" s="2" t="s">
        <v>1816</v>
      </c>
      <c r="Q314" s="2" t="s">
        <v>1817</v>
      </c>
      <c r="R314" s="2" t="s">
        <v>32</v>
      </c>
      <c r="S314" s="2" t="s">
        <v>33</v>
      </c>
    </row>
    <row r="315" customFormat="false" ht="15" hidden="false" customHeight="false" outlineLevel="0" collapsed="false">
      <c r="A315" s="0" t="n">
        <v>314</v>
      </c>
      <c r="D315" s="0" t="s">
        <v>1818</v>
      </c>
      <c r="E315" s="0" t="s">
        <v>20</v>
      </c>
      <c r="F315" s="0" t="s">
        <v>1819</v>
      </c>
      <c r="H315" s="0" t="s">
        <v>22</v>
      </c>
      <c r="I315" s="2" t="s">
        <v>23</v>
      </c>
      <c r="J315" s="2" t="s">
        <v>1630</v>
      </c>
      <c r="K315" s="0" t="s">
        <v>1504</v>
      </c>
      <c r="L315" s="0" t="s">
        <v>418</v>
      </c>
      <c r="M315" s="0" t="s">
        <v>1631</v>
      </c>
      <c r="N315" s="0" t="s">
        <v>1507</v>
      </c>
      <c r="O315" s="3" t="s">
        <v>1820</v>
      </c>
      <c r="P315" s="2" t="s">
        <v>1821</v>
      </c>
      <c r="Q315" s="2" t="s">
        <v>1822</v>
      </c>
      <c r="R315" s="2" t="s">
        <v>32</v>
      </c>
      <c r="S315" s="2" t="s">
        <v>33</v>
      </c>
    </row>
    <row r="316" customFormat="false" ht="15" hidden="false" customHeight="false" outlineLevel="0" collapsed="false">
      <c r="A316" s="0" t="n">
        <v>315</v>
      </c>
      <c r="D316" s="0" t="s">
        <v>1823</v>
      </c>
      <c r="E316" s="0" t="s">
        <v>20</v>
      </c>
      <c r="F316" s="0" t="s">
        <v>1824</v>
      </c>
      <c r="H316" s="0" t="s">
        <v>22</v>
      </c>
      <c r="I316" s="2" t="s">
        <v>23</v>
      </c>
      <c r="J316" s="2" t="s">
        <v>1630</v>
      </c>
      <c r="K316" s="0" t="s">
        <v>1504</v>
      </c>
      <c r="L316" s="0" t="s">
        <v>418</v>
      </c>
      <c r="M316" s="0" t="s">
        <v>1631</v>
      </c>
      <c r="N316" s="0" t="s">
        <v>1507</v>
      </c>
      <c r="O316" s="3" t="s">
        <v>1825</v>
      </c>
      <c r="P316" s="2" t="s">
        <v>1826</v>
      </c>
      <c r="Q316" s="2" t="s">
        <v>1827</v>
      </c>
      <c r="R316" s="2" t="s">
        <v>32</v>
      </c>
      <c r="S316" s="2" t="s">
        <v>33</v>
      </c>
    </row>
    <row r="317" customFormat="false" ht="15" hidden="false" customHeight="false" outlineLevel="0" collapsed="false">
      <c r="A317" s="0" t="n">
        <v>316</v>
      </c>
      <c r="D317" s="0" t="s">
        <v>1828</v>
      </c>
      <c r="E317" s="0" t="s">
        <v>20</v>
      </c>
      <c r="F317" s="0" t="s">
        <v>1829</v>
      </c>
      <c r="H317" s="0" t="s">
        <v>22</v>
      </c>
      <c r="I317" s="2" t="s">
        <v>23</v>
      </c>
      <c r="J317" s="2" t="s">
        <v>1630</v>
      </c>
      <c r="K317" s="0" t="s">
        <v>1504</v>
      </c>
      <c r="L317" s="0" t="s">
        <v>1668</v>
      </c>
      <c r="M317" s="0" t="s">
        <v>1669</v>
      </c>
      <c r="N317" s="0" t="s">
        <v>1507</v>
      </c>
      <c r="O317" s="3" t="s">
        <v>1830</v>
      </c>
      <c r="P317" s="2" t="s">
        <v>1831</v>
      </c>
      <c r="Q317" s="2" t="s">
        <v>1832</v>
      </c>
      <c r="R317" s="2" t="s">
        <v>99</v>
      </c>
      <c r="S317" s="2" t="s">
        <v>33</v>
      </c>
    </row>
    <row r="318" customFormat="false" ht="15" hidden="false" customHeight="false" outlineLevel="0" collapsed="false">
      <c r="A318" s="0" t="n">
        <v>317</v>
      </c>
      <c r="D318" s="0" t="s">
        <v>1833</v>
      </c>
      <c r="E318" s="0" t="s">
        <v>20</v>
      </c>
      <c r="F318" s="0" t="s">
        <v>1834</v>
      </c>
      <c r="H318" s="0" t="s">
        <v>22</v>
      </c>
      <c r="I318" s="2" t="s">
        <v>23</v>
      </c>
      <c r="J318" s="2" t="s">
        <v>1630</v>
      </c>
      <c r="K318" s="0" t="s">
        <v>1504</v>
      </c>
      <c r="L318" s="0" t="s">
        <v>418</v>
      </c>
      <c r="M318" s="0" t="s">
        <v>1631</v>
      </c>
      <c r="N318" s="0" t="s">
        <v>1507</v>
      </c>
      <c r="O318" s="3" t="s">
        <v>1835</v>
      </c>
      <c r="Q318" s="2" t="s">
        <v>1836</v>
      </c>
      <c r="R318" s="2" t="s">
        <v>32</v>
      </c>
      <c r="S318" s="2" t="s">
        <v>33</v>
      </c>
    </row>
    <row r="319" customFormat="false" ht="15" hidden="false" customHeight="false" outlineLevel="0" collapsed="false">
      <c r="A319" s="0" t="n">
        <v>318</v>
      </c>
      <c r="D319" s="0" t="s">
        <v>1837</v>
      </c>
      <c r="E319" s="0" t="s">
        <v>1838</v>
      </c>
      <c r="F319" s="0" t="s">
        <v>1839</v>
      </c>
      <c r="H319" s="0" t="s">
        <v>22</v>
      </c>
      <c r="I319" s="2" t="s">
        <v>23</v>
      </c>
      <c r="J319" s="2" t="s">
        <v>1630</v>
      </c>
      <c r="K319" s="0" t="s">
        <v>1504</v>
      </c>
      <c r="L319" s="0" t="s">
        <v>1840</v>
      </c>
      <c r="M319" s="0" t="s">
        <v>1771</v>
      </c>
      <c r="N319" s="0" t="s">
        <v>1507</v>
      </c>
      <c r="O319" s="3" t="s">
        <v>1841</v>
      </c>
      <c r="P319" s="2" t="s">
        <v>1842</v>
      </c>
      <c r="Q319" s="2" t="s">
        <v>1843</v>
      </c>
      <c r="R319" s="2" t="s">
        <v>1844</v>
      </c>
      <c r="S319" s="2" t="s">
        <v>33</v>
      </c>
    </row>
    <row r="320" customFormat="false" ht="15" hidden="false" customHeight="false" outlineLevel="0" collapsed="false">
      <c r="A320" s="0" t="n">
        <v>319</v>
      </c>
      <c r="D320" s="0" t="s">
        <v>1845</v>
      </c>
      <c r="E320" s="0" t="s">
        <v>20</v>
      </c>
      <c r="F320" s="0" t="s">
        <v>1846</v>
      </c>
      <c r="H320" s="0" t="s">
        <v>22</v>
      </c>
      <c r="I320" s="2" t="s">
        <v>23</v>
      </c>
      <c r="J320" s="2" t="s">
        <v>1630</v>
      </c>
      <c r="K320" s="0" t="s">
        <v>1504</v>
      </c>
      <c r="L320" s="0" t="s">
        <v>1668</v>
      </c>
      <c r="M320" s="0" t="s">
        <v>1669</v>
      </c>
      <c r="N320" s="0" t="s">
        <v>1507</v>
      </c>
      <c r="O320" s="3" t="s">
        <v>1847</v>
      </c>
      <c r="P320" s="2" t="s">
        <v>1848</v>
      </c>
      <c r="Q320" s="2" t="s">
        <v>1849</v>
      </c>
      <c r="R320" s="2" t="s">
        <v>32</v>
      </c>
      <c r="S320" s="2" t="s">
        <v>33</v>
      </c>
    </row>
    <row r="321" customFormat="false" ht="15" hidden="false" customHeight="false" outlineLevel="0" collapsed="false">
      <c r="A321" s="0" t="n">
        <v>320</v>
      </c>
      <c r="D321" s="0" t="s">
        <v>1850</v>
      </c>
      <c r="E321" s="0" t="s">
        <v>20</v>
      </c>
      <c r="F321" s="0" t="s">
        <v>1851</v>
      </c>
      <c r="H321" s="0" t="s">
        <v>22</v>
      </c>
      <c r="I321" s="2" t="s">
        <v>23</v>
      </c>
      <c r="J321" s="2" t="s">
        <v>1630</v>
      </c>
      <c r="K321" s="0" t="s">
        <v>1504</v>
      </c>
      <c r="L321" s="0" t="s">
        <v>418</v>
      </c>
      <c r="M321" s="0" t="s">
        <v>1631</v>
      </c>
      <c r="N321" s="0" t="s">
        <v>1507</v>
      </c>
      <c r="O321" s="3" t="s">
        <v>1852</v>
      </c>
      <c r="P321" s="2" t="s">
        <v>1853</v>
      </c>
      <c r="Q321" s="2" t="s">
        <v>1854</v>
      </c>
      <c r="R321" s="2" t="s">
        <v>32</v>
      </c>
      <c r="S321" s="2" t="s">
        <v>33</v>
      </c>
    </row>
    <row r="322" customFormat="false" ht="15" hidden="false" customHeight="false" outlineLevel="0" collapsed="false">
      <c r="A322" s="0" t="n">
        <v>321</v>
      </c>
      <c r="D322" s="0" t="s">
        <v>1855</v>
      </c>
      <c r="E322" s="0" t="s">
        <v>20</v>
      </c>
      <c r="F322" s="0" t="s">
        <v>1856</v>
      </c>
      <c r="H322" s="0" t="s">
        <v>22</v>
      </c>
      <c r="I322" s="2" t="s">
        <v>23</v>
      </c>
      <c r="J322" s="2" t="s">
        <v>1630</v>
      </c>
      <c r="K322" s="0" t="s">
        <v>1504</v>
      </c>
      <c r="L322" s="0" t="s">
        <v>1857</v>
      </c>
      <c r="M322" s="0" t="s">
        <v>1858</v>
      </c>
      <c r="N322" s="0" t="s">
        <v>1507</v>
      </c>
      <c r="O322" s="3" t="s">
        <v>1859</v>
      </c>
      <c r="P322" s="2" t="s">
        <v>1860</v>
      </c>
      <c r="Q322" s="2" t="s">
        <v>1861</v>
      </c>
      <c r="R322" s="2" t="s">
        <v>32</v>
      </c>
      <c r="S322" s="2" t="s">
        <v>33</v>
      </c>
    </row>
    <row r="323" customFormat="false" ht="15" hidden="false" customHeight="false" outlineLevel="0" collapsed="false">
      <c r="A323" s="0" t="n">
        <v>322</v>
      </c>
      <c r="D323" s="0" t="s">
        <v>1862</v>
      </c>
      <c r="E323" s="0" t="s">
        <v>20</v>
      </c>
      <c r="F323" s="0" t="s">
        <v>1863</v>
      </c>
      <c r="H323" s="0" t="s">
        <v>22</v>
      </c>
      <c r="I323" s="2" t="s">
        <v>23</v>
      </c>
      <c r="J323" s="2" t="s">
        <v>1630</v>
      </c>
      <c r="K323" s="0" t="s">
        <v>1504</v>
      </c>
      <c r="L323" s="0" t="s">
        <v>418</v>
      </c>
      <c r="M323" s="0" t="s">
        <v>1631</v>
      </c>
      <c r="N323" s="0" t="s">
        <v>1507</v>
      </c>
      <c r="O323" s="3" t="s">
        <v>1864</v>
      </c>
      <c r="P323" s="2" t="s">
        <v>1865</v>
      </c>
      <c r="Q323" s="2" t="s">
        <v>1866</v>
      </c>
      <c r="R323" s="2" t="s">
        <v>32</v>
      </c>
      <c r="S323" s="2" t="s">
        <v>33</v>
      </c>
    </row>
    <row r="324" customFormat="false" ht="15" hidden="false" customHeight="false" outlineLevel="0" collapsed="false">
      <c r="A324" s="0" t="n">
        <v>323</v>
      </c>
      <c r="D324" s="0" t="s">
        <v>1867</v>
      </c>
      <c r="E324" s="0" t="s">
        <v>20</v>
      </c>
      <c r="F324" s="0" t="s">
        <v>1868</v>
      </c>
      <c r="H324" s="0" t="s">
        <v>22</v>
      </c>
      <c r="I324" s="2" t="s">
        <v>23</v>
      </c>
      <c r="J324" s="2" t="s">
        <v>1630</v>
      </c>
      <c r="K324" s="0" t="s">
        <v>1504</v>
      </c>
      <c r="L324" s="0" t="s">
        <v>418</v>
      </c>
      <c r="M324" s="0" t="s">
        <v>1631</v>
      </c>
      <c r="N324" s="0" t="s">
        <v>1507</v>
      </c>
      <c r="O324" s="3" t="s">
        <v>1869</v>
      </c>
      <c r="P324" s="2" t="s">
        <v>1870</v>
      </c>
      <c r="Q324" s="2" t="s">
        <v>1871</v>
      </c>
      <c r="R324" s="2" t="s">
        <v>32</v>
      </c>
      <c r="S324" s="2" t="s">
        <v>33</v>
      </c>
    </row>
    <row r="325" customFormat="false" ht="15" hidden="false" customHeight="false" outlineLevel="0" collapsed="false">
      <c r="A325" s="0" t="n">
        <v>324</v>
      </c>
      <c r="D325" s="0" t="s">
        <v>1872</v>
      </c>
      <c r="E325" s="0" t="s">
        <v>20</v>
      </c>
      <c r="F325" s="0" t="s">
        <v>1873</v>
      </c>
      <c r="H325" s="0" t="s">
        <v>22</v>
      </c>
      <c r="I325" s="2" t="s">
        <v>23</v>
      </c>
      <c r="J325" s="2" t="s">
        <v>1630</v>
      </c>
      <c r="K325" s="0" t="s">
        <v>1504</v>
      </c>
      <c r="L325" s="0" t="s">
        <v>1874</v>
      </c>
      <c r="M325" s="0" t="s">
        <v>1875</v>
      </c>
      <c r="N325" s="0" t="s">
        <v>1507</v>
      </c>
      <c r="O325" s="3" t="s">
        <v>1876</v>
      </c>
      <c r="P325" s="2" t="s">
        <v>1877</v>
      </c>
      <c r="Q325" s="2" t="s">
        <v>1878</v>
      </c>
      <c r="R325" s="2" t="s">
        <v>1879</v>
      </c>
      <c r="S325" s="2" t="s">
        <v>33</v>
      </c>
    </row>
    <row r="326" customFormat="false" ht="15" hidden="false" customHeight="false" outlineLevel="0" collapsed="false">
      <c r="A326" s="0" t="n">
        <v>325</v>
      </c>
      <c r="D326" s="0" t="s">
        <v>1880</v>
      </c>
      <c r="E326" s="0" t="s">
        <v>20</v>
      </c>
      <c r="F326" s="0" t="s">
        <v>1881</v>
      </c>
      <c r="H326" s="0" t="s">
        <v>22</v>
      </c>
      <c r="I326" s="2" t="s">
        <v>23</v>
      </c>
      <c r="J326" s="2" t="s">
        <v>1630</v>
      </c>
      <c r="K326" s="0" t="s">
        <v>1504</v>
      </c>
      <c r="L326" s="0" t="s">
        <v>1814</v>
      </c>
      <c r="M326" s="0" t="s">
        <v>1808</v>
      </c>
      <c r="N326" s="0" t="s">
        <v>1507</v>
      </c>
      <c r="O326" s="3" t="s">
        <v>1882</v>
      </c>
      <c r="P326" s="2" t="s">
        <v>1883</v>
      </c>
      <c r="Q326" s="2" t="s">
        <v>1884</v>
      </c>
      <c r="R326" s="2" t="s">
        <v>32</v>
      </c>
      <c r="S326" s="2" t="s">
        <v>33</v>
      </c>
    </row>
    <row r="327" customFormat="false" ht="15" hidden="false" customHeight="false" outlineLevel="0" collapsed="false">
      <c r="A327" s="0" t="n">
        <v>326</v>
      </c>
      <c r="D327" s="0" t="s">
        <v>1885</v>
      </c>
      <c r="E327" s="0" t="s">
        <v>20</v>
      </c>
      <c r="F327" s="0" t="s">
        <v>1886</v>
      </c>
      <c r="H327" s="0" t="s">
        <v>22</v>
      </c>
      <c r="I327" s="2" t="s">
        <v>23</v>
      </c>
      <c r="J327" s="2" t="s">
        <v>1630</v>
      </c>
      <c r="K327" s="0" t="s">
        <v>1504</v>
      </c>
      <c r="L327" s="0" t="s">
        <v>1668</v>
      </c>
      <c r="M327" s="0" t="s">
        <v>1669</v>
      </c>
      <c r="N327" s="0" t="s">
        <v>1507</v>
      </c>
      <c r="O327" s="3" t="s">
        <v>1887</v>
      </c>
      <c r="P327" s="2" t="s">
        <v>1888</v>
      </c>
      <c r="Q327" s="2" t="s">
        <v>1889</v>
      </c>
      <c r="R327" s="2" t="s">
        <v>32</v>
      </c>
      <c r="S327" s="2" t="s">
        <v>33</v>
      </c>
    </row>
    <row r="328" customFormat="false" ht="15" hidden="false" customHeight="false" outlineLevel="0" collapsed="false">
      <c r="A328" s="0" t="n">
        <v>327</v>
      </c>
      <c r="D328" s="0" t="s">
        <v>1890</v>
      </c>
      <c r="E328" s="0" t="s">
        <v>20</v>
      </c>
      <c r="F328" s="0" t="s">
        <v>1891</v>
      </c>
      <c r="H328" s="0" t="s">
        <v>22</v>
      </c>
      <c r="I328" s="2" t="s">
        <v>23</v>
      </c>
      <c r="J328" s="2" t="s">
        <v>1630</v>
      </c>
      <c r="K328" s="0" t="s">
        <v>1504</v>
      </c>
      <c r="L328" s="0" t="s">
        <v>1892</v>
      </c>
      <c r="M328" s="0" t="s">
        <v>1893</v>
      </c>
      <c r="N328" s="0" t="s">
        <v>1507</v>
      </c>
      <c r="O328" s="3" t="s">
        <v>1894</v>
      </c>
      <c r="P328" s="2" t="s">
        <v>1895</v>
      </c>
      <c r="Q328" s="2" t="s">
        <v>1896</v>
      </c>
      <c r="R328" s="2" t="s">
        <v>32</v>
      </c>
      <c r="S328" s="2" t="s">
        <v>33</v>
      </c>
    </row>
    <row r="329" customFormat="false" ht="15" hidden="false" customHeight="false" outlineLevel="0" collapsed="false">
      <c r="A329" s="0" t="n">
        <v>328</v>
      </c>
      <c r="D329" s="0" t="s">
        <v>1897</v>
      </c>
      <c r="E329" s="0" t="s">
        <v>20</v>
      </c>
      <c r="F329" s="0" t="s">
        <v>1898</v>
      </c>
      <c r="H329" s="0" t="s">
        <v>22</v>
      </c>
      <c r="I329" s="2" t="s">
        <v>23</v>
      </c>
      <c r="J329" s="2" t="s">
        <v>1630</v>
      </c>
      <c r="K329" s="0" t="s">
        <v>1504</v>
      </c>
      <c r="L329" s="0" t="s">
        <v>1899</v>
      </c>
      <c r="M329" s="0" t="s">
        <v>1900</v>
      </c>
      <c r="N329" s="0" t="s">
        <v>1507</v>
      </c>
      <c r="O329" s="3" t="s">
        <v>1901</v>
      </c>
      <c r="P329" s="2" t="s">
        <v>1902</v>
      </c>
      <c r="Q329" s="2" t="s">
        <v>1903</v>
      </c>
      <c r="R329" s="2" t="s">
        <v>32</v>
      </c>
      <c r="S329" s="2" t="s">
        <v>33</v>
      </c>
    </row>
    <row r="330" customFormat="false" ht="15" hidden="false" customHeight="false" outlineLevel="0" collapsed="false">
      <c r="A330" s="0" t="n">
        <v>329</v>
      </c>
      <c r="D330" s="0" t="s">
        <v>1904</v>
      </c>
      <c r="E330" s="0" t="s">
        <v>20</v>
      </c>
      <c r="F330" s="0" t="s">
        <v>1905</v>
      </c>
      <c r="H330" s="0" t="s">
        <v>22</v>
      </c>
      <c r="I330" s="2" t="s">
        <v>23</v>
      </c>
      <c r="J330" s="2" t="s">
        <v>1630</v>
      </c>
      <c r="K330" s="0" t="s">
        <v>1504</v>
      </c>
      <c r="L330" s="0" t="s">
        <v>1668</v>
      </c>
      <c r="M330" s="0" t="s">
        <v>1669</v>
      </c>
      <c r="N330" s="0" t="s">
        <v>1507</v>
      </c>
      <c r="O330" s="3" t="s">
        <v>1906</v>
      </c>
      <c r="P330" s="2" t="s">
        <v>1907</v>
      </c>
      <c r="Q330" s="2" t="s">
        <v>1908</v>
      </c>
      <c r="R330" s="2" t="s">
        <v>32</v>
      </c>
      <c r="S330" s="2" t="s">
        <v>33</v>
      </c>
    </row>
    <row r="331" customFormat="false" ht="15" hidden="false" customHeight="false" outlineLevel="0" collapsed="false">
      <c r="A331" s="0" t="n">
        <v>330</v>
      </c>
      <c r="D331" s="0" t="s">
        <v>1909</v>
      </c>
      <c r="E331" s="0" t="s">
        <v>20</v>
      </c>
      <c r="F331" s="0" t="s">
        <v>1910</v>
      </c>
      <c r="H331" s="0" t="s">
        <v>22</v>
      </c>
      <c r="I331" s="2" t="s">
        <v>23</v>
      </c>
      <c r="J331" s="2" t="s">
        <v>1630</v>
      </c>
      <c r="K331" s="0" t="s">
        <v>1504</v>
      </c>
      <c r="L331" s="0" t="s">
        <v>1668</v>
      </c>
      <c r="M331" s="0" t="s">
        <v>1669</v>
      </c>
      <c r="N331" s="0" t="s">
        <v>1507</v>
      </c>
      <c r="O331" s="3" t="s">
        <v>1911</v>
      </c>
      <c r="P331" s="2" t="s">
        <v>1912</v>
      </c>
      <c r="Q331" s="2" t="s">
        <v>1913</v>
      </c>
      <c r="R331" s="2" t="s">
        <v>32</v>
      </c>
      <c r="S331" s="2" t="s">
        <v>33</v>
      </c>
    </row>
    <row r="332" customFormat="false" ht="15" hidden="false" customHeight="false" outlineLevel="0" collapsed="false">
      <c r="A332" s="0" t="n">
        <v>331</v>
      </c>
      <c r="D332" s="0" t="s">
        <v>1914</v>
      </c>
      <c r="E332" s="0" t="s">
        <v>20</v>
      </c>
      <c r="F332" s="0" t="s">
        <v>1915</v>
      </c>
      <c r="H332" s="0" t="s">
        <v>22</v>
      </c>
      <c r="I332" s="2" t="s">
        <v>23</v>
      </c>
      <c r="J332" s="2" t="s">
        <v>1630</v>
      </c>
      <c r="K332" s="0" t="s">
        <v>1504</v>
      </c>
      <c r="L332" s="0" t="s">
        <v>102</v>
      </c>
      <c r="M332" s="0" t="s">
        <v>1710</v>
      </c>
      <c r="N332" s="0" t="s">
        <v>1507</v>
      </c>
      <c r="O332" s="3" t="s">
        <v>1916</v>
      </c>
      <c r="P332" s="2" t="s">
        <v>1917</v>
      </c>
      <c r="Q332" s="2" t="s">
        <v>1918</v>
      </c>
      <c r="R332" s="2" t="s">
        <v>32</v>
      </c>
      <c r="S332" s="2" t="s">
        <v>33</v>
      </c>
    </row>
    <row r="333" customFormat="false" ht="15" hidden="false" customHeight="false" outlineLevel="0" collapsed="false">
      <c r="A333" s="0" t="n">
        <v>332</v>
      </c>
      <c r="D333" s="0" t="s">
        <v>1919</v>
      </c>
      <c r="E333" s="0" t="s">
        <v>20</v>
      </c>
      <c r="F333" s="0" t="s">
        <v>1920</v>
      </c>
      <c r="H333" s="0" t="s">
        <v>22</v>
      </c>
      <c r="I333" s="2" t="s">
        <v>23</v>
      </c>
      <c r="J333" s="2" t="s">
        <v>1630</v>
      </c>
      <c r="K333" s="0" t="s">
        <v>1504</v>
      </c>
      <c r="L333" s="0" t="s">
        <v>1668</v>
      </c>
      <c r="M333" s="0" t="s">
        <v>1669</v>
      </c>
      <c r="N333" s="0" t="s">
        <v>1507</v>
      </c>
      <c r="O333" s="3" t="s">
        <v>1921</v>
      </c>
      <c r="P333" s="2" t="s">
        <v>1922</v>
      </c>
      <c r="Q333" s="2" t="s">
        <v>1923</v>
      </c>
      <c r="R333" s="2" t="s">
        <v>32</v>
      </c>
      <c r="S333" s="2" t="s">
        <v>33</v>
      </c>
    </row>
    <row r="334" customFormat="false" ht="15" hidden="false" customHeight="false" outlineLevel="0" collapsed="false">
      <c r="A334" s="0" t="n">
        <v>333</v>
      </c>
      <c r="D334" s="0" t="s">
        <v>1924</v>
      </c>
      <c r="E334" s="0" t="s">
        <v>20</v>
      </c>
      <c r="F334" s="0" t="s">
        <v>1925</v>
      </c>
      <c r="H334" s="0" t="s">
        <v>22</v>
      </c>
      <c r="I334" s="2" t="s">
        <v>23</v>
      </c>
      <c r="J334" s="2" t="s">
        <v>1630</v>
      </c>
      <c r="K334" s="0" t="s">
        <v>1504</v>
      </c>
      <c r="L334" s="0" t="s">
        <v>102</v>
      </c>
      <c r="M334" s="0" t="s">
        <v>1710</v>
      </c>
      <c r="N334" s="0" t="s">
        <v>1507</v>
      </c>
      <c r="O334" s="3" t="s">
        <v>1926</v>
      </c>
      <c r="P334" s="2" t="s">
        <v>1927</v>
      </c>
      <c r="Q334" s="2" t="s">
        <v>1928</v>
      </c>
      <c r="R334" s="2" t="s">
        <v>32</v>
      </c>
      <c r="S334" s="2" t="s">
        <v>33</v>
      </c>
    </row>
    <row r="335" customFormat="false" ht="15" hidden="false" customHeight="false" outlineLevel="0" collapsed="false">
      <c r="A335" s="0" t="n">
        <v>334</v>
      </c>
      <c r="D335" s="0" t="s">
        <v>1929</v>
      </c>
      <c r="E335" s="0" t="s">
        <v>20</v>
      </c>
      <c r="F335" s="0" t="s">
        <v>1930</v>
      </c>
      <c r="H335" s="0" t="s">
        <v>22</v>
      </c>
      <c r="I335" s="2" t="s">
        <v>23</v>
      </c>
      <c r="J335" s="2" t="s">
        <v>1630</v>
      </c>
      <c r="K335" s="0" t="s">
        <v>1504</v>
      </c>
      <c r="L335" s="0" t="s">
        <v>1931</v>
      </c>
      <c r="M335" s="0" t="s">
        <v>1771</v>
      </c>
      <c r="N335" s="0" t="s">
        <v>1507</v>
      </c>
      <c r="O335" s="3" t="s">
        <v>1932</v>
      </c>
      <c r="P335" s="2" t="s">
        <v>1933</v>
      </c>
      <c r="Q335" s="2" t="s">
        <v>1934</v>
      </c>
      <c r="R335" s="2" t="s">
        <v>32</v>
      </c>
      <c r="S335" s="2" t="s">
        <v>33</v>
      </c>
    </row>
    <row r="336" customFormat="false" ht="15" hidden="false" customHeight="false" outlineLevel="0" collapsed="false">
      <c r="A336" s="0" t="n">
        <v>335</v>
      </c>
      <c r="D336" s="0" t="s">
        <v>1935</v>
      </c>
      <c r="E336" s="0" t="s">
        <v>20</v>
      </c>
      <c r="F336" s="0" t="s">
        <v>1936</v>
      </c>
      <c r="H336" s="0" t="s">
        <v>22</v>
      </c>
      <c r="I336" s="2" t="s">
        <v>23</v>
      </c>
      <c r="J336" s="2" t="s">
        <v>1630</v>
      </c>
      <c r="K336" s="0" t="s">
        <v>1504</v>
      </c>
      <c r="L336" s="0" t="s">
        <v>1668</v>
      </c>
      <c r="M336" s="0" t="s">
        <v>1669</v>
      </c>
      <c r="N336" s="0" t="s">
        <v>1507</v>
      </c>
      <c r="O336" s="3" t="s">
        <v>1937</v>
      </c>
      <c r="P336" s="2" t="s">
        <v>1938</v>
      </c>
      <c r="Q336" s="2" t="s">
        <v>1939</v>
      </c>
      <c r="R336" s="2" t="s">
        <v>32</v>
      </c>
      <c r="S336" s="2" t="s">
        <v>33</v>
      </c>
    </row>
    <row r="337" customFormat="false" ht="15" hidden="false" customHeight="false" outlineLevel="0" collapsed="false">
      <c r="A337" s="0" t="n">
        <v>336</v>
      </c>
      <c r="D337" s="0" t="s">
        <v>1940</v>
      </c>
      <c r="E337" s="0" t="s">
        <v>20</v>
      </c>
      <c r="F337" s="0" t="s">
        <v>1941</v>
      </c>
      <c r="H337" s="0" t="s">
        <v>22</v>
      </c>
      <c r="I337" s="2" t="s">
        <v>23</v>
      </c>
      <c r="J337" s="2" t="s">
        <v>1630</v>
      </c>
      <c r="K337" s="0" t="s">
        <v>1504</v>
      </c>
      <c r="L337" s="0" t="s">
        <v>1942</v>
      </c>
      <c r="M337" s="0" t="s">
        <v>1631</v>
      </c>
      <c r="N337" s="0" t="s">
        <v>1507</v>
      </c>
      <c r="O337" s="3" t="s">
        <v>1943</v>
      </c>
      <c r="P337" s="2" t="s">
        <v>1944</v>
      </c>
      <c r="Q337" s="2" t="s">
        <v>1945</v>
      </c>
      <c r="R337" s="2" t="s">
        <v>32</v>
      </c>
      <c r="S337" s="2" t="s">
        <v>33</v>
      </c>
    </row>
    <row r="338" customFormat="false" ht="15" hidden="false" customHeight="false" outlineLevel="0" collapsed="false">
      <c r="A338" s="0" t="n">
        <v>337</v>
      </c>
      <c r="D338" s="0" t="s">
        <v>1946</v>
      </c>
      <c r="E338" s="0" t="s">
        <v>20</v>
      </c>
      <c r="F338" s="0" t="s">
        <v>1947</v>
      </c>
      <c r="H338" s="0" t="s">
        <v>22</v>
      </c>
      <c r="I338" s="2" t="s">
        <v>23</v>
      </c>
      <c r="J338" s="2" t="s">
        <v>1630</v>
      </c>
      <c r="K338" s="0" t="s">
        <v>1504</v>
      </c>
      <c r="L338" s="0" t="s">
        <v>1942</v>
      </c>
      <c r="M338" s="0" t="s">
        <v>1631</v>
      </c>
      <c r="N338" s="0" t="s">
        <v>1507</v>
      </c>
      <c r="O338" s="3" t="s">
        <v>1948</v>
      </c>
      <c r="Q338" s="2" t="s">
        <v>1949</v>
      </c>
      <c r="R338" s="2" t="s">
        <v>32</v>
      </c>
      <c r="S338" s="2" t="s">
        <v>33</v>
      </c>
    </row>
    <row r="339" customFormat="false" ht="15" hidden="false" customHeight="false" outlineLevel="0" collapsed="false">
      <c r="A339" s="0" t="n">
        <v>338</v>
      </c>
      <c r="B339" s="0" t="s">
        <v>1950</v>
      </c>
      <c r="D339" s="0" t="s">
        <v>1951</v>
      </c>
      <c r="E339" s="0" t="s">
        <v>20</v>
      </c>
      <c r="F339" s="0" t="s">
        <v>1952</v>
      </c>
      <c r="H339" s="0" t="s">
        <v>22</v>
      </c>
      <c r="I339" s="2" t="s">
        <v>23</v>
      </c>
      <c r="J339" s="2" t="s">
        <v>1630</v>
      </c>
      <c r="K339" s="0" t="s">
        <v>1504</v>
      </c>
      <c r="L339" s="0" t="s">
        <v>1953</v>
      </c>
      <c r="M339" s="0" t="s">
        <v>1954</v>
      </c>
      <c r="N339" s="0" t="s">
        <v>1507</v>
      </c>
      <c r="O339" s="3" t="s">
        <v>1955</v>
      </c>
      <c r="P339" s="2" t="s">
        <v>1956</v>
      </c>
      <c r="Q339" s="2" t="s">
        <v>1957</v>
      </c>
      <c r="R339" s="2" t="s">
        <v>32</v>
      </c>
      <c r="S339" s="2" t="s">
        <v>33</v>
      </c>
    </row>
    <row r="340" customFormat="false" ht="15" hidden="false" customHeight="false" outlineLevel="0" collapsed="false">
      <c r="A340" s="0" t="n">
        <v>339</v>
      </c>
      <c r="D340" s="0" t="s">
        <v>1958</v>
      </c>
      <c r="E340" s="0" t="s">
        <v>20</v>
      </c>
      <c r="F340" s="0" t="s">
        <v>1959</v>
      </c>
      <c r="H340" s="0" t="s">
        <v>22</v>
      </c>
      <c r="I340" s="2" t="s">
        <v>23</v>
      </c>
      <c r="J340" s="2" t="s">
        <v>1630</v>
      </c>
      <c r="K340" s="0" t="s">
        <v>1504</v>
      </c>
      <c r="L340" s="0" t="s">
        <v>1960</v>
      </c>
      <c r="M340" s="0" t="s">
        <v>1961</v>
      </c>
      <c r="N340" s="0" t="s">
        <v>1507</v>
      </c>
      <c r="O340" s="3" t="s">
        <v>1962</v>
      </c>
      <c r="P340" s="2" t="s">
        <v>1963</v>
      </c>
      <c r="Q340" s="2" t="s">
        <v>1964</v>
      </c>
      <c r="R340" s="2" t="s">
        <v>32</v>
      </c>
      <c r="S340" s="2" t="s">
        <v>33</v>
      </c>
    </row>
    <row r="341" customFormat="false" ht="15" hidden="false" customHeight="false" outlineLevel="0" collapsed="false">
      <c r="A341" s="0" t="n">
        <v>340</v>
      </c>
      <c r="D341" s="0" t="s">
        <v>1965</v>
      </c>
      <c r="E341" s="0" t="s">
        <v>20</v>
      </c>
      <c r="F341" s="0" t="s">
        <v>1966</v>
      </c>
      <c r="H341" s="0" t="s">
        <v>22</v>
      </c>
      <c r="I341" s="2" t="s">
        <v>23</v>
      </c>
      <c r="J341" s="2" t="s">
        <v>1630</v>
      </c>
      <c r="K341" s="0" t="s">
        <v>1504</v>
      </c>
      <c r="L341" s="0" t="s">
        <v>1668</v>
      </c>
      <c r="M341" s="0" t="s">
        <v>1669</v>
      </c>
      <c r="N341" s="0" t="s">
        <v>1507</v>
      </c>
      <c r="O341" s="3" t="s">
        <v>1967</v>
      </c>
      <c r="P341" s="2" t="s">
        <v>1968</v>
      </c>
      <c r="Q341" s="2" t="s">
        <v>1969</v>
      </c>
      <c r="R341" s="2" t="s">
        <v>32</v>
      </c>
      <c r="S341" s="2" t="s">
        <v>33</v>
      </c>
    </row>
    <row r="342" customFormat="false" ht="15" hidden="false" customHeight="false" outlineLevel="0" collapsed="false">
      <c r="A342" s="0" t="n">
        <v>341</v>
      </c>
      <c r="D342" s="0" t="s">
        <v>1970</v>
      </c>
      <c r="E342" s="0" t="s">
        <v>20</v>
      </c>
      <c r="F342" s="0" t="s">
        <v>1971</v>
      </c>
      <c r="H342" s="0" t="s">
        <v>22</v>
      </c>
      <c r="I342" s="2" t="s">
        <v>23</v>
      </c>
      <c r="J342" s="2" t="s">
        <v>1630</v>
      </c>
      <c r="K342" s="0" t="s">
        <v>1504</v>
      </c>
      <c r="L342" s="0" t="s">
        <v>1668</v>
      </c>
      <c r="M342" s="0" t="s">
        <v>1669</v>
      </c>
      <c r="N342" s="0" t="s">
        <v>1507</v>
      </c>
      <c r="O342" s="3" t="s">
        <v>1972</v>
      </c>
      <c r="P342" s="2" t="s">
        <v>1973</v>
      </c>
      <c r="Q342" s="2" t="s">
        <v>1974</v>
      </c>
      <c r="R342" s="2" t="s">
        <v>32</v>
      </c>
      <c r="S342" s="2" t="s">
        <v>33</v>
      </c>
    </row>
    <row r="343" customFormat="false" ht="15" hidden="false" customHeight="false" outlineLevel="0" collapsed="false">
      <c r="A343" s="0" t="n">
        <v>342</v>
      </c>
      <c r="D343" s="0" t="s">
        <v>1975</v>
      </c>
      <c r="E343" s="0" t="s">
        <v>20</v>
      </c>
      <c r="F343" s="0" t="s">
        <v>1976</v>
      </c>
      <c r="H343" s="0" t="s">
        <v>22</v>
      </c>
      <c r="I343" s="2" t="s">
        <v>23</v>
      </c>
      <c r="J343" s="2" t="s">
        <v>1630</v>
      </c>
      <c r="K343" s="0" t="s">
        <v>1504</v>
      </c>
      <c r="L343" s="0" t="s">
        <v>1977</v>
      </c>
      <c r="M343" s="0" t="s">
        <v>1669</v>
      </c>
      <c r="N343" s="0" t="s">
        <v>1507</v>
      </c>
      <c r="O343" s="3" t="s">
        <v>1978</v>
      </c>
      <c r="P343" s="2" t="s">
        <v>1979</v>
      </c>
      <c r="Q343" s="2" t="s">
        <v>1980</v>
      </c>
      <c r="R343" s="2" t="s">
        <v>32</v>
      </c>
      <c r="S343" s="2" t="s">
        <v>33</v>
      </c>
    </row>
    <row r="344" customFormat="false" ht="15" hidden="false" customHeight="false" outlineLevel="0" collapsed="false">
      <c r="A344" s="0" t="n">
        <v>343</v>
      </c>
      <c r="D344" s="0" t="s">
        <v>1981</v>
      </c>
      <c r="E344" s="0" t="s">
        <v>20</v>
      </c>
      <c r="F344" s="0" t="s">
        <v>1982</v>
      </c>
      <c r="H344" s="0" t="s">
        <v>22</v>
      </c>
      <c r="I344" s="2" t="s">
        <v>23</v>
      </c>
      <c r="J344" s="2" t="s">
        <v>1630</v>
      </c>
      <c r="K344" s="0" t="s">
        <v>1504</v>
      </c>
      <c r="L344" s="0" t="s">
        <v>1716</v>
      </c>
      <c r="M344" s="0" t="s">
        <v>1717</v>
      </c>
      <c r="N344" s="0" t="s">
        <v>1507</v>
      </c>
      <c r="O344" s="3" t="s">
        <v>1983</v>
      </c>
      <c r="P344" s="2" t="s">
        <v>1984</v>
      </c>
      <c r="Q344" s="2" t="s">
        <v>1985</v>
      </c>
      <c r="R344" s="2" t="s">
        <v>32</v>
      </c>
      <c r="S344" s="2" t="s">
        <v>33</v>
      </c>
    </row>
    <row r="345" customFormat="false" ht="15" hidden="false" customHeight="false" outlineLevel="0" collapsed="false">
      <c r="A345" s="0" t="n">
        <v>344</v>
      </c>
      <c r="D345" s="0" t="s">
        <v>1986</v>
      </c>
      <c r="E345" s="0" t="s">
        <v>20</v>
      </c>
      <c r="F345" s="0" t="s">
        <v>1987</v>
      </c>
      <c r="H345" s="0" t="s">
        <v>22</v>
      </c>
      <c r="I345" s="2" t="s">
        <v>23</v>
      </c>
      <c r="J345" s="2" t="s">
        <v>1630</v>
      </c>
      <c r="K345" s="0" t="s">
        <v>1504</v>
      </c>
      <c r="L345" s="0" t="s">
        <v>1942</v>
      </c>
      <c r="M345" s="0" t="s">
        <v>1631</v>
      </c>
      <c r="N345" s="0" t="s">
        <v>1507</v>
      </c>
      <c r="O345" s="3" t="s">
        <v>1988</v>
      </c>
      <c r="P345" s="2" t="s">
        <v>1989</v>
      </c>
      <c r="Q345" s="2" t="s">
        <v>1990</v>
      </c>
      <c r="R345" s="2" t="s">
        <v>32</v>
      </c>
      <c r="S345" s="2" t="s">
        <v>33</v>
      </c>
    </row>
    <row r="346" customFormat="false" ht="15" hidden="false" customHeight="false" outlineLevel="0" collapsed="false">
      <c r="A346" s="0" t="n">
        <v>345</v>
      </c>
      <c r="D346" s="0" t="s">
        <v>1991</v>
      </c>
      <c r="E346" s="0" t="s">
        <v>20</v>
      </c>
      <c r="F346" s="0" t="s">
        <v>1992</v>
      </c>
      <c r="H346" s="0" t="s">
        <v>22</v>
      </c>
      <c r="I346" s="2" t="s">
        <v>23</v>
      </c>
      <c r="J346" s="2" t="s">
        <v>1630</v>
      </c>
      <c r="K346" s="0" t="s">
        <v>1504</v>
      </c>
      <c r="L346" s="0" t="s">
        <v>1668</v>
      </c>
      <c r="M346" s="0" t="s">
        <v>1669</v>
      </c>
      <c r="N346" s="0" t="s">
        <v>1507</v>
      </c>
      <c r="O346" s="3" t="s">
        <v>1993</v>
      </c>
      <c r="P346" s="2" t="s">
        <v>1994</v>
      </c>
      <c r="Q346" s="2" t="s">
        <v>1995</v>
      </c>
      <c r="R346" s="2" t="s">
        <v>32</v>
      </c>
      <c r="S346" s="2" t="s">
        <v>33</v>
      </c>
    </row>
    <row r="347" customFormat="false" ht="15" hidden="false" customHeight="false" outlineLevel="0" collapsed="false">
      <c r="A347" s="0" t="n">
        <v>346</v>
      </c>
      <c r="D347" s="0" t="s">
        <v>1996</v>
      </c>
      <c r="E347" s="0" t="s">
        <v>20</v>
      </c>
      <c r="F347" s="0" t="s">
        <v>1997</v>
      </c>
      <c r="H347" s="0" t="s">
        <v>22</v>
      </c>
      <c r="I347" s="2" t="s">
        <v>23</v>
      </c>
      <c r="J347" s="2" t="s">
        <v>1630</v>
      </c>
      <c r="K347" s="0" t="s">
        <v>1504</v>
      </c>
      <c r="L347" s="0" t="s">
        <v>1942</v>
      </c>
      <c r="M347" s="0" t="s">
        <v>1631</v>
      </c>
      <c r="N347" s="0" t="s">
        <v>1507</v>
      </c>
      <c r="O347" s="3" t="s">
        <v>1998</v>
      </c>
      <c r="P347" s="2" t="s">
        <v>1999</v>
      </c>
      <c r="Q347" s="2" t="s">
        <v>2000</v>
      </c>
      <c r="R347" s="2" t="s">
        <v>32</v>
      </c>
      <c r="S347" s="2" t="s">
        <v>33</v>
      </c>
    </row>
    <row r="348" customFormat="false" ht="15" hidden="false" customHeight="false" outlineLevel="0" collapsed="false">
      <c r="A348" s="0" t="n">
        <v>347</v>
      </c>
      <c r="D348" s="0" t="s">
        <v>2001</v>
      </c>
      <c r="E348" s="0" t="s">
        <v>20</v>
      </c>
      <c r="F348" s="0" t="s">
        <v>2002</v>
      </c>
      <c r="H348" s="0" t="s">
        <v>22</v>
      </c>
      <c r="I348" s="2" t="s">
        <v>23</v>
      </c>
      <c r="J348" s="2" t="s">
        <v>1630</v>
      </c>
      <c r="K348" s="0" t="s">
        <v>1504</v>
      </c>
      <c r="L348" s="0" t="s">
        <v>2003</v>
      </c>
      <c r="M348" s="0" t="s">
        <v>1801</v>
      </c>
      <c r="N348" s="0" t="s">
        <v>1507</v>
      </c>
      <c r="O348" s="3" t="s">
        <v>2004</v>
      </c>
      <c r="P348" s="2" t="s">
        <v>2005</v>
      </c>
      <c r="Q348" s="2" t="s">
        <v>2006</v>
      </c>
      <c r="R348" s="2" t="s">
        <v>48</v>
      </c>
      <c r="S348" s="2" t="s">
        <v>33</v>
      </c>
    </row>
    <row r="349" customFormat="false" ht="15" hidden="false" customHeight="false" outlineLevel="0" collapsed="false">
      <c r="A349" s="0" t="n">
        <v>348</v>
      </c>
      <c r="D349" s="0" t="s">
        <v>2007</v>
      </c>
      <c r="E349" s="0" t="s">
        <v>20</v>
      </c>
      <c r="F349" s="0" t="s">
        <v>2008</v>
      </c>
      <c r="H349" s="0" t="s">
        <v>22</v>
      </c>
      <c r="I349" s="2" t="s">
        <v>23</v>
      </c>
      <c r="J349" s="2" t="s">
        <v>1630</v>
      </c>
      <c r="K349" s="0" t="s">
        <v>1504</v>
      </c>
      <c r="L349" s="0" t="s">
        <v>2009</v>
      </c>
      <c r="M349" s="0" t="s">
        <v>2010</v>
      </c>
      <c r="N349" s="0" t="s">
        <v>1507</v>
      </c>
      <c r="O349" s="3" t="s">
        <v>2011</v>
      </c>
      <c r="P349" s="2" t="s">
        <v>2012</v>
      </c>
      <c r="Q349" s="2" t="s">
        <v>2013</v>
      </c>
      <c r="R349" s="2" t="s">
        <v>32</v>
      </c>
      <c r="S349" s="2" t="s">
        <v>33</v>
      </c>
    </row>
    <row r="350" customFormat="false" ht="15" hidden="false" customHeight="false" outlineLevel="0" collapsed="false">
      <c r="A350" s="0" t="n">
        <v>349</v>
      </c>
      <c r="D350" s="0" t="s">
        <v>2014</v>
      </c>
      <c r="E350" s="0" t="s">
        <v>20</v>
      </c>
      <c r="F350" s="0" t="s">
        <v>2015</v>
      </c>
      <c r="H350" s="0" t="s">
        <v>22</v>
      </c>
      <c r="I350" s="2" t="s">
        <v>23</v>
      </c>
      <c r="J350" s="2" t="s">
        <v>1630</v>
      </c>
      <c r="K350" s="0" t="s">
        <v>1504</v>
      </c>
      <c r="L350" s="0" t="s">
        <v>2016</v>
      </c>
      <c r="M350" s="0" t="s">
        <v>2017</v>
      </c>
      <c r="N350" s="0" t="s">
        <v>1507</v>
      </c>
      <c r="O350" s="3" t="s">
        <v>2018</v>
      </c>
      <c r="P350" s="2" t="s">
        <v>2019</v>
      </c>
      <c r="Q350" s="2" t="s">
        <v>2020</v>
      </c>
      <c r="R350" s="2" t="s">
        <v>32</v>
      </c>
      <c r="S350" s="2" t="s">
        <v>33</v>
      </c>
    </row>
    <row r="351" customFormat="false" ht="15" hidden="false" customHeight="false" outlineLevel="0" collapsed="false">
      <c r="A351" s="0" t="n">
        <v>350</v>
      </c>
      <c r="D351" s="0" t="s">
        <v>2021</v>
      </c>
      <c r="E351" s="0" t="s">
        <v>20</v>
      </c>
      <c r="F351" s="0" t="s">
        <v>2022</v>
      </c>
      <c r="H351" s="0" t="s">
        <v>22</v>
      </c>
      <c r="I351" s="2" t="s">
        <v>23</v>
      </c>
      <c r="J351" s="2" t="s">
        <v>1630</v>
      </c>
      <c r="K351" s="0" t="s">
        <v>1504</v>
      </c>
      <c r="L351" s="0" t="s">
        <v>2023</v>
      </c>
      <c r="M351" s="0" t="s">
        <v>1875</v>
      </c>
      <c r="N351" s="0" t="s">
        <v>1507</v>
      </c>
      <c r="O351" s="3" t="s">
        <v>2024</v>
      </c>
      <c r="P351" s="2" t="s">
        <v>2025</v>
      </c>
      <c r="Q351" s="2" t="s">
        <v>2026</v>
      </c>
      <c r="R351" s="2" t="s">
        <v>32</v>
      </c>
      <c r="S351" s="2" t="s">
        <v>33</v>
      </c>
    </row>
    <row r="352" customFormat="false" ht="15" hidden="false" customHeight="false" outlineLevel="0" collapsed="false">
      <c r="A352" s="0" t="n">
        <v>351</v>
      </c>
      <c r="D352" s="0" t="s">
        <v>2027</v>
      </c>
      <c r="E352" s="0" t="s">
        <v>20</v>
      </c>
      <c r="F352" s="0" t="s">
        <v>2028</v>
      </c>
      <c r="H352" s="0" t="s">
        <v>22</v>
      </c>
      <c r="I352" s="2" t="s">
        <v>23</v>
      </c>
      <c r="J352" s="2" t="s">
        <v>1630</v>
      </c>
      <c r="K352" s="0" t="s">
        <v>1504</v>
      </c>
      <c r="L352" s="0" t="s">
        <v>102</v>
      </c>
      <c r="M352" s="0" t="s">
        <v>1710</v>
      </c>
      <c r="N352" s="0" t="s">
        <v>1507</v>
      </c>
      <c r="O352" s="3" t="s">
        <v>2029</v>
      </c>
      <c r="P352" s="2" t="s">
        <v>2030</v>
      </c>
      <c r="Q352" s="2" t="s">
        <v>2031</v>
      </c>
      <c r="R352" s="2" t="s">
        <v>32</v>
      </c>
      <c r="S352" s="2" t="s">
        <v>33</v>
      </c>
    </row>
    <row r="353" customFormat="false" ht="15" hidden="false" customHeight="false" outlineLevel="0" collapsed="false">
      <c r="A353" s="0" t="n">
        <v>352</v>
      </c>
      <c r="D353" s="0" t="s">
        <v>2032</v>
      </c>
      <c r="E353" s="0" t="s">
        <v>20</v>
      </c>
      <c r="F353" s="0" t="s">
        <v>2033</v>
      </c>
      <c r="H353" s="0" t="s">
        <v>22</v>
      </c>
      <c r="I353" s="2" t="s">
        <v>23</v>
      </c>
      <c r="J353" s="2" t="s">
        <v>1630</v>
      </c>
      <c r="K353" s="0" t="s">
        <v>1504</v>
      </c>
      <c r="L353" s="0" t="s">
        <v>2034</v>
      </c>
      <c r="M353" s="0" t="s">
        <v>2035</v>
      </c>
      <c r="N353" s="0" t="s">
        <v>1507</v>
      </c>
      <c r="O353" s="3" t="s">
        <v>2036</v>
      </c>
      <c r="P353" s="2" t="s">
        <v>2037</v>
      </c>
      <c r="Q353" s="2" t="s">
        <v>2038</v>
      </c>
      <c r="R353" s="2" t="s">
        <v>32</v>
      </c>
      <c r="S353" s="2" t="s">
        <v>33</v>
      </c>
    </row>
    <row r="354" customFormat="false" ht="15" hidden="false" customHeight="false" outlineLevel="0" collapsed="false">
      <c r="A354" s="0" t="n">
        <v>353</v>
      </c>
      <c r="D354" s="0" t="s">
        <v>2039</v>
      </c>
      <c r="E354" s="0" t="s">
        <v>20</v>
      </c>
      <c r="F354" s="0" t="s">
        <v>2040</v>
      </c>
      <c r="H354" s="0" t="s">
        <v>22</v>
      </c>
      <c r="I354" s="2" t="s">
        <v>23</v>
      </c>
      <c r="J354" s="2" t="s">
        <v>1630</v>
      </c>
      <c r="K354" s="0" t="s">
        <v>1504</v>
      </c>
      <c r="L354" s="0" t="s">
        <v>1668</v>
      </c>
      <c r="M354" s="0" t="s">
        <v>1669</v>
      </c>
      <c r="N354" s="0" t="s">
        <v>1507</v>
      </c>
      <c r="O354" s="3" t="s">
        <v>2041</v>
      </c>
      <c r="P354" s="2" t="s">
        <v>2042</v>
      </c>
      <c r="Q354" s="2" t="s">
        <v>2043</v>
      </c>
      <c r="R354" s="2" t="s">
        <v>32</v>
      </c>
      <c r="S354" s="2" t="s">
        <v>33</v>
      </c>
    </row>
    <row r="355" customFormat="false" ht="15" hidden="false" customHeight="false" outlineLevel="0" collapsed="false">
      <c r="A355" s="0" t="n">
        <v>354</v>
      </c>
      <c r="D355" s="0" t="s">
        <v>2044</v>
      </c>
      <c r="E355" s="0" t="s">
        <v>20</v>
      </c>
      <c r="F355" s="0" t="s">
        <v>2045</v>
      </c>
      <c r="H355" s="0" t="s">
        <v>22</v>
      </c>
      <c r="I355" s="2" t="s">
        <v>23</v>
      </c>
      <c r="J355" s="2" t="s">
        <v>1630</v>
      </c>
      <c r="K355" s="0" t="s">
        <v>1504</v>
      </c>
      <c r="L355" s="0" t="s">
        <v>2046</v>
      </c>
      <c r="M355" s="0" t="s">
        <v>2047</v>
      </c>
      <c r="N355" s="0" t="s">
        <v>1507</v>
      </c>
      <c r="O355" s="3" t="s">
        <v>2048</v>
      </c>
      <c r="P355" s="2" t="s">
        <v>2049</v>
      </c>
      <c r="Q355" s="2" t="s">
        <v>2050</v>
      </c>
      <c r="R355" s="2" t="s">
        <v>32</v>
      </c>
      <c r="S355" s="2" t="s">
        <v>33</v>
      </c>
    </row>
    <row r="356" customFormat="false" ht="15" hidden="false" customHeight="false" outlineLevel="0" collapsed="false">
      <c r="A356" s="0" t="n">
        <v>355</v>
      </c>
      <c r="D356" s="0" t="s">
        <v>2051</v>
      </c>
      <c r="E356" s="0" t="s">
        <v>20</v>
      </c>
      <c r="F356" s="0" t="s">
        <v>2052</v>
      </c>
      <c r="H356" s="0" t="s">
        <v>22</v>
      </c>
      <c r="I356" s="2" t="s">
        <v>23</v>
      </c>
      <c r="J356" s="2" t="s">
        <v>1630</v>
      </c>
      <c r="K356" s="0" t="s">
        <v>1504</v>
      </c>
      <c r="L356" s="0" t="s">
        <v>2046</v>
      </c>
      <c r="M356" s="0" t="s">
        <v>2047</v>
      </c>
      <c r="N356" s="0" t="s">
        <v>1507</v>
      </c>
      <c r="O356" s="3" t="s">
        <v>2053</v>
      </c>
      <c r="P356" s="2" t="s">
        <v>2054</v>
      </c>
      <c r="Q356" s="2" t="s">
        <v>2055</v>
      </c>
      <c r="R356" s="2" t="s">
        <v>48</v>
      </c>
      <c r="S356" s="2" t="s">
        <v>33</v>
      </c>
    </row>
    <row r="357" customFormat="false" ht="15" hidden="false" customHeight="false" outlineLevel="0" collapsed="false">
      <c r="A357" s="0" t="n">
        <v>356</v>
      </c>
      <c r="D357" s="0" t="s">
        <v>2056</v>
      </c>
      <c r="E357" s="0" t="s">
        <v>20</v>
      </c>
      <c r="F357" s="0" t="s">
        <v>2057</v>
      </c>
      <c r="H357" s="0" t="s">
        <v>22</v>
      </c>
      <c r="I357" s="2" t="s">
        <v>23</v>
      </c>
      <c r="J357" s="2" t="s">
        <v>1630</v>
      </c>
      <c r="K357" s="0" t="s">
        <v>1504</v>
      </c>
      <c r="L357" s="0" t="s">
        <v>2058</v>
      </c>
      <c r="M357" s="0" t="s">
        <v>2059</v>
      </c>
      <c r="N357" s="0" t="s">
        <v>1507</v>
      </c>
      <c r="O357" s="3" t="s">
        <v>2060</v>
      </c>
      <c r="P357" s="2" t="s">
        <v>2061</v>
      </c>
      <c r="Q357" s="2" t="s">
        <v>2062</v>
      </c>
      <c r="R357" s="2" t="s">
        <v>32</v>
      </c>
      <c r="S357" s="2" t="s">
        <v>33</v>
      </c>
    </row>
    <row r="358" customFormat="false" ht="15" hidden="false" customHeight="false" outlineLevel="0" collapsed="false">
      <c r="A358" s="0" t="n">
        <v>357</v>
      </c>
      <c r="D358" s="0" t="s">
        <v>2063</v>
      </c>
      <c r="E358" s="0" t="s">
        <v>20</v>
      </c>
      <c r="F358" s="0" t="s">
        <v>2064</v>
      </c>
      <c r="H358" s="0" t="s">
        <v>22</v>
      </c>
      <c r="I358" s="2" t="s">
        <v>23</v>
      </c>
      <c r="J358" s="2" t="s">
        <v>1630</v>
      </c>
      <c r="K358" s="0" t="s">
        <v>1504</v>
      </c>
      <c r="L358" s="0" t="s">
        <v>1709</v>
      </c>
      <c r="M358" s="0" t="s">
        <v>1771</v>
      </c>
      <c r="N358" s="0" t="s">
        <v>1507</v>
      </c>
      <c r="O358" s="3" t="s">
        <v>2065</v>
      </c>
      <c r="P358" s="2" t="s">
        <v>2066</v>
      </c>
      <c r="Q358" s="2" t="s">
        <v>2067</v>
      </c>
      <c r="R358" s="2" t="s">
        <v>32</v>
      </c>
      <c r="S358" s="2" t="s">
        <v>33</v>
      </c>
    </row>
    <row r="359" customFormat="false" ht="15" hidden="false" customHeight="false" outlineLevel="0" collapsed="false">
      <c r="A359" s="0" t="n">
        <v>358</v>
      </c>
      <c r="D359" s="0" t="s">
        <v>2068</v>
      </c>
      <c r="E359" s="0" t="s">
        <v>20</v>
      </c>
      <c r="H359" s="0" t="s">
        <v>22</v>
      </c>
      <c r="I359" s="2" t="s">
        <v>23</v>
      </c>
      <c r="J359" s="2" t="s">
        <v>1630</v>
      </c>
      <c r="K359" s="0" t="s">
        <v>1504</v>
      </c>
      <c r="L359" s="0" t="s">
        <v>102</v>
      </c>
      <c r="M359" s="0" t="s">
        <v>1710</v>
      </c>
      <c r="N359" s="0" t="s">
        <v>1507</v>
      </c>
      <c r="O359" s="3" t="s">
        <v>2069</v>
      </c>
      <c r="P359" s="2" t="s">
        <v>2070</v>
      </c>
      <c r="Q359" s="2" t="s">
        <v>2071</v>
      </c>
      <c r="R359" s="2" t="s">
        <v>32</v>
      </c>
      <c r="S359" s="2" t="s">
        <v>33</v>
      </c>
    </row>
    <row r="360" customFormat="false" ht="15" hidden="false" customHeight="false" outlineLevel="0" collapsed="false">
      <c r="A360" s="0" t="n">
        <v>359</v>
      </c>
      <c r="D360" s="0" t="s">
        <v>2072</v>
      </c>
      <c r="E360" s="0" t="s">
        <v>20</v>
      </c>
      <c r="F360" s="0" t="s">
        <v>2073</v>
      </c>
      <c r="H360" s="0" t="s">
        <v>22</v>
      </c>
      <c r="I360" s="2" t="s">
        <v>23</v>
      </c>
      <c r="J360" s="2" t="s">
        <v>1630</v>
      </c>
      <c r="K360" s="0" t="s">
        <v>1504</v>
      </c>
      <c r="L360" s="0" t="s">
        <v>102</v>
      </c>
      <c r="M360" s="0" t="s">
        <v>1710</v>
      </c>
      <c r="N360" s="0" t="s">
        <v>1507</v>
      </c>
      <c r="O360" s="3" t="s">
        <v>2074</v>
      </c>
      <c r="P360" s="2" t="s">
        <v>2075</v>
      </c>
      <c r="Q360" s="2" t="s">
        <v>2076</v>
      </c>
      <c r="R360" s="2" t="s">
        <v>32</v>
      </c>
      <c r="S360" s="2" t="s">
        <v>33</v>
      </c>
    </row>
    <row r="361" customFormat="false" ht="15" hidden="false" customHeight="false" outlineLevel="0" collapsed="false">
      <c r="A361" s="0" t="n">
        <v>360</v>
      </c>
      <c r="D361" s="0" t="s">
        <v>2077</v>
      </c>
      <c r="E361" s="0" t="s">
        <v>20</v>
      </c>
      <c r="F361" s="0" t="s">
        <v>2078</v>
      </c>
      <c r="H361" s="0" t="s">
        <v>22</v>
      </c>
      <c r="I361" s="2" t="s">
        <v>23</v>
      </c>
      <c r="J361" s="2" t="s">
        <v>1630</v>
      </c>
      <c r="K361" s="0" t="s">
        <v>1504</v>
      </c>
      <c r="L361" s="0" t="s">
        <v>1942</v>
      </c>
      <c r="M361" s="0" t="s">
        <v>1631</v>
      </c>
      <c r="N361" s="0" t="s">
        <v>1507</v>
      </c>
      <c r="O361" s="3" t="s">
        <v>2079</v>
      </c>
      <c r="P361" s="2" t="s">
        <v>2080</v>
      </c>
      <c r="Q361" s="2" t="s">
        <v>2081</v>
      </c>
      <c r="R361" s="2" t="s">
        <v>48</v>
      </c>
      <c r="S361" s="2" t="s">
        <v>33</v>
      </c>
    </row>
    <row r="362" customFormat="false" ht="15" hidden="false" customHeight="false" outlineLevel="0" collapsed="false">
      <c r="A362" s="0" t="n">
        <v>361</v>
      </c>
      <c r="D362" s="0" t="s">
        <v>2082</v>
      </c>
      <c r="E362" s="0" t="s">
        <v>20</v>
      </c>
      <c r="F362" s="0" t="s">
        <v>2083</v>
      </c>
      <c r="H362" s="0" t="s">
        <v>22</v>
      </c>
      <c r="I362" s="2" t="s">
        <v>23</v>
      </c>
      <c r="J362" s="2" t="s">
        <v>1630</v>
      </c>
      <c r="K362" s="0" t="s">
        <v>1504</v>
      </c>
      <c r="L362" s="0" t="s">
        <v>2084</v>
      </c>
      <c r="M362" s="0" t="s">
        <v>2085</v>
      </c>
      <c r="N362" s="0" t="s">
        <v>1507</v>
      </c>
      <c r="O362" s="3" t="s">
        <v>2086</v>
      </c>
      <c r="P362" s="2" t="s">
        <v>2087</v>
      </c>
      <c r="Q362" s="2" t="s">
        <v>2088</v>
      </c>
      <c r="R362" s="2" t="s">
        <v>32</v>
      </c>
      <c r="S362" s="2" t="s">
        <v>33</v>
      </c>
    </row>
    <row r="363" customFormat="false" ht="15" hidden="false" customHeight="false" outlineLevel="0" collapsed="false">
      <c r="A363" s="0" t="n">
        <v>362</v>
      </c>
      <c r="D363" s="0" t="s">
        <v>2089</v>
      </c>
      <c r="E363" s="0" t="s">
        <v>20</v>
      </c>
      <c r="F363" s="0" t="s">
        <v>2090</v>
      </c>
      <c r="H363" s="0" t="s">
        <v>22</v>
      </c>
      <c r="I363" s="2" t="s">
        <v>23</v>
      </c>
      <c r="J363" s="2" t="s">
        <v>1630</v>
      </c>
      <c r="K363" s="0" t="s">
        <v>1504</v>
      </c>
      <c r="L363" s="0" t="s">
        <v>2091</v>
      </c>
      <c r="M363" s="0" t="s">
        <v>2092</v>
      </c>
      <c r="N363" s="0" t="s">
        <v>1507</v>
      </c>
      <c r="O363" s="3" t="s">
        <v>2093</v>
      </c>
      <c r="P363" s="2" t="s">
        <v>2094</v>
      </c>
      <c r="S363" s="2" t="s">
        <v>33</v>
      </c>
    </row>
    <row r="364" customFormat="false" ht="15" hidden="false" customHeight="false" outlineLevel="0" collapsed="false">
      <c r="A364" s="0" t="n">
        <v>363</v>
      </c>
      <c r="D364" s="0" t="s">
        <v>2095</v>
      </c>
      <c r="E364" s="0" t="s">
        <v>20</v>
      </c>
      <c r="F364" s="0" t="s">
        <v>2096</v>
      </c>
      <c r="H364" s="0" t="s">
        <v>22</v>
      </c>
      <c r="I364" s="2" t="s">
        <v>23</v>
      </c>
      <c r="J364" s="2" t="s">
        <v>1630</v>
      </c>
      <c r="K364" s="0" t="s">
        <v>1504</v>
      </c>
      <c r="L364" s="0" t="s">
        <v>2097</v>
      </c>
      <c r="M364" s="0" t="s">
        <v>2098</v>
      </c>
      <c r="N364" s="0" t="s">
        <v>1507</v>
      </c>
      <c r="O364" s="3" t="s">
        <v>2099</v>
      </c>
      <c r="P364" s="2" t="s">
        <v>2100</v>
      </c>
      <c r="Q364" s="2" t="s">
        <v>2101</v>
      </c>
      <c r="R364" s="2" t="s">
        <v>32</v>
      </c>
      <c r="S364" s="2" t="s">
        <v>33</v>
      </c>
    </row>
    <row r="365" customFormat="false" ht="15" hidden="false" customHeight="false" outlineLevel="0" collapsed="false">
      <c r="A365" s="0" t="n">
        <v>364</v>
      </c>
      <c r="D365" s="0" t="s">
        <v>2102</v>
      </c>
      <c r="E365" s="0" t="s">
        <v>20</v>
      </c>
      <c r="F365" s="0" t="s">
        <v>2103</v>
      </c>
      <c r="H365" s="0" t="s">
        <v>22</v>
      </c>
      <c r="I365" s="2" t="s">
        <v>23</v>
      </c>
      <c r="J365" s="2" t="s">
        <v>1630</v>
      </c>
      <c r="K365" s="0" t="s">
        <v>1504</v>
      </c>
      <c r="L365" s="0" t="s">
        <v>2104</v>
      </c>
      <c r="M365" s="0" t="s">
        <v>2105</v>
      </c>
      <c r="N365" s="0" t="s">
        <v>1507</v>
      </c>
      <c r="O365" s="3" t="s">
        <v>2106</v>
      </c>
      <c r="P365" s="2" t="s">
        <v>2107</v>
      </c>
      <c r="Q365" s="2" t="s">
        <v>2108</v>
      </c>
      <c r="R365" s="2" t="s">
        <v>32</v>
      </c>
      <c r="S365" s="2" t="s">
        <v>33</v>
      </c>
    </row>
    <row r="366" customFormat="false" ht="15" hidden="false" customHeight="false" outlineLevel="0" collapsed="false">
      <c r="A366" s="0" t="n">
        <v>365</v>
      </c>
      <c r="D366" s="0" t="s">
        <v>2109</v>
      </c>
      <c r="E366" s="0" t="s">
        <v>20</v>
      </c>
      <c r="F366" s="0" t="s">
        <v>2110</v>
      </c>
      <c r="H366" s="0" t="s">
        <v>22</v>
      </c>
      <c r="I366" s="2" t="s">
        <v>23</v>
      </c>
      <c r="J366" s="2" t="s">
        <v>1630</v>
      </c>
      <c r="K366" s="0" t="s">
        <v>1504</v>
      </c>
      <c r="L366" s="0" t="s">
        <v>2111</v>
      </c>
      <c r="M366" s="0" t="s">
        <v>1669</v>
      </c>
      <c r="N366" s="0" t="s">
        <v>1507</v>
      </c>
      <c r="O366" s="3" t="s">
        <v>2112</v>
      </c>
      <c r="P366" s="2" t="s">
        <v>2113</v>
      </c>
      <c r="Q366" s="2" t="s">
        <v>2114</v>
      </c>
      <c r="R366" s="2" t="s">
        <v>48</v>
      </c>
      <c r="S366" s="2" t="s">
        <v>33</v>
      </c>
    </row>
    <row r="367" customFormat="false" ht="15" hidden="false" customHeight="false" outlineLevel="0" collapsed="false">
      <c r="A367" s="0" t="n">
        <v>366</v>
      </c>
      <c r="D367" s="0" t="s">
        <v>2115</v>
      </c>
      <c r="E367" s="0" t="s">
        <v>20</v>
      </c>
      <c r="F367" s="0" t="s">
        <v>2116</v>
      </c>
      <c r="H367" s="0" t="s">
        <v>22</v>
      </c>
      <c r="I367" s="2" t="s">
        <v>23</v>
      </c>
      <c r="J367" s="2" t="s">
        <v>1630</v>
      </c>
      <c r="K367" s="0" t="s">
        <v>1504</v>
      </c>
      <c r="L367" s="0" t="s">
        <v>2111</v>
      </c>
      <c r="M367" s="0" t="s">
        <v>1669</v>
      </c>
      <c r="N367" s="0" t="s">
        <v>1507</v>
      </c>
      <c r="O367" s="3"/>
      <c r="P367" s="2" t="s">
        <v>2117</v>
      </c>
      <c r="Q367" s="2" t="s">
        <v>2118</v>
      </c>
      <c r="R367" s="2" t="s">
        <v>32</v>
      </c>
      <c r="S367" s="2" t="s">
        <v>33</v>
      </c>
    </row>
    <row r="368" customFormat="false" ht="15" hidden="false" customHeight="false" outlineLevel="0" collapsed="false">
      <c r="A368" s="0" t="n">
        <v>367</v>
      </c>
      <c r="D368" s="0" t="s">
        <v>2119</v>
      </c>
      <c r="E368" s="0" t="s">
        <v>20</v>
      </c>
      <c r="H368" s="0" t="s">
        <v>22</v>
      </c>
      <c r="I368" s="2" t="s">
        <v>23</v>
      </c>
      <c r="J368" s="2" t="s">
        <v>1630</v>
      </c>
      <c r="K368" s="0" t="s">
        <v>1504</v>
      </c>
      <c r="L368" s="0" t="s">
        <v>102</v>
      </c>
      <c r="M368" s="0" t="s">
        <v>1710</v>
      </c>
      <c r="N368" s="0" t="s">
        <v>1507</v>
      </c>
      <c r="O368" s="3" t="s">
        <v>2120</v>
      </c>
      <c r="P368" s="2" t="s">
        <v>2121</v>
      </c>
      <c r="Q368" s="2" t="s">
        <v>2122</v>
      </c>
      <c r="R368" s="2" t="s">
        <v>32</v>
      </c>
      <c r="S368" s="2" t="s">
        <v>33</v>
      </c>
    </row>
    <row r="369" customFormat="false" ht="15" hidden="false" customHeight="false" outlineLevel="0" collapsed="false">
      <c r="A369" s="0" t="n">
        <v>368</v>
      </c>
      <c r="D369" s="0" t="s">
        <v>2123</v>
      </c>
      <c r="E369" s="0" t="s">
        <v>20</v>
      </c>
      <c r="F369" s="0" t="s">
        <v>2124</v>
      </c>
      <c r="H369" s="0" t="s">
        <v>22</v>
      </c>
      <c r="I369" s="2" t="s">
        <v>23</v>
      </c>
      <c r="J369" s="2" t="s">
        <v>1630</v>
      </c>
      <c r="K369" s="0" t="s">
        <v>1504</v>
      </c>
      <c r="L369" s="0" t="s">
        <v>1942</v>
      </c>
      <c r="M369" s="0" t="s">
        <v>1631</v>
      </c>
      <c r="N369" s="0" t="s">
        <v>1507</v>
      </c>
      <c r="O369" s="3" t="s">
        <v>2125</v>
      </c>
      <c r="P369" s="2" t="s">
        <v>2126</v>
      </c>
      <c r="Q369" s="2" t="s">
        <v>2127</v>
      </c>
      <c r="R369" s="2" t="s">
        <v>1294</v>
      </c>
      <c r="S369" s="2" t="s">
        <v>33</v>
      </c>
    </row>
    <row r="370" customFormat="false" ht="15" hidden="false" customHeight="false" outlineLevel="0" collapsed="false">
      <c r="A370" s="0" t="n">
        <v>369</v>
      </c>
      <c r="D370" s="0" t="s">
        <v>2128</v>
      </c>
      <c r="E370" s="0" t="s">
        <v>20</v>
      </c>
      <c r="F370" s="0" t="s">
        <v>2129</v>
      </c>
      <c r="H370" s="0" t="s">
        <v>22</v>
      </c>
      <c r="I370" s="2" t="s">
        <v>23</v>
      </c>
      <c r="J370" s="2" t="s">
        <v>1630</v>
      </c>
      <c r="K370" s="0" t="s">
        <v>1504</v>
      </c>
      <c r="L370" s="0" t="s">
        <v>1709</v>
      </c>
      <c r="M370" s="0" t="s">
        <v>1771</v>
      </c>
      <c r="N370" s="0" t="s">
        <v>1507</v>
      </c>
      <c r="O370" s="3" t="s">
        <v>2130</v>
      </c>
      <c r="P370" s="2" t="s">
        <v>2131</v>
      </c>
      <c r="Q370" s="2" t="s">
        <v>2132</v>
      </c>
      <c r="R370" s="2" t="s">
        <v>32</v>
      </c>
      <c r="S370" s="2" t="s">
        <v>33</v>
      </c>
    </row>
    <row r="371" customFormat="false" ht="15" hidden="false" customHeight="false" outlineLevel="0" collapsed="false">
      <c r="A371" s="0" t="n">
        <v>370</v>
      </c>
      <c r="D371" s="0" t="s">
        <v>2133</v>
      </c>
      <c r="E371" s="0" t="s">
        <v>20</v>
      </c>
      <c r="F371" s="0" t="s">
        <v>2134</v>
      </c>
      <c r="H371" s="0" t="s">
        <v>22</v>
      </c>
      <c r="I371" s="2" t="s">
        <v>23</v>
      </c>
      <c r="J371" s="2" t="s">
        <v>1630</v>
      </c>
      <c r="K371" s="0" t="s">
        <v>1504</v>
      </c>
      <c r="L371" s="0" t="s">
        <v>102</v>
      </c>
      <c r="M371" s="0" t="s">
        <v>1710</v>
      </c>
      <c r="N371" s="0" t="s">
        <v>1507</v>
      </c>
      <c r="O371" s="3" t="s">
        <v>2135</v>
      </c>
      <c r="P371" s="2" t="s">
        <v>2136</v>
      </c>
      <c r="Q371" s="2" t="s">
        <v>2137</v>
      </c>
      <c r="R371" s="2" t="s">
        <v>32</v>
      </c>
      <c r="S371" s="2" t="s">
        <v>33</v>
      </c>
    </row>
    <row r="372" customFormat="false" ht="15" hidden="false" customHeight="false" outlineLevel="0" collapsed="false">
      <c r="A372" s="0" t="n">
        <v>371</v>
      </c>
      <c r="D372" s="0" t="s">
        <v>2138</v>
      </c>
      <c r="E372" s="0" t="s">
        <v>20</v>
      </c>
      <c r="F372" s="0" t="s">
        <v>2139</v>
      </c>
      <c r="H372" s="0" t="s">
        <v>22</v>
      </c>
      <c r="I372" s="2" t="s">
        <v>23</v>
      </c>
      <c r="J372" s="2" t="s">
        <v>1630</v>
      </c>
      <c r="K372" s="0" t="s">
        <v>1504</v>
      </c>
      <c r="L372" s="0" t="s">
        <v>2140</v>
      </c>
      <c r="M372" s="0" t="s">
        <v>2141</v>
      </c>
      <c r="N372" s="0" t="s">
        <v>1507</v>
      </c>
      <c r="O372" s="3" t="s">
        <v>2142</v>
      </c>
      <c r="P372" s="2" t="s">
        <v>2143</v>
      </c>
      <c r="Q372" s="2" t="s">
        <v>2144</v>
      </c>
      <c r="R372" s="2" t="s">
        <v>32</v>
      </c>
      <c r="S372" s="2" t="s">
        <v>33</v>
      </c>
    </row>
    <row r="373" customFormat="false" ht="15" hidden="false" customHeight="false" outlineLevel="0" collapsed="false">
      <c r="A373" s="0" t="n">
        <v>372</v>
      </c>
      <c r="D373" s="0" t="s">
        <v>2145</v>
      </c>
      <c r="E373" s="0" t="s">
        <v>20</v>
      </c>
      <c r="F373" s="0" t="s">
        <v>2146</v>
      </c>
      <c r="H373" s="0" t="s">
        <v>22</v>
      </c>
      <c r="I373" s="2" t="s">
        <v>23</v>
      </c>
      <c r="J373" s="2" t="s">
        <v>1630</v>
      </c>
      <c r="K373" s="0" t="s">
        <v>1504</v>
      </c>
      <c r="L373" s="0" t="s">
        <v>1942</v>
      </c>
      <c r="M373" s="0" t="s">
        <v>1631</v>
      </c>
      <c r="N373" s="0" t="s">
        <v>1507</v>
      </c>
      <c r="O373" s="3" t="s">
        <v>2147</v>
      </c>
      <c r="P373" s="2" t="s">
        <v>2148</v>
      </c>
      <c r="Q373" s="2" t="s">
        <v>2149</v>
      </c>
      <c r="R373" s="2" t="s">
        <v>32</v>
      </c>
      <c r="S373" s="2" t="s">
        <v>33</v>
      </c>
    </row>
    <row r="374" customFormat="false" ht="15" hidden="false" customHeight="false" outlineLevel="0" collapsed="false">
      <c r="A374" s="0" t="n">
        <v>373</v>
      </c>
      <c r="D374" s="0" t="s">
        <v>2150</v>
      </c>
      <c r="E374" s="0" t="s">
        <v>20</v>
      </c>
      <c r="F374" s="0" t="s">
        <v>2151</v>
      </c>
      <c r="H374" s="0" t="s">
        <v>22</v>
      </c>
      <c r="I374" s="2" t="s">
        <v>23</v>
      </c>
      <c r="J374" s="2" t="s">
        <v>1630</v>
      </c>
      <c r="K374" s="0" t="s">
        <v>1504</v>
      </c>
      <c r="L374" s="0" t="s">
        <v>2111</v>
      </c>
      <c r="M374" s="0" t="s">
        <v>1669</v>
      </c>
      <c r="N374" s="0" t="s">
        <v>1507</v>
      </c>
      <c r="O374" s="3" t="s">
        <v>2152</v>
      </c>
      <c r="P374" s="2" t="s">
        <v>2153</v>
      </c>
      <c r="Q374" s="2" t="s">
        <v>2154</v>
      </c>
      <c r="R374" s="2" t="s">
        <v>32</v>
      </c>
      <c r="S374" s="2" t="s">
        <v>33</v>
      </c>
    </row>
    <row r="375" customFormat="false" ht="15" hidden="false" customHeight="false" outlineLevel="0" collapsed="false">
      <c r="A375" s="0" t="n">
        <v>374</v>
      </c>
      <c r="D375" s="0" t="s">
        <v>2155</v>
      </c>
      <c r="E375" s="0" t="s">
        <v>20</v>
      </c>
      <c r="F375" s="0" t="s">
        <v>2156</v>
      </c>
      <c r="H375" s="0" t="s">
        <v>22</v>
      </c>
      <c r="I375" s="2" t="s">
        <v>23</v>
      </c>
      <c r="J375" s="2" t="s">
        <v>1630</v>
      </c>
      <c r="K375" s="0" t="s">
        <v>1504</v>
      </c>
      <c r="L375" s="0" t="s">
        <v>1942</v>
      </c>
      <c r="M375" s="0" t="s">
        <v>1631</v>
      </c>
      <c r="N375" s="0" t="s">
        <v>1507</v>
      </c>
      <c r="O375" s="3" t="s">
        <v>2157</v>
      </c>
      <c r="P375" s="2" t="s">
        <v>2158</v>
      </c>
      <c r="Q375" s="2" t="s">
        <v>2159</v>
      </c>
      <c r="R375" s="2" t="s">
        <v>99</v>
      </c>
      <c r="S375" s="2" t="s">
        <v>33</v>
      </c>
    </row>
    <row r="376" customFormat="false" ht="15" hidden="false" customHeight="false" outlineLevel="0" collapsed="false">
      <c r="A376" s="0" t="n">
        <v>375</v>
      </c>
      <c r="D376" s="0" t="s">
        <v>2160</v>
      </c>
      <c r="E376" s="0" t="s">
        <v>20</v>
      </c>
      <c r="F376" s="0" t="s">
        <v>2161</v>
      </c>
      <c r="H376" s="0" t="s">
        <v>22</v>
      </c>
      <c r="I376" s="2" t="s">
        <v>23</v>
      </c>
      <c r="J376" s="2" t="s">
        <v>1630</v>
      </c>
      <c r="K376" s="0" t="s">
        <v>1504</v>
      </c>
      <c r="L376" s="0" t="s">
        <v>1942</v>
      </c>
      <c r="M376" s="0" t="s">
        <v>1631</v>
      </c>
      <c r="N376" s="0" t="s">
        <v>1507</v>
      </c>
      <c r="O376" s="3" t="s">
        <v>2162</v>
      </c>
      <c r="P376" s="2" t="s">
        <v>2163</v>
      </c>
      <c r="Q376" s="2" t="s">
        <v>2164</v>
      </c>
      <c r="R376" s="2" t="s">
        <v>32</v>
      </c>
      <c r="S376" s="2" t="s">
        <v>33</v>
      </c>
    </row>
    <row r="377" customFormat="false" ht="15" hidden="false" customHeight="false" outlineLevel="0" collapsed="false">
      <c r="A377" s="0" t="n">
        <v>376</v>
      </c>
      <c r="D377" s="0" t="s">
        <v>2165</v>
      </c>
      <c r="E377" s="0" t="s">
        <v>20</v>
      </c>
      <c r="F377" s="0" t="s">
        <v>2166</v>
      </c>
      <c r="H377" s="0" t="s">
        <v>22</v>
      </c>
      <c r="I377" s="2" t="s">
        <v>23</v>
      </c>
      <c r="J377" s="2" t="s">
        <v>1630</v>
      </c>
      <c r="K377" s="0" t="s">
        <v>1504</v>
      </c>
      <c r="L377" s="0" t="s">
        <v>2111</v>
      </c>
      <c r="M377" s="0" t="s">
        <v>1669</v>
      </c>
      <c r="N377" s="0" t="s">
        <v>1507</v>
      </c>
      <c r="O377" s="3" t="s">
        <v>2167</v>
      </c>
      <c r="P377" s="2" t="s">
        <v>2168</v>
      </c>
      <c r="Q377" s="2" t="s">
        <v>2169</v>
      </c>
      <c r="R377" s="2" t="s">
        <v>32</v>
      </c>
      <c r="S377" s="2" t="s">
        <v>33</v>
      </c>
    </row>
    <row r="378" customFormat="false" ht="15" hidden="false" customHeight="false" outlineLevel="0" collapsed="false">
      <c r="A378" s="0" t="n">
        <v>377</v>
      </c>
      <c r="D378" s="0" t="s">
        <v>2170</v>
      </c>
      <c r="E378" s="0" t="s">
        <v>20</v>
      </c>
      <c r="F378" s="0" t="s">
        <v>2171</v>
      </c>
      <c r="H378" s="0" t="s">
        <v>22</v>
      </c>
      <c r="I378" s="2" t="s">
        <v>23</v>
      </c>
      <c r="J378" s="2" t="s">
        <v>1630</v>
      </c>
      <c r="K378" s="0" t="s">
        <v>1504</v>
      </c>
      <c r="L378" s="0" t="s">
        <v>1716</v>
      </c>
      <c r="M378" s="0" t="s">
        <v>1717</v>
      </c>
      <c r="N378" s="0" t="s">
        <v>1507</v>
      </c>
      <c r="O378" s="3" t="s">
        <v>2172</v>
      </c>
      <c r="P378" s="2" t="s">
        <v>2173</v>
      </c>
      <c r="Q378" s="2" t="s">
        <v>2174</v>
      </c>
      <c r="R378" s="2" t="s">
        <v>32</v>
      </c>
      <c r="S378" s="2" t="s">
        <v>33</v>
      </c>
    </row>
    <row r="379" customFormat="false" ht="15" hidden="false" customHeight="false" outlineLevel="0" collapsed="false">
      <c r="A379" s="0" t="n">
        <v>378</v>
      </c>
      <c r="D379" s="0" t="s">
        <v>2175</v>
      </c>
      <c r="E379" s="0" t="s">
        <v>20</v>
      </c>
      <c r="F379" s="0" t="s">
        <v>2176</v>
      </c>
      <c r="H379" s="0" t="s">
        <v>22</v>
      </c>
      <c r="I379" s="2" t="s">
        <v>23</v>
      </c>
      <c r="J379" s="2" t="s">
        <v>1630</v>
      </c>
      <c r="K379" s="0" t="s">
        <v>1504</v>
      </c>
      <c r="L379" s="0" t="s">
        <v>1942</v>
      </c>
      <c r="M379" s="0" t="s">
        <v>1631</v>
      </c>
      <c r="N379" s="0" t="s">
        <v>1507</v>
      </c>
      <c r="O379" s="3" t="s">
        <v>2177</v>
      </c>
      <c r="P379" s="2" t="s">
        <v>2178</v>
      </c>
      <c r="Q379" s="2" t="s">
        <v>2179</v>
      </c>
      <c r="R379" s="2" t="s">
        <v>32</v>
      </c>
      <c r="S379" s="2" t="s">
        <v>33</v>
      </c>
    </row>
    <row r="380" customFormat="false" ht="15" hidden="false" customHeight="false" outlineLevel="0" collapsed="false">
      <c r="A380" s="0" t="n">
        <v>379</v>
      </c>
      <c r="D380" s="0" t="s">
        <v>2180</v>
      </c>
      <c r="E380" s="0" t="s">
        <v>20</v>
      </c>
      <c r="F380" s="0" t="s">
        <v>2181</v>
      </c>
      <c r="H380" s="0" t="s">
        <v>22</v>
      </c>
      <c r="I380" s="2" t="s">
        <v>23</v>
      </c>
      <c r="J380" s="2" t="s">
        <v>1630</v>
      </c>
      <c r="K380" s="0" t="s">
        <v>1504</v>
      </c>
      <c r="L380" s="0" t="s">
        <v>1716</v>
      </c>
      <c r="M380" s="0" t="s">
        <v>1717</v>
      </c>
      <c r="N380" s="0" t="s">
        <v>1507</v>
      </c>
      <c r="O380" s="3" t="s">
        <v>2182</v>
      </c>
      <c r="P380" s="2" t="s">
        <v>2183</v>
      </c>
      <c r="Q380" s="2" t="s">
        <v>2184</v>
      </c>
      <c r="R380" s="2" t="s">
        <v>32</v>
      </c>
      <c r="S380" s="2" t="s">
        <v>33</v>
      </c>
    </row>
    <row r="381" customFormat="false" ht="15" hidden="false" customHeight="false" outlineLevel="0" collapsed="false">
      <c r="A381" s="0" t="n">
        <v>380</v>
      </c>
      <c r="D381" s="0" t="s">
        <v>2185</v>
      </c>
      <c r="E381" s="0" t="s">
        <v>20</v>
      </c>
      <c r="F381" s="0" t="s">
        <v>2186</v>
      </c>
      <c r="H381" s="0" t="s">
        <v>22</v>
      </c>
      <c r="I381" s="2" t="s">
        <v>23</v>
      </c>
      <c r="J381" s="2" t="s">
        <v>1630</v>
      </c>
      <c r="K381" s="0" t="s">
        <v>1504</v>
      </c>
      <c r="L381" s="0" t="s">
        <v>1709</v>
      </c>
      <c r="M381" s="0" t="s">
        <v>1710</v>
      </c>
      <c r="N381" s="0" t="s">
        <v>1507</v>
      </c>
      <c r="O381" s="3"/>
      <c r="P381" s="2" t="s">
        <v>2187</v>
      </c>
      <c r="Q381" s="2" t="s">
        <v>2188</v>
      </c>
      <c r="R381" s="2" t="s">
        <v>32</v>
      </c>
      <c r="S381" s="2" t="s">
        <v>33</v>
      </c>
    </row>
    <row r="382" customFormat="false" ht="15" hidden="false" customHeight="false" outlineLevel="0" collapsed="false">
      <c r="A382" s="0" t="n">
        <v>381</v>
      </c>
      <c r="D382" s="0" t="s">
        <v>2189</v>
      </c>
      <c r="E382" s="0" t="s">
        <v>20</v>
      </c>
      <c r="H382" s="0" t="s">
        <v>22</v>
      </c>
      <c r="I382" s="2" t="s">
        <v>23</v>
      </c>
      <c r="J382" s="2" t="s">
        <v>1630</v>
      </c>
      <c r="K382" s="0" t="s">
        <v>1504</v>
      </c>
      <c r="L382" s="0" t="s">
        <v>2111</v>
      </c>
      <c r="M382" s="0" t="s">
        <v>1669</v>
      </c>
      <c r="N382" s="0" t="s">
        <v>1507</v>
      </c>
      <c r="O382" s="3" t="s">
        <v>2190</v>
      </c>
      <c r="P382" s="2" t="s">
        <v>2191</v>
      </c>
      <c r="Q382" s="2" t="s">
        <v>2192</v>
      </c>
      <c r="R382" s="2" t="s">
        <v>32</v>
      </c>
      <c r="S382" s="2" t="s">
        <v>33</v>
      </c>
    </row>
    <row r="383" customFormat="false" ht="15" hidden="false" customHeight="false" outlineLevel="0" collapsed="false">
      <c r="A383" s="0" t="n">
        <v>382</v>
      </c>
      <c r="D383" s="0" t="s">
        <v>2193</v>
      </c>
      <c r="E383" s="0" t="s">
        <v>20</v>
      </c>
      <c r="F383" s="0" t="s">
        <v>2194</v>
      </c>
      <c r="H383" s="0" t="s">
        <v>22</v>
      </c>
      <c r="I383" s="2" t="s">
        <v>23</v>
      </c>
      <c r="J383" s="2" t="s">
        <v>1630</v>
      </c>
      <c r="K383" s="0" t="s">
        <v>1504</v>
      </c>
      <c r="L383" s="0" t="s">
        <v>2111</v>
      </c>
      <c r="M383" s="0" t="s">
        <v>1669</v>
      </c>
      <c r="N383" s="0" t="s">
        <v>1507</v>
      </c>
      <c r="O383" s="3" t="s">
        <v>2195</v>
      </c>
      <c r="P383" s="2" t="s">
        <v>2196</v>
      </c>
      <c r="Q383" s="2" t="s">
        <v>2197</v>
      </c>
      <c r="R383" s="2" t="s">
        <v>32</v>
      </c>
      <c r="S383" s="2" t="s">
        <v>33</v>
      </c>
    </row>
    <row r="384" customFormat="false" ht="15" hidden="false" customHeight="false" outlineLevel="0" collapsed="false">
      <c r="A384" s="0" t="n">
        <v>383</v>
      </c>
      <c r="D384" s="0" t="s">
        <v>2198</v>
      </c>
      <c r="E384" s="0" t="s">
        <v>20</v>
      </c>
      <c r="F384" s="0" t="s">
        <v>2199</v>
      </c>
      <c r="H384" s="0" t="s">
        <v>22</v>
      </c>
      <c r="I384" s="2" t="s">
        <v>23</v>
      </c>
      <c r="J384" s="2" t="s">
        <v>1630</v>
      </c>
      <c r="K384" s="0" t="s">
        <v>1504</v>
      </c>
      <c r="L384" s="0" t="s">
        <v>2111</v>
      </c>
      <c r="M384" s="0" t="s">
        <v>1669</v>
      </c>
      <c r="N384" s="0" t="s">
        <v>1507</v>
      </c>
      <c r="O384" s="3" t="s">
        <v>2200</v>
      </c>
      <c r="P384" s="2" t="s">
        <v>2201</v>
      </c>
      <c r="Q384" s="2" t="s">
        <v>2202</v>
      </c>
      <c r="R384" s="2" t="s">
        <v>32</v>
      </c>
      <c r="S384" s="2" t="s">
        <v>33</v>
      </c>
    </row>
    <row r="385" customFormat="false" ht="15" hidden="false" customHeight="false" outlineLevel="0" collapsed="false">
      <c r="A385" s="0" t="n">
        <v>384</v>
      </c>
      <c r="D385" s="0" t="s">
        <v>2203</v>
      </c>
      <c r="E385" s="0" t="s">
        <v>20</v>
      </c>
      <c r="F385" s="0" t="s">
        <v>2204</v>
      </c>
      <c r="H385" s="0" t="s">
        <v>22</v>
      </c>
      <c r="I385" s="2" t="s">
        <v>23</v>
      </c>
      <c r="J385" s="2" t="s">
        <v>1630</v>
      </c>
      <c r="K385" s="0" t="s">
        <v>1504</v>
      </c>
      <c r="L385" s="0" t="s">
        <v>2111</v>
      </c>
      <c r="M385" s="0" t="s">
        <v>1669</v>
      </c>
      <c r="N385" s="0" t="s">
        <v>1507</v>
      </c>
      <c r="O385" s="3" t="s">
        <v>2205</v>
      </c>
      <c r="P385" s="2" t="s">
        <v>2206</v>
      </c>
      <c r="Q385" s="2" t="s">
        <v>2207</v>
      </c>
      <c r="R385" s="2" t="s">
        <v>32</v>
      </c>
      <c r="S385" s="2" t="s">
        <v>33</v>
      </c>
    </row>
    <row r="386" customFormat="false" ht="15" hidden="false" customHeight="false" outlineLevel="0" collapsed="false">
      <c r="A386" s="0" t="n">
        <v>385</v>
      </c>
      <c r="D386" s="0" t="s">
        <v>2208</v>
      </c>
      <c r="E386" s="0" t="s">
        <v>20</v>
      </c>
      <c r="F386" s="0" t="s">
        <v>2209</v>
      </c>
      <c r="H386" s="0" t="s">
        <v>22</v>
      </c>
      <c r="I386" s="2" t="s">
        <v>23</v>
      </c>
      <c r="J386" s="2" t="s">
        <v>1630</v>
      </c>
      <c r="K386" s="0" t="s">
        <v>1504</v>
      </c>
      <c r="L386" s="0" t="s">
        <v>102</v>
      </c>
      <c r="M386" s="0" t="s">
        <v>1710</v>
      </c>
      <c r="N386" s="0" t="s">
        <v>1507</v>
      </c>
      <c r="O386" s="3" t="s">
        <v>2210</v>
      </c>
      <c r="P386" s="2" t="s">
        <v>2211</v>
      </c>
      <c r="Q386" s="2" t="s">
        <v>2212</v>
      </c>
      <c r="R386" s="2" t="s">
        <v>32</v>
      </c>
      <c r="S386" s="2" t="s">
        <v>33</v>
      </c>
    </row>
    <row r="387" customFormat="false" ht="15" hidden="false" customHeight="false" outlineLevel="0" collapsed="false">
      <c r="A387" s="0" t="n">
        <v>386</v>
      </c>
      <c r="D387" s="0" t="s">
        <v>2213</v>
      </c>
      <c r="E387" s="0" t="s">
        <v>20</v>
      </c>
      <c r="F387" s="0" t="s">
        <v>2214</v>
      </c>
      <c r="H387" s="0" t="s">
        <v>22</v>
      </c>
      <c r="I387" s="2" t="s">
        <v>23</v>
      </c>
      <c r="J387" s="2" t="s">
        <v>1630</v>
      </c>
      <c r="K387" s="0" t="s">
        <v>1504</v>
      </c>
      <c r="L387" s="0" t="s">
        <v>1709</v>
      </c>
      <c r="M387" s="0" t="s">
        <v>1771</v>
      </c>
      <c r="N387" s="0" t="s">
        <v>1507</v>
      </c>
      <c r="O387" s="3" t="s">
        <v>2215</v>
      </c>
      <c r="P387" s="2" t="s">
        <v>2216</v>
      </c>
      <c r="Q387" s="2" t="s">
        <v>2217</v>
      </c>
      <c r="R387" s="2" t="s">
        <v>32</v>
      </c>
      <c r="S387" s="2" t="s">
        <v>33</v>
      </c>
    </row>
    <row r="388" customFormat="false" ht="15" hidden="false" customHeight="false" outlineLevel="0" collapsed="false">
      <c r="A388" s="0" t="n">
        <v>387</v>
      </c>
      <c r="D388" s="0" t="s">
        <v>2218</v>
      </c>
      <c r="E388" s="0" t="s">
        <v>20</v>
      </c>
      <c r="F388" s="0" t="s">
        <v>2219</v>
      </c>
      <c r="H388" s="0" t="s">
        <v>22</v>
      </c>
      <c r="I388" s="2" t="s">
        <v>23</v>
      </c>
      <c r="J388" s="2" t="s">
        <v>1630</v>
      </c>
      <c r="K388" s="0" t="s">
        <v>1572</v>
      </c>
      <c r="L388" s="0" t="s">
        <v>2220</v>
      </c>
      <c r="M388" s="0" t="s">
        <v>1590</v>
      </c>
      <c r="N388" s="0" t="s">
        <v>1575</v>
      </c>
      <c r="O388" s="3" t="s">
        <v>2221</v>
      </c>
      <c r="P388" s="2" t="s">
        <v>2222</v>
      </c>
      <c r="Q388" s="2" t="s">
        <v>2223</v>
      </c>
      <c r="R388" s="2" t="s">
        <v>32</v>
      </c>
      <c r="S388" s="2" t="s">
        <v>33</v>
      </c>
    </row>
    <row r="389" customFormat="false" ht="15" hidden="false" customHeight="false" outlineLevel="0" collapsed="false">
      <c r="A389" s="0" t="n">
        <v>388</v>
      </c>
      <c r="D389" s="0" t="s">
        <v>2224</v>
      </c>
      <c r="E389" s="0" t="s">
        <v>20</v>
      </c>
      <c r="F389" s="0" t="s">
        <v>2225</v>
      </c>
      <c r="H389" s="0" t="s">
        <v>22</v>
      </c>
      <c r="I389" s="2" t="s">
        <v>23</v>
      </c>
      <c r="J389" s="2" t="s">
        <v>1630</v>
      </c>
      <c r="K389" s="0" t="s">
        <v>1572</v>
      </c>
      <c r="L389" s="0" t="s">
        <v>2226</v>
      </c>
      <c r="M389" s="0" t="s">
        <v>2227</v>
      </c>
      <c r="N389" s="0" t="s">
        <v>1575</v>
      </c>
      <c r="O389" s="3" t="s">
        <v>2228</v>
      </c>
      <c r="P389" s="2" t="s">
        <v>2229</v>
      </c>
      <c r="Q389" s="2" t="s">
        <v>2230</v>
      </c>
      <c r="R389" s="2" t="s">
        <v>32</v>
      </c>
      <c r="S389" s="2" t="s">
        <v>33</v>
      </c>
    </row>
    <row r="390" customFormat="false" ht="15" hidden="false" customHeight="false" outlineLevel="0" collapsed="false">
      <c r="A390" s="0" t="n">
        <v>389</v>
      </c>
      <c r="D390" s="0" t="s">
        <v>2231</v>
      </c>
      <c r="E390" s="0" t="s">
        <v>20</v>
      </c>
      <c r="F390" s="0" t="s">
        <v>2232</v>
      </c>
      <c r="H390" s="0" t="s">
        <v>22</v>
      </c>
      <c r="I390" s="2" t="s">
        <v>23</v>
      </c>
      <c r="J390" s="2" t="s">
        <v>1630</v>
      </c>
      <c r="K390" s="0" t="s">
        <v>1572</v>
      </c>
      <c r="L390" s="0" t="s">
        <v>2226</v>
      </c>
      <c r="M390" s="0" t="s">
        <v>2227</v>
      </c>
      <c r="N390" s="0" t="s">
        <v>1575</v>
      </c>
      <c r="O390" s="3" t="s">
        <v>2233</v>
      </c>
      <c r="P390" s="2" t="s">
        <v>2234</v>
      </c>
      <c r="Q390" s="2" t="s">
        <v>2235</v>
      </c>
      <c r="R390" s="2" t="s">
        <v>32</v>
      </c>
      <c r="S390" s="2" t="s">
        <v>33</v>
      </c>
    </row>
    <row r="391" customFormat="false" ht="15" hidden="false" customHeight="false" outlineLevel="0" collapsed="false">
      <c r="A391" s="0" t="n">
        <v>390</v>
      </c>
      <c r="D391" s="0" t="s">
        <v>2236</v>
      </c>
      <c r="E391" s="0" t="s">
        <v>20</v>
      </c>
      <c r="F391" s="0" t="s">
        <v>2237</v>
      </c>
      <c r="H391" s="0" t="s">
        <v>22</v>
      </c>
      <c r="I391" s="2" t="s">
        <v>23</v>
      </c>
      <c r="J391" s="2" t="s">
        <v>1630</v>
      </c>
      <c r="K391" s="0" t="s">
        <v>1572</v>
      </c>
      <c r="L391" s="0" t="s">
        <v>2238</v>
      </c>
      <c r="M391" s="0" t="s">
        <v>2239</v>
      </c>
      <c r="N391" s="0" t="s">
        <v>1575</v>
      </c>
      <c r="O391" s="3" t="s">
        <v>2240</v>
      </c>
      <c r="P391" s="2" t="s">
        <v>2241</v>
      </c>
      <c r="Q391" s="2" t="s">
        <v>2242</v>
      </c>
      <c r="R391" s="2" t="s">
        <v>32</v>
      </c>
      <c r="S391" s="2" t="s">
        <v>33</v>
      </c>
    </row>
    <row r="392" customFormat="false" ht="15" hidden="false" customHeight="false" outlineLevel="0" collapsed="false">
      <c r="A392" s="0" t="n">
        <v>391</v>
      </c>
      <c r="D392" s="0" t="s">
        <v>2243</v>
      </c>
      <c r="E392" s="0" t="s">
        <v>20</v>
      </c>
      <c r="F392" s="0" t="s">
        <v>2244</v>
      </c>
      <c r="H392" s="0" t="s">
        <v>22</v>
      </c>
      <c r="I392" s="2" t="s">
        <v>23</v>
      </c>
      <c r="J392" s="2" t="s">
        <v>1630</v>
      </c>
      <c r="K392" s="0" t="s">
        <v>1572</v>
      </c>
      <c r="L392" s="0" t="s">
        <v>2245</v>
      </c>
      <c r="M392" s="0" t="s">
        <v>2246</v>
      </c>
      <c r="N392" s="0" t="s">
        <v>1575</v>
      </c>
      <c r="O392" s="3" t="s">
        <v>2247</v>
      </c>
      <c r="P392" s="2" t="s">
        <v>2248</v>
      </c>
      <c r="Q392" s="2" t="s">
        <v>2249</v>
      </c>
      <c r="R392" s="2" t="s">
        <v>32</v>
      </c>
      <c r="S392" s="2" t="s">
        <v>33</v>
      </c>
    </row>
    <row r="393" customFormat="false" ht="15" hidden="false" customHeight="false" outlineLevel="0" collapsed="false">
      <c r="A393" s="0" t="n">
        <v>392</v>
      </c>
      <c r="D393" s="0" t="s">
        <v>2250</v>
      </c>
      <c r="E393" s="0" t="s">
        <v>20</v>
      </c>
      <c r="F393" s="0" t="s">
        <v>2251</v>
      </c>
      <c r="H393" s="0" t="s">
        <v>22</v>
      </c>
      <c r="I393" s="2" t="s">
        <v>23</v>
      </c>
      <c r="J393" s="2" t="s">
        <v>1630</v>
      </c>
      <c r="K393" s="0" t="s">
        <v>1572</v>
      </c>
      <c r="L393" s="0" t="s">
        <v>2226</v>
      </c>
      <c r="M393" s="0" t="s">
        <v>2227</v>
      </c>
      <c r="N393" s="0" t="s">
        <v>1575</v>
      </c>
      <c r="O393" s="3" t="s">
        <v>2252</v>
      </c>
      <c r="P393" s="2" t="s">
        <v>2253</v>
      </c>
      <c r="Q393" s="2" t="s">
        <v>2254</v>
      </c>
      <c r="R393" s="2" t="s">
        <v>32</v>
      </c>
      <c r="S393" s="2" t="s">
        <v>33</v>
      </c>
    </row>
    <row r="394" customFormat="false" ht="15" hidden="false" customHeight="false" outlineLevel="0" collapsed="false">
      <c r="A394" s="0" t="n">
        <v>393</v>
      </c>
      <c r="D394" s="0" t="s">
        <v>2255</v>
      </c>
      <c r="E394" s="0" t="s">
        <v>20</v>
      </c>
      <c r="F394" s="0" t="s">
        <v>2256</v>
      </c>
      <c r="H394" s="0" t="s">
        <v>22</v>
      </c>
      <c r="I394" s="2" t="s">
        <v>23</v>
      </c>
      <c r="J394" s="2" t="s">
        <v>1630</v>
      </c>
      <c r="K394" s="0" t="s">
        <v>1572</v>
      </c>
      <c r="L394" s="0" t="s">
        <v>2226</v>
      </c>
      <c r="M394" s="0" t="s">
        <v>2227</v>
      </c>
      <c r="N394" s="0" t="s">
        <v>1575</v>
      </c>
      <c r="O394" s="3" t="s">
        <v>2257</v>
      </c>
      <c r="P394" s="2" t="s">
        <v>2258</v>
      </c>
      <c r="Q394" s="2" t="s">
        <v>2259</v>
      </c>
      <c r="R394" s="2" t="s">
        <v>32</v>
      </c>
      <c r="S394" s="2" t="s">
        <v>33</v>
      </c>
    </row>
    <row r="395" customFormat="false" ht="15" hidden="false" customHeight="false" outlineLevel="0" collapsed="false">
      <c r="A395" s="0" t="n">
        <v>394</v>
      </c>
      <c r="D395" s="0" t="s">
        <v>2260</v>
      </c>
      <c r="E395" s="0" t="s">
        <v>20</v>
      </c>
      <c r="F395" s="0" t="s">
        <v>2261</v>
      </c>
      <c r="H395" s="0" t="s">
        <v>22</v>
      </c>
      <c r="I395" s="2" t="s">
        <v>23</v>
      </c>
      <c r="J395" s="2" t="s">
        <v>1630</v>
      </c>
      <c r="K395" s="0" t="s">
        <v>1572</v>
      </c>
      <c r="L395" s="0" t="s">
        <v>2220</v>
      </c>
      <c r="M395" s="0" t="s">
        <v>1590</v>
      </c>
      <c r="N395" s="0" t="s">
        <v>1575</v>
      </c>
      <c r="O395" s="3" t="s">
        <v>2262</v>
      </c>
      <c r="P395" s="2" t="s">
        <v>2263</v>
      </c>
      <c r="Q395" s="2" t="s">
        <v>2264</v>
      </c>
      <c r="R395" s="2" t="s">
        <v>32</v>
      </c>
      <c r="S395" s="2" t="s">
        <v>33</v>
      </c>
    </row>
    <row r="396" customFormat="false" ht="15" hidden="false" customHeight="false" outlineLevel="0" collapsed="false">
      <c r="A396" s="0" t="n">
        <v>395</v>
      </c>
      <c r="D396" s="0" t="s">
        <v>2265</v>
      </c>
      <c r="E396" s="0" t="s">
        <v>20</v>
      </c>
      <c r="F396" s="0" t="s">
        <v>2266</v>
      </c>
      <c r="H396" s="0" t="s">
        <v>22</v>
      </c>
      <c r="I396" s="2" t="s">
        <v>23</v>
      </c>
      <c r="J396" s="2" t="s">
        <v>1630</v>
      </c>
      <c r="K396" s="0" t="s">
        <v>1572</v>
      </c>
      <c r="L396" s="0" t="s">
        <v>2226</v>
      </c>
      <c r="M396" s="0" t="s">
        <v>2227</v>
      </c>
      <c r="N396" s="0" t="s">
        <v>1575</v>
      </c>
      <c r="O396" s="3" t="s">
        <v>2267</v>
      </c>
      <c r="P396" s="2" t="s">
        <v>2268</v>
      </c>
      <c r="Q396" s="2" t="s">
        <v>2269</v>
      </c>
      <c r="R396" s="2" t="s">
        <v>32</v>
      </c>
      <c r="S396" s="2" t="s">
        <v>33</v>
      </c>
    </row>
    <row r="397" customFormat="false" ht="15" hidden="false" customHeight="false" outlineLevel="0" collapsed="false">
      <c r="A397" s="0" t="n">
        <v>396</v>
      </c>
      <c r="D397" s="0" t="s">
        <v>2270</v>
      </c>
      <c r="E397" s="0" t="s">
        <v>20</v>
      </c>
      <c r="F397" s="0" t="s">
        <v>2271</v>
      </c>
      <c r="H397" s="0" t="s">
        <v>22</v>
      </c>
      <c r="I397" s="2" t="s">
        <v>23</v>
      </c>
      <c r="J397" s="2" t="s">
        <v>1630</v>
      </c>
      <c r="K397" s="0" t="s">
        <v>1572</v>
      </c>
      <c r="L397" s="0" t="s">
        <v>2272</v>
      </c>
      <c r="M397" s="0" t="s">
        <v>2273</v>
      </c>
      <c r="N397" s="0" t="s">
        <v>1575</v>
      </c>
      <c r="O397" s="3" t="s">
        <v>2274</v>
      </c>
      <c r="P397" s="2" t="s">
        <v>2275</v>
      </c>
      <c r="Q397" s="2" t="s">
        <v>2276</v>
      </c>
      <c r="R397" s="2" t="s">
        <v>32</v>
      </c>
      <c r="S397" s="2" t="s">
        <v>33</v>
      </c>
    </row>
    <row r="398" customFormat="false" ht="15" hidden="false" customHeight="false" outlineLevel="0" collapsed="false">
      <c r="A398" s="0" t="n">
        <v>397</v>
      </c>
      <c r="D398" s="0" t="s">
        <v>2277</v>
      </c>
      <c r="E398" s="0" t="s">
        <v>20</v>
      </c>
      <c r="F398" s="0" t="s">
        <v>2278</v>
      </c>
      <c r="H398" s="0" t="s">
        <v>22</v>
      </c>
      <c r="I398" s="2" t="s">
        <v>23</v>
      </c>
      <c r="J398" s="2" t="s">
        <v>1630</v>
      </c>
      <c r="K398" s="0" t="s">
        <v>1572</v>
      </c>
      <c r="L398" s="0" t="s">
        <v>2279</v>
      </c>
      <c r="M398" s="0" t="s">
        <v>2280</v>
      </c>
      <c r="N398" s="0" t="s">
        <v>1575</v>
      </c>
      <c r="O398" s="3" t="s">
        <v>2281</v>
      </c>
      <c r="Q398" s="2" t="s">
        <v>2282</v>
      </c>
      <c r="R398" s="2" t="s">
        <v>32</v>
      </c>
      <c r="S398" s="2" t="s">
        <v>33</v>
      </c>
    </row>
    <row r="399" customFormat="false" ht="15" hidden="false" customHeight="false" outlineLevel="0" collapsed="false">
      <c r="A399" s="0" t="n">
        <v>398</v>
      </c>
      <c r="D399" s="0" t="s">
        <v>2283</v>
      </c>
      <c r="E399" s="0" t="s">
        <v>20</v>
      </c>
      <c r="F399" s="0" t="s">
        <v>2284</v>
      </c>
      <c r="H399" s="0" t="s">
        <v>22</v>
      </c>
      <c r="I399" s="2" t="s">
        <v>23</v>
      </c>
      <c r="J399" s="2" t="s">
        <v>1630</v>
      </c>
      <c r="K399" s="0" t="s">
        <v>1572</v>
      </c>
      <c r="L399" s="0" t="s">
        <v>2285</v>
      </c>
      <c r="M399" s="0" t="s">
        <v>2286</v>
      </c>
      <c r="N399" s="0" t="s">
        <v>1575</v>
      </c>
      <c r="O399" s="3" t="s">
        <v>2287</v>
      </c>
      <c r="P399" s="2" t="s">
        <v>2288</v>
      </c>
      <c r="Q399" s="2" t="s">
        <v>2289</v>
      </c>
      <c r="R399" s="2" t="s">
        <v>32</v>
      </c>
      <c r="S399" s="2" t="s">
        <v>33</v>
      </c>
    </row>
    <row r="400" customFormat="false" ht="15" hidden="false" customHeight="false" outlineLevel="0" collapsed="false">
      <c r="A400" s="0" t="n">
        <v>399</v>
      </c>
      <c r="D400" s="0" t="s">
        <v>2290</v>
      </c>
      <c r="E400" s="0" t="s">
        <v>20</v>
      </c>
      <c r="F400" s="0" t="s">
        <v>2291</v>
      </c>
      <c r="H400" s="0" t="s">
        <v>22</v>
      </c>
      <c r="I400" s="2" t="s">
        <v>23</v>
      </c>
      <c r="J400" s="2" t="s">
        <v>1630</v>
      </c>
      <c r="K400" s="0" t="s">
        <v>1572</v>
      </c>
      <c r="L400" s="0" t="s">
        <v>2279</v>
      </c>
      <c r="M400" s="0" t="s">
        <v>2280</v>
      </c>
      <c r="N400" s="0" t="s">
        <v>1575</v>
      </c>
      <c r="O400" s="3" t="s">
        <v>2292</v>
      </c>
      <c r="P400" s="2" t="s">
        <v>2293</v>
      </c>
      <c r="Q400" s="2" t="s">
        <v>2294</v>
      </c>
      <c r="R400" s="2" t="s">
        <v>32</v>
      </c>
      <c r="S400" s="2" t="s">
        <v>33</v>
      </c>
    </row>
    <row r="401" customFormat="false" ht="15" hidden="false" customHeight="false" outlineLevel="0" collapsed="false">
      <c r="A401" s="0" t="n">
        <v>400</v>
      </c>
      <c r="D401" s="0" t="s">
        <v>2295</v>
      </c>
      <c r="E401" s="0" t="s">
        <v>20</v>
      </c>
      <c r="F401" s="0" t="s">
        <v>2296</v>
      </c>
      <c r="H401" s="0" t="s">
        <v>22</v>
      </c>
      <c r="I401" s="2" t="s">
        <v>23</v>
      </c>
      <c r="J401" s="2" t="s">
        <v>1630</v>
      </c>
      <c r="K401" s="0" t="s">
        <v>1572</v>
      </c>
      <c r="L401" s="0" t="s">
        <v>2297</v>
      </c>
      <c r="M401" s="0" t="s">
        <v>2298</v>
      </c>
      <c r="N401" s="0" t="s">
        <v>1575</v>
      </c>
      <c r="O401" s="3" t="s">
        <v>2299</v>
      </c>
      <c r="Q401" s="2" t="s">
        <v>2300</v>
      </c>
      <c r="R401" s="2" t="s">
        <v>1294</v>
      </c>
      <c r="S401" s="2" t="s">
        <v>33</v>
      </c>
    </row>
    <row r="402" customFormat="false" ht="15" hidden="false" customHeight="false" outlineLevel="0" collapsed="false">
      <c r="A402" s="0" t="n">
        <v>401</v>
      </c>
      <c r="D402" s="0" t="s">
        <v>2301</v>
      </c>
      <c r="E402" s="0" t="s">
        <v>20</v>
      </c>
      <c r="F402" s="0" t="s">
        <v>2302</v>
      </c>
      <c r="H402" s="0" t="s">
        <v>22</v>
      </c>
      <c r="I402" s="2" t="s">
        <v>23</v>
      </c>
      <c r="J402" s="2" t="s">
        <v>1630</v>
      </c>
      <c r="K402" s="0" t="s">
        <v>1572</v>
      </c>
      <c r="L402" s="0" t="s">
        <v>2226</v>
      </c>
      <c r="M402" s="0" t="s">
        <v>2227</v>
      </c>
      <c r="N402" s="0" t="s">
        <v>1575</v>
      </c>
      <c r="O402" s="3" t="s">
        <v>2303</v>
      </c>
      <c r="P402" s="2" t="s">
        <v>2304</v>
      </c>
      <c r="Q402" s="2" t="s">
        <v>2305</v>
      </c>
      <c r="R402" s="2" t="s">
        <v>32</v>
      </c>
      <c r="S402" s="2" t="s">
        <v>33</v>
      </c>
    </row>
    <row r="403" customFormat="false" ht="15" hidden="false" customHeight="false" outlineLevel="0" collapsed="false">
      <c r="A403" s="0" t="n">
        <v>402</v>
      </c>
      <c r="D403" s="0" t="s">
        <v>2306</v>
      </c>
      <c r="E403" s="0" t="s">
        <v>20</v>
      </c>
      <c r="F403" s="0" t="s">
        <v>2307</v>
      </c>
      <c r="H403" s="0" t="s">
        <v>22</v>
      </c>
      <c r="I403" s="2" t="s">
        <v>23</v>
      </c>
      <c r="J403" s="2" t="s">
        <v>1630</v>
      </c>
      <c r="K403" s="0" t="s">
        <v>1572</v>
      </c>
      <c r="L403" s="0" t="s">
        <v>2285</v>
      </c>
      <c r="M403" s="0" t="s">
        <v>2286</v>
      </c>
      <c r="N403" s="0" t="s">
        <v>1575</v>
      </c>
      <c r="O403" s="3" t="s">
        <v>2308</v>
      </c>
      <c r="P403" s="2" t="s">
        <v>2309</v>
      </c>
      <c r="Q403" s="2" t="s">
        <v>2310</v>
      </c>
      <c r="R403" s="2" t="s">
        <v>32</v>
      </c>
      <c r="S403" s="2" t="s">
        <v>33</v>
      </c>
    </row>
    <row r="404" customFormat="false" ht="15" hidden="false" customHeight="false" outlineLevel="0" collapsed="false">
      <c r="A404" s="0" t="n">
        <v>403</v>
      </c>
      <c r="D404" s="0" t="s">
        <v>2311</v>
      </c>
      <c r="E404" s="0" t="s">
        <v>20</v>
      </c>
      <c r="H404" s="0" t="s">
        <v>22</v>
      </c>
      <c r="I404" s="2" t="s">
        <v>23</v>
      </c>
      <c r="J404" s="2" t="s">
        <v>1630</v>
      </c>
      <c r="K404" s="0" t="s">
        <v>1572</v>
      </c>
      <c r="L404" s="0" t="s">
        <v>2285</v>
      </c>
      <c r="M404" s="0" t="s">
        <v>2286</v>
      </c>
      <c r="N404" s="0" t="s">
        <v>1575</v>
      </c>
      <c r="O404" s="3" t="s">
        <v>2312</v>
      </c>
      <c r="P404" s="2" t="s">
        <v>2313</v>
      </c>
      <c r="Q404" s="2" t="s">
        <v>2314</v>
      </c>
      <c r="R404" s="2" t="s">
        <v>32</v>
      </c>
      <c r="S404" s="2" t="s">
        <v>33</v>
      </c>
    </row>
    <row r="405" customFormat="false" ht="15" hidden="false" customHeight="false" outlineLevel="0" collapsed="false">
      <c r="A405" s="0" t="n">
        <v>404</v>
      </c>
      <c r="D405" s="0" t="s">
        <v>2315</v>
      </c>
      <c r="E405" s="0" t="s">
        <v>20</v>
      </c>
      <c r="F405" s="0" t="s">
        <v>2316</v>
      </c>
      <c r="H405" s="0" t="s">
        <v>22</v>
      </c>
      <c r="I405" s="2" t="s">
        <v>23</v>
      </c>
      <c r="J405" s="2" t="s">
        <v>1630</v>
      </c>
      <c r="K405" s="0" t="s">
        <v>1572</v>
      </c>
      <c r="L405" s="0" t="s">
        <v>2317</v>
      </c>
      <c r="M405" s="0" t="s">
        <v>2318</v>
      </c>
      <c r="N405" s="0" t="s">
        <v>1575</v>
      </c>
      <c r="O405" s="3" t="s">
        <v>2319</v>
      </c>
      <c r="P405" s="2" t="s">
        <v>2320</v>
      </c>
      <c r="Q405" s="2" t="s">
        <v>2321</v>
      </c>
      <c r="R405" s="2" t="s">
        <v>32</v>
      </c>
      <c r="S405" s="2" t="s">
        <v>33</v>
      </c>
    </row>
    <row r="406" customFormat="false" ht="15" hidden="false" customHeight="false" outlineLevel="0" collapsed="false">
      <c r="A406" s="0" t="n">
        <v>405</v>
      </c>
      <c r="D406" s="0" t="s">
        <v>2322</v>
      </c>
      <c r="E406" s="0" t="s">
        <v>20</v>
      </c>
      <c r="F406" s="0" t="s">
        <v>2323</v>
      </c>
      <c r="H406" s="0" t="s">
        <v>22</v>
      </c>
      <c r="I406" s="2" t="s">
        <v>23</v>
      </c>
      <c r="J406" s="2" t="s">
        <v>1630</v>
      </c>
      <c r="K406" s="0" t="s">
        <v>1572</v>
      </c>
      <c r="L406" s="0" t="s">
        <v>2324</v>
      </c>
      <c r="M406" s="0" t="s">
        <v>2325</v>
      </c>
      <c r="N406" s="0" t="s">
        <v>1575</v>
      </c>
      <c r="O406" s="3" t="s">
        <v>2326</v>
      </c>
      <c r="P406" s="2" t="s">
        <v>2327</v>
      </c>
      <c r="Q406" s="2" t="s">
        <v>2328</v>
      </c>
      <c r="R406" s="2" t="s">
        <v>32</v>
      </c>
      <c r="S406" s="2" t="s">
        <v>33</v>
      </c>
    </row>
    <row r="407" customFormat="false" ht="15" hidden="false" customHeight="false" outlineLevel="0" collapsed="false">
      <c r="A407" s="0" t="n">
        <v>406</v>
      </c>
      <c r="D407" s="0" t="s">
        <v>2329</v>
      </c>
      <c r="E407" s="0" t="s">
        <v>20</v>
      </c>
      <c r="F407" s="0" t="s">
        <v>2330</v>
      </c>
      <c r="H407" s="0" t="s">
        <v>22</v>
      </c>
      <c r="I407" s="2" t="s">
        <v>23</v>
      </c>
      <c r="J407" s="2" t="s">
        <v>1630</v>
      </c>
      <c r="K407" s="0" t="s">
        <v>1572</v>
      </c>
      <c r="L407" s="0" t="s">
        <v>2331</v>
      </c>
      <c r="M407" s="0" t="s">
        <v>2332</v>
      </c>
      <c r="N407" s="0" t="s">
        <v>1575</v>
      </c>
      <c r="O407" s="3" t="s">
        <v>2333</v>
      </c>
      <c r="P407" s="2" t="s">
        <v>2334</v>
      </c>
      <c r="Q407" s="2" t="s">
        <v>2335</v>
      </c>
      <c r="R407" s="2" t="s">
        <v>32</v>
      </c>
      <c r="S407" s="2" t="s">
        <v>33</v>
      </c>
    </row>
    <row r="408" customFormat="false" ht="15" hidden="false" customHeight="false" outlineLevel="0" collapsed="false">
      <c r="A408" s="0" t="n">
        <v>407</v>
      </c>
      <c r="D408" s="0" t="s">
        <v>2336</v>
      </c>
      <c r="E408" s="0" t="s">
        <v>20</v>
      </c>
      <c r="F408" s="0" t="s">
        <v>2337</v>
      </c>
      <c r="H408" s="0" t="s">
        <v>22</v>
      </c>
      <c r="I408" s="2" t="s">
        <v>23</v>
      </c>
      <c r="J408" s="2" t="s">
        <v>1630</v>
      </c>
      <c r="K408" s="0" t="s">
        <v>1572</v>
      </c>
      <c r="L408" s="0" t="s">
        <v>2338</v>
      </c>
      <c r="M408" s="0" t="s">
        <v>2227</v>
      </c>
      <c r="N408" s="0" t="s">
        <v>1575</v>
      </c>
      <c r="O408" s="3" t="s">
        <v>2339</v>
      </c>
      <c r="P408" s="2" t="s">
        <v>2340</v>
      </c>
      <c r="Q408" s="2" t="s">
        <v>2341</v>
      </c>
      <c r="R408" s="2" t="s">
        <v>32</v>
      </c>
      <c r="S408" s="2" t="s">
        <v>33</v>
      </c>
    </row>
    <row r="409" customFormat="false" ht="15" hidden="false" customHeight="false" outlineLevel="0" collapsed="false">
      <c r="A409" s="0" t="n">
        <v>408</v>
      </c>
      <c r="D409" s="0" t="s">
        <v>2342</v>
      </c>
      <c r="E409" s="0" t="s">
        <v>20</v>
      </c>
      <c r="F409" s="0" t="s">
        <v>2343</v>
      </c>
      <c r="H409" s="0" t="s">
        <v>22</v>
      </c>
      <c r="I409" s="2" t="s">
        <v>23</v>
      </c>
      <c r="J409" s="2" t="s">
        <v>1630</v>
      </c>
      <c r="K409" s="0" t="s">
        <v>1572</v>
      </c>
      <c r="L409" s="0" t="s">
        <v>2279</v>
      </c>
      <c r="M409" s="0" t="s">
        <v>2280</v>
      </c>
      <c r="N409" s="0" t="s">
        <v>1575</v>
      </c>
      <c r="O409" s="3" t="s">
        <v>2344</v>
      </c>
      <c r="P409" s="2" t="s">
        <v>2345</v>
      </c>
      <c r="Q409" s="2" t="s">
        <v>2346</v>
      </c>
      <c r="R409" s="2" t="s">
        <v>1294</v>
      </c>
      <c r="S409" s="2" t="s">
        <v>33</v>
      </c>
    </row>
    <row r="410" customFormat="false" ht="15" hidden="false" customHeight="false" outlineLevel="0" collapsed="false">
      <c r="A410" s="0" t="n">
        <v>409</v>
      </c>
      <c r="D410" s="0" t="s">
        <v>2347</v>
      </c>
      <c r="E410" s="0" t="s">
        <v>20</v>
      </c>
      <c r="F410" s="0" t="s">
        <v>2348</v>
      </c>
      <c r="H410" s="0" t="s">
        <v>22</v>
      </c>
      <c r="I410" s="2" t="s">
        <v>23</v>
      </c>
      <c r="J410" s="2" t="s">
        <v>1630</v>
      </c>
      <c r="K410" s="0" t="s">
        <v>1572</v>
      </c>
      <c r="L410" s="0" t="s">
        <v>2349</v>
      </c>
      <c r="M410" s="0" t="s">
        <v>1590</v>
      </c>
      <c r="N410" s="0" t="s">
        <v>1575</v>
      </c>
      <c r="O410" s="3" t="s">
        <v>2350</v>
      </c>
      <c r="P410" s="2" t="s">
        <v>2351</v>
      </c>
      <c r="Q410" s="2" t="s">
        <v>2352</v>
      </c>
      <c r="R410" s="2" t="s">
        <v>32</v>
      </c>
      <c r="S410" s="2" t="s">
        <v>33</v>
      </c>
    </row>
    <row r="411" customFormat="false" ht="15" hidden="false" customHeight="false" outlineLevel="0" collapsed="false">
      <c r="A411" s="0" t="n">
        <v>410</v>
      </c>
      <c r="D411" s="0" t="s">
        <v>2353</v>
      </c>
      <c r="E411" s="0" t="s">
        <v>20</v>
      </c>
      <c r="F411" s="0" t="s">
        <v>2354</v>
      </c>
      <c r="H411" s="0" t="s">
        <v>22</v>
      </c>
      <c r="I411" s="2" t="s">
        <v>23</v>
      </c>
      <c r="J411" s="2" t="s">
        <v>1630</v>
      </c>
      <c r="K411" s="0" t="s">
        <v>1572</v>
      </c>
      <c r="L411" s="0" t="s">
        <v>2285</v>
      </c>
      <c r="M411" s="0" t="s">
        <v>2286</v>
      </c>
      <c r="N411" s="0" t="s">
        <v>1575</v>
      </c>
      <c r="O411" s="3" t="s">
        <v>2355</v>
      </c>
      <c r="P411" s="2" t="s">
        <v>2356</v>
      </c>
      <c r="Q411" s="2" t="s">
        <v>2357</v>
      </c>
      <c r="R411" s="2" t="s">
        <v>32</v>
      </c>
      <c r="S411" s="2" t="s">
        <v>33</v>
      </c>
    </row>
    <row r="412" customFormat="false" ht="15" hidden="false" customHeight="false" outlineLevel="0" collapsed="false">
      <c r="A412" s="0" t="n">
        <v>411</v>
      </c>
      <c r="D412" s="0" t="s">
        <v>2358</v>
      </c>
      <c r="E412" s="0" t="s">
        <v>20</v>
      </c>
      <c r="F412" s="0" t="s">
        <v>2359</v>
      </c>
      <c r="H412" s="0" t="s">
        <v>22</v>
      </c>
      <c r="I412" s="2" t="s">
        <v>23</v>
      </c>
      <c r="J412" s="2" t="s">
        <v>1630</v>
      </c>
      <c r="K412" s="0" t="s">
        <v>1572</v>
      </c>
      <c r="L412" s="0" t="s">
        <v>2338</v>
      </c>
      <c r="M412" s="0" t="s">
        <v>2227</v>
      </c>
      <c r="N412" s="0" t="s">
        <v>1575</v>
      </c>
      <c r="O412" s="3" t="s">
        <v>2360</v>
      </c>
      <c r="P412" s="2" t="s">
        <v>2361</v>
      </c>
      <c r="Q412" s="2" t="s">
        <v>2362</v>
      </c>
      <c r="R412" s="2" t="s">
        <v>280</v>
      </c>
      <c r="S412" s="2" t="s">
        <v>33</v>
      </c>
    </row>
    <row r="413" customFormat="false" ht="15" hidden="false" customHeight="false" outlineLevel="0" collapsed="false">
      <c r="A413" s="0" t="n">
        <v>412</v>
      </c>
      <c r="D413" s="0" t="s">
        <v>2363</v>
      </c>
      <c r="E413" s="0" t="s">
        <v>20</v>
      </c>
      <c r="H413" s="0" t="s">
        <v>22</v>
      </c>
      <c r="I413" s="2" t="s">
        <v>23</v>
      </c>
      <c r="J413" s="2" t="s">
        <v>1630</v>
      </c>
      <c r="K413" s="0" t="s">
        <v>1572</v>
      </c>
      <c r="L413" s="0" t="s">
        <v>2338</v>
      </c>
      <c r="M413" s="0" t="s">
        <v>2227</v>
      </c>
      <c r="N413" s="0" t="s">
        <v>1575</v>
      </c>
      <c r="O413" s="3" t="s">
        <v>2364</v>
      </c>
      <c r="P413" s="2" t="s">
        <v>2365</v>
      </c>
      <c r="Q413" s="2" t="s">
        <v>2366</v>
      </c>
      <c r="R413" s="2" t="s">
        <v>32</v>
      </c>
      <c r="S413" s="2" t="s">
        <v>33</v>
      </c>
    </row>
    <row r="414" customFormat="false" ht="15" hidden="false" customHeight="false" outlineLevel="0" collapsed="false">
      <c r="A414" s="0" t="n">
        <v>413</v>
      </c>
      <c r="D414" s="0" t="s">
        <v>2367</v>
      </c>
      <c r="E414" s="0" t="s">
        <v>2368</v>
      </c>
      <c r="F414" s="0" t="s">
        <v>2369</v>
      </c>
      <c r="H414" s="0" t="s">
        <v>22</v>
      </c>
      <c r="I414" s="2" t="s">
        <v>23</v>
      </c>
      <c r="J414" s="2" t="s">
        <v>1630</v>
      </c>
      <c r="K414" s="0" t="s">
        <v>1572</v>
      </c>
      <c r="L414" s="0" t="s">
        <v>2338</v>
      </c>
      <c r="M414" s="0" t="s">
        <v>2227</v>
      </c>
      <c r="N414" s="0" t="s">
        <v>1575</v>
      </c>
      <c r="O414" s="3" t="s">
        <v>2370</v>
      </c>
      <c r="P414" s="2" t="s">
        <v>2371</v>
      </c>
      <c r="Q414" s="2" t="s">
        <v>2372</v>
      </c>
      <c r="R414" s="2" t="s">
        <v>2373</v>
      </c>
      <c r="S414" s="2" t="s">
        <v>33</v>
      </c>
    </row>
    <row r="415" customFormat="false" ht="15" hidden="false" customHeight="false" outlineLevel="0" collapsed="false">
      <c r="A415" s="0" t="n">
        <v>414</v>
      </c>
      <c r="D415" s="0" t="s">
        <v>2374</v>
      </c>
      <c r="E415" s="0" t="s">
        <v>20</v>
      </c>
      <c r="F415" s="0" t="s">
        <v>2375</v>
      </c>
      <c r="H415" s="0" t="s">
        <v>22</v>
      </c>
      <c r="I415" s="2" t="s">
        <v>23</v>
      </c>
      <c r="J415" s="2" t="s">
        <v>1630</v>
      </c>
      <c r="K415" s="0" t="s">
        <v>1572</v>
      </c>
      <c r="L415" s="0" t="s">
        <v>2338</v>
      </c>
      <c r="M415" s="0" t="s">
        <v>2227</v>
      </c>
      <c r="N415" s="0" t="s">
        <v>1575</v>
      </c>
      <c r="O415" s="3" t="s">
        <v>2376</v>
      </c>
      <c r="P415" s="2" t="s">
        <v>2377</v>
      </c>
      <c r="Q415" s="2" t="s">
        <v>2378</v>
      </c>
      <c r="R415" s="2" t="s">
        <v>32</v>
      </c>
      <c r="S415" s="2" t="s">
        <v>33</v>
      </c>
    </row>
    <row r="416" customFormat="false" ht="15" hidden="false" customHeight="false" outlineLevel="0" collapsed="false">
      <c r="A416" s="0" t="n">
        <v>415</v>
      </c>
      <c r="D416" s="0" t="s">
        <v>2379</v>
      </c>
      <c r="E416" s="0" t="s">
        <v>20</v>
      </c>
      <c r="F416" s="0" t="s">
        <v>2380</v>
      </c>
      <c r="H416" s="0" t="s">
        <v>22</v>
      </c>
      <c r="I416" s="2" t="s">
        <v>23</v>
      </c>
      <c r="J416" s="2" t="s">
        <v>1630</v>
      </c>
      <c r="K416" s="0" t="s">
        <v>1572</v>
      </c>
      <c r="L416" s="0" t="s">
        <v>2338</v>
      </c>
      <c r="M416" s="0" t="s">
        <v>2227</v>
      </c>
      <c r="N416" s="0" t="s">
        <v>1575</v>
      </c>
      <c r="O416" s="3" t="s">
        <v>2381</v>
      </c>
      <c r="P416" s="2" t="s">
        <v>2382</v>
      </c>
      <c r="Q416" s="2" t="s">
        <v>2383</v>
      </c>
      <c r="R416" s="2" t="s">
        <v>32</v>
      </c>
      <c r="S416" s="2" t="s">
        <v>33</v>
      </c>
    </row>
    <row r="417" customFormat="false" ht="15" hidden="false" customHeight="false" outlineLevel="0" collapsed="false">
      <c r="A417" s="0" t="n">
        <v>416</v>
      </c>
      <c r="D417" s="0" t="s">
        <v>2384</v>
      </c>
      <c r="E417" s="0" t="s">
        <v>20</v>
      </c>
      <c r="F417" s="0" t="s">
        <v>2385</v>
      </c>
      <c r="H417" s="0" t="s">
        <v>22</v>
      </c>
      <c r="I417" s="2" t="s">
        <v>23</v>
      </c>
      <c r="J417" s="2" t="s">
        <v>1630</v>
      </c>
      <c r="K417" s="0" t="s">
        <v>1572</v>
      </c>
      <c r="L417" s="0" t="s">
        <v>2386</v>
      </c>
      <c r="M417" s="0" t="s">
        <v>2387</v>
      </c>
      <c r="N417" s="0" t="s">
        <v>1575</v>
      </c>
      <c r="O417" s="3" t="s">
        <v>2388</v>
      </c>
      <c r="P417" s="2" t="s">
        <v>2389</v>
      </c>
      <c r="Q417" s="2" t="s">
        <v>2390</v>
      </c>
      <c r="R417" s="2" t="s">
        <v>32</v>
      </c>
      <c r="S417" s="2" t="s">
        <v>33</v>
      </c>
    </row>
    <row r="418" customFormat="false" ht="15" hidden="false" customHeight="false" outlineLevel="0" collapsed="false">
      <c r="A418" s="0" t="n">
        <v>417</v>
      </c>
      <c r="D418" s="0" t="s">
        <v>2391</v>
      </c>
      <c r="E418" s="0" t="s">
        <v>20</v>
      </c>
      <c r="F418" s="0" t="s">
        <v>2392</v>
      </c>
      <c r="H418" s="0" t="s">
        <v>22</v>
      </c>
      <c r="I418" s="2" t="s">
        <v>23</v>
      </c>
      <c r="J418" s="2" t="s">
        <v>1630</v>
      </c>
      <c r="K418" s="0" t="s">
        <v>1572</v>
      </c>
      <c r="L418" s="0" t="s">
        <v>2279</v>
      </c>
      <c r="M418" s="0" t="s">
        <v>2280</v>
      </c>
      <c r="N418" s="0" t="s">
        <v>1575</v>
      </c>
      <c r="O418" s="3" t="s">
        <v>2393</v>
      </c>
      <c r="P418" s="2" t="s">
        <v>2394</v>
      </c>
      <c r="Q418" s="2" t="s">
        <v>2395</v>
      </c>
      <c r="R418" s="2" t="s">
        <v>32</v>
      </c>
      <c r="S418" s="2" t="s">
        <v>33</v>
      </c>
    </row>
    <row r="419" customFormat="false" ht="15" hidden="false" customHeight="false" outlineLevel="0" collapsed="false">
      <c r="A419" s="0" t="n">
        <v>418</v>
      </c>
      <c r="D419" s="0" t="s">
        <v>2396</v>
      </c>
      <c r="E419" s="0" t="s">
        <v>20</v>
      </c>
      <c r="F419" s="0" t="s">
        <v>2397</v>
      </c>
      <c r="H419" s="0" t="s">
        <v>22</v>
      </c>
      <c r="I419" s="2" t="s">
        <v>23</v>
      </c>
      <c r="J419" s="2" t="s">
        <v>1630</v>
      </c>
      <c r="K419" s="0" t="s">
        <v>1572</v>
      </c>
      <c r="L419" s="0" t="s">
        <v>2398</v>
      </c>
      <c r="M419" s="0" t="s">
        <v>2246</v>
      </c>
      <c r="N419" s="0" t="s">
        <v>1575</v>
      </c>
      <c r="O419" s="3" t="s">
        <v>2399</v>
      </c>
      <c r="P419" s="2" t="s">
        <v>2400</v>
      </c>
      <c r="Q419" s="2" t="s">
        <v>2401</v>
      </c>
      <c r="R419" s="2" t="s">
        <v>48</v>
      </c>
      <c r="S419" s="2" t="s">
        <v>33</v>
      </c>
    </row>
    <row r="420" customFormat="false" ht="15" hidden="false" customHeight="false" outlineLevel="0" collapsed="false">
      <c r="A420" s="0" t="n">
        <v>419</v>
      </c>
      <c r="D420" s="0" t="s">
        <v>2402</v>
      </c>
      <c r="E420" s="0" t="s">
        <v>20</v>
      </c>
      <c r="F420" s="0" t="s">
        <v>2403</v>
      </c>
      <c r="H420" s="0" t="s">
        <v>22</v>
      </c>
      <c r="I420" s="2" t="s">
        <v>23</v>
      </c>
      <c r="J420" s="2" t="s">
        <v>1630</v>
      </c>
      <c r="K420" s="0" t="s">
        <v>1572</v>
      </c>
      <c r="L420" s="0" t="s">
        <v>2349</v>
      </c>
      <c r="M420" s="0" t="s">
        <v>1590</v>
      </c>
      <c r="N420" s="0" t="s">
        <v>1575</v>
      </c>
      <c r="O420" s="3" t="s">
        <v>2404</v>
      </c>
      <c r="P420" s="2" t="s">
        <v>2405</v>
      </c>
      <c r="Q420" s="2" t="s">
        <v>2406</v>
      </c>
      <c r="R420" s="2" t="s">
        <v>32</v>
      </c>
      <c r="S420" s="2" t="s">
        <v>33</v>
      </c>
    </row>
    <row r="421" customFormat="false" ht="15" hidden="false" customHeight="false" outlineLevel="0" collapsed="false">
      <c r="A421" s="0" t="n">
        <v>420</v>
      </c>
      <c r="D421" s="0" t="s">
        <v>2407</v>
      </c>
      <c r="E421" s="0" t="s">
        <v>20</v>
      </c>
      <c r="F421" s="0" t="s">
        <v>2408</v>
      </c>
      <c r="H421" s="0" t="s">
        <v>22</v>
      </c>
      <c r="I421" s="2" t="s">
        <v>23</v>
      </c>
      <c r="J421" s="2" t="s">
        <v>1630</v>
      </c>
      <c r="K421" s="0" t="s">
        <v>1572</v>
      </c>
      <c r="L421" s="0" t="s">
        <v>2409</v>
      </c>
      <c r="M421" s="0" t="s">
        <v>2410</v>
      </c>
      <c r="N421" s="0" t="s">
        <v>1575</v>
      </c>
      <c r="O421" s="3" t="s">
        <v>2411</v>
      </c>
      <c r="P421" s="2" t="s">
        <v>2412</v>
      </c>
      <c r="Q421" s="2" t="s">
        <v>2413</v>
      </c>
      <c r="R421" s="2" t="s">
        <v>32</v>
      </c>
      <c r="S421" s="2" t="s">
        <v>33</v>
      </c>
    </row>
    <row r="422" customFormat="false" ht="15" hidden="false" customHeight="false" outlineLevel="0" collapsed="false">
      <c r="A422" s="0" t="n">
        <v>421</v>
      </c>
      <c r="D422" s="0" t="s">
        <v>2414</v>
      </c>
      <c r="E422" s="0" t="s">
        <v>20</v>
      </c>
      <c r="F422" s="0" t="s">
        <v>2415</v>
      </c>
      <c r="H422" s="0" t="s">
        <v>22</v>
      </c>
      <c r="I422" s="2" t="s">
        <v>23</v>
      </c>
      <c r="J422" s="2" t="s">
        <v>1630</v>
      </c>
      <c r="K422" s="0" t="s">
        <v>1572</v>
      </c>
      <c r="L422" s="0" t="s">
        <v>2338</v>
      </c>
      <c r="M422" s="0" t="s">
        <v>2227</v>
      </c>
      <c r="N422" s="0" t="s">
        <v>1575</v>
      </c>
      <c r="O422" s="3" t="s">
        <v>2416</v>
      </c>
      <c r="P422" s="2" t="s">
        <v>2417</v>
      </c>
      <c r="Q422" s="2" t="s">
        <v>2418</v>
      </c>
      <c r="R422" s="2" t="s">
        <v>32</v>
      </c>
      <c r="S422" s="2" t="s">
        <v>33</v>
      </c>
    </row>
    <row r="423" customFormat="false" ht="15" hidden="false" customHeight="false" outlineLevel="0" collapsed="false">
      <c r="A423" s="0" t="n">
        <v>422</v>
      </c>
      <c r="D423" s="0" t="s">
        <v>2419</v>
      </c>
      <c r="E423" s="0" t="s">
        <v>20</v>
      </c>
      <c r="F423" s="0" t="s">
        <v>2420</v>
      </c>
      <c r="H423" s="0" t="s">
        <v>22</v>
      </c>
      <c r="I423" s="2" t="s">
        <v>23</v>
      </c>
      <c r="J423" s="2" t="s">
        <v>1630</v>
      </c>
      <c r="K423" s="0" t="s">
        <v>1572</v>
      </c>
      <c r="L423" s="0" t="s">
        <v>2386</v>
      </c>
      <c r="M423" s="0" t="s">
        <v>2387</v>
      </c>
      <c r="N423" s="0" t="s">
        <v>1575</v>
      </c>
      <c r="O423" s="3" t="s">
        <v>2421</v>
      </c>
      <c r="P423" s="2" t="s">
        <v>2422</v>
      </c>
      <c r="Q423" s="2" t="s">
        <v>2423</v>
      </c>
      <c r="R423" s="2" t="s">
        <v>32</v>
      </c>
      <c r="S423" s="2" t="s">
        <v>33</v>
      </c>
    </row>
    <row r="424" customFormat="false" ht="15" hidden="false" customHeight="false" outlineLevel="0" collapsed="false">
      <c r="A424" s="0" t="n">
        <v>423</v>
      </c>
      <c r="D424" s="0" t="s">
        <v>2424</v>
      </c>
      <c r="E424" s="0" t="s">
        <v>20</v>
      </c>
      <c r="F424" s="0" t="s">
        <v>2425</v>
      </c>
      <c r="H424" s="0" t="s">
        <v>22</v>
      </c>
      <c r="I424" s="2" t="s">
        <v>23</v>
      </c>
      <c r="J424" s="2" t="s">
        <v>1630</v>
      </c>
      <c r="K424" s="0" t="s">
        <v>1572</v>
      </c>
      <c r="L424" s="0" t="s">
        <v>2426</v>
      </c>
      <c r="M424" s="0" t="s">
        <v>2427</v>
      </c>
      <c r="N424" s="0" t="s">
        <v>1575</v>
      </c>
      <c r="O424" s="3" t="s">
        <v>2428</v>
      </c>
      <c r="P424" s="2" t="s">
        <v>2429</v>
      </c>
      <c r="Q424" s="2" t="s">
        <v>2430</v>
      </c>
      <c r="R424" s="2" t="s">
        <v>32</v>
      </c>
      <c r="S424" s="2" t="s">
        <v>33</v>
      </c>
    </row>
    <row r="425" customFormat="false" ht="15" hidden="false" customHeight="false" outlineLevel="0" collapsed="false">
      <c r="A425" s="0" t="n">
        <v>424</v>
      </c>
      <c r="D425" s="0" t="s">
        <v>2431</v>
      </c>
      <c r="E425" s="0" t="s">
        <v>20</v>
      </c>
      <c r="F425" s="0" t="s">
        <v>2432</v>
      </c>
      <c r="H425" s="0" t="s">
        <v>22</v>
      </c>
      <c r="I425" s="2" t="s">
        <v>23</v>
      </c>
      <c r="J425" s="2" t="s">
        <v>1630</v>
      </c>
      <c r="K425" s="0" t="s">
        <v>1572</v>
      </c>
      <c r="L425" s="0" t="s">
        <v>2433</v>
      </c>
      <c r="M425" s="0" t="s">
        <v>2434</v>
      </c>
      <c r="N425" s="0" t="s">
        <v>1575</v>
      </c>
      <c r="O425" s="3" t="s">
        <v>2435</v>
      </c>
      <c r="P425" s="2" t="s">
        <v>2436</v>
      </c>
      <c r="Q425" s="2" t="s">
        <v>2437</v>
      </c>
      <c r="R425" s="2" t="s">
        <v>99</v>
      </c>
      <c r="S425" s="2" t="s">
        <v>33</v>
      </c>
    </row>
    <row r="426" customFormat="false" ht="15" hidden="false" customHeight="false" outlineLevel="0" collapsed="false">
      <c r="A426" s="0" t="n">
        <v>425</v>
      </c>
      <c r="D426" s="0" t="s">
        <v>2438</v>
      </c>
      <c r="E426" s="0" t="s">
        <v>20</v>
      </c>
      <c r="F426" s="0" t="s">
        <v>2439</v>
      </c>
      <c r="H426" s="0" t="s">
        <v>22</v>
      </c>
      <c r="I426" s="2" t="s">
        <v>23</v>
      </c>
      <c r="J426" s="2" t="s">
        <v>1630</v>
      </c>
      <c r="K426" s="0" t="s">
        <v>1572</v>
      </c>
      <c r="L426" s="0" t="s">
        <v>2440</v>
      </c>
      <c r="M426" s="0" t="s">
        <v>2286</v>
      </c>
      <c r="N426" s="0" t="s">
        <v>1575</v>
      </c>
      <c r="O426" s="3" t="s">
        <v>2441</v>
      </c>
      <c r="P426" s="2" t="s">
        <v>2442</v>
      </c>
      <c r="Q426" s="2" t="s">
        <v>2443</v>
      </c>
      <c r="R426" s="2" t="s">
        <v>32</v>
      </c>
      <c r="S426" s="2" t="s">
        <v>33</v>
      </c>
    </row>
    <row r="427" customFormat="false" ht="15" hidden="false" customHeight="false" outlineLevel="0" collapsed="false">
      <c r="A427" s="0" t="n">
        <v>426</v>
      </c>
      <c r="D427" s="0" t="s">
        <v>2444</v>
      </c>
      <c r="E427" s="0" t="s">
        <v>20</v>
      </c>
      <c r="F427" s="0" t="s">
        <v>2445</v>
      </c>
      <c r="H427" s="0" t="s">
        <v>22</v>
      </c>
      <c r="I427" s="2" t="s">
        <v>23</v>
      </c>
      <c r="J427" s="2" t="s">
        <v>1630</v>
      </c>
      <c r="K427" s="0" t="s">
        <v>1572</v>
      </c>
      <c r="L427" s="0" t="s">
        <v>2338</v>
      </c>
      <c r="M427" s="0" t="s">
        <v>2227</v>
      </c>
      <c r="N427" s="0" t="s">
        <v>1575</v>
      </c>
      <c r="O427" s="3" t="s">
        <v>2446</v>
      </c>
      <c r="P427" s="2" t="s">
        <v>2447</v>
      </c>
      <c r="Q427" s="2" t="s">
        <v>2448</v>
      </c>
      <c r="R427" s="2" t="s">
        <v>32</v>
      </c>
      <c r="S427" s="2" t="s">
        <v>33</v>
      </c>
    </row>
    <row r="428" customFormat="false" ht="15" hidden="false" customHeight="false" outlineLevel="0" collapsed="false">
      <c r="A428" s="0" t="n">
        <v>427</v>
      </c>
      <c r="D428" s="0" t="s">
        <v>2449</v>
      </c>
      <c r="E428" s="0" t="s">
        <v>20</v>
      </c>
      <c r="F428" s="0" t="s">
        <v>2450</v>
      </c>
      <c r="H428" s="0" t="s">
        <v>22</v>
      </c>
      <c r="I428" s="2" t="s">
        <v>23</v>
      </c>
      <c r="J428" s="2" t="s">
        <v>1630</v>
      </c>
      <c r="K428" s="0" t="s">
        <v>1572</v>
      </c>
      <c r="L428" s="0" t="s">
        <v>2451</v>
      </c>
      <c r="M428" s="0" t="s">
        <v>2452</v>
      </c>
      <c r="N428" s="0" t="s">
        <v>1575</v>
      </c>
      <c r="O428" s="3" t="s">
        <v>2453</v>
      </c>
      <c r="P428" s="2" t="s">
        <v>2454</v>
      </c>
      <c r="Q428" s="2" t="s">
        <v>2455</v>
      </c>
      <c r="R428" s="2" t="s">
        <v>32</v>
      </c>
      <c r="S428" s="2" t="s">
        <v>33</v>
      </c>
    </row>
    <row r="429" customFormat="false" ht="15" hidden="false" customHeight="false" outlineLevel="0" collapsed="false">
      <c r="A429" s="0" t="n">
        <v>428</v>
      </c>
      <c r="D429" s="0" t="s">
        <v>2456</v>
      </c>
      <c r="E429" s="0" t="s">
        <v>20</v>
      </c>
      <c r="F429" s="0" t="s">
        <v>2457</v>
      </c>
      <c r="H429" s="0" t="s">
        <v>22</v>
      </c>
      <c r="I429" s="2" t="s">
        <v>23</v>
      </c>
      <c r="J429" s="2" t="s">
        <v>1630</v>
      </c>
      <c r="K429" s="0" t="s">
        <v>1572</v>
      </c>
      <c r="L429" s="0" t="s">
        <v>2338</v>
      </c>
      <c r="M429" s="0" t="s">
        <v>2227</v>
      </c>
      <c r="N429" s="0" t="s">
        <v>1575</v>
      </c>
      <c r="O429" s="3" t="s">
        <v>2458</v>
      </c>
      <c r="P429" s="2" t="s">
        <v>2459</v>
      </c>
      <c r="Q429" s="2" t="s">
        <v>2460</v>
      </c>
      <c r="R429" s="2" t="s">
        <v>32</v>
      </c>
      <c r="S429" s="2" t="s">
        <v>33</v>
      </c>
    </row>
    <row r="430" customFormat="false" ht="15" hidden="false" customHeight="false" outlineLevel="0" collapsed="false">
      <c r="A430" s="0" t="n">
        <v>429</v>
      </c>
      <c r="D430" s="0" t="s">
        <v>2461</v>
      </c>
      <c r="E430" s="0" t="s">
        <v>20</v>
      </c>
      <c r="F430" s="0" t="s">
        <v>2462</v>
      </c>
      <c r="H430" s="0" t="s">
        <v>22</v>
      </c>
      <c r="I430" s="2" t="s">
        <v>23</v>
      </c>
      <c r="J430" s="2" t="s">
        <v>1630</v>
      </c>
      <c r="K430" s="0" t="s">
        <v>1572</v>
      </c>
      <c r="L430" s="0" t="s">
        <v>2338</v>
      </c>
      <c r="M430" s="0" t="s">
        <v>2227</v>
      </c>
      <c r="N430" s="0" t="s">
        <v>1575</v>
      </c>
      <c r="O430" s="3" t="s">
        <v>2463</v>
      </c>
      <c r="P430" s="2" t="s">
        <v>2464</v>
      </c>
      <c r="Q430" s="2" t="s">
        <v>2465</v>
      </c>
      <c r="R430" s="2" t="s">
        <v>32</v>
      </c>
      <c r="S430" s="2" t="s">
        <v>33</v>
      </c>
    </row>
    <row r="431" customFormat="false" ht="15" hidden="false" customHeight="false" outlineLevel="0" collapsed="false">
      <c r="A431" s="0" t="n">
        <v>430</v>
      </c>
      <c r="D431" s="0" t="s">
        <v>2466</v>
      </c>
      <c r="E431" s="0" t="s">
        <v>20</v>
      </c>
      <c r="F431" s="0" t="s">
        <v>2467</v>
      </c>
      <c r="H431" s="0" t="s">
        <v>22</v>
      </c>
      <c r="I431" s="2" t="s">
        <v>23</v>
      </c>
      <c r="J431" s="2" t="s">
        <v>1630</v>
      </c>
      <c r="K431" s="0" t="s">
        <v>1572</v>
      </c>
      <c r="L431" s="0" t="s">
        <v>2338</v>
      </c>
      <c r="M431" s="0" t="s">
        <v>2227</v>
      </c>
      <c r="N431" s="0" t="s">
        <v>1575</v>
      </c>
      <c r="O431" s="3" t="s">
        <v>2468</v>
      </c>
      <c r="P431" s="2" t="s">
        <v>2469</v>
      </c>
      <c r="Q431" s="2" t="s">
        <v>2470</v>
      </c>
      <c r="R431" s="2" t="s">
        <v>32</v>
      </c>
      <c r="S431" s="2" t="s">
        <v>33</v>
      </c>
    </row>
    <row r="432" customFormat="false" ht="15" hidden="false" customHeight="false" outlineLevel="0" collapsed="false">
      <c r="A432" s="0" t="n">
        <v>431</v>
      </c>
      <c r="D432" s="0" t="s">
        <v>2471</v>
      </c>
      <c r="E432" s="0" t="s">
        <v>20</v>
      </c>
      <c r="F432" s="0" t="s">
        <v>2472</v>
      </c>
      <c r="H432" s="0" t="s">
        <v>22</v>
      </c>
      <c r="I432" s="2" t="s">
        <v>23</v>
      </c>
      <c r="J432" s="2" t="s">
        <v>1630</v>
      </c>
      <c r="K432" s="0" t="s">
        <v>1572</v>
      </c>
      <c r="L432" s="0" t="s">
        <v>2473</v>
      </c>
      <c r="M432" s="0" t="s">
        <v>1590</v>
      </c>
      <c r="N432" s="0" t="s">
        <v>1575</v>
      </c>
      <c r="O432" s="3" t="s">
        <v>2474</v>
      </c>
      <c r="P432" s="2" t="s">
        <v>2475</v>
      </c>
      <c r="Q432" s="2" t="s">
        <v>2476</v>
      </c>
      <c r="R432" s="2" t="s">
        <v>32</v>
      </c>
      <c r="S432" s="2" t="s">
        <v>33</v>
      </c>
    </row>
    <row r="433" customFormat="false" ht="15" hidden="false" customHeight="false" outlineLevel="0" collapsed="false">
      <c r="A433" s="0" t="n">
        <v>432</v>
      </c>
      <c r="D433" s="0" t="s">
        <v>2477</v>
      </c>
      <c r="E433" s="0" t="s">
        <v>20</v>
      </c>
      <c r="F433" s="0" t="s">
        <v>2478</v>
      </c>
      <c r="H433" s="0" t="s">
        <v>22</v>
      </c>
      <c r="I433" s="2" t="s">
        <v>23</v>
      </c>
      <c r="J433" s="2" t="s">
        <v>1630</v>
      </c>
      <c r="K433" s="0" t="s">
        <v>1572</v>
      </c>
      <c r="L433" s="0" t="s">
        <v>2479</v>
      </c>
      <c r="M433" s="0" t="s">
        <v>2325</v>
      </c>
      <c r="N433" s="0" t="s">
        <v>1575</v>
      </c>
      <c r="O433" s="3" t="s">
        <v>2480</v>
      </c>
      <c r="P433" s="2" t="s">
        <v>2481</v>
      </c>
      <c r="Q433" s="2" t="s">
        <v>2482</v>
      </c>
      <c r="R433" s="2" t="s">
        <v>99</v>
      </c>
      <c r="S433" s="2" t="s">
        <v>33</v>
      </c>
    </row>
    <row r="434" customFormat="false" ht="15" hidden="false" customHeight="false" outlineLevel="0" collapsed="false">
      <c r="A434" s="0" t="n">
        <v>433</v>
      </c>
      <c r="D434" s="0" t="s">
        <v>2483</v>
      </c>
      <c r="E434" s="0" t="s">
        <v>20</v>
      </c>
      <c r="F434" s="0" t="s">
        <v>2484</v>
      </c>
      <c r="H434" s="0" t="s">
        <v>22</v>
      </c>
      <c r="I434" s="2" t="s">
        <v>23</v>
      </c>
      <c r="J434" s="2" t="s">
        <v>1630</v>
      </c>
      <c r="K434" s="0" t="s">
        <v>1572</v>
      </c>
      <c r="L434" s="0" t="s">
        <v>2485</v>
      </c>
      <c r="M434" s="0" t="s">
        <v>2486</v>
      </c>
      <c r="N434" s="0" t="s">
        <v>1575</v>
      </c>
      <c r="O434" s="3" t="s">
        <v>2487</v>
      </c>
      <c r="P434" s="2" t="s">
        <v>2488</v>
      </c>
      <c r="Q434" s="2" t="s">
        <v>2489</v>
      </c>
      <c r="R434" s="2" t="s">
        <v>32</v>
      </c>
      <c r="S434" s="2" t="s">
        <v>33</v>
      </c>
    </row>
    <row r="435" customFormat="false" ht="15" hidden="false" customHeight="false" outlineLevel="0" collapsed="false">
      <c r="A435" s="0" t="n">
        <v>434</v>
      </c>
      <c r="D435" s="0" t="s">
        <v>2490</v>
      </c>
      <c r="E435" s="0" t="s">
        <v>20</v>
      </c>
      <c r="F435" s="0" t="s">
        <v>2491</v>
      </c>
      <c r="H435" s="0" t="s">
        <v>22</v>
      </c>
      <c r="I435" s="2" t="s">
        <v>23</v>
      </c>
      <c r="J435" s="2" t="s">
        <v>1630</v>
      </c>
      <c r="K435" s="0" t="s">
        <v>1572</v>
      </c>
      <c r="L435" s="0" t="s">
        <v>2492</v>
      </c>
      <c r="M435" s="0" t="s">
        <v>2227</v>
      </c>
      <c r="N435" s="0" t="s">
        <v>1575</v>
      </c>
      <c r="O435" s="3" t="s">
        <v>2493</v>
      </c>
      <c r="P435" s="2" t="s">
        <v>2494</v>
      </c>
      <c r="Q435" s="2" t="s">
        <v>2495</v>
      </c>
      <c r="R435" s="2" t="s">
        <v>32</v>
      </c>
      <c r="S435" s="2" t="s">
        <v>33</v>
      </c>
    </row>
    <row r="436" customFormat="false" ht="15" hidden="false" customHeight="false" outlineLevel="0" collapsed="false">
      <c r="A436" s="0" t="n">
        <v>435</v>
      </c>
      <c r="D436" s="0" t="s">
        <v>2496</v>
      </c>
      <c r="E436" s="0" t="s">
        <v>20</v>
      </c>
      <c r="F436" s="0" t="s">
        <v>2497</v>
      </c>
      <c r="H436" s="0" t="s">
        <v>22</v>
      </c>
      <c r="I436" s="2" t="s">
        <v>23</v>
      </c>
      <c r="J436" s="2" t="s">
        <v>1630</v>
      </c>
      <c r="K436" s="0" t="s">
        <v>1572</v>
      </c>
      <c r="L436" s="0" t="s">
        <v>2498</v>
      </c>
      <c r="M436" s="0" t="s">
        <v>2499</v>
      </c>
      <c r="N436" s="0" t="s">
        <v>1575</v>
      </c>
      <c r="O436" s="3" t="s">
        <v>2500</v>
      </c>
      <c r="P436" s="2" t="s">
        <v>2501</v>
      </c>
      <c r="Q436" s="2" t="s">
        <v>2502</v>
      </c>
      <c r="R436" s="2" t="s">
        <v>32</v>
      </c>
      <c r="S436" s="2" t="s">
        <v>33</v>
      </c>
    </row>
    <row r="437" customFormat="false" ht="15" hidden="false" customHeight="false" outlineLevel="0" collapsed="false">
      <c r="A437" s="0" t="n">
        <v>436</v>
      </c>
      <c r="D437" s="0" t="s">
        <v>2503</v>
      </c>
      <c r="E437" s="0" t="s">
        <v>20</v>
      </c>
      <c r="F437" s="0" t="s">
        <v>2504</v>
      </c>
      <c r="H437" s="0" t="s">
        <v>22</v>
      </c>
      <c r="I437" s="2" t="s">
        <v>23</v>
      </c>
      <c r="J437" s="2" t="s">
        <v>1630</v>
      </c>
      <c r="K437" s="0" t="s">
        <v>1572</v>
      </c>
      <c r="L437" s="0" t="s">
        <v>2505</v>
      </c>
      <c r="M437" s="0" t="s">
        <v>1590</v>
      </c>
      <c r="N437" s="0" t="s">
        <v>1575</v>
      </c>
      <c r="O437" s="3" t="s">
        <v>2506</v>
      </c>
      <c r="P437" s="2" t="s">
        <v>2507</v>
      </c>
      <c r="Q437" s="2" t="s">
        <v>2508</v>
      </c>
      <c r="R437" s="2" t="s">
        <v>32</v>
      </c>
      <c r="S437" s="2" t="s">
        <v>33</v>
      </c>
    </row>
    <row r="438" customFormat="false" ht="15" hidden="false" customHeight="false" outlineLevel="0" collapsed="false">
      <c r="A438" s="0" t="n">
        <v>437</v>
      </c>
      <c r="D438" s="0" t="s">
        <v>2509</v>
      </c>
      <c r="E438" s="0" t="s">
        <v>20</v>
      </c>
      <c r="F438" s="0" t="s">
        <v>2510</v>
      </c>
      <c r="H438" s="0" t="s">
        <v>22</v>
      </c>
      <c r="I438" s="2" t="s">
        <v>23</v>
      </c>
      <c r="J438" s="2" t="s">
        <v>1630</v>
      </c>
      <c r="K438" s="0" t="s">
        <v>1572</v>
      </c>
      <c r="L438" s="0" t="s">
        <v>2492</v>
      </c>
      <c r="M438" s="0" t="s">
        <v>2227</v>
      </c>
      <c r="N438" s="0" t="s">
        <v>1575</v>
      </c>
      <c r="O438" s="3" t="s">
        <v>2511</v>
      </c>
      <c r="P438" s="2" t="s">
        <v>2512</v>
      </c>
      <c r="Q438" s="2" t="s">
        <v>2513</v>
      </c>
      <c r="R438" s="2" t="s">
        <v>32</v>
      </c>
      <c r="S438" s="2" t="s">
        <v>33</v>
      </c>
    </row>
    <row r="439" customFormat="false" ht="15" hidden="false" customHeight="false" outlineLevel="0" collapsed="false">
      <c r="A439" s="0" t="n">
        <v>438</v>
      </c>
      <c r="D439" s="0" t="s">
        <v>2514</v>
      </c>
      <c r="E439" s="0" t="s">
        <v>20</v>
      </c>
      <c r="H439" s="0" t="s">
        <v>22</v>
      </c>
      <c r="I439" s="2" t="s">
        <v>23</v>
      </c>
      <c r="J439" s="2" t="s">
        <v>1630</v>
      </c>
      <c r="K439" s="0" t="s">
        <v>1572</v>
      </c>
      <c r="L439" s="0" t="s">
        <v>2492</v>
      </c>
      <c r="M439" s="0" t="s">
        <v>2227</v>
      </c>
      <c r="N439" s="0" t="s">
        <v>1575</v>
      </c>
      <c r="O439" s="3" t="s">
        <v>2515</v>
      </c>
      <c r="P439" s="2" t="s">
        <v>2516</v>
      </c>
      <c r="Q439" s="2" t="s">
        <v>2517</v>
      </c>
      <c r="R439" s="2" t="s">
        <v>32</v>
      </c>
      <c r="S439" s="2" t="s">
        <v>33</v>
      </c>
    </row>
    <row r="440" customFormat="false" ht="15" hidden="false" customHeight="false" outlineLevel="0" collapsed="false">
      <c r="A440" s="0" t="n">
        <v>439</v>
      </c>
      <c r="D440" s="0" t="s">
        <v>2518</v>
      </c>
      <c r="E440" s="0" t="s">
        <v>20</v>
      </c>
      <c r="F440" s="0" t="s">
        <v>2519</v>
      </c>
      <c r="H440" s="0" t="s">
        <v>22</v>
      </c>
      <c r="I440" s="2" t="s">
        <v>23</v>
      </c>
      <c r="J440" s="2" t="s">
        <v>1630</v>
      </c>
      <c r="K440" s="0" t="s">
        <v>1572</v>
      </c>
      <c r="L440" s="0" t="s">
        <v>2520</v>
      </c>
      <c r="M440" s="0" t="s">
        <v>2521</v>
      </c>
      <c r="N440" s="0" t="s">
        <v>1575</v>
      </c>
      <c r="O440" s="3" t="s">
        <v>2522</v>
      </c>
      <c r="P440" s="2" t="s">
        <v>2523</v>
      </c>
      <c r="Q440" s="2" t="s">
        <v>2524</v>
      </c>
      <c r="R440" s="2" t="s">
        <v>32</v>
      </c>
      <c r="S440" s="2" t="s">
        <v>33</v>
      </c>
    </row>
    <row r="441" customFormat="false" ht="15" hidden="false" customHeight="false" outlineLevel="0" collapsed="false">
      <c r="A441" s="0" t="n">
        <v>440</v>
      </c>
      <c r="D441" s="0" t="s">
        <v>2525</v>
      </c>
      <c r="E441" s="0" t="s">
        <v>20</v>
      </c>
      <c r="F441" s="0" t="s">
        <v>2526</v>
      </c>
      <c r="H441" s="0" t="s">
        <v>22</v>
      </c>
      <c r="I441" s="2" t="s">
        <v>23</v>
      </c>
      <c r="J441" s="2" t="s">
        <v>1630</v>
      </c>
      <c r="K441" s="0" t="s">
        <v>1572</v>
      </c>
      <c r="L441" s="0" t="s">
        <v>2527</v>
      </c>
      <c r="M441" s="0" t="s">
        <v>2528</v>
      </c>
      <c r="N441" s="0" t="s">
        <v>1575</v>
      </c>
      <c r="O441" s="3" t="s">
        <v>2529</v>
      </c>
      <c r="P441" s="2" t="s">
        <v>2530</v>
      </c>
      <c r="Q441" s="2" t="s">
        <v>2531</v>
      </c>
      <c r="R441" s="2" t="s">
        <v>32</v>
      </c>
      <c r="S441" s="2" t="s">
        <v>33</v>
      </c>
    </row>
    <row r="442" customFormat="false" ht="15" hidden="false" customHeight="false" outlineLevel="0" collapsed="false">
      <c r="A442" s="0" t="n">
        <v>441</v>
      </c>
      <c r="D442" s="0" t="s">
        <v>2532</v>
      </c>
      <c r="E442" s="0" t="s">
        <v>20</v>
      </c>
      <c r="F442" s="0" t="s">
        <v>2533</v>
      </c>
      <c r="H442" s="0" t="s">
        <v>22</v>
      </c>
      <c r="I442" s="2" t="s">
        <v>23</v>
      </c>
      <c r="J442" s="2" t="s">
        <v>1630</v>
      </c>
      <c r="K442" s="0" t="s">
        <v>1572</v>
      </c>
      <c r="L442" s="0" t="s">
        <v>2534</v>
      </c>
      <c r="M442" s="0" t="s">
        <v>2298</v>
      </c>
      <c r="N442" s="0" t="s">
        <v>1575</v>
      </c>
      <c r="O442" s="3" t="s">
        <v>2535</v>
      </c>
      <c r="P442" s="2" t="s">
        <v>2536</v>
      </c>
      <c r="Q442" s="2" t="s">
        <v>2537</v>
      </c>
      <c r="R442" s="2" t="s">
        <v>99</v>
      </c>
      <c r="S442" s="2" t="s">
        <v>33</v>
      </c>
    </row>
    <row r="443" customFormat="false" ht="15" hidden="false" customHeight="false" outlineLevel="0" collapsed="false">
      <c r="A443" s="0" t="n">
        <v>442</v>
      </c>
      <c r="D443" s="0" t="s">
        <v>2538</v>
      </c>
      <c r="E443" s="0" t="s">
        <v>20</v>
      </c>
      <c r="F443" s="0" t="s">
        <v>2539</v>
      </c>
      <c r="H443" s="0" t="s">
        <v>22</v>
      </c>
      <c r="I443" s="2" t="s">
        <v>23</v>
      </c>
      <c r="J443" s="2" t="s">
        <v>1630</v>
      </c>
      <c r="K443" s="0" t="s">
        <v>1572</v>
      </c>
      <c r="L443" s="0" t="s">
        <v>2492</v>
      </c>
      <c r="M443" s="0" t="s">
        <v>2227</v>
      </c>
      <c r="N443" s="0" t="s">
        <v>1575</v>
      </c>
      <c r="O443" s="3" t="s">
        <v>2540</v>
      </c>
      <c r="P443" s="2" t="s">
        <v>2541</v>
      </c>
      <c r="Q443" s="2" t="s">
        <v>2542</v>
      </c>
      <c r="R443" s="2" t="s">
        <v>99</v>
      </c>
      <c r="S443" s="2" t="s">
        <v>33</v>
      </c>
    </row>
    <row r="444" customFormat="false" ht="15" hidden="false" customHeight="false" outlineLevel="0" collapsed="false">
      <c r="A444" s="0" t="n">
        <v>443</v>
      </c>
      <c r="D444" s="0" t="s">
        <v>2543</v>
      </c>
      <c r="E444" s="0" t="s">
        <v>20</v>
      </c>
      <c r="F444" s="0" t="s">
        <v>2544</v>
      </c>
      <c r="H444" s="0" t="s">
        <v>22</v>
      </c>
      <c r="I444" s="2" t="s">
        <v>23</v>
      </c>
      <c r="J444" s="2" t="s">
        <v>1630</v>
      </c>
      <c r="K444" s="0" t="s">
        <v>1572</v>
      </c>
      <c r="L444" s="0" t="s">
        <v>2545</v>
      </c>
      <c r="M444" s="0" t="s">
        <v>2273</v>
      </c>
      <c r="N444" s="0" t="s">
        <v>1575</v>
      </c>
      <c r="O444" s="3" t="s">
        <v>2546</v>
      </c>
      <c r="P444" s="2" t="s">
        <v>2547</v>
      </c>
      <c r="Q444" s="2" t="s">
        <v>2548</v>
      </c>
      <c r="R444" s="2" t="s">
        <v>32</v>
      </c>
      <c r="S444" s="2" t="s">
        <v>33</v>
      </c>
    </row>
    <row r="445" customFormat="false" ht="15" hidden="false" customHeight="false" outlineLevel="0" collapsed="false">
      <c r="A445" s="0" t="n">
        <v>444</v>
      </c>
      <c r="D445" s="0" t="s">
        <v>2549</v>
      </c>
      <c r="E445" s="0" t="s">
        <v>20</v>
      </c>
      <c r="F445" s="0" t="s">
        <v>2550</v>
      </c>
      <c r="H445" s="0" t="s">
        <v>22</v>
      </c>
      <c r="I445" s="2" t="s">
        <v>23</v>
      </c>
      <c r="J445" s="2" t="s">
        <v>1630</v>
      </c>
      <c r="K445" s="0" t="s">
        <v>1572</v>
      </c>
      <c r="L445" s="0" t="s">
        <v>2545</v>
      </c>
      <c r="M445" s="0" t="s">
        <v>2273</v>
      </c>
      <c r="N445" s="0" t="s">
        <v>1575</v>
      </c>
      <c r="O445" s="3" t="s">
        <v>2551</v>
      </c>
      <c r="P445" s="2" t="s">
        <v>2552</v>
      </c>
      <c r="Q445" s="2" t="s">
        <v>2553</v>
      </c>
      <c r="R445" s="2" t="s">
        <v>32</v>
      </c>
      <c r="S445" s="2" t="s">
        <v>33</v>
      </c>
    </row>
    <row r="446" customFormat="false" ht="15" hidden="false" customHeight="false" outlineLevel="0" collapsed="false">
      <c r="A446" s="0" t="n">
        <v>445</v>
      </c>
      <c r="D446" s="0" t="s">
        <v>2554</v>
      </c>
      <c r="E446" s="0" t="s">
        <v>20</v>
      </c>
      <c r="F446" s="0" t="s">
        <v>2555</v>
      </c>
      <c r="H446" s="0" t="s">
        <v>22</v>
      </c>
      <c r="I446" s="2" t="s">
        <v>23</v>
      </c>
      <c r="J446" s="2" t="s">
        <v>1630</v>
      </c>
      <c r="K446" s="0" t="s">
        <v>1572</v>
      </c>
      <c r="L446" s="0" t="s">
        <v>2556</v>
      </c>
      <c r="M446" s="0" t="s">
        <v>2557</v>
      </c>
      <c r="N446" s="0" t="s">
        <v>1575</v>
      </c>
      <c r="O446" s="3" t="s">
        <v>2558</v>
      </c>
      <c r="P446" s="2" t="s">
        <v>2559</v>
      </c>
      <c r="Q446" s="2" t="s">
        <v>2560</v>
      </c>
      <c r="R446" s="2" t="s">
        <v>32</v>
      </c>
      <c r="S446" s="2" t="s">
        <v>33</v>
      </c>
    </row>
    <row r="447" customFormat="false" ht="15" hidden="false" customHeight="false" outlineLevel="0" collapsed="false">
      <c r="A447" s="0" t="n">
        <v>446</v>
      </c>
      <c r="D447" s="0" t="s">
        <v>2561</v>
      </c>
      <c r="E447" s="0" t="s">
        <v>20</v>
      </c>
      <c r="F447" s="0" t="s">
        <v>2562</v>
      </c>
      <c r="H447" s="0" t="s">
        <v>22</v>
      </c>
      <c r="I447" s="2" t="s">
        <v>23</v>
      </c>
      <c r="J447" s="2" t="s">
        <v>1630</v>
      </c>
      <c r="K447" s="0" t="s">
        <v>1572</v>
      </c>
      <c r="L447" s="0" t="s">
        <v>2563</v>
      </c>
      <c r="M447" s="0" t="s">
        <v>2564</v>
      </c>
      <c r="N447" s="0" t="s">
        <v>1575</v>
      </c>
      <c r="O447" s="3" t="s">
        <v>2565</v>
      </c>
      <c r="P447" s="2" t="s">
        <v>2566</v>
      </c>
      <c r="Q447" s="2" t="s">
        <v>2567</v>
      </c>
      <c r="R447" s="2" t="s">
        <v>32</v>
      </c>
      <c r="S447" s="2" t="s">
        <v>33</v>
      </c>
    </row>
    <row r="448" customFormat="false" ht="15" hidden="false" customHeight="false" outlineLevel="0" collapsed="false">
      <c r="A448" s="0" t="n">
        <v>447</v>
      </c>
      <c r="D448" s="0" t="s">
        <v>2568</v>
      </c>
      <c r="E448" s="0" t="s">
        <v>20</v>
      </c>
      <c r="F448" s="0" t="s">
        <v>2569</v>
      </c>
      <c r="H448" s="0" t="s">
        <v>22</v>
      </c>
      <c r="I448" s="2" t="s">
        <v>23</v>
      </c>
      <c r="J448" s="2" t="s">
        <v>1630</v>
      </c>
      <c r="K448" s="0" t="s">
        <v>1572</v>
      </c>
      <c r="L448" s="0" t="s">
        <v>2440</v>
      </c>
      <c r="M448" s="0" t="s">
        <v>2286</v>
      </c>
      <c r="N448" s="0" t="s">
        <v>1575</v>
      </c>
      <c r="O448" s="3" t="s">
        <v>2570</v>
      </c>
      <c r="P448" s="2" t="s">
        <v>2571</v>
      </c>
      <c r="Q448" s="2" t="s">
        <v>2572</v>
      </c>
      <c r="R448" s="2" t="s">
        <v>32</v>
      </c>
      <c r="S448" s="2" t="s">
        <v>33</v>
      </c>
    </row>
    <row r="449" customFormat="false" ht="15" hidden="false" customHeight="false" outlineLevel="0" collapsed="false">
      <c r="A449" s="0" t="n">
        <v>448</v>
      </c>
      <c r="D449" s="0" t="s">
        <v>2573</v>
      </c>
      <c r="E449" s="0" t="s">
        <v>20</v>
      </c>
      <c r="F449" s="0" t="s">
        <v>2574</v>
      </c>
      <c r="H449" s="0" t="s">
        <v>22</v>
      </c>
      <c r="I449" s="2" t="s">
        <v>23</v>
      </c>
      <c r="J449" s="2" t="s">
        <v>1630</v>
      </c>
      <c r="K449" s="0" t="s">
        <v>1572</v>
      </c>
      <c r="L449" s="0" t="s">
        <v>2575</v>
      </c>
      <c r="M449" s="0" t="s">
        <v>2576</v>
      </c>
      <c r="N449" s="0" t="s">
        <v>1575</v>
      </c>
      <c r="O449" s="3" t="s">
        <v>2577</v>
      </c>
      <c r="P449" s="2" t="s">
        <v>2578</v>
      </c>
      <c r="Q449" s="2" t="s">
        <v>2579</v>
      </c>
      <c r="R449" s="2" t="s">
        <v>32</v>
      </c>
      <c r="S449" s="2" t="s">
        <v>33</v>
      </c>
    </row>
    <row r="450" customFormat="false" ht="15" hidden="false" customHeight="false" outlineLevel="0" collapsed="false">
      <c r="A450" s="0" t="n">
        <v>449</v>
      </c>
      <c r="D450" s="0" t="s">
        <v>2580</v>
      </c>
      <c r="E450" s="0" t="s">
        <v>20</v>
      </c>
      <c r="F450" s="0" t="s">
        <v>2581</v>
      </c>
      <c r="H450" s="0" t="s">
        <v>22</v>
      </c>
      <c r="I450" s="2" t="s">
        <v>23</v>
      </c>
      <c r="J450" s="2" t="s">
        <v>1630</v>
      </c>
      <c r="K450" s="0" t="s">
        <v>1572</v>
      </c>
      <c r="L450" s="0" t="s">
        <v>2440</v>
      </c>
      <c r="M450" s="0" t="s">
        <v>2286</v>
      </c>
      <c r="N450" s="0" t="s">
        <v>1575</v>
      </c>
      <c r="O450" s="3" t="s">
        <v>2582</v>
      </c>
      <c r="P450" s="2" t="s">
        <v>2583</v>
      </c>
      <c r="Q450" s="2" t="s">
        <v>2584</v>
      </c>
      <c r="R450" s="2" t="s">
        <v>32</v>
      </c>
      <c r="S450" s="2" t="s">
        <v>33</v>
      </c>
    </row>
    <row r="451" customFormat="false" ht="15" hidden="false" customHeight="false" outlineLevel="0" collapsed="false">
      <c r="A451" s="0" t="n">
        <v>450</v>
      </c>
      <c r="D451" s="0" t="s">
        <v>2585</v>
      </c>
      <c r="E451" s="0" t="s">
        <v>20</v>
      </c>
      <c r="F451" s="0" t="s">
        <v>2586</v>
      </c>
      <c r="H451" s="0" t="s">
        <v>22</v>
      </c>
      <c r="I451" s="2" t="s">
        <v>23</v>
      </c>
      <c r="J451" s="2" t="s">
        <v>1630</v>
      </c>
      <c r="K451" s="0" t="s">
        <v>1572</v>
      </c>
      <c r="L451" s="0" t="s">
        <v>2587</v>
      </c>
      <c r="M451" s="0" t="s">
        <v>1590</v>
      </c>
      <c r="N451" s="0" t="s">
        <v>1575</v>
      </c>
      <c r="O451" s="3" t="s">
        <v>2588</v>
      </c>
      <c r="P451" s="2" t="s">
        <v>2589</v>
      </c>
      <c r="Q451" s="2" t="s">
        <v>2590</v>
      </c>
      <c r="R451" s="2" t="s">
        <v>32</v>
      </c>
      <c r="S451" s="2" t="s">
        <v>33</v>
      </c>
    </row>
    <row r="452" customFormat="false" ht="15" hidden="false" customHeight="false" outlineLevel="0" collapsed="false">
      <c r="A452" s="0" t="n">
        <v>451</v>
      </c>
      <c r="D452" s="0" t="s">
        <v>2591</v>
      </c>
      <c r="E452" s="0" t="s">
        <v>20</v>
      </c>
      <c r="F452" s="0" t="s">
        <v>2592</v>
      </c>
      <c r="H452" s="0" t="s">
        <v>22</v>
      </c>
      <c r="I452" s="2" t="s">
        <v>23</v>
      </c>
      <c r="J452" s="2" t="s">
        <v>1630</v>
      </c>
      <c r="K452" s="0" t="s">
        <v>1572</v>
      </c>
      <c r="L452" s="0" t="s">
        <v>2593</v>
      </c>
      <c r="M452" s="0" t="s">
        <v>2227</v>
      </c>
      <c r="N452" s="0" t="s">
        <v>1575</v>
      </c>
      <c r="O452" s="3" t="s">
        <v>2594</v>
      </c>
      <c r="P452" s="2" t="s">
        <v>2595</v>
      </c>
      <c r="Q452" s="2" t="s">
        <v>2596</v>
      </c>
      <c r="R452" s="2" t="s">
        <v>32</v>
      </c>
      <c r="S452" s="2" t="s">
        <v>33</v>
      </c>
    </row>
    <row r="453" customFormat="false" ht="15" hidden="false" customHeight="false" outlineLevel="0" collapsed="false">
      <c r="A453" s="0" t="n">
        <v>452</v>
      </c>
      <c r="D453" s="0" t="s">
        <v>2597</v>
      </c>
      <c r="E453" s="0" t="s">
        <v>20</v>
      </c>
      <c r="F453" s="0" t="s">
        <v>2598</v>
      </c>
      <c r="H453" s="0" t="s">
        <v>22</v>
      </c>
      <c r="I453" s="2" t="s">
        <v>23</v>
      </c>
      <c r="J453" s="2" t="s">
        <v>1630</v>
      </c>
      <c r="K453" s="0" t="s">
        <v>1572</v>
      </c>
      <c r="L453" s="0" t="s">
        <v>2599</v>
      </c>
      <c r="M453" s="0" t="s">
        <v>2600</v>
      </c>
      <c r="N453" s="0" t="s">
        <v>1575</v>
      </c>
      <c r="O453" s="3" t="s">
        <v>2601</v>
      </c>
      <c r="P453" s="2" t="s">
        <v>2602</v>
      </c>
      <c r="Q453" s="2" t="s">
        <v>2603</v>
      </c>
      <c r="R453" s="2" t="s">
        <v>32</v>
      </c>
      <c r="S453" s="2" t="s">
        <v>33</v>
      </c>
    </row>
    <row r="454" customFormat="false" ht="15" hidden="false" customHeight="false" outlineLevel="0" collapsed="false">
      <c r="A454" s="0" t="n">
        <v>453</v>
      </c>
      <c r="D454" s="0" t="s">
        <v>2604</v>
      </c>
      <c r="E454" s="0" t="s">
        <v>20</v>
      </c>
      <c r="F454" s="0" t="s">
        <v>2605</v>
      </c>
      <c r="H454" s="0" t="s">
        <v>22</v>
      </c>
      <c r="I454" s="2" t="s">
        <v>23</v>
      </c>
      <c r="J454" s="2" t="s">
        <v>1630</v>
      </c>
      <c r="K454" s="0" t="s">
        <v>1572</v>
      </c>
      <c r="L454" s="0" t="s">
        <v>1716</v>
      </c>
      <c r="M454" s="0" t="s">
        <v>2280</v>
      </c>
      <c r="N454" s="0" t="s">
        <v>1575</v>
      </c>
      <c r="O454" s="3" t="s">
        <v>2147</v>
      </c>
      <c r="P454" s="2" t="s">
        <v>2148</v>
      </c>
      <c r="Q454" s="2" t="s">
        <v>2606</v>
      </c>
      <c r="R454" s="2" t="s">
        <v>32</v>
      </c>
      <c r="S454" s="2" t="s">
        <v>33</v>
      </c>
    </row>
    <row r="455" customFormat="false" ht="15" hidden="false" customHeight="false" outlineLevel="0" collapsed="false">
      <c r="A455" s="0" t="n">
        <v>454</v>
      </c>
      <c r="D455" s="0" t="s">
        <v>2607</v>
      </c>
      <c r="E455" s="0" t="s">
        <v>20</v>
      </c>
      <c r="F455" s="0" t="s">
        <v>2608</v>
      </c>
      <c r="H455" s="0" t="s">
        <v>22</v>
      </c>
      <c r="I455" s="2" t="s">
        <v>23</v>
      </c>
      <c r="J455" s="2" t="s">
        <v>1630</v>
      </c>
      <c r="K455" s="0" t="s">
        <v>1572</v>
      </c>
      <c r="L455" s="0" t="s">
        <v>2440</v>
      </c>
      <c r="M455" s="0" t="s">
        <v>2286</v>
      </c>
      <c r="N455" s="0" t="s">
        <v>1575</v>
      </c>
      <c r="O455" s="3" t="s">
        <v>2609</v>
      </c>
      <c r="P455" s="2" t="s">
        <v>2610</v>
      </c>
      <c r="Q455" s="2" t="s">
        <v>2611</v>
      </c>
      <c r="R455" s="2" t="s">
        <v>32</v>
      </c>
      <c r="S455" s="2" t="s">
        <v>33</v>
      </c>
    </row>
    <row r="456" customFormat="false" ht="15" hidden="false" customHeight="false" outlineLevel="0" collapsed="false">
      <c r="A456" s="0" t="n">
        <v>455</v>
      </c>
      <c r="D456" s="0" t="s">
        <v>2612</v>
      </c>
      <c r="E456" s="0" t="s">
        <v>20</v>
      </c>
      <c r="F456" s="0" t="s">
        <v>2613</v>
      </c>
      <c r="H456" s="0" t="s">
        <v>22</v>
      </c>
      <c r="I456" s="2" t="s">
        <v>23</v>
      </c>
      <c r="J456" s="2" t="s">
        <v>1630</v>
      </c>
      <c r="K456" s="0" t="s">
        <v>1572</v>
      </c>
      <c r="L456" s="0" t="s">
        <v>2614</v>
      </c>
      <c r="M456" s="0" t="s">
        <v>2615</v>
      </c>
      <c r="N456" s="0" t="s">
        <v>1575</v>
      </c>
      <c r="O456" s="3" t="s">
        <v>2616</v>
      </c>
      <c r="P456" s="2" t="s">
        <v>2617</v>
      </c>
      <c r="Q456" s="2" t="s">
        <v>2618</v>
      </c>
      <c r="R456" s="2" t="s">
        <v>99</v>
      </c>
      <c r="S456" s="2" t="s">
        <v>33</v>
      </c>
    </row>
    <row r="457" customFormat="false" ht="15" hidden="false" customHeight="false" outlineLevel="0" collapsed="false">
      <c r="A457" s="0" t="n">
        <v>456</v>
      </c>
      <c r="D457" s="0" t="s">
        <v>2619</v>
      </c>
      <c r="E457" s="0" t="s">
        <v>20</v>
      </c>
      <c r="F457" s="0" t="s">
        <v>2620</v>
      </c>
      <c r="H457" s="0" t="s">
        <v>22</v>
      </c>
      <c r="I457" s="2" t="s">
        <v>23</v>
      </c>
      <c r="J457" s="2" t="s">
        <v>1630</v>
      </c>
      <c r="K457" s="0" t="s">
        <v>1572</v>
      </c>
      <c r="L457" s="0" t="s">
        <v>2593</v>
      </c>
      <c r="M457" s="0" t="s">
        <v>2227</v>
      </c>
      <c r="N457" s="0" t="s">
        <v>1575</v>
      </c>
      <c r="O457" s="3" t="s">
        <v>2621</v>
      </c>
      <c r="P457" s="2" t="s">
        <v>2622</v>
      </c>
      <c r="Q457" s="2" t="s">
        <v>2623</v>
      </c>
      <c r="R457" s="2" t="s">
        <v>32</v>
      </c>
      <c r="S457" s="2" t="s">
        <v>33</v>
      </c>
    </row>
    <row r="458" customFormat="false" ht="15" hidden="false" customHeight="false" outlineLevel="0" collapsed="false">
      <c r="A458" s="0" t="n">
        <v>457</v>
      </c>
      <c r="D458" s="0" t="s">
        <v>2624</v>
      </c>
      <c r="E458" s="0" t="s">
        <v>20</v>
      </c>
      <c r="F458" s="0" t="s">
        <v>2625</v>
      </c>
      <c r="H458" s="0" t="s">
        <v>22</v>
      </c>
      <c r="I458" s="2" t="s">
        <v>23</v>
      </c>
      <c r="J458" s="2" t="s">
        <v>1630</v>
      </c>
      <c r="K458" s="0" t="s">
        <v>1572</v>
      </c>
      <c r="L458" s="0" t="s">
        <v>2587</v>
      </c>
      <c r="M458" s="0" t="s">
        <v>1590</v>
      </c>
      <c r="N458" s="0" t="s">
        <v>1575</v>
      </c>
      <c r="O458" s="3" t="s">
        <v>2626</v>
      </c>
      <c r="P458" s="2" t="s">
        <v>2627</v>
      </c>
      <c r="Q458" s="2" t="s">
        <v>2628</v>
      </c>
      <c r="R458" s="2" t="s">
        <v>48</v>
      </c>
      <c r="S458" s="2" t="s">
        <v>33</v>
      </c>
    </row>
    <row r="459" customFormat="false" ht="15" hidden="false" customHeight="false" outlineLevel="0" collapsed="false">
      <c r="A459" s="0" t="n">
        <v>458</v>
      </c>
      <c r="D459" s="0" t="s">
        <v>2629</v>
      </c>
      <c r="E459" s="0" t="s">
        <v>20</v>
      </c>
      <c r="F459" s="0" t="s">
        <v>2630</v>
      </c>
      <c r="H459" s="0" t="s">
        <v>22</v>
      </c>
      <c r="I459" s="2" t="s">
        <v>23</v>
      </c>
      <c r="J459" s="2" t="s">
        <v>1630</v>
      </c>
      <c r="K459" s="0" t="s">
        <v>1572</v>
      </c>
      <c r="L459" s="0" t="s">
        <v>2440</v>
      </c>
      <c r="M459" s="0" t="s">
        <v>2286</v>
      </c>
      <c r="N459" s="0" t="s">
        <v>1575</v>
      </c>
      <c r="O459" s="3" t="s">
        <v>2631</v>
      </c>
      <c r="P459" s="2" t="s">
        <v>2632</v>
      </c>
      <c r="Q459" s="2" t="s">
        <v>2633</v>
      </c>
      <c r="R459" s="2" t="s">
        <v>32</v>
      </c>
      <c r="S459" s="2" t="s">
        <v>33</v>
      </c>
    </row>
    <row r="460" customFormat="false" ht="15" hidden="false" customHeight="false" outlineLevel="0" collapsed="false">
      <c r="A460" s="0" t="n">
        <v>459</v>
      </c>
      <c r="D460" s="0" t="s">
        <v>2634</v>
      </c>
      <c r="E460" s="0" t="s">
        <v>20</v>
      </c>
      <c r="F460" s="0" t="s">
        <v>2635</v>
      </c>
      <c r="H460" s="0" t="s">
        <v>22</v>
      </c>
      <c r="I460" s="2" t="s">
        <v>23</v>
      </c>
      <c r="J460" s="2" t="s">
        <v>1630</v>
      </c>
      <c r="K460" s="0" t="s">
        <v>1572</v>
      </c>
      <c r="L460" s="0" t="s">
        <v>2285</v>
      </c>
      <c r="M460" s="0" t="s">
        <v>2286</v>
      </c>
      <c r="N460" s="0" t="s">
        <v>1575</v>
      </c>
      <c r="O460" s="3" t="s">
        <v>2636</v>
      </c>
      <c r="P460" s="2" t="s">
        <v>2637</v>
      </c>
      <c r="Q460" s="2" t="s">
        <v>2638</v>
      </c>
      <c r="R460" s="2" t="s">
        <v>32</v>
      </c>
      <c r="S460" s="2" t="s">
        <v>33</v>
      </c>
    </row>
    <row r="461" customFormat="false" ht="15" hidden="false" customHeight="false" outlineLevel="0" collapsed="false">
      <c r="A461" s="0" t="n">
        <v>460</v>
      </c>
      <c r="D461" s="0" t="s">
        <v>2639</v>
      </c>
      <c r="E461" s="0" t="s">
        <v>20</v>
      </c>
      <c r="F461" s="0" t="s">
        <v>2640</v>
      </c>
      <c r="H461" s="0" t="s">
        <v>22</v>
      </c>
      <c r="I461" s="2" t="s">
        <v>23</v>
      </c>
      <c r="J461" s="2" t="s">
        <v>1630</v>
      </c>
      <c r="K461" s="0" t="s">
        <v>1572</v>
      </c>
      <c r="L461" s="0" t="s">
        <v>2641</v>
      </c>
      <c r="M461" s="0" t="s">
        <v>2642</v>
      </c>
      <c r="N461" s="0" t="s">
        <v>1575</v>
      </c>
      <c r="O461" s="3" t="s">
        <v>2643</v>
      </c>
      <c r="P461" s="2" t="s">
        <v>2644</v>
      </c>
      <c r="Q461" s="2" t="s">
        <v>2645</v>
      </c>
      <c r="R461" s="2" t="s">
        <v>32</v>
      </c>
      <c r="S461" s="2" t="s">
        <v>33</v>
      </c>
    </row>
    <row r="462" customFormat="false" ht="15" hidden="false" customHeight="false" outlineLevel="0" collapsed="false">
      <c r="A462" s="0" t="n">
        <v>461</v>
      </c>
      <c r="D462" s="0" t="s">
        <v>2646</v>
      </c>
      <c r="E462" s="0" t="s">
        <v>20</v>
      </c>
      <c r="F462" s="0" t="s">
        <v>2647</v>
      </c>
      <c r="H462" s="0" t="s">
        <v>22</v>
      </c>
      <c r="I462" s="2" t="s">
        <v>23</v>
      </c>
      <c r="J462" s="2" t="s">
        <v>1630</v>
      </c>
      <c r="K462" s="0" t="s">
        <v>1572</v>
      </c>
      <c r="L462" s="0" t="s">
        <v>2648</v>
      </c>
      <c r="M462" s="0" t="s">
        <v>2649</v>
      </c>
      <c r="N462" s="0" t="s">
        <v>1575</v>
      </c>
      <c r="O462" s="3" t="s">
        <v>2650</v>
      </c>
      <c r="P462" s="2" t="s">
        <v>2651</v>
      </c>
      <c r="Q462" s="2" t="s">
        <v>2652</v>
      </c>
      <c r="R462" s="2" t="s">
        <v>48</v>
      </c>
      <c r="S462" s="2" t="s">
        <v>33</v>
      </c>
    </row>
    <row r="463" customFormat="false" ht="15" hidden="false" customHeight="false" outlineLevel="0" collapsed="false">
      <c r="A463" s="0" t="n">
        <v>462</v>
      </c>
      <c r="D463" s="0" t="s">
        <v>2653</v>
      </c>
      <c r="E463" s="0" t="s">
        <v>20</v>
      </c>
      <c r="F463" s="0" t="s">
        <v>2654</v>
      </c>
      <c r="H463" s="0" t="s">
        <v>22</v>
      </c>
      <c r="I463" s="2" t="s">
        <v>23</v>
      </c>
      <c r="J463" s="2" t="s">
        <v>1630</v>
      </c>
      <c r="K463" s="0" t="s">
        <v>1572</v>
      </c>
      <c r="L463" s="0" t="s">
        <v>2655</v>
      </c>
      <c r="M463" s="0" t="s">
        <v>2656</v>
      </c>
      <c r="N463" s="0" t="s">
        <v>1575</v>
      </c>
      <c r="O463" s="3" t="s">
        <v>2657</v>
      </c>
      <c r="P463" s="2" t="s">
        <v>2658</v>
      </c>
      <c r="Q463" s="2" t="s">
        <v>2659</v>
      </c>
      <c r="R463" s="2" t="s">
        <v>32</v>
      </c>
      <c r="S463" s="2" t="s">
        <v>33</v>
      </c>
    </row>
    <row r="464" customFormat="false" ht="15" hidden="false" customHeight="false" outlineLevel="0" collapsed="false">
      <c r="A464" s="0" t="n">
        <v>463</v>
      </c>
      <c r="D464" s="0" t="s">
        <v>2660</v>
      </c>
      <c r="E464" s="0" t="s">
        <v>20</v>
      </c>
      <c r="F464" s="0" t="s">
        <v>2661</v>
      </c>
      <c r="H464" s="0" t="s">
        <v>22</v>
      </c>
      <c r="I464" s="2" t="s">
        <v>23</v>
      </c>
      <c r="J464" s="2" t="s">
        <v>1630</v>
      </c>
      <c r="K464" s="0" t="s">
        <v>1572</v>
      </c>
      <c r="L464" s="0" t="s">
        <v>2648</v>
      </c>
      <c r="M464" s="0" t="s">
        <v>2662</v>
      </c>
      <c r="N464" s="0" t="s">
        <v>1575</v>
      </c>
      <c r="O464" s="3" t="s">
        <v>2663</v>
      </c>
      <c r="P464" s="2" t="s">
        <v>2664</v>
      </c>
      <c r="Q464" s="2" t="s">
        <v>2665</v>
      </c>
      <c r="R464" s="2" t="s">
        <v>32</v>
      </c>
      <c r="S464" s="2" t="s">
        <v>33</v>
      </c>
    </row>
    <row r="465" customFormat="false" ht="15" hidden="false" customHeight="false" outlineLevel="0" collapsed="false">
      <c r="A465" s="0" t="n">
        <v>464</v>
      </c>
      <c r="D465" s="0" t="s">
        <v>2666</v>
      </c>
      <c r="E465" s="0" t="s">
        <v>20</v>
      </c>
      <c r="F465" s="0" t="s">
        <v>2667</v>
      </c>
      <c r="H465" s="0" t="s">
        <v>22</v>
      </c>
      <c r="I465" s="2" t="s">
        <v>23</v>
      </c>
      <c r="J465" s="2" t="s">
        <v>1630</v>
      </c>
      <c r="K465" s="0" t="s">
        <v>1572</v>
      </c>
      <c r="L465" s="0" t="s">
        <v>2668</v>
      </c>
      <c r="M465" s="0" t="s">
        <v>1609</v>
      </c>
      <c r="N465" s="0" t="s">
        <v>1575</v>
      </c>
      <c r="O465" s="3" t="s">
        <v>2669</v>
      </c>
      <c r="P465" s="2" t="s">
        <v>2670</v>
      </c>
      <c r="Q465" s="2" t="s">
        <v>2671</v>
      </c>
      <c r="R465" s="2" t="s">
        <v>32</v>
      </c>
      <c r="S465" s="2" t="s">
        <v>33</v>
      </c>
    </row>
    <row r="466" customFormat="false" ht="15" hidden="false" customHeight="false" outlineLevel="0" collapsed="false">
      <c r="A466" s="0" t="n">
        <v>465</v>
      </c>
      <c r="D466" s="0" t="s">
        <v>2672</v>
      </c>
      <c r="E466" s="0" t="s">
        <v>20</v>
      </c>
      <c r="F466" s="0" t="s">
        <v>2673</v>
      </c>
      <c r="H466" s="0" t="s">
        <v>22</v>
      </c>
      <c r="I466" s="2" t="s">
        <v>23</v>
      </c>
      <c r="J466" s="2" t="s">
        <v>1630</v>
      </c>
      <c r="K466" s="0" t="s">
        <v>1621</v>
      </c>
      <c r="L466" s="0" t="s">
        <v>2674</v>
      </c>
      <c r="M466" s="0" t="s">
        <v>2675</v>
      </c>
      <c r="N466" s="0" t="s">
        <v>1624</v>
      </c>
      <c r="O466" s="3" t="s">
        <v>2676</v>
      </c>
      <c r="P466" s="2" t="s">
        <v>2677</v>
      </c>
      <c r="Q466" s="2" t="s">
        <v>2678</v>
      </c>
      <c r="R466" s="2" t="s">
        <v>32</v>
      </c>
      <c r="S466" s="2" t="s">
        <v>33</v>
      </c>
    </row>
    <row r="467" customFormat="false" ht="15" hidden="false" customHeight="false" outlineLevel="0" collapsed="false">
      <c r="A467" s="0" t="n">
        <v>466</v>
      </c>
      <c r="D467" s="0" t="s">
        <v>2679</v>
      </c>
      <c r="E467" s="0" t="s">
        <v>20</v>
      </c>
      <c r="F467" s="0" t="s">
        <v>2680</v>
      </c>
      <c r="H467" s="0" t="s">
        <v>22</v>
      </c>
      <c r="I467" s="2" t="s">
        <v>23</v>
      </c>
      <c r="J467" s="2" t="s">
        <v>1630</v>
      </c>
      <c r="K467" s="0" t="s">
        <v>1621</v>
      </c>
      <c r="L467" s="0" t="s">
        <v>2681</v>
      </c>
      <c r="M467" s="0" t="s">
        <v>1623</v>
      </c>
      <c r="N467" s="0" t="s">
        <v>1624</v>
      </c>
      <c r="O467" s="3" t="s">
        <v>2682</v>
      </c>
      <c r="P467" s="2" t="s">
        <v>2683</v>
      </c>
      <c r="Q467" s="2" t="s">
        <v>2684</v>
      </c>
      <c r="R467" s="2" t="s">
        <v>32</v>
      </c>
      <c r="S467" s="2" t="s">
        <v>33</v>
      </c>
    </row>
    <row r="468" customFormat="false" ht="15" hidden="false" customHeight="false" outlineLevel="0" collapsed="false">
      <c r="A468" s="0" t="n">
        <v>467</v>
      </c>
      <c r="D468" s="0" t="s">
        <v>2685</v>
      </c>
      <c r="E468" s="0" t="s">
        <v>20</v>
      </c>
      <c r="F468" s="0" t="s">
        <v>2686</v>
      </c>
      <c r="H468" s="0" t="s">
        <v>22</v>
      </c>
      <c r="I468" s="2" t="s">
        <v>23</v>
      </c>
      <c r="J468" s="2" t="s">
        <v>1630</v>
      </c>
      <c r="K468" s="0" t="s">
        <v>1621</v>
      </c>
      <c r="L468" s="0" t="s">
        <v>2681</v>
      </c>
      <c r="M468" s="0" t="s">
        <v>1623</v>
      </c>
      <c r="N468" s="0" t="s">
        <v>1624</v>
      </c>
      <c r="O468" s="3" t="s">
        <v>2687</v>
      </c>
      <c r="P468" s="2" t="s">
        <v>2688</v>
      </c>
      <c r="Q468" s="2" t="s">
        <v>2689</v>
      </c>
      <c r="R468" s="2" t="s">
        <v>32</v>
      </c>
      <c r="S468" s="2" t="s">
        <v>33</v>
      </c>
    </row>
    <row r="469" customFormat="false" ht="15" hidden="false" customHeight="false" outlineLevel="0" collapsed="false">
      <c r="A469" s="0" t="n">
        <v>468</v>
      </c>
      <c r="D469" s="0" t="s">
        <v>2690</v>
      </c>
      <c r="E469" s="0" t="s">
        <v>20</v>
      </c>
      <c r="F469" s="0" t="s">
        <v>2691</v>
      </c>
      <c r="H469" s="0" t="s">
        <v>22</v>
      </c>
      <c r="I469" s="2" t="s">
        <v>23</v>
      </c>
      <c r="J469" s="2" t="s">
        <v>1630</v>
      </c>
      <c r="K469" s="0" t="s">
        <v>1621</v>
      </c>
      <c r="L469" s="0" t="s">
        <v>2692</v>
      </c>
      <c r="M469" s="0" t="s">
        <v>2693</v>
      </c>
      <c r="N469" s="0" t="s">
        <v>1624</v>
      </c>
      <c r="O469" s="3" t="s">
        <v>2694</v>
      </c>
      <c r="P469" s="2" t="s">
        <v>2695</v>
      </c>
      <c r="Q469" s="2" t="s">
        <v>2696</v>
      </c>
      <c r="R469" s="2" t="s">
        <v>32</v>
      </c>
      <c r="S469" s="2" t="s">
        <v>33</v>
      </c>
    </row>
    <row r="470" customFormat="false" ht="15" hidden="false" customHeight="false" outlineLevel="0" collapsed="false">
      <c r="A470" s="0" t="n">
        <v>469</v>
      </c>
      <c r="D470" s="0" t="s">
        <v>2697</v>
      </c>
      <c r="E470" s="0" t="s">
        <v>20</v>
      </c>
      <c r="F470" s="0" t="s">
        <v>2698</v>
      </c>
      <c r="H470" s="0" t="s">
        <v>22</v>
      </c>
      <c r="I470" s="2" t="s">
        <v>23</v>
      </c>
      <c r="J470" s="2" t="s">
        <v>1630</v>
      </c>
      <c r="K470" s="0" t="s">
        <v>1621</v>
      </c>
      <c r="L470" s="0" t="s">
        <v>2674</v>
      </c>
      <c r="M470" s="0" t="s">
        <v>2675</v>
      </c>
      <c r="N470" s="0" t="s">
        <v>1624</v>
      </c>
      <c r="O470" s="3" t="s">
        <v>2699</v>
      </c>
      <c r="P470" s="2" t="s">
        <v>2700</v>
      </c>
      <c r="Q470" s="2" t="s">
        <v>2701</v>
      </c>
      <c r="R470" s="2" t="s">
        <v>32</v>
      </c>
      <c r="S470" s="2" t="s">
        <v>33</v>
      </c>
    </row>
    <row r="471" customFormat="false" ht="15" hidden="false" customHeight="false" outlineLevel="0" collapsed="false">
      <c r="A471" s="0" t="n">
        <v>470</v>
      </c>
      <c r="D471" s="0" t="s">
        <v>2702</v>
      </c>
      <c r="E471" s="0" t="s">
        <v>20</v>
      </c>
      <c r="F471" s="0" t="s">
        <v>2703</v>
      </c>
      <c r="H471" s="0" t="s">
        <v>22</v>
      </c>
      <c r="I471" s="2" t="s">
        <v>23</v>
      </c>
      <c r="J471" s="2" t="s">
        <v>1630</v>
      </c>
      <c r="K471" s="0" t="s">
        <v>1621</v>
      </c>
      <c r="L471" s="0" t="s">
        <v>2704</v>
      </c>
      <c r="M471" s="0" t="s">
        <v>2675</v>
      </c>
      <c r="N471" s="0" t="s">
        <v>1624</v>
      </c>
      <c r="O471" s="3" t="s">
        <v>2705</v>
      </c>
      <c r="Q471" s="2" t="s">
        <v>2706</v>
      </c>
      <c r="R471" s="2" t="s">
        <v>2707</v>
      </c>
      <c r="S471" s="2" t="s">
        <v>33</v>
      </c>
    </row>
    <row r="472" customFormat="false" ht="15" hidden="false" customHeight="false" outlineLevel="0" collapsed="false">
      <c r="A472" s="0" t="n">
        <v>471</v>
      </c>
      <c r="D472" s="0" t="s">
        <v>2708</v>
      </c>
      <c r="E472" s="0" t="s">
        <v>20</v>
      </c>
      <c r="F472" s="0" t="s">
        <v>2709</v>
      </c>
      <c r="H472" s="0" t="s">
        <v>22</v>
      </c>
      <c r="I472" s="2" t="s">
        <v>23</v>
      </c>
      <c r="J472" s="2" t="s">
        <v>1630</v>
      </c>
      <c r="K472" s="0" t="s">
        <v>1621</v>
      </c>
      <c r="L472" s="0" t="s">
        <v>2681</v>
      </c>
      <c r="M472" s="0" t="s">
        <v>1623</v>
      </c>
      <c r="N472" s="0" t="s">
        <v>1624</v>
      </c>
      <c r="O472" s="3" t="s">
        <v>2710</v>
      </c>
      <c r="P472" s="2" t="s">
        <v>2711</v>
      </c>
      <c r="Q472" s="2" t="s">
        <v>2712</v>
      </c>
      <c r="R472" s="2" t="s">
        <v>32</v>
      </c>
      <c r="S472" s="2" t="s">
        <v>33</v>
      </c>
    </row>
    <row r="473" customFormat="false" ht="15" hidden="false" customHeight="false" outlineLevel="0" collapsed="false">
      <c r="A473" s="0" t="n">
        <v>472</v>
      </c>
      <c r="D473" s="0" t="s">
        <v>2713</v>
      </c>
      <c r="E473" s="0" t="s">
        <v>20</v>
      </c>
      <c r="F473" s="0" t="s">
        <v>2714</v>
      </c>
      <c r="H473" s="0" t="s">
        <v>22</v>
      </c>
      <c r="I473" s="2" t="s">
        <v>23</v>
      </c>
      <c r="J473" s="2" t="s">
        <v>1630</v>
      </c>
      <c r="K473" s="0" t="s">
        <v>1621</v>
      </c>
      <c r="L473" s="0" t="s">
        <v>2681</v>
      </c>
      <c r="M473" s="0" t="s">
        <v>1623</v>
      </c>
      <c r="N473" s="0" t="s">
        <v>1624</v>
      </c>
      <c r="O473" s="3" t="s">
        <v>2715</v>
      </c>
      <c r="P473" s="2" t="s">
        <v>2716</v>
      </c>
      <c r="Q473" s="2" t="s">
        <v>2717</v>
      </c>
      <c r="R473" s="2" t="s">
        <v>32</v>
      </c>
      <c r="S473" s="2" t="s">
        <v>33</v>
      </c>
    </row>
    <row r="474" customFormat="false" ht="15" hidden="false" customHeight="false" outlineLevel="0" collapsed="false">
      <c r="A474" s="0" t="n">
        <v>473</v>
      </c>
      <c r="D474" s="0" t="s">
        <v>2718</v>
      </c>
      <c r="E474" s="0" t="s">
        <v>20</v>
      </c>
      <c r="F474" s="0" t="s">
        <v>2719</v>
      </c>
      <c r="H474" s="0" t="s">
        <v>22</v>
      </c>
      <c r="I474" s="2" t="s">
        <v>23</v>
      </c>
      <c r="J474" s="2" t="s">
        <v>1630</v>
      </c>
      <c r="K474" s="0" t="s">
        <v>1621</v>
      </c>
      <c r="L474" s="0" t="s">
        <v>2681</v>
      </c>
      <c r="M474" s="0" t="s">
        <v>1623</v>
      </c>
      <c r="N474" s="0" t="s">
        <v>1624</v>
      </c>
      <c r="O474" s="3" t="s">
        <v>2720</v>
      </c>
      <c r="P474" s="2" t="s">
        <v>2721</v>
      </c>
      <c r="Q474" s="2" t="s">
        <v>2722</v>
      </c>
      <c r="R474" s="2" t="s">
        <v>48</v>
      </c>
      <c r="S474" s="2" t="s">
        <v>33</v>
      </c>
    </row>
    <row r="475" customFormat="false" ht="15" hidden="false" customHeight="false" outlineLevel="0" collapsed="false">
      <c r="A475" s="0" t="n">
        <v>474</v>
      </c>
      <c r="D475" s="0" t="s">
        <v>2723</v>
      </c>
      <c r="E475" s="0" t="s">
        <v>20</v>
      </c>
      <c r="F475" s="0" t="s">
        <v>2724</v>
      </c>
      <c r="H475" s="0" t="s">
        <v>22</v>
      </c>
      <c r="I475" s="2" t="s">
        <v>23</v>
      </c>
      <c r="J475" s="2" t="s">
        <v>1630</v>
      </c>
      <c r="K475" s="0" t="s">
        <v>1621</v>
      </c>
      <c r="L475" s="0" t="s">
        <v>2674</v>
      </c>
      <c r="M475" s="0" t="s">
        <v>2675</v>
      </c>
      <c r="N475" s="0" t="s">
        <v>1624</v>
      </c>
      <c r="O475" s="3" t="s">
        <v>2725</v>
      </c>
      <c r="P475" s="2" t="s">
        <v>2726</v>
      </c>
      <c r="Q475" s="2" t="s">
        <v>2727</v>
      </c>
      <c r="R475" s="2" t="s">
        <v>32</v>
      </c>
      <c r="S475" s="2" t="s">
        <v>33</v>
      </c>
    </row>
    <row r="476" customFormat="false" ht="15" hidden="false" customHeight="false" outlineLevel="0" collapsed="false">
      <c r="A476" s="0" t="n">
        <v>475</v>
      </c>
      <c r="D476" s="0" t="s">
        <v>2728</v>
      </c>
      <c r="E476" s="0" t="s">
        <v>20</v>
      </c>
      <c r="F476" s="0" t="s">
        <v>2729</v>
      </c>
      <c r="H476" s="0" t="s">
        <v>22</v>
      </c>
      <c r="I476" s="2" t="s">
        <v>23</v>
      </c>
      <c r="J476" s="2" t="s">
        <v>1630</v>
      </c>
      <c r="K476" s="0" t="s">
        <v>1621</v>
      </c>
      <c r="L476" s="0" t="s">
        <v>2730</v>
      </c>
      <c r="M476" s="0" t="s">
        <v>1623</v>
      </c>
      <c r="N476" s="0" t="s">
        <v>1624</v>
      </c>
      <c r="O476" s="3" t="s">
        <v>2731</v>
      </c>
      <c r="P476" s="2" t="s">
        <v>2732</v>
      </c>
      <c r="Q476" s="2" t="s">
        <v>2733</v>
      </c>
      <c r="R476" s="2" t="s">
        <v>32</v>
      </c>
      <c r="S476" s="2" t="s">
        <v>33</v>
      </c>
    </row>
    <row r="477" customFormat="false" ht="15" hidden="false" customHeight="false" outlineLevel="0" collapsed="false">
      <c r="A477" s="0" t="n">
        <v>476</v>
      </c>
      <c r="D477" s="0" t="s">
        <v>2734</v>
      </c>
      <c r="E477" s="0" t="s">
        <v>20</v>
      </c>
      <c r="F477" s="0" t="s">
        <v>2735</v>
      </c>
      <c r="H477" s="0" t="s">
        <v>22</v>
      </c>
      <c r="I477" s="2" t="s">
        <v>23</v>
      </c>
      <c r="J477" s="2" t="s">
        <v>1630</v>
      </c>
      <c r="K477" s="0" t="s">
        <v>1621</v>
      </c>
      <c r="L477" s="0" t="s">
        <v>2674</v>
      </c>
      <c r="M477" s="0" t="s">
        <v>2675</v>
      </c>
      <c r="N477" s="0" t="s">
        <v>1624</v>
      </c>
      <c r="O477" s="3" t="s">
        <v>2736</v>
      </c>
      <c r="P477" s="2" t="s">
        <v>2737</v>
      </c>
      <c r="Q477" s="2" t="s">
        <v>2738</v>
      </c>
      <c r="R477" s="2" t="s">
        <v>32</v>
      </c>
      <c r="S477" s="2" t="s">
        <v>33</v>
      </c>
    </row>
    <row r="478" customFormat="false" ht="15" hidden="false" customHeight="false" outlineLevel="0" collapsed="false">
      <c r="A478" s="0" t="n">
        <v>477</v>
      </c>
      <c r="D478" s="0" t="s">
        <v>2739</v>
      </c>
      <c r="E478" s="0" t="s">
        <v>20</v>
      </c>
      <c r="F478" s="0" t="s">
        <v>2740</v>
      </c>
      <c r="H478" s="0" t="s">
        <v>22</v>
      </c>
      <c r="I478" s="2" t="s">
        <v>23</v>
      </c>
      <c r="J478" s="2" t="s">
        <v>1630</v>
      </c>
      <c r="K478" s="0" t="s">
        <v>1621</v>
      </c>
      <c r="L478" s="0" t="s">
        <v>2681</v>
      </c>
      <c r="M478" s="0" t="s">
        <v>1623</v>
      </c>
      <c r="N478" s="0" t="s">
        <v>1624</v>
      </c>
      <c r="O478" s="3" t="s">
        <v>2741</v>
      </c>
      <c r="P478" s="2" t="s">
        <v>2742</v>
      </c>
      <c r="Q478" s="2" t="s">
        <v>2743</v>
      </c>
      <c r="R478" s="2" t="s">
        <v>32</v>
      </c>
      <c r="S478" s="2" t="s">
        <v>33</v>
      </c>
    </row>
    <row r="479" customFormat="false" ht="15" hidden="false" customHeight="false" outlineLevel="0" collapsed="false">
      <c r="A479" s="0" t="n">
        <v>478</v>
      </c>
      <c r="D479" s="0" t="s">
        <v>2744</v>
      </c>
      <c r="E479" s="0" t="s">
        <v>20</v>
      </c>
      <c r="F479" s="0" t="s">
        <v>2745</v>
      </c>
      <c r="H479" s="0" t="s">
        <v>22</v>
      </c>
      <c r="I479" s="2" t="s">
        <v>23</v>
      </c>
      <c r="J479" s="2" t="s">
        <v>1630</v>
      </c>
      <c r="K479" s="0" t="s">
        <v>1621</v>
      </c>
      <c r="L479" s="0" t="s">
        <v>2681</v>
      </c>
      <c r="M479" s="0" t="s">
        <v>1623</v>
      </c>
      <c r="N479" s="0" t="s">
        <v>1624</v>
      </c>
      <c r="O479" s="3" t="s">
        <v>2746</v>
      </c>
      <c r="P479" s="2" t="s">
        <v>2747</v>
      </c>
      <c r="Q479" s="2" t="s">
        <v>2748</v>
      </c>
      <c r="R479" s="2" t="s">
        <v>32</v>
      </c>
      <c r="S479" s="2" t="s">
        <v>33</v>
      </c>
    </row>
    <row r="480" customFormat="false" ht="15" hidden="false" customHeight="false" outlineLevel="0" collapsed="false">
      <c r="A480" s="0" t="n">
        <v>479</v>
      </c>
      <c r="D480" s="0" t="s">
        <v>2749</v>
      </c>
      <c r="E480" s="0" t="s">
        <v>20</v>
      </c>
      <c r="H480" s="0" t="s">
        <v>22</v>
      </c>
      <c r="I480" s="2" t="s">
        <v>23</v>
      </c>
      <c r="J480" s="2" t="s">
        <v>1630</v>
      </c>
      <c r="K480" s="0" t="s">
        <v>1621</v>
      </c>
      <c r="L480" s="0" t="s">
        <v>2681</v>
      </c>
      <c r="M480" s="0" t="s">
        <v>1623</v>
      </c>
      <c r="N480" s="0" t="s">
        <v>1624</v>
      </c>
      <c r="O480" s="3" t="s">
        <v>2750</v>
      </c>
      <c r="P480" s="2" t="s">
        <v>2751</v>
      </c>
      <c r="Q480" s="2" t="s">
        <v>2752</v>
      </c>
      <c r="R480" s="2" t="s">
        <v>32</v>
      </c>
      <c r="S480" s="2" t="s">
        <v>33</v>
      </c>
    </row>
    <row r="481" customFormat="false" ht="15" hidden="false" customHeight="false" outlineLevel="0" collapsed="false">
      <c r="A481" s="0" t="n">
        <v>480</v>
      </c>
      <c r="D481" s="0" t="s">
        <v>2753</v>
      </c>
      <c r="E481" s="0" t="s">
        <v>20</v>
      </c>
      <c r="H481" s="0" t="s">
        <v>22</v>
      </c>
      <c r="I481" s="2" t="s">
        <v>23</v>
      </c>
      <c r="J481" s="2" t="s">
        <v>1630</v>
      </c>
      <c r="K481" s="0" t="s">
        <v>1621</v>
      </c>
      <c r="L481" s="0" t="s">
        <v>2674</v>
      </c>
      <c r="M481" s="0" t="s">
        <v>2675</v>
      </c>
      <c r="N481" s="0" t="s">
        <v>1624</v>
      </c>
      <c r="O481" s="3" t="s">
        <v>2754</v>
      </c>
      <c r="P481" s="2" t="s">
        <v>2755</v>
      </c>
      <c r="Q481" s="2" t="s">
        <v>2756</v>
      </c>
      <c r="R481" s="2" t="s">
        <v>32</v>
      </c>
      <c r="S481" s="2" t="s">
        <v>33</v>
      </c>
    </row>
    <row r="482" customFormat="false" ht="15" hidden="false" customHeight="false" outlineLevel="0" collapsed="false">
      <c r="A482" s="0" t="n">
        <v>481</v>
      </c>
      <c r="D482" s="0" t="s">
        <v>2757</v>
      </c>
      <c r="E482" s="0" t="s">
        <v>20</v>
      </c>
      <c r="H482" s="0" t="s">
        <v>22</v>
      </c>
      <c r="I482" s="2" t="s">
        <v>23</v>
      </c>
      <c r="J482" s="2" t="s">
        <v>1630</v>
      </c>
      <c r="K482" s="0" t="s">
        <v>1621</v>
      </c>
      <c r="L482" s="0" t="s">
        <v>2674</v>
      </c>
      <c r="M482" s="0" t="s">
        <v>2675</v>
      </c>
      <c r="N482" s="0" t="s">
        <v>1624</v>
      </c>
      <c r="O482" s="3" t="s">
        <v>2758</v>
      </c>
      <c r="P482" s="2" t="s">
        <v>2759</v>
      </c>
      <c r="Q482" s="2" t="s">
        <v>2760</v>
      </c>
      <c r="R482" s="2" t="s">
        <v>32</v>
      </c>
      <c r="S482" s="2" t="s">
        <v>33</v>
      </c>
    </row>
    <row r="483" customFormat="false" ht="15" hidden="false" customHeight="false" outlineLevel="0" collapsed="false">
      <c r="A483" s="0" t="n">
        <v>482</v>
      </c>
      <c r="D483" s="0" t="s">
        <v>2761</v>
      </c>
      <c r="E483" s="0" t="s">
        <v>20</v>
      </c>
      <c r="F483" s="0" t="s">
        <v>2762</v>
      </c>
      <c r="H483" s="0" t="s">
        <v>22</v>
      </c>
      <c r="I483" s="2" t="s">
        <v>23</v>
      </c>
      <c r="J483" s="2" t="s">
        <v>1630</v>
      </c>
      <c r="K483" s="0" t="s">
        <v>1621</v>
      </c>
      <c r="L483" s="0" t="s">
        <v>2763</v>
      </c>
      <c r="M483" s="0" t="s">
        <v>2675</v>
      </c>
      <c r="N483" s="0" t="s">
        <v>1624</v>
      </c>
      <c r="O483" s="3" t="s">
        <v>2764</v>
      </c>
      <c r="P483" s="2" t="s">
        <v>2765</v>
      </c>
      <c r="Q483" s="2" t="s">
        <v>2766</v>
      </c>
      <c r="R483" s="2" t="s">
        <v>32</v>
      </c>
      <c r="S483" s="2" t="s">
        <v>33</v>
      </c>
    </row>
    <row r="484" customFormat="false" ht="15" hidden="false" customHeight="false" outlineLevel="0" collapsed="false">
      <c r="A484" s="0" t="n">
        <v>483</v>
      </c>
      <c r="D484" s="0" t="s">
        <v>2767</v>
      </c>
      <c r="E484" s="0" t="s">
        <v>20</v>
      </c>
      <c r="F484" s="0" t="s">
        <v>2768</v>
      </c>
      <c r="H484" s="0" t="s">
        <v>22</v>
      </c>
      <c r="I484" s="2" t="s">
        <v>23</v>
      </c>
      <c r="J484" s="2" t="s">
        <v>1630</v>
      </c>
      <c r="K484" s="0" t="s">
        <v>1621</v>
      </c>
      <c r="L484" s="0" t="s">
        <v>2763</v>
      </c>
      <c r="M484" s="0" t="s">
        <v>2675</v>
      </c>
      <c r="N484" s="0" t="s">
        <v>1624</v>
      </c>
      <c r="O484" s="3" t="s">
        <v>2769</v>
      </c>
      <c r="P484" s="2" t="s">
        <v>2770</v>
      </c>
      <c r="Q484" s="2" t="s">
        <v>2771</v>
      </c>
      <c r="R484" s="2" t="s">
        <v>32</v>
      </c>
      <c r="S484" s="2" t="s">
        <v>33</v>
      </c>
    </row>
    <row r="485" customFormat="false" ht="15" hidden="false" customHeight="false" outlineLevel="0" collapsed="false">
      <c r="A485" s="0" t="n">
        <v>484</v>
      </c>
      <c r="D485" s="0" t="s">
        <v>2772</v>
      </c>
      <c r="E485" s="0" t="s">
        <v>20</v>
      </c>
      <c r="F485" s="0" t="s">
        <v>2773</v>
      </c>
      <c r="H485" s="0" t="s">
        <v>22</v>
      </c>
      <c r="I485" s="2" t="s">
        <v>23</v>
      </c>
      <c r="J485" s="2" t="s">
        <v>1630</v>
      </c>
      <c r="K485" s="0" t="s">
        <v>1621</v>
      </c>
      <c r="L485" s="0" t="s">
        <v>2730</v>
      </c>
      <c r="M485" s="0" t="s">
        <v>1623</v>
      </c>
      <c r="N485" s="0" t="s">
        <v>1624</v>
      </c>
      <c r="O485" s="3" t="s">
        <v>2774</v>
      </c>
      <c r="P485" s="2" t="s">
        <v>2775</v>
      </c>
      <c r="Q485" s="2" t="s">
        <v>2776</v>
      </c>
      <c r="R485" s="2" t="s">
        <v>32</v>
      </c>
      <c r="S485" s="2" t="s">
        <v>33</v>
      </c>
    </row>
    <row r="486" customFormat="false" ht="15" hidden="false" customHeight="false" outlineLevel="0" collapsed="false">
      <c r="A486" s="0" t="n">
        <v>485</v>
      </c>
      <c r="D486" s="0" t="s">
        <v>2777</v>
      </c>
      <c r="E486" s="0" t="s">
        <v>20</v>
      </c>
      <c r="F486" s="0" t="s">
        <v>2778</v>
      </c>
      <c r="H486" s="0" t="s">
        <v>22</v>
      </c>
      <c r="I486" s="2" t="s">
        <v>23</v>
      </c>
      <c r="J486" s="2" t="s">
        <v>1630</v>
      </c>
      <c r="K486" s="0" t="s">
        <v>1621</v>
      </c>
      <c r="L486" s="0" t="s">
        <v>2730</v>
      </c>
      <c r="M486" s="0" t="s">
        <v>1623</v>
      </c>
      <c r="N486" s="0" t="s">
        <v>1624</v>
      </c>
      <c r="O486" s="3"/>
      <c r="S486" s="2" t="s">
        <v>33</v>
      </c>
    </row>
    <row r="487" customFormat="false" ht="15" hidden="false" customHeight="false" outlineLevel="0" collapsed="false">
      <c r="A487" s="0" t="n">
        <v>486</v>
      </c>
      <c r="D487" s="0" t="s">
        <v>2779</v>
      </c>
      <c r="E487" s="0" t="s">
        <v>20</v>
      </c>
      <c r="F487" s="0" t="s">
        <v>2780</v>
      </c>
      <c r="H487" s="0" t="s">
        <v>22</v>
      </c>
      <c r="I487" s="2" t="s">
        <v>23</v>
      </c>
      <c r="J487" s="2" t="s">
        <v>1630</v>
      </c>
      <c r="K487" s="0" t="s">
        <v>1621</v>
      </c>
      <c r="L487" s="0" t="s">
        <v>2763</v>
      </c>
      <c r="M487" s="0" t="s">
        <v>2675</v>
      </c>
      <c r="N487" s="0" t="s">
        <v>1624</v>
      </c>
      <c r="O487" s="3" t="s">
        <v>2781</v>
      </c>
      <c r="P487" s="2" t="s">
        <v>2782</v>
      </c>
      <c r="Q487" s="2" t="s">
        <v>2783</v>
      </c>
      <c r="R487" s="2" t="s">
        <v>32</v>
      </c>
      <c r="S487" s="2" t="s">
        <v>33</v>
      </c>
    </row>
    <row r="488" customFormat="false" ht="15" hidden="false" customHeight="false" outlineLevel="0" collapsed="false">
      <c r="A488" s="0" t="n">
        <v>487</v>
      </c>
      <c r="D488" s="0" t="s">
        <v>2784</v>
      </c>
      <c r="E488" s="0" t="s">
        <v>20</v>
      </c>
      <c r="F488" s="0" t="s">
        <v>2785</v>
      </c>
      <c r="H488" s="0" t="s">
        <v>22</v>
      </c>
      <c r="I488" s="2" t="s">
        <v>23</v>
      </c>
      <c r="J488" s="2" t="s">
        <v>1630</v>
      </c>
      <c r="K488" s="0" t="s">
        <v>1621</v>
      </c>
      <c r="L488" s="0" t="s">
        <v>2730</v>
      </c>
      <c r="M488" s="0" t="s">
        <v>1623</v>
      </c>
      <c r="N488" s="0" t="s">
        <v>1624</v>
      </c>
      <c r="O488" s="3" t="s">
        <v>2786</v>
      </c>
      <c r="P488" s="2" t="s">
        <v>2787</v>
      </c>
      <c r="Q488" s="2" t="s">
        <v>2788</v>
      </c>
      <c r="R488" s="2" t="s">
        <v>32</v>
      </c>
      <c r="S488" s="2" t="s">
        <v>33</v>
      </c>
    </row>
    <row r="489" customFormat="false" ht="15" hidden="false" customHeight="false" outlineLevel="0" collapsed="false">
      <c r="A489" s="0" t="n">
        <v>488</v>
      </c>
      <c r="D489" s="0" t="s">
        <v>2789</v>
      </c>
      <c r="E489" s="0" t="s">
        <v>20</v>
      </c>
      <c r="F489" s="0" t="s">
        <v>2790</v>
      </c>
      <c r="H489" s="0" t="s">
        <v>22</v>
      </c>
      <c r="I489" s="2" t="s">
        <v>23</v>
      </c>
      <c r="J489" s="2" t="s">
        <v>1630</v>
      </c>
      <c r="K489" s="0" t="s">
        <v>1621</v>
      </c>
      <c r="L489" s="0" t="s">
        <v>2791</v>
      </c>
      <c r="M489" s="0" t="s">
        <v>1623</v>
      </c>
      <c r="N489" s="0" t="s">
        <v>1624</v>
      </c>
      <c r="O489" s="3" t="s">
        <v>2792</v>
      </c>
      <c r="P489" s="2" t="s">
        <v>2793</v>
      </c>
      <c r="Q489" s="2" t="s">
        <v>2794</v>
      </c>
      <c r="R489" s="2" t="s">
        <v>32</v>
      </c>
      <c r="S489" s="2" t="s">
        <v>33</v>
      </c>
    </row>
    <row r="490" customFormat="false" ht="15" hidden="false" customHeight="false" outlineLevel="0" collapsed="false">
      <c r="A490" s="0" t="n">
        <v>489</v>
      </c>
      <c r="D490" s="0" t="s">
        <v>2795</v>
      </c>
      <c r="E490" s="0" t="s">
        <v>20</v>
      </c>
      <c r="F490" s="0" t="s">
        <v>2796</v>
      </c>
      <c r="H490" s="0" t="s">
        <v>22</v>
      </c>
      <c r="I490" s="2" t="s">
        <v>23</v>
      </c>
      <c r="J490" s="2" t="s">
        <v>1630</v>
      </c>
      <c r="K490" s="0" t="s">
        <v>1621</v>
      </c>
      <c r="L490" s="0" t="s">
        <v>2797</v>
      </c>
      <c r="M490" s="0" t="s">
        <v>2798</v>
      </c>
      <c r="N490" s="0" t="s">
        <v>1624</v>
      </c>
      <c r="O490" s="3" t="s">
        <v>2799</v>
      </c>
      <c r="P490" s="2" t="s">
        <v>2800</v>
      </c>
      <c r="Q490" s="2" t="s">
        <v>2801</v>
      </c>
      <c r="R490" s="2" t="s">
        <v>32</v>
      </c>
      <c r="S490" s="2" t="s">
        <v>33</v>
      </c>
    </row>
    <row r="491" customFormat="false" ht="15" hidden="false" customHeight="false" outlineLevel="0" collapsed="false">
      <c r="A491" s="0" t="n">
        <v>490</v>
      </c>
      <c r="D491" s="0" t="s">
        <v>2802</v>
      </c>
      <c r="E491" s="0" t="s">
        <v>20</v>
      </c>
      <c r="F491" s="0" t="s">
        <v>2803</v>
      </c>
      <c r="H491" s="0" t="s">
        <v>22</v>
      </c>
      <c r="I491" s="2" t="s">
        <v>23</v>
      </c>
      <c r="J491" s="2" t="s">
        <v>1630</v>
      </c>
      <c r="K491" s="0" t="s">
        <v>1621</v>
      </c>
      <c r="L491" s="0" t="s">
        <v>2791</v>
      </c>
      <c r="M491" s="0" t="s">
        <v>1623</v>
      </c>
      <c r="N491" s="0" t="s">
        <v>1624</v>
      </c>
      <c r="O491" s="3" t="s">
        <v>2804</v>
      </c>
      <c r="P491" s="2" t="s">
        <v>2805</v>
      </c>
      <c r="Q491" s="2" t="s">
        <v>2806</v>
      </c>
      <c r="R491" s="2" t="s">
        <v>48</v>
      </c>
      <c r="S491" s="2" t="s">
        <v>33</v>
      </c>
    </row>
    <row r="492" customFormat="false" ht="15" hidden="false" customHeight="false" outlineLevel="0" collapsed="false">
      <c r="A492" s="0" t="n">
        <v>491</v>
      </c>
      <c r="D492" s="0" t="s">
        <v>2807</v>
      </c>
      <c r="E492" s="0" t="s">
        <v>20</v>
      </c>
      <c r="H492" s="0" t="s">
        <v>22</v>
      </c>
      <c r="I492" s="2" t="s">
        <v>23</v>
      </c>
      <c r="J492" s="2" t="s">
        <v>1630</v>
      </c>
      <c r="K492" s="0" t="s">
        <v>1621</v>
      </c>
      <c r="L492" s="0" t="s">
        <v>2791</v>
      </c>
      <c r="M492" s="0" t="s">
        <v>1623</v>
      </c>
      <c r="N492" s="0" t="s">
        <v>1624</v>
      </c>
      <c r="O492" s="3" t="s">
        <v>2808</v>
      </c>
      <c r="P492" s="2" t="s">
        <v>2809</v>
      </c>
      <c r="Q492" s="2" t="s">
        <v>2810</v>
      </c>
      <c r="R492" s="2" t="s">
        <v>32</v>
      </c>
      <c r="S492" s="2" t="s">
        <v>33</v>
      </c>
    </row>
    <row r="493" customFormat="false" ht="15" hidden="false" customHeight="false" outlineLevel="0" collapsed="false">
      <c r="A493" s="0" t="n">
        <v>492</v>
      </c>
      <c r="D493" s="0" t="s">
        <v>2811</v>
      </c>
      <c r="E493" s="0" t="s">
        <v>20</v>
      </c>
      <c r="F493" s="0" t="s">
        <v>2812</v>
      </c>
      <c r="H493" s="0" t="s">
        <v>22</v>
      </c>
      <c r="I493" s="2" t="s">
        <v>23</v>
      </c>
      <c r="J493" s="2" t="s">
        <v>1630</v>
      </c>
      <c r="K493" s="0" t="s">
        <v>1621</v>
      </c>
      <c r="L493" s="0" t="s">
        <v>2791</v>
      </c>
      <c r="M493" s="0" t="s">
        <v>1623</v>
      </c>
      <c r="N493" s="0" t="s">
        <v>1624</v>
      </c>
      <c r="O493" s="3" t="s">
        <v>2813</v>
      </c>
      <c r="P493" s="2" t="s">
        <v>2814</v>
      </c>
      <c r="Q493" s="2" t="s">
        <v>2815</v>
      </c>
      <c r="R493" s="2" t="s">
        <v>32</v>
      </c>
      <c r="S493" s="2" t="s">
        <v>33</v>
      </c>
    </row>
    <row r="494" customFormat="false" ht="15" hidden="false" customHeight="false" outlineLevel="0" collapsed="false">
      <c r="A494" s="0" t="n">
        <v>493</v>
      </c>
      <c r="D494" s="0" t="s">
        <v>2816</v>
      </c>
      <c r="E494" s="0" t="s">
        <v>20</v>
      </c>
      <c r="F494" s="0" t="s">
        <v>2817</v>
      </c>
      <c r="H494" s="0" t="s">
        <v>22</v>
      </c>
      <c r="I494" s="2" t="s">
        <v>23</v>
      </c>
      <c r="J494" s="2" t="s">
        <v>1630</v>
      </c>
      <c r="K494" s="0" t="s">
        <v>1621</v>
      </c>
      <c r="L494" s="0" t="s">
        <v>2791</v>
      </c>
      <c r="M494" s="0" t="s">
        <v>1623</v>
      </c>
      <c r="N494" s="0" t="s">
        <v>1624</v>
      </c>
      <c r="O494" s="3" t="s">
        <v>2818</v>
      </c>
      <c r="P494" s="2" t="s">
        <v>2819</v>
      </c>
      <c r="Q494" s="2" t="s">
        <v>2820</v>
      </c>
      <c r="R494" s="2" t="s">
        <v>32</v>
      </c>
      <c r="S494" s="2" t="s">
        <v>33</v>
      </c>
    </row>
    <row r="495" customFormat="false" ht="15" hidden="false" customHeight="false" outlineLevel="0" collapsed="false">
      <c r="A495" s="0" t="n">
        <v>494</v>
      </c>
      <c r="D495" s="0" t="s">
        <v>2821</v>
      </c>
      <c r="E495" s="0" t="s">
        <v>20</v>
      </c>
      <c r="F495" s="0" t="s">
        <v>2822</v>
      </c>
      <c r="H495" s="0" t="s">
        <v>22</v>
      </c>
      <c r="I495" s="2" t="s">
        <v>23</v>
      </c>
      <c r="J495" s="2" t="s">
        <v>1630</v>
      </c>
      <c r="K495" s="0" t="s">
        <v>1621</v>
      </c>
      <c r="L495" s="0" t="s">
        <v>2791</v>
      </c>
      <c r="M495" s="0" t="s">
        <v>1623</v>
      </c>
      <c r="N495" s="0" t="s">
        <v>1624</v>
      </c>
      <c r="O495" s="3" t="s">
        <v>2823</v>
      </c>
      <c r="P495" s="2" t="s">
        <v>2824</v>
      </c>
      <c r="Q495" s="2" t="s">
        <v>2825</v>
      </c>
      <c r="R495" s="2" t="s">
        <v>32</v>
      </c>
      <c r="S495" s="2" t="s">
        <v>33</v>
      </c>
    </row>
    <row r="496" customFormat="false" ht="15" hidden="false" customHeight="false" outlineLevel="0" collapsed="false">
      <c r="A496" s="0" t="n">
        <v>495</v>
      </c>
      <c r="D496" s="0" t="s">
        <v>2826</v>
      </c>
      <c r="E496" s="0" t="s">
        <v>20</v>
      </c>
      <c r="F496" s="0" t="s">
        <v>2827</v>
      </c>
      <c r="H496" s="0" t="s">
        <v>22</v>
      </c>
      <c r="I496" s="2" t="s">
        <v>23</v>
      </c>
      <c r="J496" s="2" t="s">
        <v>1630</v>
      </c>
      <c r="K496" s="0" t="s">
        <v>1621</v>
      </c>
      <c r="L496" s="0" t="s">
        <v>2791</v>
      </c>
      <c r="M496" s="0" t="s">
        <v>1623</v>
      </c>
      <c r="N496" s="0" t="s">
        <v>1624</v>
      </c>
      <c r="O496" s="3" t="s">
        <v>2828</v>
      </c>
      <c r="P496" s="2" t="s">
        <v>2829</v>
      </c>
      <c r="Q496" s="2" t="s">
        <v>2830</v>
      </c>
      <c r="R496" s="2" t="s">
        <v>32</v>
      </c>
      <c r="S496" s="2" t="s">
        <v>33</v>
      </c>
    </row>
    <row r="497" customFormat="false" ht="15" hidden="false" customHeight="false" outlineLevel="0" collapsed="false">
      <c r="A497" s="0" t="n">
        <v>496</v>
      </c>
      <c r="D497" s="0" t="s">
        <v>2831</v>
      </c>
      <c r="E497" s="0" t="s">
        <v>20</v>
      </c>
      <c r="F497" s="0" t="s">
        <v>2832</v>
      </c>
      <c r="H497" s="0" t="s">
        <v>22</v>
      </c>
      <c r="I497" s="2" t="s">
        <v>23</v>
      </c>
      <c r="J497" s="2" t="s">
        <v>1630</v>
      </c>
      <c r="K497" s="0" t="s">
        <v>1621</v>
      </c>
      <c r="L497" s="0" t="s">
        <v>2791</v>
      </c>
      <c r="M497" s="0" t="s">
        <v>1623</v>
      </c>
      <c r="N497" s="0" t="s">
        <v>1624</v>
      </c>
      <c r="O497" s="3" t="s">
        <v>2833</v>
      </c>
      <c r="P497" s="2" t="s">
        <v>2834</v>
      </c>
      <c r="Q497" s="2" t="s">
        <v>2835</v>
      </c>
      <c r="R497" s="2" t="s">
        <v>32</v>
      </c>
      <c r="S497" s="2" t="s">
        <v>33</v>
      </c>
    </row>
    <row r="498" customFormat="false" ht="15" hidden="false" customHeight="false" outlineLevel="0" collapsed="false">
      <c r="A498" s="0" t="n">
        <v>497</v>
      </c>
      <c r="D498" s="0" t="s">
        <v>2836</v>
      </c>
      <c r="E498" s="0" t="s">
        <v>20</v>
      </c>
      <c r="F498" s="0" t="s">
        <v>2837</v>
      </c>
      <c r="H498" s="0" t="s">
        <v>22</v>
      </c>
      <c r="I498" s="2" t="s">
        <v>23</v>
      </c>
      <c r="J498" s="2" t="s">
        <v>1630</v>
      </c>
      <c r="K498" s="0" t="s">
        <v>1621</v>
      </c>
      <c r="L498" s="0" t="s">
        <v>2791</v>
      </c>
      <c r="M498" s="0" t="s">
        <v>1623</v>
      </c>
      <c r="N498" s="0" t="s">
        <v>1624</v>
      </c>
      <c r="O498" s="3"/>
      <c r="Q498" s="2" t="s">
        <v>2838</v>
      </c>
      <c r="R498" s="2" t="s">
        <v>32</v>
      </c>
      <c r="S498" s="2" t="s">
        <v>33</v>
      </c>
    </row>
    <row r="499" customFormat="false" ht="15" hidden="false" customHeight="false" outlineLevel="0" collapsed="false">
      <c r="A499" s="0" t="n">
        <v>498</v>
      </c>
      <c r="D499" s="0" t="s">
        <v>2839</v>
      </c>
      <c r="E499" s="0" t="s">
        <v>20</v>
      </c>
      <c r="F499" s="0" t="s">
        <v>2840</v>
      </c>
      <c r="H499" s="0" t="s">
        <v>22</v>
      </c>
      <c r="I499" s="2" t="s">
        <v>23</v>
      </c>
      <c r="J499" s="2" t="s">
        <v>1630</v>
      </c>
      <c r="K499" s="0" t="s">
        <v>1621</v>
      </c>
      <c r="L499" s="0" t="s">
        <v>2841</v>
      </c>
      <c r="M499" s="0" t="s">
        <v>2675</v>
      </c>
      <c r="N499" s="0" t="s">
        <v>1624</v>
      </c>
      <c r="O499" s="3" t="s">
        <v>2842</v>
      </c>
      <c r="P499" s="2" t="s">
        <v>2843</v>
      </c>
      <c r="Q499" s="2" t="s">
        <v>2844</v>
      </c>
      <c r="R499" s="2" t="s">
        <v>32</v>
      </c>
      <c r="S499" s="2" t="s">
        <v>33</v>
      </c>
    </row>
    <row r="500" customFormat="false" ht="15" hidden="false" customHeight="false" outlineLevel="0" collapsed="false">
      <c r="A500" s="0" t="n">
        <v>499</v>
      </c>
      <c r="D500" s="0" t="s">
        <v>2845</v>
      </c>
      <c r="E500" s="0" t="s">
        <v>20</v>
      </c>
      <c r="F500" s="0" t="s">
        <v>2846</v>
      </c>
      <c r="H500" s="0" t="s">
        <v>22</v>
      </c>
      <c r="I500" s="2" t="s">
        <v>23</v>
      </c>
      <c r="J500" s="2" t="s">
        <v>1630</v>
      </c>
      <c r="K500" s="0" t="s">
        <v>1621</v>
      </c>
      <c r="L500" s="0" t="s">
        <v>2847</v>
      </c>
      <c r="M500" s="0" t="s">
        <v>2693</v>
      </c>
      <c r="N500" s="0" t="s">
        <v>1624</v>
      </c>
      <c r="O500" s="3" t="s">
        <v>2848</v>
      </c>
      <c r="P500" s="2" t="s">
        <v>2849</v>
      </c>
      <c r="Q500" s="2" t="s">
        <v>2850</v>
      </c>
      <c r="R500" s="2" t="s">
        <v>32</v>
      </c>
      <c r="S500" s="2" t="s">
        <v>33</v>
      </c>
    </row>
    <row r="501" customFormat="false" ht="15" hidden="false" customHeight="false" outlineLevel="0" collapsed="false">
      <c r="A501" s="0" t="n">
        <v>500</v>
      </c>
      <c r="D501" s="0" t="s">
        <v>2851</v>
      </c>
      <c r="E501" s="0" t="s">
        <v>20</v>
      </c>
      <c r="F501" s="0" t="s">
        <v>2852</v>
      </c>
      <c r="H501" s="0" t="s">
        <v>22</v>
      </c>
      <c r="I501" s="2" t="s">
        <v>23</v>
      </c>
      <c r="J501" s="2" t="s">
        <v>1630</v>
      </c>
      <c r="K501" s="0" t="s">
        <v>1621</v>
      </c>
      <c r="L501" s="0" t="s">
        <v>2791</v>
      </c>
      <c r="M501" s="0" t="s">
        <v>1623</v>
      </c>
      <c r="N501" s="0" t="s">
        <v>1624</v>
      </c>
      <c r="O501" s="3" t="s">
        <v>2853</v>
      </c>
      <c r="P501" s="2" t="s">
        <v>2854</v>
      </c>
      <c r="Q501" s="2" t="s">
        <v>2855</v>
      </c>
      <c r="R501" s="2" t="s">
        <v>32</v>
      </c>
      <c r="S501" s="2" t="s">
        <v>33</v>
      </c>
    </row>
    <row r="502" customFormat="false" ht="15" hidden="false" customHeight="false" outlineLevel="0" collapsed="false">
      <c r="A502" s="0" t="n">
        <v>501</v>
      </c>
      <c r="D502" s="0" t="s">
        <v>2856</v>
      </c>
      <c r="E502" s="0" t="s">
        <v>20</v>
      </c>
      <c r="H502" s="0" t="s">
        <v>22</v>
      </c>
      <c r="I502" s="2" t="s">
        <v>23</v>
      </c>
      <c r="J502" s="2" t="s">
        <v>1630</v>
      </c>
      <c r="K502" s="0" t="s">
        <v>1621</v>
      </c>
      <c r="L502" s="0" t="s">
        <v>2791</v>
      </c>
      <c r="M502" s="0" t="s">
        <v>1623</v>
      </c>
      <c r="N502" s="0" t="s">
        <v>1624</v>
      </c>
      <c r="O502" s="3" t="s">
        <v>2857</v>
      </c>
      <c r="P502" s="2" t="s">
        <v>2858</v>
      </c>
      <c r="Q502" s="2" t="s">
        <v>2859</v>
      </c>
      <c r="R502" s="2" t="s">
        <v>32</v>
      </c>
      <c r="S502" s="2" t="s">
        <v>33</v>
      </c>
    </row>
    <row r="503" customFormat="false" ht="15" hidden="false" customHeight="false" outlineLevel="0" collapsed="false">
      <c r="A503" s="0" t="n">
        <v>502</v>
      </c>
      <c r="D503" s="0" t="s">
        <v>2860</v>
      </c>
      <c r="E503" s="0" t="s">
        <v>20</v>
      </c>
      <c r="F503" s="0" t="s">
        <v>2861</v>
      </c>
      <c r="H503" s="0" t="s">
        <v>22</v>
      </c>
      <c r="I503" s="2" t="s">
        <v>23</v>
      </c>
      <c r="J503" s="2" t="s">
        <v>1630</v>
      </c>
      <c r="K503" s="0" t="s">
        <v>1621</v>
      </c>
      <c r="L503" s="0" t="s">
        <v>2791</v>
      </c>
      <c r="M503" s="0" t="s">
        <v>1623</v>
      </c>
      <c r="N503" s="0" t="s">
        <v>1624</v>
      </c>
      <c r="O503" s="3" t="s">
        <v>2862</v>
      </c>
      <c r="P503" s="2" t="s">
        <v>2863</v>
      </c>
      <c r="Q503" s="2" t="s">
        <v>2864</v>
      </c>
      <c r="R503" s="2" t="s">
        <v>32</v>
      </c>
      <c r="S503" s="2" t="s">
        <v>33</v>
      </c>
    </row>
    <row r="504" customFormat="false" ht="15" hidden="false" customHeight="false" outlineLevel="0" collapsed="false">
      <c r="A504" s="0" t="n">
        <v>503</v>
      </c>
      <c r="D504" s="0" t="s">
        <v>2865</v>
      </c>
      <c r="E504" s="0" t="s">
        <v>20</v>
      </c>
      <c r="F504" s="0" t="s">
        <v>2866</v>
      </c>
      <c r="H504" s="0" t="s">
        <v>22</v>
      </c>
      <c r="I504" s="2" t="s">
        <v>23</v>
      </c>
      <c r="J504" s="2" t="s">
        <v>1630</v>
      </c>
      <c r="K504" s="0" t="s">
        <v>1621</v>
      </c>
      <c r="L504" s="0" t="s">
        <v>2791</v>
      </c>
      <c r="M504" s="0" t="s">
        <v>1623</v>
      </c>
      <c r="N504" s="0" t="s">
        <v>1624</v>
      </c>
      <c r="O504" s="3" t="s">
        <v>2867</v>
      </c>
      <c r="P504" s="2" t="s">
        <v>2868</v>
      </c>
      <c r="Q504" s="2" t="s">
        <v>2869</v>
      </c>
      <c r="R504" s="2" t="s">
        <v>32</v>
      </c>
      <c r="S504" s="2" t="s">
        <v>33</v>
      </c>
    </row>
    <row r="505" customFormat="false" ht="15" hidden="false" customHeight="false" outlineLevel="0" collapsed="false">
      <c r="A505" s="0" t="n">
        <v>504</v>
      </c>
      <c r="D505" s="0" t="s">
        <v>2870</v>
      </c>
      <c r="E505" s="0" t="s">
        <v>20</v>
      </c>
      <c r="F505" s="0" t="s">
        <v>2871</v>
      </c>
      <c r="H505" s="0" t="s">
        <v>22</v>
      </c>
      <c r="I505" s="2" t="s">
        <v>23</v>
      </c>
      <c r="J505" s="2" t="s">
        <v>1630</v>
      </c>
      <c r="K505" s="0" t="s">
        <v>1621</v>
      </c>
      <c r="L505" s="0" t="s">
        <v>2791</v>
      </c>
      <c r="M505" s="0" t="s">
        <v>1623</v>
      </c>
      <c r="N505" s="0" t="s">
        <v>1624</v>
      </c>
      <c r="O505" s="3" t="s">
        <v>2872</v>
      </c>
      <c r="P505" s="2" t="s">
        <v>2873</v>
      </c>
      <c r="Q505" s="2" t="s">
        <v>2874</v>
      </c>
      <c r="R505" s="2" t="s">
        <v>32</v>
      </c>
      <c r="S505" s="2" t="s">
        <v>33</v>
      </c>
    </row>
    <row r="506" customFormat="false" ht="15" hidden="false" customHeight="false" outlineLevel="0" collapsed="false">
      <c r="A506" s="0" t="n">
        <v>505</v>
      </c>
      <c r="D506" s="0" t="s">
        <v>2875</v>
      </c>
      <c r="E506" s="0" t="s">
        <v>20</v>
      </c>
      <c r="F506" s="0" t="s">
        <v>2876</v>
      </c>
      <c r="H506" s="0" t="s">
        <v>22</v>
      </c>
      <c r="I506" s="2" t="s">
        <v>23</v>
      </c>
      <c r="J506" s="2" t="s">
        <v>1630</v>
      </c>
      <c r="K506" s="0" t="s">
        <v>1621</v>
      </c>
      <c r="L506" s="0" t="s">
        <v>2791</v>
      </c>
      <c r="M506" s="0" t="s">
        <v>1623</v>
      </c>
      <c r="N506" s="0" t="s">
        <v>1624</v>
      </c>
      <c r="O506" s="3" t="s">
        <v>2877</v>
      </c>
      <c r="P506" s="2" t="s">
        <v>2878</v>
      </c>
      <c r="Q506" s="2" t="s">
        <v>2879</v>
      </c>
      <c r="R506" s="2" t="s">
        <v>32</v>
      </c>
      <c r="S506" s="2" t="s">
        <v>33</v>
      </c>
    </row>
    <row r="507" customFormat="false" ht="15" hidden="false" customHeight="false" outlineLevel="0" collapsed="false">
      <c r="A507" s="0" t="n">
        <v>506</v>
      </c>
      <c r="D507" s="0" t="s">
        <v>2880</v>
      </c>
      <c r="E507" s="0" t="s">
        <v>20</v>
      </c>
      <c r="F507" s="0" t="s">
        <v>2881</v>
      </c>
      <c r="H507" s="0" t="s">
        <v>22</v>
      </c>
      <c r="I507" s="2" t="s">
        <v>23</v>
      </c>
      <c r="J507" s="2" t="s">
        <v>1630</v>
      </c>
      <c r="K507" s="0" t="s">
        <v>1621</v>
      </c>
      <c r="L507" s="0" t="s">
        <v>2791</v>
      </c>
      <c r="M507" s="0" t="s">
        <v>1623</v>
      </c>
      <c r="N507" s="0" t="s">
        <v>1624</v>
      </c>
      <c r="O507" s="3" t="s">
        <v>2882</v>
      </c>
      <c r="P507" s="2" t="s">
        <v>2883</v>
      </c>
      <c r="Q507" s="2" t="s">
        <v>2884</v>
      </c>
      <c r="R507" s="2" t="s">
        <v>48</v>
      </c>
      <c r="S507" s="2" t="s">
        <v>33</v>
      </c>
    </row>
    <row r="508" customFormat="false" ht="15" hidden="false" customHeight="false" outlineLevel="0" collapsed="false">
      <c r="A508" s="0" t="n">
        <v>507</v>
      </c>
      <c r="D508" s="0" t="s">
        <v>2885</v>
      </c>
      <c r="E508" s="0" t="s">
        <v>20</v>
      </c>
      <c r="F508" s="0" t="s">
        <v>2886</v>
      </c>
      <c r="H508" s="0" t="s">
        <v>22</v>
      </c>
      <c r="I508" s="2" t="s">
        <v>23</v>
      </c>
      <c r="J508" s="2" t="s">
        <v>1630</v>
      </c>
      <c r="K508" s="0" t="s">
        <v>1621</v>
      </c>
      <c r="L508" s="0" t="s">
        <v>2791</v>
      </c>
      <c r="M508" s="0" t="s">
        <v>1623</v>
      </c>
      <c r="N508" s="0" t="s">
        <v>1624</v>
      </c>
      <c r="O508" s="3" t="s">
        <v>2887</v>
      </c>
      <c r="P508" s="2" t="s">
        <v>2888</v>
      </c>
      <c r="Q508" s="2" t="s">
        <v>2889</v>
      </c>
      <c r="R508" s="2" t="s">
        <v>32</v>
      </c>
      <c r="S508" s="2" t="s">
        <v>33</v>
      </c>
    </row>
    <row r="509" customFormat="false" ht="15" hidden="false" customHeight="false" outlineLevel="0" collapsed="false">
      <c r="A509" s="0" t="n">
        <v>508</v>
      </c>
      <c r="D509" s="0" t="s">
        <v>2890</v>
      </c>
      <c r="E509" s="0" t="s">
        <v>20</v>
      </c>
      <c r="F509" s="0" t="s">
        <v>2891</v>
      </c>
      <c r="H509" s="0" t="s">
        <v>22</v>
      </c>
      <c r="I509" s="2" t="s">
        <v>23</v>
      </c>
      <c r="J509" s="2" t="s">
        <v>1630</v>
      </c>
      <c r="K509" s="0" t="s">
        <v>1621</v>
      </c>
      <c r="L509" s="0" t="s">
        <v>1709</v>
      </c>
      <c r="M509" s="0" t="s">
        <v>1623</v>
      </c>
      <c r="N509" s="0" t="s">
        <v>1624</v>
      </c>
      <c r="O509" s="3" t="s">
        <v>2892</v>
      </c>
      <c r="P509" s="2" t="s">
        <v>2893</v>
      </c>
      <c r="Q509" s="2" t="s">
        <v>2894</v>
      </c>
      <c r="R509" s="2" t="s">
        <v>48</v>
      </c>
      <c r="S509" s="2" t="s">
        <v>33</v>
      </c>
    </row>
    <row r="510" customFormat="false" ht="15" hidden="false" customHeight="false" outlineLevel="0" collapsed="false">
      <c r="A510" s="0" t="n">
        <v>509</v>
      </c>
      <c r="D510" s="0" t="s">
        <v>2895</v>
      </c>
      <c r="E510" s="0" t="s">
        <v>20</v>
      </c>
      <c r="F510" s="0" t="s">
        <v>2896</v>
      </c>
      <c r="H510" s="0" t="s">
        <v>22</v>
      </c>
      <c r="I510" s="2" t="s">
        <v>23</v>
      </c>
      <c r="J510" s="2" t="s">
        <v>1630</v>
      </c>
      <c r="K510" s="0" t="s">
        <v>1621</v>
      </c>
      <c r="L510" s="0" t="s">
        <v>1709</v>
      </c>
      <c r="M510" s="0" t="s">
        <v>1623</v>
      </c>
      <c r="N510" s="0" t="s">
        <v>1624</v>
      </c>
      <c r="O510" s="3" t="s">
        <v>2897</v>
      </c>
      <c r="Q510" s="2" t="s">
        <v>2898</v>
      </c>
      <c r="R510" s="2" t="s">
        <v>32</v>
      </c>
      <c r="S510" s="2" t="s">
        <v>33</v>
      </c>
    </row>
    <row r="511" customFormat="false" ht="15" hidden="false" customHeight="false" outlineLevel="0" collapsed="false">
      <c r="A511" s="0" t="n">
        <v>510</v>
      </c>
      <c r="D511" s="0" t="s">
        <v>2899</v>
      </c>
      <c r="E511" s="0" t="s">
        <v>20</v>
      </c>
      <c r="F511" s="0" t="s">
        <v>2900</v>
      </c>
      <c r="H511" s="0" t="s">
        <v>22</v>
      </c>
      <c r="I511" s="2" t="s">
        <v>23</v>
      </c>
      <c r="J511" s="2" t="s">
        <v>1630</v>
      </c>
      <c r="K511" s="0" t="s">
        <v>1621</v>
      </c>
      <c r="L511" s="0" t="s">
        <v>1709</v>
      </c>
      <c r="M511" s="0" t="s">
        <v>1623</v>
      </c>
      <c r="N511" s="0" t="s">
        <v>1624</v>
      </c>
      <c r="O511" s="3" t="s">
        <v>2901</v>
      </c>
      <c r="P511" s="2" t="s">
        <v>2902</v>
      </c>
      <c r="Q511" s="2" t="s">
        <v>2903</v>
      </c>
      <c r="R511" s="2" t="s">
        <v>32</v>
      </c>
      <c r="S511" s="2" t="s">
        <v>33</v>
      </c>
    </row>
    <row r="512" customFormat="false" ht="15" hidden="false" customHeight="false" outlineLevel="0" collapsed="false">
      <c r="A512" s="0" t="n">
        <v>511</v>
      </c>
      <c r="D512" s="0" t="s">
        <v>2904</v>
      </c>
      <c r="E512" s="0" t="s">
        <v>20</v>
      </c>
      <c r="F512" s="0" t="s">
        <v>2905</v>
      </c>
      <c r="H512" s="0" t="s">
        <v>22</v>
      </c>
      <c r="I512" s="2" t="s">
        <v>23</v>
      </c>
      <c r="J512" s="2" t="s">
        <v>1630</v>
      </c>
      <c r="K512" s="0" t="s">
        <v>1621</v>
      </c>
      <c r="L512" s="0" t="s">
        <v>1709</v>
      </c>
      <c r="M512" s="0" t="s">
        <v>1623</v>
      </c>
      <c r="N512" s="0" t="s">
        <v>1624</v>
      </c>
      <c r="O512" s="3" t="s">
        <v>2906</v>
      </c>
      <c r="P512" s="2" t="s">
        <v>2907</v>
      </c>
      <c r="Q512" s="2" t="s">
        <v>2908</v>
      </c>
      <c r="R512" s="2" t="s">
        <v>32</v>
      </c>
      <c r="S512" s="2" t="s">
        <v>33</v>
      </c>
    </row>
    <row r="513" customFormat="false" ht="15" hidden="false" customHeight="false" outlineLevel="0" collapsed="false">
      <c r="A513" s="0" t="n">
        <v>512</v>
      </c>
      <c r="D513" s="0" t="s">
        <v>2909</v>
      </c>
      <c r="E513" s="0" t="s">
        <v>20</v>
      </c>
      <c r="F513" s="0" t="s">
        <v>2910</v>
      </c>
      <c r="H513" s="0" t="s">
        <v>22</v>
      </c>
      <c r="I513" s="2" t="s">
        <v>23</v>
      </c>
      <c r="J513" s="2" t="s">
        <v>2911</v>
      </c>
      <c r="K513" s="0" t="s">
        <v>2912</v>
      </c>
      <c r="L513" s="0" t="s">
        <v>1031</v>
      </c>
      <c r="M513" s="0" t="s">
        <v>2913</v>
      </c>
      <c r="N513" s="0" t="s">
        <v>2914</v>
      </c>
      <c r="O513" s="3" t="s">
        <v>2915</v>
      </c>
      <c r="P513" s="2" t="s">
        <v>2916</v>
      </c>
      <c r="Q513" s="2" t="s">
        <v>2917</v>
      </c>
      <c r="R513" s="2" t="s">
        <v>32</v>
      </c>
      <c r="S513" s="2" t="s">
        <v>33</v>
      </c>
    </row>
    <row r="514" customFormat="false" ht="15" hidden="false" customHeight="false" outlineLevel="0" collapsed="false">
      <c r="A514" s="0" t="n">
        <v>513</v>
      </c>
      <c r="D514" s="0" t="s">
        <v>2918</v>
      </c>
      <c r="E514" s="0" t="s">
        <v>20</v>
      </c>
      <c r="F514" s="0" t="s">
        <v>2919</v>
      </c>
      <c r="H514" s="0" t="s">
        <v>22</v>
      </c>
      <c r="I514" s="2" t="s">
        <v>23</v>
      </c>
      <c r="J514" s="2" t="s">
        <v>2911</v>
      </c>
      <c r="K514" s="0" t="s">
        <v>2912</v>
      </c>
      <c r="L514" s="0" t="s">
        <v>77</v>
      </c>
      <c r="M514" s="0" t="s">
        <v>2920</v>
      </c>
      <c r="N514" s="0" t="s">
        <v>2914</v>
      </c>
      <c r="O514" s="3" t="s">
        <v>2921</v>
      </c>
      <c r="P514" s="2" t="s">
        <v>2922</v>
      </c>
      <c r="Q514" s="2" t="s">
        <v>2923</v>
      </c>
      <c r="R514" s="2" t="s">
        <v>32</v>
      </c>
      <c r="S514" s="2" t="s">
        <v>33</v>
      </c>
    </row>
    <row r="515" customFormat="false" ht="15" hidden="false" customHeight="false" outlineLevel="0" collapsed="false">
      <c r="A515" s="0" t="n">
        <v>514</v>
      </c>
      <c r="D515" s="0" t="s">
        <v>2924</v>
      </c>
      <c r="E515" s="0" t="s">
        <v>20</v>
      </c>
      <c r="F515" s="0" t="s">
        <v>2925</v>
      </c>
      <c r="H515" s="0" t="s">
        <v>22</v>
      </c>
      <c r="I515" s="2" t="s">
        <v>23</v>
      </c>
      <c r="J515" s="2" t="s">
        <v>2911</v>
      </c>
      <c r="K515" s="0" t="s">
        <v>2912</v>
      </c>
      <c r="L515" s="0" t="s">
        <v>2926</v>
      </c>
      <c r="M515" s="0" t="s">
        <v>2927</v>
      </c>
      <c r="N515" s="0" t="s">
        <v>2914</v>
      </c>
      <c r="O515" s="3" t="s">
        <v>2928</v>
      </c>
      <c r="P515" s="2" t="s">
        <v>2929</v>
      </c>
      <c r="Q515" s="2" t="s">
        <v>2930</v>
      </c>
      <c r="R515" s="2" t="s">
        <v>32</v>
      </c>
      <c r="S515" s="2" t="s">
        <v>33</v>
      </c>
    </row>
    <row r="516" customFormat="false" ht="15" hidden="false" customHeight="false" outlineLevel="0" collapsed="false">
      <c r="A516" s="0" t="n">
        <v>515</v>
      </c>
      <c r="D516" s="0" t="s">
        <v>2931</v>
      </c>
      <c r="E516" s="0" t="s">
        <v>20</v>
      </c>
      <c r="F516" s="0" t="s">
        <v>2932</v>
      </c>
      <c r="H516" s="0" t="s">
        <v>22</v>
      </c>
      <c r="I516" s="2" t="s">
        <v>23</v>
      </c>
      <c r="J516" s="2" t="s">
        <v>2911</v>
      </c>
      <c r="K516" s="0" t="s">
        <v>2912</v>
      </c>
      <c r="L516" s="0" t="s">
        <v>2926</v>
      </c>
      <c r="M516" s="0" t="s">
        <v>2927</v>
      </c>
      <c r="N516" s="0" t="s">
        <v>2914</v>
      </c>
      <c r="O516" s="3" t="s">
        <v>2933</v>
      </c>
      <c r="P516" s="2" t="s">
        <v>2934</v>
      </c>
      <c r="Q516" s="2" t="s">
        <v>2935</v>
      </c>
      <c r="R516" s="2" t="s">
        <v>32</v>
      </c>
      <c r="S516" s="2" t="s">
        <v>33</v>
      </c>
    </row>
    <row r="517" customFormat="false" ht="15" hidden="false" customHeight="false" outlineLevel="0" collapsed="false">
      <c r="A517" s="0" t="n">
        <v>516</v>
      </c>
      <c r="D517" s="0" t="s">
        <v>2936</v>
      </c>
      <c r="E517" s="0" t="s">
        <v>20</v>
      </c>
      <c r="F517" s="0" t="s">
        <v>2937</v>
      </c>
      <c r="H517" s="0" t="s">
        <v>22</v>
      </c>
      <c r="I517" s="2" t="s">
        <v>23</v>
      </c>
      <c r="J517" s="2" t="s">
        <v>2911</v>
      </c>
      <c r="K517" s="0" t="s">
        <v>2912</v>
      </c>
      <c r="L517" s="0" t="s">
        <v>1668</v>
      </c>
      <c r="M517" s="0" t="s">
        <v>2938</v>
      </c>
      <c r="N517" s="0" t="s">
        <v>2914</v>
      </c>
      <c r="O517" s="3" t="s">
        <v>2939</v>
      </c>
      <c r="P517" s="2" t="s">
        <v>2940</v>
      </c>
      <c r="Q517" s="2" t="s">
        <v>2941</v>
      </c>
      <c r="R517" s="2" t="s">
        <v>99</v>
      </c>
      <c r="S517" s="2" t="s">
        <v>33</v>
      </c>
    </row>
    <row r="518" customFormat="false" ht="15" hidden="false" customHeight="false" outlineLevel="0" collapsed="false">
      <c r="A518" s="0" t="n">
        <v>517</v>
      </c>
      <c r="D518" s="0" t="s">
        <v>2942</v>
      </c>
      <c r="E518" s="0" t="s">
        <v>20</v>
      </c>
      <c r="F518" s="0" t="s">
        <v>2943</v>
      </c>
      <c r="H518" s="0" t="s">
        <v>22</v>
      </c>
      <c r="I518" s="2" t="s">
        <v>23</v>
      </c>
      <c r="J518" s="2" t="s">
        <v>2911</v>
      </c>
      <c r="K518" s="0" t="s">
        <v>2912</v>
      </c>
      <c r="L518" s="0" t="s">
        <v>2926</v>
      </c>
      <c r="M518" s="0" t="s">
        <v>2927</v>
      </c>
      <c r="N518" s="0" t="s">
        <v>2914</v>
      </c>
      <c r="O518" s="3" t="s">
        <v>2944</v>
      </c>
      <c r="P518" s="2" t="s">
        <v>2945</v>
      </c>
      <c r="Q518" s="2" t="s">
        <v>2946</v>
      </c>
      <c r="R518" s="2" t="s">
        <v>32</v>
      </c>
      <c r="S518" s="2" t="s">
        <v>33</v>
      </c>
    </row>
    <row r="519" customFormat="false" ht="15" hidden="false" customHeight="false" outlineLevel="0" collapsed="false">
      <c r="A519" s="0" t="n">
        <v>518</v>
      </c>
      <c r="D519" s="0" t="s">
        <v>2947</v>
      </c>
      <c r="E519" s="0" t="s">
        <v>20</v>
      </c>
      <c r="F519" s="0" t="s">
        <v>2948</v>
      </c>
      <c r="H519" s="0" t="s">
        <v>22</v>
      </c>
      <c r="I519" s="2" t="s">
        <v>23</v>
      </c>
      <c r="J519" s="2" t="s">
        <v>2911</v>
      </c>
      <c r="K519" s="0" t="s">
        <v>2912</v>
      </c>
      <c r="L519" s="0" t="s">
        <v>2926</v>
      </c>
      <c r="M519" s="0" t="s">
        <v>2927</v>
      </c>
      <c r="N519" s="0" t="s">
        <v>2914</v>
      </c>
      <c r="O519" s="3" t="s">
        <v>2949</v>
      </c>
      <c r="P519" s="2" t="s">
        <v>2950</v>
      </c>
      <c r="Q519" s="2" t="s">
        <v>2951</v>
      </c>
      <c r="R519" s="2" t="s">
        <v>32</v>
      </c>
      <c r="S519" s="2" t="s">
        <v>33</v>
      </c>
    </row>
    <row r="520" customFormat="false" ht="15" hidden="false" customHeight="false" outlineLevel="0" collapsed="false">
      <c r="A520" s="0" t="n">
        <v>519</v>
      </c>
      <c r="D520" s="0" t="s">
        <v>2952</v>
      </c>
      <c r="E520" s="0" t="s">
        <v>20</v>
      </c>
      <c r="F520" s="0" t="s">
        <v>2953</v>
      </c>
      <c r="H520" s="0" t="s">
        <v>22</v>
      </c>
      <c r="I520" s="2" t="s">
        <v>23</v>
      </c>
      <c r="J520" s="2" t="s">
        <v>2911</v>
      </c>
      <c r="K520" s="0" t="s">
        <v>2912</v>
      </c>
      <c r="L520" s="0" t="s">
        <v>757</v>
      </c>
      <c r="M520" s="0" t="s">
        <v>2954</v>
      </c>
      <c r="N520" s="0" t="s">
        <v>2914</v>
      </c>
      <c r="O520" s="3" t="s">
        <v>2955</v>
      </c>
      <c r="P520" s="2" t="s">
        <v>2956</v>
      </c>
      <c r="Q520" s="2" t="s">
        <v>2957</v>
      </c>
      <c r="R520" s="2" t="s">
        <v>99</v>
      </c>
      <c r="S520" s="2" t="s">
        <v>33</v>
      </c>
    </row>
    <row r="521" customFormat="false" ht="15" hidden="false" customHeight="false" outlineLevel="0" collapsed="false">
      <c r="A521" s="0" t="n">
        <v>520</v>
      </c>
      <c r="D521" s="0" t="s">
        <v>2958</v>
      </c>
      <c r="E521" s="0" t="s">
        <v>20</v>
      </c>
      <c r="F521" s="0" t="s">
        <v>2959</v>
      </c>
      <c r="H521" s="0" t="s">
        <v>22</v>
      </c>
      <c r="I521" s="2" t="s">
        <v>23</v>
      </c>
      <c r="J521" s="2" t="s">
        <v>2911</v>
      </c>
      <c r="K521" s="0" t="s">
        <v>2912</v>
      </c>
      <c r="L521" s="0" t="s">
        <v>1031</v>
      </c>
      <c r="M521" s="0" t="s">
        <v>2913</v>
      </c>
      <c r="N521" s="0" t="s">
        <v>2914</v>
      </c>
      <c r="O521" s="3" t="s">
        <v>2960</v>
      </c>
      <c r="P521" s="2" t="s">
        <v>2961</v>
      </c>
      <c r="Q521" s="2" t="s">
        <v>2962</v>
      </c>
      <c r="R521" s="2" t="s">
        <v>32</v>
      </c>
      <c r="S521" s="2" t="s">
        <v>33</v>
      </c>
    </row>
    <row r="522" customFormat="false" ht="15" hidden="false" customHeight="false" outlineLevel="0" collapsed="false">
      <c r="A522" s="0" t="n">
        <v>521</v>
      </c>
      <c r="D522" s="0" t="s">
        <v>2963</v>
      </c>
      <c r="E522" s="0" t="s">
        <v>20</v>
      </c>
      <c r="F522" s="0" t="s">
        <v>2964</v>
      </c>
      <c r="H522" s="0" t="s">
        <v>22</v>
      </c>
      <c r="I522" s="2" t="s">
        <v>23</v>
      </c>
      <c r="J522" s="2" t="s">
        <v>2911</v>
      </c>
      <c r="K522" s="0" t="s">
        <v>2912</v>
      </c>
      <c r="L522" s="0" t="s">
        <v>757</v>
      </c>
      <c r="M522" s="0" t="s">
        <v>2965</v>
      </c>
      <c r="N522" s="0" t="s">
        <v>2914</v>
      </c>
      <c r="O522" s="3" t="s">
        <v>2966</v>
      </c>
      <c r="P522" s="2" t="s">
        <v>2967</v>
      </c>
      <c r="Q522" s="2" t="s">
        <v>2968</v>
      </c>
      <c r="R522" s="2" t="s">
        <v>32</v>
      </c>
      <c r="S522" s="2" t="s">
        <v>33</v>
      </c>
    </row>
    <row r="523" customFormat="false" ht="15" hidden="false" customHeight="false" outlineLevel="0" collapsed="false">
      <c r="A523" s="0" t="n">
        <v>522</v>
      </c>
      <c r="D523" s="0" t="s">
        <v>2969</v>
      </c>
      <c r="E523" s="0" t="s">
        <v>20</v>
      </c>
      <c r="F523" s="0" t="s">
        <v>2970</v>
      </c>
      <c r="H523" s="0" t="s">
        <v>22</v>
      </c>
      <c r="I523" s="2" t="s">
        <v>23</v>
      </c>
      <c r="J523" s="2" t="s">
        <v>2911</v>
      </c>
      <c r="K523" s="0" t="s">
        <v>2912</v>
      </c>
      <c r="L523" s="0" t="s">
        <v>77</v>
      </c>
      <c r="M523" s="0" t="s">
        <v>2920</v>
      </c>
      <c r="N523" s="0" t="s">
        <v>2914</v>
      </c>
      <c r="O523" s="3"/>
      <c r="P523" s="2" t="s">
        <v>2971</v>
      </c>
      <c r="Q523" s="2" t="s">
        <v>2972</v>
      </c>
      <c r="R523" s="2" t="s">
        <v>99</v>
      </c>
      <c r="S523" s="2" t="s">
        <v>33</v>
      </c>
    </row>
    <row r="524" customFormat="false" ht="15" hidden="false" customHeight="false" outlineLevel="0" collapsed="false">
      <c r="A524" s="0" t="n">
        <v>523</v>
      </c>
      <c r="D524" s="0" t="s">
        <v>2973</v>
      </c>
      <c r="E524" s="0" t="s">
        <v>20</v>
      </c>
      <c r="F524" s="0" t="s">
        <v>2974</v>
      </c>
      <c r="H524" s="0" t="s">
        <v>22</v>
      </c>
      <c r="I524" s="2" t="s">
        <v>23</v>
      </c>
      <c r="J524" s="2" t="s">
        <v>2911</v>
      </c>
      <c r="K524" s="0" t="s">
        <v>2912</v>
      </c>
      <c r="L524" s="0" t="s">
        <v>2111</v>
      </c>
      <c r="M524" s="0" t="s">
        <v>2975</v>
      </c>
      <c r="N524" s="0" t="s">
        <v>2914</v>
      </c>
      <c r="O524" s="3" t="s">
        <v>2976</v>
      </c>
      <c r="P524" s="2" t="s">
        <v>2977</v>
      </c>
      <c r="Q524" s="2" t="s">
        <v>2978</v>
      </c>
      <c r="R524" s="2" t="s">
        <v>32</v>
      </c>
      <c r="S524" s="2" t="s">
        <v>33</v>
      </c>
    </row>
    <row r="525" customFormat="false" ht="15" hidden="false" customHeight="false" outlineLevel="0" collapsed="false">
      <c r="A525" s="0" t="n">
        <v>524</v>
      </c>
      <c r="D525" s="0" t="s">
        <v>2979</v>
      </c>
      <c r="E525" s="0" t="s">
        <v>20</v>
      </c>
      <c r="F525" s="0" t="s">
        <v>2980</v>
      </c>
      <c r="H525" s="0" t="s">
        <v>22</v>
      </c>
      <c r="I525" s="2" t="s">
        <v>23</v>
      </c>
      <c r="J525" s="2" t="s">
        <v>2911</v>
      </c>
      <c r="K525" s="0" t="s">
        <v>2912</v>
      </c>
      <c r="L525" s="0" t="s">
        <v>2981</v>
      </c>
      <c r="M525" s="0" t="s">
        <v>2982</v>
      </c>
      <c r="N525" s="0" t="s">
        <v>2914</v>
      </c>
      <c r="O525" s="3" t="s">
        <v>2983</v>
      </c>
      <c r="P525" s="2" t="s">
        <v>2984</v>
      </c>
      <c r="Q525" s="2" t="s">
        <v>2985</v>
      </c>
      <c r="R525" s="2" t="s">
        <v>32</v>
      </c>
      <c r="S525" s="2" t="s">
        <v>33</v>
      </c>
    </row>
    <row r="526" customFormat="false" ht="15" hidden="false" customHeight="false" outlineLevel="0" collapsed="false">
      <c r="A526" s="0" t="n">
        <v>525</v>
      </c>
      <c r="D526" s="0" t="s">
        <v>2986</v>
      </c>
      <c r="E526" s="0" t="s">
        <v>20</v>
      </c>
      <c r="H526" s="0" t="s">
        <v>22</v>
      </c>
      <c r="I526" s="2" t="s">
        <v>23</v>
      </c>
      <c r="J526" s="2" t="s">
        <v>2911</v>
      </c>
      <c r="K526" s="0" t="s">
        <v>2912</v>
      </c>
      <c r="L526" s="0" t="s">
        <v>483</v>
      </c>
      <c r="M526" s="0" t="s">
        <v>2987</v>
      </c>
      <c r="N526" s="0" t="s">
        <v>2914</v>
      </c>
      <c r="O526" s="3" t="s">
        <v>2988</v>
      </c>
      <c r="P526" s="2" t="s">
        <v>2989</v>
      </c>
      <c r="Q526" s="2" t="s">
        <v>2990</v>
      </c>
      <c r="R526" s="2" t="s">
        <v>32</v>
      </c>
      <c r="S526" s="2" t="s">
        <v>33</v>
      </c>
    </row>
    <row r="527" customFormat="false" ht="15" hidden="false" customHeight="false" outlineLevel="0" collapsed="false">
      <c r="A527" s="0" t="n">
        <v>526</v>
      </c>
      <c r="D527" s="0" t="s">
        <v>2991</v>
      </c>
      <c r="E527" s="0" t="s">
        <v>20</v>
      </c>
      <c r="F527" s="0" t="s">
        <v>2992</v>
      </c>
      <c r="H527" s="0" t="s">
        <v>22</v>
      </c>
      <c r="I527" s="2" t="s">
        <v>23</v>
      </c>
      <c r="J527" s="2" t="s">
        <v>2911</v>
      </c>
      <c r="K527" s="0" t="s">
        <v>2912</v>
      </c>
      <c r="L527" s="0" t="s">
        <v>102</v>
      </c>
      <c r="M527" s="0" t="s">
        <v>2993</v>
      </c>
      <c r="N527" s="0" t="s">
        <v>2914</v>
      </c>
      <c r="O527" s="3" t="s">
        <v>2994</v>
      </c>
      <c r="P527" s="2" t="s">
        <v>2995</v>
      </c>
      <c r="Q527" s="2" t="s">
        <v>2996</v>
      </c>
      <c r="R527" s="2" t="s">
        <v>32</v>
      </c>
      <c r="S527" s="2" t="s">
        <v>33</v>
      </c>
    </row>
    <row r="528" customFormat="false" ht="15" hidden="false" customHeight="false" outlineLevel="0" collapsed="false">
      <c r="A528" s="0" t="n">
        <v>527</v>
      </c>
      <c r="D528" s="0" t="s">
        <v>2997</v>
      </c>
      <c r="E528" s="0" t="s">
        <v>20</v>
      </c>
      <c r="F528" s="0" t="s">
        <v>2998</v>
      </c>
      <c r="H528" s="0" t="s">
        <v>22</v>
      </c>
      <c r="I528" s="2" t="s">
        <v>23</v>
      </c>
      <c r="J528" s="2" t="s">
        <v>2911</v>
      </c>
      <c r="K528" s="0" t="s">
        <v>2912</v>
      </c>
      <c r="L528" s="0" t="s">
        <v>2999</v>
      </c>
      <c r="M528" s="0" t="s">
        <v>3000</v>
      </c>
      <c r="N528" s="0" t="s">
        <v>2914</v>
      </c>
      <c r="O528" s="3" t="s">
        <v>3001</v>
      </c>
      <c r="P528" s="2" t="s">
        <v>3002</v>
      </c>
      <c r="Q528" s="2" t="s">
        <v>3003</v>
      </c>
      <c r="R528" s="2" t="s">
        <v>32</v>
      </c>
      <c r="S528" s="2" t="s">
        <v>33</v>
      </c>
    </row>
    <row r="529" customFormat="false" ht="15" hidden="false" customHeight="false" outlineLevel="0" collapsed="false">
      <c r="A529" s="0" t="n">
        <v>528</v>
      </c>
      <c r="D529" s="0" t="s">
        <v>3004</v>
      </c>
      <c r="E529" s="0" t="s">
        <v>20</v>
      </c>
      <c r="F529" s="0" t="s">
        <v>3005</v>
      </c>
      <c r="H529" s="0" t="s">
        <v>22</v>
      </c>
      <c r="I529" s="2" t="s">
        <v>23</v>
      </c>
      <c r="J529" s="2" t="s">
        <v>2911</v>
      </c>
      <c r="K529" s="0" t="s">
        <v>2912</v>
      </c>
      <c r="L529" s="0" t="s">
        <v>2593</v>
      </c>
      <c r="M529" s="0" t="s">
        <v>3000</v>
      </c>
      <c r="N529" s="0" t="s">
        <v>2914</v>
      </c>
      <c r="O529" s="3" t="s">
        <v>3006</v>
      </c>
      <c r="P529" s="2" t="s">
        <v>3007</v>
      </c>
      <c r="Q529" s="2" t="s">
        <v>3008</v>
      </c>
      <c r="R529" s="2" t="s">
        <v>32</v>
      </c>
      <c r="S529" s="2" t="s">
        <v>33</v>
      </c>
    </row>
    <row r="530" customFormat="false" ht="15" hidden="false" customHeight="false" outlineLevel="0" collapsed="false">
      <c r="A530" s="0" t="n">
        <v>529</v>
      </c>
      <c r="D530" s="0" t="s">
        <v>3009</v>
      </c>
      <c r="E530" s="0" t="s">
        <v>20</v>
      </c>
      <c r="F530" s="0" t="s">
        <v>3010</v>
      </c>
      <c r="H530" s="0" t="s">
        <v>22</v>
      </c>
      <c r="I530" s="2" t="s">
        <v>23</v>
      </c>
      <c r="J530" s="2" t="s">
        <v>2911</v>
      </c>
      <c r="K530" s="0" t="s">
        <v>2912</v>
      </c>
      <c r="L530" s="0" t="s">
        <v>3011</v>
      </c>
      <c r="M530" s="0" t="s">
        <v>3012</v>
      </c>
      <c r="N530" s="0" t="s">
        <v>2914</v>
      </c>
      <c r="O530" s="3" t="s">
        <v>3013</v>
      </c>
      <c r="P530" s="2" t="s">
        <v>3014</v>
      </c>
      <c r="Q530" s="2" t="s">
        <v>3015</v>
      </c>
      <c r="R530" s="2" t="s">
        <v>32</v>
      </c>
      <c r="S530" s="2" t="s">
        <v>33</v>
      </c>
    </row>
    <row r="531" customFormat="false" ht="15" hidden="false" customHeight="false" outlineLevel="0" collapsed="false">
      <c r="A531" s="0" t="n">
        <v>530</v>
      </c>
      <c r="D531" s="0" t="s">
        <v>3016</v>
      </c>
      <c r="E531" s="0" t="s">
        <v>20</v>
      </c>
      <c r="F531" s="0" t="s">
        <v>3017</v>
      </c>
      <c r="H531" s="0" t="s">
        <v>22</v>
      </c>
      <c r="I531" s="2" t="s">
        <v>23</v>
      </c>
      <c r="J531" s="2" t="s">
        <v>2911</v>
      </c>
      <c r="K531" s="0" t="s">
        <v>2912</v>
      </c>
      <c r="L531" s="0" t="s">
        <v>2926</v>
      </c>
      <c r="M531" s="0" t="s">
        <v>2927</v>
      </c>
      <c r="N531" s="0" t="s">
        <v>2914</v>
      </c>
      <c r="O531" s="3" t="s">
        <v>3018</v>
      </c>
      <c r="P531" s="2" t="s">
        <v>3019</v>
      </c>
      <c r="Q531" s="2" t="s">
        <v>3020</v>
      </c>
      <c r="R531" s="2" t="s">
        <v>32</v>
      </c>
      <c r="S531" s="2" t="s">
        <v>33</v>
      </c>
    </row>
    <row r="532" customFormat="false" ht="15" hidden="false" customHeight="false" outlineLevel="0" collapsed="false">
      <c r="A532" s="0" t="n">
        <v>531</v>
      </c>
      <c r="D532" s="0" t="s">
        <v>3021</v>
      </c>
      <c r="E532" s="0" t="s">
        <v>20</v>
      </c>
      <c r="F532" s="0" t="s">
        <v>3022</v>
      </c>
      <c r="H532" s="0" t="s">
        <v>22</v>
      </c>
      <c r="I532" s="2" t="s">
        <v>23</v>
      </c>
      <c r="J532" s="2" t="s">
        <v>2911</v>
      </c>
      <c r="K532" s="0" t="s">
        <v>2912</v>
      </c>
      <c r="L532" s="0" t="s">
        <v>2926</v>
      </c>
      <c r="M532" s="0" t="s">
        <v>2927</v>
      </c>
      <c r="N532" s="0" t="s">
        <v>2914</v>
      </c>
      <c r="O532" s="3" t="s">
        <v>3023</v>
      </c>
      <c r="P532" s="2" t="s">
        <v>3024</v>
      </c>
      <c r="Q532" s="2" t="s">
        <v>3025</v>
      </c>
      <c r="R532" s="2" t="s">
        <v>32</v>
      </c>
      <c r="S532" s="2" t="s">
        <v>33</v>
      </c>
    </row>
    <row r="533" customFormat="false" ht="15" hidden="false" customHeight="false" outlineLevel="0" collapsed="false">
      <c r="A533" s="0" t="n">
        <v>532</v>
      </c>
      <c r="D533" s="0" t="s">
        <v>3026</v>
      </c>
      <c r="E533" s="0" t="s">
        <v>20</v>
      </c>
      <c r="F533" s="0" t="s">
        <v>3027</v>
      </c>
      <c r="H533" s="0" t="s">
        <v>22</v>
      </c>
      <c r="I533" s="2" t="s">
        <v>23</v>
      </c>
      <c r="J533" s="2" t="s">
        <v>2911</v>
      </c>
      <c r="K533" s="0" t="s">
        <v>2912</v>
      </c>
      <c r="L533" s="0" t="s">
        <v>2926</v>
      </c>
      <c r="M533" s="0" t="s">
        <v>2927</v>
      </c>
      <c r="N533" s="0" t="s">
        <v>2914</v>
      </c>
      <c r="O533" s="3" t="s">
        <v>3028</v>
      </c>
      <c r="P533" s="2" t="s">
        <v>3029</v>
      </c>
      <c r="Q533" s="2" t="s">
        <v>3030</v>
      </c>
      <c r="R533" s="2" t="s">
        <v>99</v>
      </c>
      <c r="S533" s="2" t="s">
        <v>33</v>
      </c>
    </row>
    <row r="534" customFormat="false" ht="15" hidden="false" customHeight="false" outlineLevel="0" collapsed="false">
      <c r="A534" s="0" t="n">
        <v>533</v>
      </c>
      <c r="D534" s="0" t="s">
        <v>3031</v>
      </c>
      <c r="E534" s="0" t="s">
        <v>20</v>
      </c>
      <c r="F534" s="0" t="s">
        <v>3032</v>
      </c>
      <c r="H534" s="0" t="s">
        <v>22</v>
      </c>
      <c r="I534" s="2" t="s">
        <v>23</v>
      </c>
      <c r="J534" s="2" t="s">
        <v>2911</v>
      </c>
      <c r="K534" s="0" t="s">
        <v>2912</v>
      </c>
      <c r="L534" s="0" t="s">
        <v>2926</v>
      </c>
      <c r="M534" s="0" t="s">
        <v>2927</v>
      </c>
      <c r="N534" s="0" t="s">
        <v>2914</v>
      </c>
      <c r="O534" s="3" t="s">
        <v>3033</v>
      </c>
      <c r="P534" s="2" t="s">
        <v>3034</v>
      </c>
      <c r="Q534" s="2" t="s">
        <v>3035</v>
      </c>
      <c r="R534" s="2" t="s">
        <v>32</v>
      </c>
      <c r="S534" s="2" t="s">
        <v>33</v>
      </c>
    </row>
    <row r="535" customFormat="false" ht="15" hidden="false" customHeight="false" outlineLevel="0" collapsed="false">
      <c r="A535" s="0" t="n">
        <v>534</v>
      </c>
      <c r="D535" s="0" t="s">
        <v>3036</v>
      </c>
      <c r="E535" s="0" t="s">
        <v>20</v>
      </c>
      <c r="F535" s="0" t="s">
        <v>3037</v>
      </c>
      <c r="H535" s="0" t="s">
        <v>22</v>
      </c>
      <c r="I535" s="2" t="s">
        <v>23</v>
      </c>
      <c r="J535" s="2" t="s">
        <v>2911</v>
      </c>
      <c r="K535" s="0" t="s">
        <v>2912</v>
      </c>
      <c r="L535" s="0" t="s">
        <v>3038</v>
      </c>
      <c r="M535" s="0" t="s">
        <v>2987</v>
      </c>
      <c r="N535" s="0" t="s">
        <v>2914</v>
      </c>
      <c r="O535" s="3" t="s">
        <v>3039</v>
      </c>
      <c r="P535" s="2" t="s">
        <v>3040</v>
      </c>
      <c r="Q535" s="2" t="s">
        <v>3041</v>
      </c>
      <c r="R535" s="2" t="s">
        <v>32</v>
      </c>
      <c r="S535" s="2" t="s">
        <v>33</v>
      </c>
    </row>
    <row r="536" customFormat="false" ht="15" hidden="false" customHeight="false" outlineLevel="0" collapsed="false">
      <c r="A536" s="0" t="n">
        <v>535</v>
      </c>
      <c r="D536" s="0" t="s">
        <v>3036</v>
      </c>
      <c r="E536" s="0" t="s">
        <v>20</v>
      </c>
      <c r="F536" s="0" t="s">
        <v>3037</v>
      </c>
      <c r="H536" s="0" t="s">
        <v>22</v>
      </c>
      <c r="I536" s="2" t="s">
        <v>23</v>
      </c>
      <c r="J536" s="2" t="s">
        <v>2911</v>
      </c>
      <c r="K536" s="0" t="s">
        <v>2912</v>
      </c>
      <c r="L536" s="0" t="s">
        <v>757</v>
      </c>
      <c r="M536" s="0" t="s">
        <v>2965</v>
      </c>
      <c r="N536" s="0" t="s">
        <v>2914</v>
      </c>
      <c r="O536" s="3" t="s">
        <v>3039</v>
      </c>
      <c r="P536" s="2" t="s">
        <v>3040</v>
      </c>
      <c r="Q536" s="2" t="s">
        <v>3041</v>
      </c>
      <c r="R536" s="2" t="s">
        <v>32</v>
      </c>
      <c r="S536" s="2" t="s">
        <v>33</v>
      </c>
    </row>
    <row r="537" customFormat="false" ht="15" hidden="false" customHeight="false" outlineLevel="0" collapsed="false">
      <c r="A537" s="0" t="n">
        <v>536</v>
      </c>
      <c r="D537" s="0" t="s">
        <v>3042</v>
      </c>
      <c r="E537" s="0" t="s">
        <v>20</v>
      </c>
      <c r="F537" s="0" t="s">
        <v>3043</v>
      </c>
      <c r="H537" s="0" t="s">
        <v>22</v>
      </c>
      <c r="I537" s="2" t="s">
        <v>23</v>
      </c>
      <c r="J537" s="2" t="s">
        <v>2911</v>
      </c>
      <c r="K537" s="0" t="s">
        <v>2912</v>
      </c>
      <c r="L537" s="0" t="s">
        <v>757</v>
      </c>
      <c r="M537" s="0" t="s">
        <v>2965</v>
      </c>
      <c r="N537" s="0" t="s">
        <v>2914</v>
      </c>
      <c r="O537" s="3" t="s">
        <v>3044</v>
      </c>
      <c r="Q537" s="2" t="s">
        <v>3045</v>
      </c>
      <c r="R537" s="2" t="s">
        <v>3046</v>
      </c>
      <c r="S537" s="2" t="s">
        <v>33</v>
      </c>
    </row>
    <row r="538" customFormat="false" ht="15" hidden="false" customHeight="false" outlineLevel="0" collapsed="false">
      <c r="A538" s="0" t="n">
        <v>537</v>
      </c>
      <c r="D538" s="0" t="s">
        <v>3047</v>
      </c>
      <c r="E538" s="0" t="s">
        <v>20</v>
      </c>
      <c r="F538" s="0" t="s">
        <v>3048</v>
      </c>
      <c r="H538" s="0" t="s">
        <v>22</v>
      </c>
      <c r="I538" s="2" t="s">
        <v>23</v>
      </c>
      <c r="J538" s="2" t="s">
        <v>2911</v>
      </c>
      <c r="K538" s="0" t="s">
        <v>2912</v>
      </c>
      <c r="L538" s="0" t="s">
        <v>483</v>
      </c>
      <c r="M538" s="0" t="s">
        <v>2987</v>
      </c>
      <c r="N538" s="0" t="s">
        <v>2914</v>
      </c>
      <c r="O538" s="3" t="s">
        <v>3049</v>
      </c>
      <c r="P538" s="2" t="s">
        <v>3050</v>
      </c>
      <c r="Q538" s="2" t="s">
        <v>3051</v>
      </c>
      <c r="R538" s="2" t="s">
        <v>32</v>
      </c>
      <c r="S538" s="2" t="s">
        <v>33</v>
      </c>
    </row>
    <row r="539" customFormat="false" ht="15" hidden="false" customHeight="false" outlineLevel="0" collapsed="false">
      <c r="A539" s="0" t="n">
        <v>538</v>
      </c>
      <c r="D539" s="0" t="s">
        <v>3052</v>
      </c>
      <c r="E539" s="0" t="s">
        <v>20</v>
      </c>
      <c r="F539" s="0" t="s">
        <v>3053</v>
      </c>
      <c r="H539" s="0" t="s">
        <v>22</v>
      </c>
      <c r="I539" s="2" t="s">
        <v>23</v>
      </c>
      <c r="J539" s="2" t="s">
        <v>2911</v>
      </c>
      <c r="K539" s="0" t="s">
        <v>2912</v>
      </c>
      <c r="L539" s="0" t="s">
        <v>483</v>
      </c>
      <c r="M539" s="0" t="s">
        <v>2987</v>
      </c>
      <c r="N539" s="0" t="s">
        <v>2914</v>
      </c>
      <c r="O539" s="3" t="s">
        <v>3054</v>
      </c>
      <c r="P539" s="2" t="s">
        <v>3055</v>
      </c>
      <c r="Q539" s="2" t="s">
        <v>3056</v>
      </c>
      <c r="R539" s="2" t="s">
        <v>32</v>
      </c>
      <c r="S539" s="2" t="s">
        <v>33</v>
      </c>
    </row>
    <row r="540" customFormat="false" ht="15" hidden="false" customHeight="false" outlineLevel="0" collapsed="false">
      <c r="A540" s="0" t="n">
        <v>539</v>
      </c>
      <c r="D540" s="0" t="s">
        <v>3057</v>
      </c>
      <c r="E540" s="0" t="s">
        <v>20</v>
      </c>
      <c r="F540" s="0" t="s">
        <v>3058</v>
      </c>
      <c r="H540" s="0" t="s">
        <v>22</v>
      </c>
      <c r="I540" s="2" t="s">
        <v>23</v>
      </c>
      <c r="J540" s="2" t="s">
        <v>2911</v>
      </c>
      <c r="K540" s="0" t="s">
        <v>2912</v>
      </c>
      <c r="L540" s="0" t="s">
        <v>1668</v>
      </c>
      <c r="M540" s="0" t="s">
        <v>2938</v>
      </c>
      <c r="N540" s="0" t="s">
        <v>2914</v>
      </c>
      <c r="O540" s="3" t="s">
        <v>3059</v>
      </c>
      <c r="P540" s="2" t="s">
        <v>3060</v>
      </c>
      <c r="Q540" s="2" t="s">
        <v>3061</v>
      </c>
      <c r="R540" s="2" t="s">
        <v>32</v>
      </c>
      <c r="S540" s="2" t="s">
        <v>33</v>
      </c>
    </row>
    <row r="541" customFormat="false" ht="15" hidden="false" customHeight="false" outlineLevel="0" collapsed="false">
      <c r="A541" s="0" t="n">
        <v>540</v>
      </c>
      <c r="D541" s="0" t="s">
        <v>3062</v>
      </c>
      <c r="E541" s="0" t="s">
        <v>20</v>
      </c>
      <c r="F541" s="0" t="s">
        <v>3063</v>
      </c>
      <c r="H541" s="0" t="s">
        <v>22</v>
      </c>
      <c r="I541" s="2" t="s">
        <v>23</v>
      </c>
      <c r="J541" s="2" t="s">
        <v>2911</v>
      </c>
      <c r="K541" s="0" t="s">
        <v>2912</v>
      </c>
      <c r="L541" s="0" t="s">
        <v>483</v>
      </c>
      <c r="M541" s="0" t="s">
        <v>2987</v>
      </c>
      <c r="N541" s="0" t="s">
        <v>2914</v>
      </c>
      <c r="O541" s="3" t="s">
        <v>3064</v>
      </c>
      <c r="P541" s="2" t="s">
        <v>3065</v>
      </c>
      <c r="Q541" s="2" t="s">
        <v>3066</v>
      </c>
      <c r="R541" s="2" t="s">
        <v>32</v>
      </c>
      <c r="S541" s="2" t="s">
        <v>33</v>
      </c>
    </row>
    <row r="542" customFormat="false" ht="15" hidden="false" customHeight="false" outlineLevel="0" collapsed="false">
      <c r="A542" s="0" t="n">
        <v>541</v>
      </c>
      <c r="D542" s="0" t="s">
        <v>3067</v>
      </c>
      <c r="E542" s="0" t="s">
        <v>20</v>
      </c>
      <c r="F542" s="0" t="s">
        <v>3068</v>
      </c>
      <c r="H542" s="0" t="s">
        <v>22</v>
      </c>
      <c r="I542" s="2" t="s">
        <v>23</v>
      </c>
      <c r="J542" s="2" t="s">
        <v>2911</v>
      </c>
      <c r="K542" s="0" t="s">
        <v>2912</v>
      </c>
      <c r="L542" s="0" t="s">
        <v>2926</v>
      </c>
      <c r="M542" s="0" t="s">
        <v>2927</v>
      </c>
      <c r="N542" s="0" t="s">
        <v>2914</v>
      </c>
      <c r="O542" s="3" t="s">
        <v>3069</v>
      </c>
      <c r="P542" s="2" t="s">
        <v>3070</v>
      </c>
      <c r="Q542" s="2" t="s">
        <v>3071</v>
      </c>
      <c r="R542" s="2" t="s">
        <v>32</v>
      </c>
      <c r="S542" s="2" t="s">
        <v>33</v>
      </c>
    </row>
    <row r="543" customFormat="false" ht="15" hidden="false" customHeight="false" outlineLevel="0" collapsed="false">
      <c r="A543" s="0" t="n">
        <v>542</v>
      </c>
      <c r="D543" s="0" t="s">
        <v>3072</v>
      </c>
      <c r="E543" s="0" t="s">
        <v>20</v>
      </c>
      <c r="F543" s="0" t="s">
        <v>3073</v>
      </c>
      <c r="H543" s="0" t="s">
        <v>22</v>
      </c>
      <c r="I543" s="2" t="s">
        <v>23</v>
      </c>
      <c r="J543" s="2" t="s">
        <v>2911</v>
      </c>
      <c r="K543" s="0" t="s">
        <v>2912</v>
      </c>
      <c r="L543" s="0" t="s">
        <v>102</v>
      </c>
      <c r="M543" s="0" t="s">
        <v>2993</v>
      </c>
      <c r="N543" s="0" t="s">
        <v>2914</v>
      </c>
      <c r="O543" s="3" t="s">
        <v>3074</v>
      </c>
      <c r="P543" s="2" t="s">
        <v>3075</v>
      </c>
      <c r="Q543" s="2" t="s">
        <v>3076</v>
      </c>
      <c r="R543" s="2" t="s">
        <v>32</v>
      </c>
      <c r="S543" s="2" t="s">
        <v>33</v>
      </c>
    </row>
    <row r="544" customFormat="false" ht="15" hidden="false" customHeight="false" outlineLevel="0" collapsed="false">
      <c r="A544" s="0" t="n">
        <v>543</v>
      </c>
      <c r="D544" s="0" t="s">
        <v>3077</v>
      </c>
      <c r="E544" s="0" t="s">
        <v>20</v>
      </c>
      <c r="F544" s="0" t="s">
        <v>3078</v>
      </c>
      <c r="H544" s="0" t="s">
        <v>22</v>
      </c>
      <c r="I544" s="2" t="s">
        <v>23</v>
      </c>
      <c r="J544" s="2" t="s">
        <v>2911</v>
      </c>
      <c r="K544" s="0" t="s">
        <v>2912</v>
      </c>
      <c r="L544" s="0" t="s">
        <v>483</v>
      </c>
      <c r="M544" s="0" t="s">
        <v>2987</v>
      </c>
      <c r="N544" s="0" t="s">
        <v>2914</v>
      </c>
      <c r="O544" s="3" t="s">
        <v>3079</v>
      </c>
      <c r="P544" s="2" t="s">
        <v>3080</v>
      </c>
      <c r="Q544" s="2" t="s">
        <v>3081</v>
      </c>
      <c r="R544" s="2" t="s">
        <v>32</v>
      </c>
      <c r="S544" s="2" t="s">
        <v>33</v>
      </c>
    </row>
    <row r="545" customFormat="false" ht="15" hidden="false" customHeight="false" outlineLevel="0" collapsed="false">
      <c r="A545" s="0" t="n">
        <v>544</v>
      </c>
      <c r="D545" s="0" t="s">
        <v>3082</v>
      </c>
      <c r="E545" s="0" t="s">
        <v>20</v>
      </c>
      <c r="F545" s="0" t="s">
        <v>3083</v>
      </c>
      <c r="H545" s="0" t="s">
        <v>22</v>
      </c>
      <c r="I545" s="2" t="s">
        <v>23</v>
      </c>
      <c r="J545" s="2" t="s">
        <v>2911</v>
      </c>
      <c r="K545" s="0" t="s">
        <v>2912</v>
      </c>
      <c r="L545" s="0" t="s">
        <v>2981</v>
      </c>
      <c r="M545" s="0" t="s">
        <v>2982</v>
      </c>
      <c r="N545" s="0" t="s">
        <v>2914</v>
      </c>
      <c r="O545" s="3" t="s">
        <v>3084</v>
      </c>
      <c r="P545" s="2" t="s">
        <v>3085</v>
      </c>
      <c r="Q545" s="2" t="s">
        <v>3086</v>
      </c>
      <c r="R545" s="2" t="s">
        <v>32</v>
      </c>
      <c r="S545" s="2" t="s">
        <v>33</v>
      </c>
    </row>
    <row r="546" customFormat="false" ht="15" hidden="false" customHeight="false" outlineLevel="0" collapsed="false">
      <c r="A546" s="0" t="n">
        <v>545</v>
      </c>
      <c r="D546" s="0" t="s">
        <v>3087</v>
      </c>
      <c r="E546" s="0" t="s">
        <v>20</v>
      </c>
      <c r="F546" s="0" t="s">
        <v>3088</v>
      </c>
      <c r="H546" s="0" t="s">
        <v>22</v>
      </c>
      <c r="I546" s="2" t="s">
        <v>23</v>
      </c>
      <c r="J546" s="2" t="s">
        <v>2911</v>
      </c>
      <c r="K546" s="0" t="s">
        <v>2912</v>
      </c>
      <c r="L546" s="0" t="s">
        <v>77</v>
      </c>
      <c r="M546" s="0" t="s">
        <v>2920</v>
      </c>
      <c r="N546" s="0" t="s">
        <v>2914</v>
      </c>
      <c r="O546" s="3" t="s">
        <v>3089</v>
      </c>
      <c r="P546" s="2" t="s">
        <v>3090</v>
      </c>
      <c r="Q546" s="2" t="s">
        <v>3091</v>
      </c>
      <c r="R546" s="2" t="s">
        <v>32</v>
      </c>
      <c r="S546" s="2" t="s">
        <v>33</v>
      </c>
    </row>
    <row r="547" customFormat="false" ht="15" hidden="false" customHeight="false" outlineLevel="0" collapsed="false">
      <c r="A547" s="0" t="n">
        <v>546</v>
      </c>
      <c r="D547" s="0" t="s">
        <v>3092</v>
      </c>
      <c r="E547" s="0" t="s">
        <v>20</v>
      </c>
      <c r="F547" s="0" t="s">
        <v>3093</v>
      </c>
      <c r="H547" s="0" t="s">
        <v>22</v>
      </c>
      <c r="I547" s="2" t="s">
        <v>23</v>
      </c>
      <c r="J547" s="2" t="s">
        <v>2911</v>
      </c>
      <c r="K547" s="0" t="s">
        <v>2912</v>
      </c>
      <c r="L547" s="0" t="s">
        <v>3094</v>
      </c>
      <c r="M547" s="0" t="s">
        <v>2920</v>
      </c>
      <c r="N547" s="0" t="s">
        <v>2914</v>
      </c>
      <c r="O547" s="3" t="s">
        <v>3095</v>
      </c>
      <c r="P547" s="2" t="s">
        <v>3096</v>
      </c>
      <c r="Q547" s="2" t="s">
        <v>3097</v>
      </c>
      <c r="R547" s="2" t="s">
        <v>32</v>
      </c>
      <c r="S547" s="2" t="s">
        <v>33</v>
      </c>
    </row>
    <row r="548" customFormat="false" ht="15" hidden="false" customHeight="false" outlineLevel="0" collapsed="false">
      <c r="A548" s="0" t="n">
        <v>547</v>
      </c>
      <c r="D548" s="0" t="s">
        <v>3098</v>
      </c>
      <c r="E548" s="0" t="s">
        <v>20</v>
      </c>
      <c r="F548" s="0" t="s">
        <v>3099</v>
      </c>
      <c r="H548" s="0" t="s">
        <v>22</v>
      </c>
      <c r="I548" s="2" t="s">
        <v>23</v>
      </c>
      <c r="J548" s="2" t="s">
        <v>2911</v>
      </c>
      <c r="K548" s="0" t="s">
        <v>2912</v>
      </c>
      <c r="L548" s="0" t="s">
        <v>2111</v>
      </c>
      <c r="M548" s="0" t="s">
        <v>2975</v>
      </c>
      <c r="N548" s="0" t="s">
        <v>2914</v>
      </c>
      <c r="O548" s="3" t="s">
        <v>3100</v>
      </c>
      <c r="P548" s="2" t="s">
        <v>3101</v>
      </c>
      <c r="Q548" s="2" t="s">
        <v>3102</v>
      </c>
      <c r="R548" s="2" t="s">
        <v>32</v>
      </c>
      <c r="S548" s="2" t="s">
        <v>33</v>
      </c>
    </row>
    <row r="549" customFormat="false" ht="15" hidden="false" customHeight="false" outlineLevel="0" collapsed="false">
      <c r="A549" s="0" t="n">
        <v>548</v>
      </c>
      <c r="D549" s="0" t="s">
        <v>3103</v>
      </c>
      <c r="E549" s="0" t="s">
        <v>20</v>
      </c>
      <c r="F549" s="0" t="s">
        <v>3104</v>
      </c>
      <c r="H549" s="0" t="s">
        <v>22</v>
      </c>
      <c r="I549" s="2" t="s">
        <v>23</v>
      </c>
      <c r="J549" s="2" t="s">
        <v>2911</v>
      </c>
      <c r="K549" s="0" t="s">
        <v>2912</v>
      </c>
      <c r="L549" s="0" t="s">
        <v>2111</v>
      </c>
      <c r="M549" s="0" t="s">
        <v>2975</v>
      </c>
      <c r="N549" s="0" t="s">
        <v>2914</v>
      </c>
      <c r="O549" s="3" t="s">
        <v>3105</v>
      </c>
      <c r="P549" s="2" t="s">
        <v>3106</v>
      </c>
      <c r="Q549" s="2" t="s">
        <v>3107</v>
      </c>
      <c r="R549" s="2" t="s">
        <v>32</v>
      </c>
      <c r="S549" s="2" t="s">
        <v>33</v>
      </c>
    </row>
    <row r="550" customFormat="false" ht="15" hidden="false" customHeight="false" outlineLevel="0" collapsed="false">
      <c r="A550" s="0" t="n">
        <v>549</v>
      </c>
      <c r="D550" s="0" t="s">
        <v>3108</v>
      </c>
      <c r="E550" s="0" t="s">
        <v>20</v>
      </c>
      <c r="F550" s="0" t="s">
        <v>3109</v>
      </c>
      <c r="H550" s="0" t="s">
        <v>22</v>
      </c>
      <c r="I550" s="2" t="s">
        <v>23</v>
      </c>
      <c r="J550" s="2" t="s">
        <v>2911</v>
      </c>
      <c r="K550" s="0" t="s">
        <v>2912</v>
      </c>
      <c r="L550" s="0" t="s">
        <v>3011</v>
      </c>
      <c r="M550" s="0" t="s">
        <v>3012</v>
      </c>
      <c r="N550" s="0" t="s">
        <v>2914</v>
      </c>
      <c r="O550" s="3" t="s">
        <v>3110</v>
      </c>
      <c r="Q550" s="2" t="s">
        <v>3111</v>
      </c>
      <c r="R550" s="2" t="s">
        <v>32</v>
      </c>
      <c r="S550" s="2" t="s">
        <v>33</v>
      </c>
    </row>
    <row r="551" customFormat="false" ht="15" hidden="false" customHeight="false" outlineLevel="0" collapsed="false">
      <c r="A551" s="0" t="n">
        <v>550</v>
      </c>
      <c r="D551" s="0" t="s">
        <v>3112</v>
      </c>
      <c r="E551" s="0" t="s">
        <v>20</v>
      </c>
      <c r="F551" s="0" t="s">
        <v>3113</v>
      </c>
      <c r="H551" s="0" t="s">
        <v>22</v>
      </c>
      <c r="I551" s="2" t="s">
        <v>23</v>
      </c>
      <c r="J551" s="2" t="s">
        <v>2911</v>
      </c>
      <c r="K551" s="0" t="s">
        <v>2912</v>
      </c>
      <c r="L551" s="0" t="s">
        <v>2926</v>
      </c>
      <c r="M551" s="0" t="s">
        <v>2927</v>
      </c>
      <c r="N551" s="0" t="s">
        <v>2914</v>
      </c>
      <c r="O551" s="3" t="s">
        <v>3114</v>
      </c>
      <c r="P551" s="2" t="s">
        <v>3115</v>
      </c>
      <c r="Q551" s="2" t="s">
        <v>3116</v>
      </c>
      <c r="R551" s="2" t="s">
        <v>32</v>
      </c>
      <c r="S551" s="2" t="s">
        <v>33</v>
      </c>
    </row>
    <row r="552" customFormat="false" ht="15" hidden="false" customHeight="false" outlineLevel="0" collapsed="false">
      <c r="A552" s="0" t="n">
        <v>551</v>
      </c>
      <c r="D552" s="0" t="s">
        <v>3117</v>
      </c>
      <c r="E552" s="0" t="s">
        <v>20</v>
      </c>
      <c r="F552" s="0" t="s">
        <v>3118</v>
      </c>
      <c r="H552" s="0" t="s">
        <v>22</v>
      </c>
      <c r="I552" s="2" t="s">
        <v>23</v>
      </c>
      <c r="J552" s="2" t="s">
        <v>2911</v>
      </c>
      <c r="K552" s="0" t="s">
        <v>2912</v>
      </c>
      <c r="L552" s="0" t="s">
        <v>1031</v>
      </c>
      <c r="M552" s="0" t="s">
        <v>2913</v>
      </c>
      <c r="N552" s="0" t="s">
        <v>2914</v>
      </c>
      <c r="O552" s="3" t="s">
        <v>3119</v>
      </c>
      <c r="P552" s="2" t="s">
        <v>3120</v>
      </c>
      <c r="Q552" s="2" t="s">
        <v>3121</v>
      </c>
      <c r="R552" s="2" t="s">
        <v>99</v>
      </c>
      <c r="S552" s="2" t="s">
        <v>33</v>
      </c>
    </row>
    <row r="553" customFormat="false" ht="15" hidden="false" customHeight="false" outlineLevel="0" collapsed="false">
      <c r="A553" s="0" t="n">
        <v>552</v>
      </c>
      <c r="D553" s="0" t="s">
        <v>3122</v>
      </c>
      <c r="E553" s="0" t="s">
        <v>20</v>
      </c>
      <c r="F553" s="0" t="s">
        <v>3123</v>
      </c>
      <c r="H553" s="0" t="s">
        <v>22</v>
      </c>
      <c r="I553" s="2" t="s">
        <v>23</v>
      </c>
      <c r="J553" s="2" t="s">
        <v>2911</v>
      </c>
      <c r="K553" s="0" t="s">
        <v>2912</v>
      </c>
      <c r="L553" s="0" t="s">
        <v>77</v>
      </c>
      <c r="M553" s="0" t="s">
        <v>2920</v>
      </c>
      <c r="N553" s="0" t="s">
        <v>2914</v>
      </c>
      <c r="O553" s="3" t="s">
        <v>3124</v>
      </c>
      <c r="P553" s="2" t="s">
        <v>3125</v>
      </c>
      <c r="Q553" s="2" t="s">
        <v>3126</v>
      </c>
      <c r="R553" s="2" t="s">
        <v>32</v>
      </c>
      <c r="S553" s="2" t="s">
        <v>33</v>
      </c>
    </row>
    <row r="554" customFormat="false" ht="15" hidden="false" customHeight="false" outlineLevel="0" collapsed="false">
      <c r="A554" s="0" t="n">
        <v>553</v>
      </c>
      <c r="D554" s="0" t="s">
        <v>3127</v>
      </c>
      <c r="E554" s="0" t="s">
        <v>20</v>
      </c>
      <c r="F554" s="0" t="s">
        <v>3128</v>
      </c>
      <c r="H554" s="0" t="s">
        <v>22</v>
      </c>
      <c r="I554" s="2" t="s">
        <v>23</v>
      </c>
      <c r="J554" s="2" t="s">
        <v>2911</v>
      </c>
      <c r="K554" s="0" t="s">
        <v>2912</v>
      </c>
      <c r="L554" s="0" t="s">
        <v>102</v>
      </c>
      <c r="M554" s="0" t="s">
        <v>2993</v>
      </c>
      <c r="N554" s="0" t="s">
        <v>2914</v>
      </c>
      <c r="O554" s="3" t="s">
        <v>3129</v>
      </c>
      <c r="P554" s="2" t="s">
        <v>3130</v>
      </c>
      <c r="Q554" s="2" t="s">
        <v>3131</v>
      </c>
      <c r="R554" s="2" t="s">
        <v>32</v>
      </c>
      <c r="S554" s="2" t="s">
        <v>33</v>
      </c>
    </row>
    <row r="555" customFormat="false" ht="15" hidden="false" customHeight="false" outlineLevel="0" collapsed="false">
      <c r="A555" s="0" t="n">
        <v>554</v>
      </c>
      <c r="D555" s="0" t="s">
        <v>3132</v>
      </c>
      <c r="E555" s="0" t="s">
        <v>20</v>
      </c>
      <c r="F555" s="0" t="s">
        <v>3133</v>
      </c>
      <c r="H555" s="0" t="s">
        <v>22</v>
      </c>
      <c r="I555" s="2" t="s">
        <v>23</v>
      </c>
      <c r="J555" s="2" t="s">
        <v>2911</v>
      </c>
      <c r="K555" s="0" t="s">
        <v>2912</v>
      </c>
      <c r="L555" s="0" t="s">
        <v>757</v>
      </c>
      <c r="M555" s="0" t="s">
        <v>2954</v>
      </c>
      <c r="N555" s="0" t="s">
        <v>2914</v>
      </c>
      <c r="O555" s="3" t="s">
        <v>3134</v>
      </c>
      <c r="P555" s="2" t="s">
        <v>3135</v>
      </c>
      <c r="Q555" s="2" t="s">
        <v>3136</v>
      </c>
      <c r="R555" s="2" t="s">
        <v>32</v>
      </c>
      <c r="S555" s="2" t="s">
        <v>33</v>
      </c>
    </row>
    <row r="556" customFormat="false" ht="15" hidden="false" customHeight="false" outlineLevel="0" collapsed="false">
      <c r="A556" s="0" t="n">
        <v>555</v>
      </c>
      <c r="D556" s="0" t="s">
        <v>3137</v>
      </c>
      <c r="E556" s="0" t="s">
        <v>20</v>
      </c>
      <c r="F556" s="0" t="s">
        <v>3138</v>
      </c>
      <c r="H556" s="0" t="s">
        <v>22</v>
      </c>
      <c r="I556" s="2" t="s">
        <v>23</v>
      </c>
      <c r="J556" s="2" t="s">
        <v>2911</v>
      </c>
      <c r="K556" s="0" t="s">
        <v>2912</v>
      </c>
      <c r="L556" s="0" t="s">
        <v>3139</v>
      </c>
      <c r="M556" s="0" t="s">
        <v>2913</v>
      </c>
      <c r="N556" s="0" t="s">
        <v>2914</v>
      </c>
      <c r="O556" s="3" t="s">
        <v>3140</v>
      </c>
      <c r="P556" s="2" t="s">
        <v>3141</v>
      </c>
      <c r="Q556" s="2" t="s">
        <v>3142</v>
      </c>
      <c r="R556" s="2" t="s">
        <v>32</v>
      </c>
      <c r="S556" s="2" t="s">
        <v>33</v>
      </c>
    </row>
    <row r="557" customFormat="false" ht="15" hidden="false" customHeight="false" outlineLevel="0" collapsed="false">
      <c r="A557" s="0" t="n">
        <v>556</v>
      </c>
      <c r="D557" s="0" t="s">
        <v>3143</v>
      </c>
      <c r="E557" s="0" t="s">
        <v>20</v>
      </c>
      <c r="F557" s="0" t="s">
        <v>3144</v>
      </c>
      <c r="H557" s="0" t="s">
        <v>22</v>
      </c>
      <c r="I557" s="2" t="s">
        <v>23</v>
      </c>
      <c r="J557" s="2" t="s">
        <v>2911</v>
      </c>
      <c r="K557" s="0" t="s">
        <v>2912</v>
      </c>
      <c r="L557" s="0" t="s">
        <v>2111</v>
      </c>
      <c r="M557" s="0" t="s">
        <v>2975</v>
      </c>
      <c r="N557" s="0" t="s">
        <v>2914</v>
      </c>
      <c r="O557" s="3" t="s">
        <v>3145</v>
      </c>
      <c r="P557" s="2" t="s">
        <v>3146</v>
      </c>
      <c r="Q557" s="2" t="s">
        <v>3147</v>
      </c>
      <c r="R557" s="2" t="s">
        <v>32</v>
      </c>
      <c r="S557" s="2" t="s">
        <v>33</v>
      </c>
    </row>
    <row r="558" customFormat="false" ht="15" hidden="false" customHeight="false" outlineLevel="0" collapsed="false">
      <c r="A558" s="0" t="n">
        <v>557</v>
      </c>
      <c r="D558" s="0" t="s">
        <v>3148</v>
      </c>
      <c r="E558" s="0" t="s">
        <v>20</v>
      </c>
      <c r="F558" s="0" t="s">
        <v>3149</v>
      </c>
      <c r="H558" s="0" t="s">
        <v>22</v>
      </c>
      <c r="I558" s="2" t="s">
        <v>23</v>
      </c>
      <c r="J558" s="2" t="s">
        <v>2911</v>
      </c>
      <c r="K558" s="0" t="s">
        <v>2912</v>
      </c>
      <c r="L558" s="0" t="s">
        <v>2111</v>
      </c>
      <c r="M558" s="0" t="s">
        <v>2975</v>
      </c>
      <c r="N558" s="0" t="s">
        <v>2914</v>
      </c>
      <c r="O558" s="3" t="s">
        <v>3150</v>
      </c>
      <c r="P558" s="2" t="s">
        <v>3151</v>
      </c>
      <c r="Q558" s="2" t="s">
        <v>3152</v>
      </c>
      <c r="R558" s="2" t="s">
        <v>32</v>
      </c>
      <c r="S558" s="2" t="s">
        <v>33</v>
      </c>
    </row>
    <row r="559" customFormat="false" ht="15" hidden="false" customHeight="false" outlineLevel="0" collapsed="false">
      <c r="A559" s="0" t="n">
        <v>558</v>
      </c>
      <c r="D559" s="0" t="s">
        <v>3153</v>
      </c>
      <c r="E559" s="0" t="s">
        <v>20</v>
      </c>
      <c r="F559" s="0" t="s">
        <v>3154</v>
      </c>
      <c r="H559" s="0" t="s">
        <v>22</v>
      </c>
      <c r="I559" s="2" t="s">
        <v>23</v>
      </c>
      <c r="J559" s="2" t="s">
        <v>2911</v>
      </c>
      <c r="K559" s="0" t="s">
        <v>2912</v>
      </c>
      <c r="L559" s="0" t="s">
        <v>757</v>
      </c>
      <c r="M559" s="0" t="s">
        <v>2954</v>
      </c>
      <c r="N559" s="0" t="s">
        <v>2914</v>
      </c>
      <c r="O559" s="3" t="s">
        <v>3155</v>
      </c>
      <c r="P559" s="2" t="s">
        <v>3156</v>
      </c>
      <c r="Q559" s="2" t="s">
        <v>3157</v>
      </c>
      <c r="R559" s="2" t="s">
        <v>99</v>
      </c>
      <c r="S559" s="2" t="s">
        <v>33</v>
      </c>
    </row>
    <row r="560" customFormat="false" ht="15" hidden="false" customHeight="false" outlineLevel="0" collapsed="false">
      <c r="A560" s="0" t="n">
        <v>559</v>
      </c>
      <c r="D560" s="0" t="s">
        <v>3158</v>
      </c>
      <c r="E560" s="0" t="s">
        <v>20</v>
      </c>
      <c r="F560" s="0" t="s">
        <v>3159</v>
      </c>
      <c r="H560" s="0" t="s">
        <v>22</v>
      </c>
      <c r="I560" s="2" t="s">
        <v>23</v>
      </c>
      <c r="J560" s="2" t="s">
        <v>2911</v>
      </c>
      <c r="K560" s="0" t="s">
        <v>2912</v>
      </c>
      <c r="L560" s="0" t="s">
        <v>2593</v>
      </c>
      <c r="M560" s="0" t="s">
        <v>3000</v>
      </c>
      <c r="N560" s="0" t="s">
        <v>2914</v>
      </c>
      <c r="O560" s="3" t="s">
        <v>3160</v>
      </c>
      <c r="P560" s="2" t="s">
        <v>3161</v>
      </c>
      <c r="Q560" s="2" t="s">
        <v>3162</v>
      </c>
      <c r="R560" s="2" t="s">
        <v>32</v>
      </c>
      <c r="S560" s="2" t="s">
        <v>33</v>
      </c>
    </row>
    <row r="561" customFormat="false" ht="15" hidden="false" customHeight="false" outlineLevel="0" collapsed="false">
      <c r="A561" s="0" t="n">
        <v>560</v>
      </c>
      <c r="D561" s="0" t="s">
        <v>3163</v>
      </c>
      <c r="E561" s="0" t="s">
        <v>20</v>
      </c>
      <c r="F561" s="0" t="s">
        <v>3164</v>
      </c>
      <c r="H561" s="0" t="s">
        <v>22</v>
      </c>
      <c r="I561" s="2" t="s">
        <v>23</v>
      </c>
      <c r="J561" s="2" t="s">
        <v>2911</v>
      </c>
      <c r="K561" s="0" t="s">
        <v>2912</v>
      </c>
      <c r="L561" s="0" t="s">
        <v>757</v>
      </c>
      <c r="M561" s="0" t="s">
        <v>2965</v>
      </c>
      <c r="N561" s="0" t="s">
        <v>2914</v>
      </c>
      <c r="O561" s="3" t="s">
        <v>3165</v>
      </c>
      <c r="P561" s="2" t="s">
        <v>3166</v>
      </c>
      <c r="Q561" s="2" t="s">
        <v>3167</v>
      </c>
      <c r="R561" s="2" t="s">
        <v>32</v>
      </c>
      <c r="S561" s="2" t="s">
        <v>33</v>
      </c>
    </row>
    <row r="562" customFormat="false" ht="15" hidden="false" customHeight="false" outlineLevel="0" collapsed="false">
      <c r="A562" s="0" t="n">
        <v>561</v>
      </c>
      <c r="D562" s="0" t="s">
        <v>3168</v>
      </c>
      <c r="E562" s="0" t="s">
        <v>20</v>
      </c>
      <c r="F562" s="0" t="s">
        <v>3169</v>
      </c>
      <c r="H562" s="0" t="s">
        <v>22</v>
      </c>
      <c r="I562" s="2" t="s">
        <v>23</v>
      </c>
      <c r="J562" s="2" t="s">
        <v>2911</v>
      </c>
      <c r="K562" s="0" t="s">
        <v>2912</v>
      </c>
      <c r="L562" s="0" t="s">
        <v>483</v>
      </c>
      <c r="M562" s="0" t="s">
        <v>2987</v>
      </c>
      <c r="N562" s="0" t="s">
        <v>2914</v>
      </c>
      <c r="O562" s="3" t="s">
        <v>3170</v>
      </c>
      <c r="P562" s="2" t="s">
        <v>3171</v>
      </c>
      <c r="Q562" s="2" t="s">
        <v>3172</v>
      </c>
      <c r="R562" s="2" t="s">
        <v>32</v>
      </c>
      <c r="S562" s="2" t="s">
        <v>33</v>
      </c>
    </row>
    <row r="563" customFormat="false" ht="15" hidden="false" customHeight="false" outlineLevel="0" collapsed="false">
      <c r="A563" s="0" t="n">
        <v>562</v>
      </c>
      <c r="D563" s="0" t="s">
        <v>3173</v>
      </c>
      <c r="E563" s="0" t="s">
        <v>20</v>
      </c>
      <c r="F563" s="0" t="s">
        <v>3174</v>
      </c>
      <c r="H563" s="0" t="s">
        <v>22</v>
      </c>
      <c r="I563" s="2" t="s">
        <v>23</v>
      </c>
      <c r="J563" s="2" t="s">
        <v>2911</v>
      </c>
      <c r="K563" s="0" t="s">
        <v>2912</v>
      </c>
      <c r="L563" s="0" t="s">
        <v>102</v>
      </c>
      <c r="M563" s="0" t="s">
        <v>2993</v>
      </c>
      <c r="N563" s="0" t="s">
        <v>2914</v>
      </c>
      <c r="O563" s="3" t="s">
        <v>3175</v>
      </c>
      <c r="P563" s="2" t="s">
        <v>3176</v>
      </c>
      <c r="Q563" s="2" t="s">
        <v>3177</v>
      </c>
      <c r="R563" s="2" t="s">
        <v>32</v>
      </c>
      <c r="S563" s="2" t="s">
        <v>33</v>
      </c>
    </row>
    <row r="564" customFormat="false" ht="15" hidden="false" customHeight="false" outlineLevel="0" collapsed="false">
      <c r="A564" s="0" t="n">
        <v>563</v>
      </c>
      <c r="D564" s="0" t="s">
        <v>3178</v>
      </c>
      <c r="E564" s="0" t="s">
        <v>20</v>
      </c>
      <c r="F564" s="0" t="s">
        <v>3179</v>
      </c>
      <c r="H564" s="0" t="s">
        <v>22</v>
      </c>
      <c r="I564" s="2" t="s">
        <v>23</v>
      </c>
      <c r="J564" s="2" t="s">
        <v>2911</v>
      </c>
      <c r="K564" s="0" t="s">
        <v>2912</v>
      </c>
      <c r="L564" s="0" t="s">
        <v>3180</v>
      </c>
      <c r="M564" s="0" t="s">
        <v>3000</v>
      </c>
      <c r="N564" s="0" t="s">
        <v>2914</v>
      </c>
      <c r="O564" s="3" t="s">
        <v>3181</v>
      </c>
      <c r="P564" s="2" t="s">
        <v>3182</v>
      </c>
      <c r="Q564" s="2" t="s">
        <v>3183</v>
      </c>
      <c r="R564" s="2" t="s">
        <v>32</v>
      </c>
      <c r="S564" s="2" t="s">
        <v>33</v>
      </c>
    </row>
    <row r="565" customFormat="false" ht="15" hidden="false" customHeight="false" outlineLevel="0" collapsed="false">
      <c r="A565" s="0" t="n">
        <v>564</v>
      </c>
      <c r="D565" s="0" t="s">
        <v>3184</v>
      </c>
      <c r="E565" s="0" t="s">
        <v>20</v>
      </c>
      <c r="F565" s="0" t="s">
        <v>3185</v>
      </c>
      <c r="H565" s="0" t="s">
        <v>22</v>
      </c>
      <c r="I565" s="2" t="s">
        <v>23</v>
      </c>
      <c r="J565" s="2" t="s">
        <v>2911</v>
      </c>
      <c r="K565" s="0" t="s">
        <v>2912</v>
      </c>
      <c r="L565" s="0" t="s">
        <v>2593</v>
      </c>
      <c r="M565" s="0" t="s">
        <v>3000</v>
      </c>
      <c r="N565" s="0" t="s">
        <v>2914</v>
      </c>
      <c r="O565" s="3" t="s">
        <v>3186</v>
      </c>
      <c r="P565" s="2" t="s">
        <v>3187</v>
      </c>
      <c r="Q565" s="2" t="s">
        <v>3188</v>
      </c>
      <c r="R565" s="2" t="s">
        <v>32</v>
      </c>
      <c r="S565" s="2" t="s">
        <v>33</v>
      </c>
    </row>
    <row r="566" customFormat="false" ht="15" hidden="false" customHeight="false" outlineLevel="0" collapsed="false">
      <c r="A566" s="0" t="n">
        <v>565</v>
      </c>
      <c r="D566" s="0" t="s">
        <v>3189</v>
      </c>
      <c r="E566" s="0" t="s">
        <v>20</v>
      </c>
      <c r="F566" s="0" t="s">
        <v>3190</v>
      </c>
      <c r="H566" s="0" t="s">
        <v>22</v>
      </c>
      <c r="I566" s="2" t="s">
        <v>23</v>
      </c>
      <c r="J566" s="2" t="s">
        <v>2911</v>
      </c>
      <c r="K566" s="0" t="s">
        <v>2912</v>
      </c>
      <c r="L566" s="0" t="s">
        <v>3139</v>
      </c>
      <c r="M566" s="0" t="s">
        <v>2913</v>
      </c>
      <c r="N566" s="0" t="s">
        <v>2914</v>
      </c>
      <c r="O566" s="3" t="s">
        <v>3191</v>
      </c>
      <c r="P566" s="2" t="s">
        <v>3192</v>
      </c>
      <c r="Q566" s="2" t="s">
        <v>3193</v>
      </c>
      <c r="R566" s="2" t="s">
        <v>32</v>
      </c>
      <c r="S566" s="2" t="s">
        <v>33</v>
      </c>
    </row>
    <row r="567" customFormat="false" ht="15" hidden="false" customHeight="false" outlineLevel="0" collapsed="false">
      <c r="A567" s="0" t="n">
        <v>566</v>
      </c>
      <c r="D567" s="0" t="s">
        <v>3194</v>
      </c>
      <c r="E567" s="0" t="s">
        <v>20</v>
      </c>
      <c r="F567" s="0" t="s">
        <v>3195</v>
      </c>
      <c r="H567" s="0" t="s">
        <v>22</v>
      </c>
      <c r="I567" s="2" t="s">
        <v>23</v>
      </c>
      <c r="J567" s="2" t="s">
        <v>2911</v>
      </c>
      <c r="K567" s="0" t="s">
        <v>2912</v>
      </c>
      <c r="L567" s="0" t="s">
        <v>757</v>
      </c>
      <c r="M567" s="0" t="s">
        <v>2965</v>
      </c>
      <c r="N567" s="0" t="s">
        <v>2914</v>
      </c>
      <c r="O567" s="3" t="s">
        <v>3196</v>
      </c>
      <c r="P567" s="2" t="s">
        <v>3197</v>
      </c>
      <c r="Q567" s="2" t="s">
        <v>3198</v>
      </c>
      <c r="R567" s="2" t="s">
        <v>32</v>
      </c>
      <c r="S567" s="2" t="s">
        <v>33</v>
      </c>
    </row>
    <row r="568" customFormat="false" ht="15" hidden="false" customHeight="false" outlineLevel="0" collapsed="false">
      <c r="A568" s="0" t="n">
        <v>567</v>
      </c>
      <c r="D568" s="0" t="s">
        <v>3199</v>
      </c>
      <c r="E568" s="0" t="s">
        <v>20</v>
      </c>
      <c r="F568" s="0" t="s">
        <v>3200</v>
      </c>
      <c r="H568" s="0" t="s">
        <v>22</v>
      </c>
      <c r="I568" s="2" t="s">
        <v>23</v>
      </c>
      <c r="J568" s="2" t="s">
        <v>2911</v>
      </c>
      <c r="K568" s="0" t="s">
        <v>2912</v>
      </c>
      <c r="L568" s="0" t="s">
        <v>757</v>
      </c>
      <c r="M568" s="0" t="s">
        <v>2954</v>
      </c>
      <c r="N568" s="0" t="s">
        <v>2914</v>
      </c>
      <c r="O568" s="3" t="s">
        <v>3201</v>
      </c>
      <c r="P568" s="2" t="s">
        <v>3202</v>
      </c>
      <c r="Q568" s="2" t="s">
        <v>3203</v>
      </c>
      <c r="R568" s="2" t="s">
        <v>32</v>
      </c>
      <c r="S568" s="2" t="s">
        <v>33</v>
      </c>
    </row>
    <row r="569" customFormat="false" ht="15" hidden="false" customHeight="false" outlineLevel="0" collapsed="false">
      <c r="A569" s="0" t="n">
        <v>568</v>
      </c>
      <c r="D569" s="0" t="s">
        <v>3204</v>
      </c>
      <c r="E569" s="0" t="s">
        <v>20</v>
      </c>
      <c r="F569" s="0" t="s">
        <v>3205</v>
      </c>
      <c r="H569" s="0" t="s">
        <v>22</v>
      </c>
      <c r="I569" s="2" t="s">
        <v>23</v>
      </c>
      <c r="J569" s="2" t="s">
        <v>2911</v>
      </c>
      <c r="K569" s="0" t="s">
        <v>2912</v>
      </c>
      <c r="L569" s="0" t="s">
        <v>3139</v>
      </c>
      <c r="M569" s="0" t="s">
        <v>2913</v>
      </c>
      <c r="N569" s="0" t="s">
        <v>2914</v>
      </c>
      <c r="O569" s="3" t="s">
        <v>3206</v>
      </c>
      <c r="P569" s="2" t="s">
        <v>3207</v>
      </c>
      <c r="Q569" s="2" t="s">
        <v>3208</v>
      </c>
      <c r="R569" s="2" t="s">
        <v>32</v>
      </c>
      <c r="S569" s="2" t="s">
        <v>33</v>
      </c>
    </row>
    <row r="570" customFormat="false" ht="15" hidden="false" customHeight="false" outlineLevel="0" collapsed="false">
      <c r="A570" s="0" t="n">
        <v>569</v>
      </c>
      <c r="D570" s="0" t="s">
        <v>3209</v>
      </c>
      <c r="E570" s="0" t="s">
        <v>20</v>
      </c>
      <c r="F570" s="0" t="s">
        <v>3210</v>
      </c>
      <c r="H570" s="0" t="s">
        <v>22</v>
      </c>
      <c r="I570" s="2" t="s">
        <v>23</v>
      </c>
      <c r="J570" s="2" t="s">
        <v>2911</v>
      </c>
      <c r="K570" s="0" t="s">
        <v>2912</v>
      </c>
      <c r="L570" s="0" t="s">
        <v>3139</v>
      </c>
      <c r="M570" s="0" t="s">
        <v>2913</v>
      </c>
      <c r="N570" s="0" t="s">
        <v>2914</v>
      </c>
      <c r="O570" s="3" t="s">
        <v>3211</v>
      </c>
      <c r="P570" s="2" t="s">
        <v>3212</v>
      </c>
      <c r="Q570" s="2" t="s">
        <v>3213</v>
      </c>
      <c r="R570" s="2" t="s">
        <v>32</v>
      </c>
      <c r="S570" s="2" t="s">
        <v>33</v>
      </c>
    </row>
    <row r="571" customFormat="false" ht="15" hidden="false" customHeight="false" outlineLevel="0" collapsed="false">
      <c r="A571" s="0" t="n">
        <v>570</v>
      </c>
      <c r="D571" s="0" t="s">
        <v>3214</v>
      </c>
      <c r="E571" s="0" t="s">
        <v>20</v>
      </c>
      <c r="F571" s="0" t="s">
        <v>3215</v>
      </c>
      <c r="H571" s="0" t="s">
        <v>22</v>
      </c>
      <c r="I571" s="2" t="s">
        <v>23</v>
      </c>
      <c r="J571" s="2" t="s">
        <v>2911</v>
      </c>
      <c r="K571" s="0" t="s">
        <v>2912</v>
      </c>
      <c r="L571" s="0" t="s">
        <v>3139</v>
      </c>
      <c r="M571" s="0" t="s">
        <v>2913</v>
      </c>
      <c r="N571" s="0" t="s">
        <v>2914</v>
      </c>
      <c r="O571" s="3" t="s">
        <v>3216</v>
      </c>
      <c r="P571" s="2" t="s">
        <v>3217</v>
      </c>
      <c r="Q571" s="2" t="s">
        <v>3218</v>
      </c>
      <c r="R571" s="2" t="s">
        <v>99</v>
      </c>
      <c r="S571" s="2" t="s">
        <v>33</v>
      </c>
    </row>
    <row r="572" customFormat="false" ht="15" hidden="false" customHeight="false" outlineLevel="0" collapsed="false">
      <c r="A572" s="0" t="n">
        <v>571</v>
      </c>
      <c r="D572" s="0" t="s">
        <v>3219</v>
      </c>
      <c r="E572" s="0" t="s">
        <v>20</v>
      </c>
      <c r="F572" s="0" t="s">
        <v>3220</v>
      </c>
      <c r="H572" s="0" t="s">
        <v>22</v>
      </c>
      <c r="I572" s="2" t="s">
        <v>23</v>
      </c>
      <c r="J572" s="2" t="s">
        <v>2911</v>
      </c>
      <c r="K572" s="0" t="s">
        <v>2912</v>
      </c>
      <c r="L572" s="0" t="s">
        <v>483</v>
      </c>
      <c r="M572" s="0" t="s">
        <v>2987</v>
      </c>
      <c r="N572" s="0" t="s">
        <v>2914</v>
      </c>
      <c r="O572" s="3" t="s">
        <v>3221</v>
      </c>
      <c r="P572" s="2" t="s">
        <v>3222</v>
      </c>
      <c r="Q572" s="2" t="s">
        <v>3223</v>
      </c>
      <c r="R572" s="2" t="s">
        <v>32</v>
      </c>
      <c r="S572" s="2" t="s">
        <v>33</v>
      </c>
    </row>
    <row r="573" customFormat="false" ht="15" hidden="false" customHeight="false" outlineLevel="0" collapsed="false">
      <c r="A573" s="0" t="n">
        <v>572</v>
      </c>
      <c r="D573" s="0" t="s">
        <v>3224</v>
      </c>
      <c r="E573" s="0" t="s">
        <v>20</v>
      </c>
      <c r="F573" s="0" t="s">
        <v>3225</v>
      </c>
      <c r="H573" s="0" t="s">
        <v>22</v>
      </c>
      <c r="I573" s="2" t="s">
        <v>23</v>
      </c>
      <c r="J573" s="2" t="s">
        <v>2911</v>
      </c>
      <c r="K573" s="0" t="s">
        <v>2912</v>
      </c>
      <c r="L573" s="0" t="s">
        <v>3139</v>
      </c>
      <c r="M573" s="0" t="s">
        <v>2913</v>
      </c>
      <c r="N573" s="0" t="s">
        <v>2914</v>
      </c>
      <c r="O573" s="3" t="s">
        <v>3226</v>
      </c>
      <c r="P573" s="2" t="s">
        <v>3227</v>
      </c>
      <c r="Q573" s="2" t="s">
        <v>3228</v>
      </c>
      <c r="R573" s="2" t="s">
        <v>32</v>
      </c>
      <c r="S573" s="2" t="s">
        <v>33</v>
      </c>
    </row>
    <row r="574" customFormat="false" ht="15" hidden="false" customHeight="false" outlineLevel="0" collapsed="false">
      <c r="A574" s="0" t="n">
        <v>573</v>
      </c>
      <c r="D574" s="0" t="s">
        <v>3229</v>
      </c>
      <c r="E574" s="0" t="s">
        <v>20</v>
      </c>
      <c r="F574" s="0" t="s">
        <v>3230</v>
      </c>
      <c r="H574" s="0" t="s">
        <v>22</v>
      </c>
      <c r="I574" s="2" t="s">
        <v>23</v>
      </c>
      <c r="J574" s="2" t="s">
        <v>2911</v>
      </c>
      <c r="K574" s="0" t="s">
        <v>2912</v>
      </c>
      <c r="L574" s="0" t="s">
        <v>483</v>
      </c>
      <c r="M574" s="0" t="s">
        <v>2987</v>
      </c>
      <c r="N574" s="0" t="s">
        <v>2914</v>
      </c>
      <c r="O574" s="3" t="s">
        <v>3231</v>
      </c>
      <c r="P574" s="2" t="s">
        <v>3232</v>
      </c>
      <c r="Q574" s="2" t="s">
        <v>3233</v>
      </c>
      <c r="R574" s="2" t="s">
        <v>32</v>
      </c>
      <c r="S574" s="2" t="s">
        <v>33</v>
      </c>
    </row>
    <row r="575" customFormat="false" ht="15" hidden="false" customHeight="false" outlineLevel="0" collapsed="false">
      <c r="A575" s="0" t="n">
        <v>574</v>
      </c>
      <c r="D575" s="0" t="s">
        <v>3234</v>
      </c>
      <c r="E575" s="0" t="s">
        <v>20</v>
      </c>
      <c r="F575" s="0" t="s">
        <v>3235</v>
      </c>
      <c r="H575" s="0" t="s">
        <v>22</v>
      </c>
      <c r="I575" s="2" t="s">
        <v>23</v>
      </c>
      <c r="J575" s="2" t="s">
        <v>2911</v>
      </c>
      <c r="K575" s="0" t="s">
        <v>2912</v>
      </c>
      <c r="L575" s="0" t="s">
        <v>757</v>
      </c>
      <c r="M575" s="0" t="s">
        <v>2965</v>
      </c>
      <c r="N575" s="0" t="s">
        <v>2914</v>
      </c>
      <c r="O575" s="3" t="s">
        <v>3236</v>
      </c>
      <c r="P575" s="2" t="s">
        <v>3237</v>
      </c>
      <c r="Q575" s="2" t="s">
        <v>3238</v>
      </c>
      <c r="R575" s="2" t="s">
        <v>280</v>
      </c>
      <c r="S575" s="2" t="s">
        <v>33</v>
      </c>
    </row>
    <row r="576" customFormat="false" ht="15" hidden="false" customHeight="false" outlineLevel="0" collapsed="false">
      <c r="A576" s="0" t="n">
        <v>575</v>
      </c>
      <c r="D576" s="0" t="s">
        <v>3239</v>
      </c>
      <c r="E576" s="0" t="s">
        <v>20</v>
      </c>
      <c r="F576" s="0" t="s">
        <v>3240</v>
      </c>
      <c r="H576" s="0" t="s">
        <v>22</v>
      </c>
      <c r="I576" s="2" t="s">
        <v>23</v>
      </c>
      <c r="J576" s="2" t="s">
        <v>2911</v>
      </c>
      <c r="K576" s="0" t="s">
        <v>2912</v>
      </c>
      <c r="L576" s="0" t="s">
        <v>3139</v>
      </c>
      <c r="M576" s="0" t="s">
        <v>2913</v>
      </c>
      <c r="N576" s="0" t="s">
        <v>2914</v>
      </c>
      <c r="O576" s="3" t="s">
        <v>3241</v>
      </c>
      <c r="P576" s="2" t="s">
        <v>3242</v>
      </c>
      <c r="Q576" s="2" t="s">
        <v>3243</v>
      </c>
      <c r="R576" s="2" t="s">
        <v>48</v>
      </c>
      <c r="S576" s="2" t="s">
        <v>33</v>
      </c>
    </row>
    <row r="577" customFormat="false" ht="15" hidden="false" customHeight="false" outlineLevel="0" collapsed="false">
      <c r="A577" s="0" t="n">
        <v>576</v>
      </c>
      <c r="D577" s="0" t="s">
        <v>3244</v>
      </c>
      <c r="E577" s="0" t="s">
        <v>20</v>
      </c>
      <c r="F577" s="0" t="s">
        <v>3245</v>
      </c>
      <c r="H577" s="0" t="s">
        <v>22</v>
      </c>
      <c r="I577" s="2" t="s">
        <v>23</v>
      </c>
      <c r="J577" s="2" t="s">
        <v>2911</v>
      </c>
      <c r="K577" s="0" t="s">
        <v>2912</v>
      </c>
      <c r="L577" s="0" t="s">
        <v>102</v>
      </c>
      <c r="M577" s="0" t="s">
        <v>2993</v>
      </c>
      <c r="N577" s="0" t="s">
        <v>2914</v>
      </c>
      <c r="O577" s="3" t="s">
        <v>3246</v>
      </c>
      <c r="P577" s="2" t="s">
        <v>3247</v>
      </c>
      <c r="Q577" s="2" t="s">
        <v>3248</v>
      </c>
      <c r="R577" s="2" t="s">
        <v>48</v>
      </c>
      <c r="S577" s="2" t="s">
        <v>33</v>
      </c>
    </row>
    <row r="578" customFormat="false" ht="15" hidden="false" customHeight="false" outlineLevel="0" collapsed="false">
      <c r="A578" s="0" t="n">
        <v>577</v>
      </c>
      <c r="D578" s="0" t="s">
        <v>3249</v>
      </c>
      <c r="E578" s="0" t="s">
        <v>20</v>
      </c>
      <c r="F578" s="0" t="s">
        <v>3250</v>
      </c>
      <c r="H578" s="0" t="s">
        <v>22</v>
      </c>
      <c r="I578" s="2" t="s">
        <v>23</v>
      </c>
      <c r="J578" s="2" t="s">
        <v>2911</v>
      </c>
      <c r="K578" s="0" t="s">
        <v>2912</v>
      </c>
      <c r="L578" s="0" t="s">
        <v>102</v>
      </c>
      <c r="M578" s="0" t="s">
        <v>2993</v>
      </c>
      <c r="N578" s="0" t="s">
        <v>2914</v>
      </c>
      <c r="O578" s="3" t="s">
        <v>3251</v>
      </c>
      <c r="P578" s="2" t="s">
        <v>3252</v>
      </c>
      <c r="Q578" s="2" t="s">
        <v>3253</v>
      </c>
      <c r="R578" s="2" t="s">
        <v>32</v>
      </c>
      <c r="S578" s="2" t="s">
        <v>33</v>
      </c>
    </row>
    <row r="579" customFormat="false" ht="15" hidden="false" customHeight="false" outlineLevel="0" collapsed="false">
      <c r="A579" s="0" t="n">
        <v>578</v>
      </c>
      <c r="D579" s="0" t="s">
        <v>3254</v>
      </c>
      <c r="E579" s="0" t="s">
        <v>20</v>
      </c>
      <c r="F579" s="0" t="s">
        <v>3255</v>
      </c>
      <c r="H579" s="0" t="s">
        <v>22</v>
      </c>
      <c r="I579" s="2" t="s">
        <v>23</v>
      </c>
      <c r="J579" s="2" t="s">
        <v>2911</v>
      </c>
      <c r="K579" s="0" t="s">
        <v>2912</v>
      </c>
      <c r="L579" s="0" t="s">
        <v>757</v>
      </c>
      <c r="M579" s="0" t="s">
        <v>2965</v>
      </c>
      <c r="N579" s="0" t="s">
        <v>2914</v>
      </c>
      <c r="O579" s="3" t="s">
        <v>3256</v>
      </c>
      <c r="P579" s="2" t="s">
        <v>3257</v>
      </c>
      <c r="Q579" s="2" t="s">
        <v>3258</v>
      </c>
      <c r="R579" s="2" t="s">
        <v>32</v>
      </c>
      <c r="S579" s="2" t="s">
        <v>33</v>
      </c>
    </row>
    <row r="580" customFormat="false" ht="15" hidden="false" customHeight="false" outlineLevel="0" collapsed="false">
      <c r="A580" s="0" t="n">
        <v>579</v>
      </c>
      <c r="D580" s="0" t="s">
        <v>3259</v>
      </c>
      <c r="E580" s="0" t="s">
        <v>20</v>
      </c>
      <c r="F580" s="0" t="s">
        <v>3260</v>
      </c>
      <c r="H580" s="0" t="s">
        <v>22</v>
      </c>
      <c r="I580" s="2" t="s">
        <v>23</v>
      </c>
      <c r="J580" s="2" t="s">
        <v>2911</v>
      </c>
      <c r="K580" s="0" t="s">
        <v>2912</v>
      </c>
      <c r="L580" s="0" t="s">
        <v>3139</v>
      </c>
      <c r="M580" s="0" t="s">
        <v>2913</v>
      </c>
      <c r="N580" s="0" t="s">
        <v>2914</v>
      </c>
      <c r="O580" s="3" t="s">
        <v>3261</v>
      </c>
      <c r="P580" s="2" t="s">
        <v>3262</v>
      </c>
      <c r="Q580" s="2" t="s">
        <v>3263</v>
      </c>
      <c r="R580" s="2" t="s">
        <v>32</v>
      </c>
      <c r="S580" s="2" t="s">
        <v>33</v>
      </c>
    </row>
    <row r="581" customFormat="false" ht="15" hidden="false" customHeight="false" outlineLevel="0" collapsed="false">
      <c r="A581" s="0" t="n">
        <v>580</v>
      </c>
      <c r="D581" s="0" t="s">
        <v>3264</v>
      </c>
      <c r="E581" s="0" t="s">
        <v>20</v>
      </c>
      <c r="F581" s="0" t="s">
        <v>3265</v>
      </c>
      <c r="H581" s="0" t="s">
        <v>22</v>
      </c>
      <c r="I581" s="2" t="s">
        <v>23</v>
      </c>
      <c r="J581" s="2" t="s">
        <v>2911</v>
      </c>
      <c r="K581" s="0" t="s">
        <v>2912</v>
      </c>
      <c r="L581" s="0" t="s">
        <v>2111</v>
      </c>
      <c r="M581" s="0" t="s">
        <v>2975</v>
      </c>
      <c r="N581" s="0" t="s">
        <v>2914</v>
      </c>
      <c r="O581" s="3" t="s">
        <v>3266</v>
      </c>
      <c r="P581" s="2" t="s">
        <v>3267</v>
      </c>
      <c r="Q581" s="2" t="s">
        <v>3268</v>
      </c>
      <c r="R581" s="2" t="s">
        <v>32</v>
      </c>
      <c r="S581" s="2" t="s">
        <v>33</v>
      </c>
    </row>
    <row r="582" customFormat="false" ht="15" hidden="false" customHeight="false" outlineLevel="0" collapsed="false">
      <c r="A582" s="0" t="n">
        <v>581</v>
      </c>
      <c r="D582" s="0" t="s">
        <v>3269</v>
      </c>
      <c r="E582" s="0" t="s">
        <v>20</v>
      </c>
      <c r="F582" s="0" t="s">
        <v>3270</v>
      </c>
      <c r="H582" s="0" t="s">
        <v>22</v>
      </c>
      <c r="I582" s="2" t="s">
        <v>23</v>
      </c>
      <c r="J582" s="2" t="s">
        <v>2911</v>
      </c>
      <c r="K582" s="0" t="s">
        <v>2912</v>
      </c>
      <c r="L582" s="0" t="s">
        <v>3271</v>
      </c>
      <c r="M582" s="0" t="s">
        <v>3272</v>
      </c>
      <c r="N582" s="0" t="s">
        <v>2914</v>
      </c>
      <c r="O582" s="3" t="s">
        <v>3273</v>
      </c>
      <c r="P582" s="2" t="s">
        <v>3274</v>
      </c>
      <c r="Q582" s="2" t="s">
        <v>3275</v>
      </c>
      <c r="R582" s="2" t="s">
        <v>32</v>
      </c>
      <c r="S582" s="2" t="s">
        <v>33</v>
      </c>
    </row>
    <row r="583" customFormat="false" ht="15" hidden="false" customHeight="false" outlineLevel="0" collapsed="false">
      <c r="A583" s="0" t="n">
        <v>582</v>
      </c>
      <c r="D583" s="0" t="s">
        <v>3276</v>
      </c>
      <c r="E583" s="0" t="s">
        <v>20</v>
      </c>
      <c r="F583" s="0" t="s">
        <v>3277</v>
      </c>
      <c r="H583" s="0" t="s">
        <v>22</v>
      </c>
      <c r="I583" s="2" t="s">
        <v>23</v>
      </c>
      <c r="J583" s="2" t="s">
        <v>2911</v>
      </c>
      <c r="K583" s="0" t="s">
        <v>2912</v>
      </c>
      <c r="L583" s="0" t="s">
        <v>77</v>
      </c>
      <c r="M583" s="0" t="s">
        <v>2920</v>
      </c>
      <c r="N583" s="0" t="s">
        <v>2914</v>
      </c>
      <c r="O583" s="3" t="s">
        <v>3278</v>
      </c>
      <c r="P583" s="2" t="s">
        <v>3279</v>
      </c>
      <c r="Q583" s="2" t="s">
        <v>3280</v>
      </c>
      <c r="R583" s="2" t="s">
        <v>32</v>
      </c>
      <c r="S583" s="2" t="s">
        <v>33</v>
      </c>
    </row>
    <row r="584" customFormat="false" ht="15" hidden="false" customHeight="false" outlineLevel="0" collapsed="false">
      <c r="A584" s="0" t="n">
        <v>583</v>
      </c>
      <c r="D584" s="0" t="s">
        <v>3281</v>
      </c>
      <c r="E584" s="0" t="s">
        <v>20</v>
      </c>
      <c r="F584" s="0" t="s">
        <v>3282</v>
      </c>
      <c r="H584" s="0" t="s">
        <v>22</v>
      </c>
      <c r="I584" s="2" t="s">
        <v>23</v>
      </c>
      <c r="J584" s="2" t="s">
        <v>2911</v>
      </c>
      <c r="K584" s="0" t="s">
        <v>2912</v>
      </c>
      <c r="L584" s="0" t="s">
        <v>2593</v>
      </c>
      <c r="M584" s="0" t="s">
        <v>3000</v>
      </c>
      <c r="N584" s="0" t="s">
        <v>2914</v>
      </c>
      <c r="O584" s="3" t="s">
        <v>3283</v>
      </c>
      <c r="P584" s="2" t="s">
        <v>3284</v>
      </c>
      <c r="Q584" s="2" t="s">
        <v>3285</v>
      </c>
      <c r="R584" s="2" t="s">
        <v>32</v>
      </c>
      <c r="S584" s="2" t="s">
        <v>33</v>
      </c>
    </row>
    <row r="585" customFormat="false" ht="15" hidden="false" customHeight="false" outlineLevel="0" collapsed="false">
      <c r="A585" s="0" t="n">
        <v>584</v>
      </c>
      <c r="D585" s="0" t="s">
        <v>3286</v>
      </c>
      <c r="E585" s="0" t="s">
        <v>20</v>
      </c>
      <c r="H585" s="0" t="s">
        <v>22</v>
      </c>
      <c r="I585" s="2" t="s">
        <v>23</v>
      </c>
      <c r="J585" s="2" t="s">
        <v>2911</v>
      </c>
      <c r="K585" s="0" t="s">
        <v>2912</v>
      </c>
      <c r="L585" s="0" t="s">
        <v>77</v>
      </c>
      <c r="M585" s="0" t="s">
        <v>2920</v>
      </c>
      <c r="N585" s="0" t="s">
        <v>2914</v>
      </c>
      <c r="O585" s="3" t="s">
        <v>3287</v>
      </c>
      <c r="P585" s="2" t="s">
        <v>3288</v>
      </c>
      <c r="Q585" s="2" t="s">
        <v>3289</v>
      </c>
      <c r="R585" s="2" t="s">
        <v>99</v>
      </c>
      <c r="S585" s="2" t="s">
        <v>33</v>
      </c>
    </row>
    <row r="586" customFormat="false" ht="15" hidden="false" customHeight="false" outlineLevel="0" collapsed="false">
      <c r="A586" s="0" t="n">
        <v>585</v>
      </c>
      <c r="D586" s="0" t="s">
        <v>3290</v>
      </c>
      <c r="E586" s="0" t="s">
        <v>20</v>
      </c>
      <c r="F586" s="0" t="s">
        <v>3291</v>
      </c>
      <c r="H586" s="0" t="s">
        <v>22</v>
      </c>
      <c r="I586" s="2" t="s">
        <v>23</v>
      </c>
      <c r="J586" s="2" t="s">
        <v>2911</v>
      </c>
      <c r="K586" s="0" t="s">
        <v>2912</v>
      </c>
      <c r="L586" s="0" t="s">
        <v>77</v>
      </c>
      <c r="M586" s="0" t="s">
        <v>2920</v>
      </c>
      <c r="N586" s="0" t="s">
        <v>2914</v>
      </c>
      <c r="O586" s="3" t="s">
        <v>3292</v>
      </c>
      <c r="P586" s="2" t="s">
        <v>3293</v>
      </c>
      <c r="Q586" s="2" t="s">
        <v>3294</v>
      </c>
      <c r="R586" s="2" t="s">
        <v>32</v>
      </c>
      <c r="S586" s="2" t="s">
        <v>33</v>
      </c>
    </row>
    <row r="587" customFormat="false" ht="15" hidden="false" customHeight="false" outlineLevel="0" collapsed="false">
      <c r="A587" s="0" t="n">
        <v>586</v>
      </c>
      <c r="D587" s="0" t="s">
        <v>3295</v>
      </c>
      <c r="E587" s="0" t="s">
        <v>20</v>
      </c>
      <c r="F587" s="0" t="s">
        <v>3296</v>
      </c>
      <c r="H587" s="0" t="s">
        <v>22</v>
      </c>
      <c r="I587" s="2" t="s">
        <v>23</v>
      </c>
      <c r="J587" s="2" t="s">
        <v>2911</v>
      </c>
      <c r="K587" s="0" t="s">
        <v>2912</v>
      </c>
      <c r="L587" s="0" t="s">
        <v>2593</v>
      </c>
      <c r="M587" s="0" t="s">
        <v>3000</v>
      </c>
      <c r="N587" s="0" t="s">
        <v>2914</v>
      </c>
      <c r="O587" s="3" t="s">
        <v>3297</v>
      </c>
      <c r="P587" s="2" t="s">
        <v>3298</v>
      </c>
      <c r="Q587" s="2" t="s">
        <v>3299</v>
      </c>
      <c r="R587" s="2" t="s">
        <v>32</v>
      </c>
      <c r="S587" s="2" t="s">
        <v>33</v>
      </c>
    </row>
    <row r="588" customFormat="false" ht="15" hidden="false" customHeight="false" outlineLevel="0" collapsed="false">
      <c r="A588" s="0" t="n">
        <v>587</v>
      </c>
      <c r="D588" s="0" t="s">
        <v>3300</v>
      </c>
      <c r="E588" s="0" t="s">
        <v>20</v>
      </c>
      <c r="F588" s="0" t="s">
        <v>3301</v>
      </c>
      <c r="H588" s="0" t="s">
        <v>22</v>
      </c>
      <c r="I588" s="2" t="s">
        <v>23</v>
      </c>
      <c r="J588" s="2" t="s">
        <v>2911</v>
      </c>
      <c r="K588" s="0" t="s">
        <v>2912</v>
      </c>
      <c r="L588" s="0" t="s">
        <v>2593</v>
      </c>
      <c r="M588" s="0" t="s">
        <v>3000</v>
      </c>
      <c r="N588" s="0" t="s">
        <v>2914</v>
      </c>
      <c r="O588" s="3" t="s">
        <v>3302</v>
      </c>
      <c r="P588" s="2" t="s">
        <v>3303</v>
      </c>
      <c r="Q588" s="2" t="s">
        <v>3304</v>
      </c>
      <c r="R588" s="2" t="s">
        <v>32</v>
      </c>
      <c r="S588" s="2" t="s">
        <v>33</v>
      </c>
    </row>
    <row r="589" customFormat="false" ht="15" hidden="false" customHeight="false" outlineLevel="0" collapsed="false">
      <c r="A589" s="0" t="n">
        <v>588</v>
      </c>
      <c r="D589" s="0" t="s">
        <v>3305</v>
      </c>
      <c r="E589" s="0" t="s">
        <v>20</v>
      </c>
      <c r="F589" s="0" t="s">
        <v>3306</v>
      </c>
      <c r="H589" s="0" t="s">
        <v>22</v>
      </c>
      <c r="I589" s="2" t="s">
        <v>23</v>
      </c>
      <c r="J589" s="2" t="s">
        <v>2911</v>
      </c>
      <c r="K589" s="0" t="s">
        <v>2912</v>
      </c>
      <c r="L589" s="0" t="s">
        <v>102</v>
      </c>
      <c r="M589" s="0" t="s">
        <v>2993</v>
      </c>
      <c r="N589" s="0" t="s">
        <v>2914</v>
      </c>
      <c r="O589" s="3" t="s">
        <v>3307</v>
      </c>
      <c r="P589" s="2" t="s">
        <v>3308</v>
      </c>
      <c r="Q589" s="2" t="s">
        <v>3309</v>
      </c>
      <c r="R589" s="2" t="s">
        <v>32</v>
      </c>
      <c r="S589" s="2" t="s">
        <v>33</v>
      </c>
    </row>
    <row r="590" customFormat="false" ht="15" hidden="false" customHeight="false" outlineLevel="0" collapsed="false">
      <c r="A590" s="0" t="n">
        <v>589</v>
      </c>
      <c r="D590" s="0" t="s">
        <v>3310</v>
      </c>
      <c r="E590" s="0" t="s">
        <v>20</v>
      </c>
      <c r="F590" s="0" t="s">
        <v>3311</v>
      </c>
      <c r="H590" s="0" t="s">
        <v>22</v>
      </c>
      <c r="I590" s="2" t="s">
        <v>23</v>
      </c>
      <c r="J590" s="2" t="s">
        <v>2911</v>
      </c>
      <c r="K590" s="0" t="s">
        <v>2912</v>
      </c>
      <c r="L590" s="0" t="s">
        <v>483</v>
      </c>
      <c r="M590" s="0" t="s">
        <v>2987</v>
      </c>
      <c r="N590" s="0" t="s">
        <v>2914</v>
      </c>
      <c r="O590" s="3" t="s">
        <v>3312</v>
      </c>
      <c r="P590" s="2" t="s">
        <v>3313</v>
      </c>
      <c r="Q590" s="2" t="s">
        <v>3314</v>
      </c>
      <c r="R590" s="2" t="s">
        <v>32</v>
      </c>
      <c r="S590" s="2" t="s">
        <v>33</v>
      </c>
    </row>
    <row r="591" customFormat="false" ht="15" hidden="false" customHeight="false" outlineLevel="0" collapsed="false">
      <c r="A591" s="0" t="n">
        <v>590</v>
      </c>
      <c r="D591" s="0" t="s">
        <v>3315</v>
      </c>
      <c r="E591" s="0" t="s">
        <v>20</v>
      </c>
      <c r="F591" s="0" t="s">
        <v>3316</v>
      </c>
      <c r="H591" s="0" t="s">
        <v>22</v>
      </c>
      <c r="I591" s="2" t="s">
        <v>23</v>
      </c>
      <c r="J591" s="2" t="s">
        <v>2911</v>
      </c>
      <c r="K591" s="0" t="s">
        <v>2912</v>
      </c>
      <c r="L591" s="0" t="s">
        <v>1668</v>
      </c>
      <c r="M591" s="0" t="s">
        <v>2938</v>
      </c>
      <c r="N591" s="0" t="s">
        <v>2914</v>
      </c>
      <c r="O591" s="3" t="s">
        <v>3317</v>
      </c>
      <c r="P591" s="2" t="s">
        <v>3318</v>
      </c>
      <c r="Q591" s="2" t="s">
        <v>3319</v>
      </c>
      <c r="R591" s="2" t="s">
        <v>32</v>
      </c>
      <c r="S591" s="2" t="s">
        <v>33</v>
      </c>
    </row>
    <row r="592" customFormat="false" ht="15" hidden="false" customHeight="false" outlineLevel="0" collapsed="false">
      <c r="A592" s="0" t="n">
        <v>591</v>
      </c>
      <c r="D592" s="0" t="s">
        <v>3320</v>
      </c>
      <c r="E592" s="0" t="s">
        <v>20</v>
      </c>
      <c r="F592" s="0" t="s">
        <v>3321</v>
      </c>
      <c r="H592" s="0" t="s">
        <v>22</v>
      </c>
      <c r="I592" s="2" t="s">
        <v>23</v>
      </c>
      <c r="J592" s="2" t="s">
        <v>2911</v>
      </c>
      <c r="K592" s="0" t="s">
        <v>2912</v>
      </c>
      <c r="L592" s="0" t="s">
        <v>483</v>
      </c>
      <c r="M592" s="0" t="s">
        <v>2987</v>
      </c>
      <c r="N592" s="0" t="s">
        <v>2914</v>
      </c>
      <c r="O592" s="3" t="s">
        <v>3322</v>
      </c>
      <c r="P592" s="2" t="s">
        <v>3323</v>
      </c>
      <c r="Q592" s="2" t="s">
        <v>3324</v>
      </c>
      <c r="R592" s="2" t="s">
        <v>48</v>
      </c>
      <c r="S592" s="2" t="s">
        <v>33</v>
      </c>
    </row>
    <row r="593" customFormat="false" ht="15" hidden="false" customHeight="false" outlineLevel="0" collapsed="false">
      <c r="A593" s="0" t="n">
        <v>592</v>
      </c>
      <c r="D593" s="0" t="s">
        <v>3325</v>
      </c>
      <c r="E593" s="0" t="s">
        <v>20</v>
      </c>
      <c r="F593" s="0" t="s">
        <v>3326</v>
      </c>
      <c r="H593" s="0" t="s">
        <v>22</v>
      </c>
      <c r="I593" s="2" t="s">
        <v>23</v>
      </c>
      <c r="J593" s="2" t="s">
        <v>2911</v>
      </c>
      <c r="K593" s="0" t="s">
        <v>2912</v>
      </c>
      <c r="L593" s="0" t="s">
        <v>77</v>
      </c>
      <c r="M593" s="0" t="s">
        <v>2920</v>
      </c>
      <c r="N593" s="0" t="s">
        <v>2914</v>
      </c>
      <c r="O593" s="3" t="s">
        <v>3327</v>
      </c>
      <c r="P593" s="2" t="s">
        <v>3328</v>
      </c>
      <c r="Q593" s="2" t="s">
        <v>3329</v>
      </c>
      <c r="R593" s="2" t="s">
        <v>32</v>
      </c>
      <c r="S593" s="2" t="s">
        <v>33</v>
      </c>
    </row>
    <row r="594" customFormat="false" ht="15" hidden="false" customHeight="false" outlineLevel="0" collapsed="false">
      <c r="A594" s="0" t="n">
        <v>593</v>
      </c>
      <c r="D594" s="0" t="s">
        <v>3330</v>
      </c>
      <c r="E594" s="0" t="s">
        <v>20</v>
      </c>
      <c r="F594" s="0" t="s">
        <v>3331</v>
      </c>
      <c r="H594" s="0" t="s">
        <v>22</v>
      </c>
      <c r="I594" s="2" t="s">
        <v>23</v>
      </c>
      <c r="J594" s="2" t="s">
        <v>2911</v>
      </c>
      <c r="K594" s="0" t="s">
        <v>2912</v>
      </c>
      <c r="L594" s="0" t="s">
        <v>3332</v>
      </c>
      <c r="M594" s="0" t="s">
        <v>2975</v>
      </c>
      <c r="N594" s="0" t="s">
        <v>2914</v>
      </c>
      <c r="O594" s="3" t="s">
        <v>3333</v>
      </c>
      <c r="P594" s="2" t="s">
        <v>3334</v>
      </c>
      <c r="Q594" s="2" t="s">
        <v>3335</v>
      </c>
      <c r="R594" s="2" t="s">
        <v>32</v>
      </c>
      <c r="S594" s="2" t="s">
        <v>33</v>
      </c>
    </row>
    <row r="595" customFormat="false" ht="15" hidden="false" customHeight="false" outlineLevel="0" collapsed="false">
      <c r="A595" s="0" t="n">
        <v>594</v>
      </c>
      <c r="D595" s="0" t="s">
        <v>3336</v>
      </c>
      <c r="E595" s="0" t="s">
        <v>20</v>
      </c>
      <c r="F595" s="0" t="s">
        <v>3337</v>
      </c>
      <c r="H595" s="0" t="s">
        <v>22</v>
      </c>
      <c r="I595" s="2" t="s">
        <v>23</v>
      </c>
      <c r="J595" s="2" t="s">
        <v>2911</v>
      </c>
      <c r="K595" s="0" t="s">
        <v>2912</v>
      </c>
      <c r="L595" s="0" t="s">
        <v>2111</v>
      </c>
      <c r="M595" s="0" t="s">
        <v>2975</v>
      </c>
      <c r="N595" s="0" t="s">
        <v>2914</v>
      </c>
      <c r="O595" s="3" t="s">
        <v>3338</v>
      </c>
      <c r="P595" s="2" t="s">
        <v>3339</v>
      </c>
      <c r="Q595" s="2" t="s">
        <v>3340</v>
      </c>
      <c r="R595" s="2" t="s">
        <v>32</v>
      </c>
      <c r="S595" s="2" t="s">
        <v>33</v>
      </c>
    </row>
    <row r="596" customFormat="false" ht="15" hidden="false" customHeight="false" outlineLevel="0" collapsed="false">
      <c r="A596" s="0" t="n">
        <v>595</v>
      </c>
      <c r="D596" s="0" t="s">
        <v>3341</v>
      </c>
      <c r="E596" s="0" t="s">
        <v>20</v>
      </c>
      <c r="F596" s="0" t="s">
        <v>3342</v>
      </c>
      <c r="H596" s="0" t="s">
        <v>22</v>
      </c>
      <c r="I596" s="2" t="s">
        <v>23</v>
      </c>
      <c r="J596" s="2" t="s">
        <v>2911</v>
      </c>
      <c r="K596" s="0" t="s">
        <v>2912</v>
      </c>
      <c r="L596" s="0" t="s">
        <v>483</v>
      </c>
      <c r="M596" s="0" t="s">
        <v>2987</v>
      </c>
      <c r="N596" s="0" t="s">
        <v>2914</v>
      </c>
      <c r="O596" s="3" t="s">
        <v>3343</v>
      </c>
      <c r="P596" s="2" t="s">
        <v>3344</v>
      </c>
      <c r="Q596" s="2" t="s">
        <v>3345</v>
      </c>
      <c r="R596" s="2" t="s">
        <v>32</v>
      </c>
      <c r="S596" s="2" t="s">
        <v>33</v>
      </c>
    </row>
    <row r="597" customFormat="false" ht="15" hidden="false" customHeight="false" outlineLevel="0" collapsed="false">
      <c r="A597" s="0" t="n">
        <v>596</v>
      </c>
      <c r="D597" s="0" t="s">
        <v>3346</v>
      </c>
      <c r="E597" s="0" t="s">
        <v>20</v>
      </c>
      <c r="F597" s="0" t="s">
        <v>3347</v>
      </c>
      <c r="H597" s="0" t="s">
        <v>22</v>
      </c>
      <c r="I597" s="2" t="s">
        <v>23</v>
      </c>
      <c r="J597" s="2" t="s">
        <v>2911</v>
      </c>
      <c r="K597" s="0" t="s">
        <v>2912</v>
      </c>
      <c r="L597" s="0" t="s">
        <v>757</v>
      </c>
      <c r="M597" s="0" t="s">
        <v>2965</v>
      </c>
      <c r="N597" s="0" t="s">
        <v>2914</v>
      </c>
      <c r="O597" s="3" t="s">
        <v>3348</v>
      </c>
      <c r="P597" s="2" t="s">
        <v>3349</v>
      </c>
      <c r="Q597" s="2" t="s">
        <v>3350</v>
      </c>
      <c r="R597" s="2" t="s">
        <v>99</v>
      </c>
      <c r="S597" s="2" t="s">
        <v>33</v>
      </c>
    </row>
    <row r="598" customFormat="false" ht="15" hidden="false" customHeight="false" outlineLevel="0" collapsed="false">
      <c r="A598" s="0" t="n">
        <v>597</v>
      </c>
      <c r="D598" s="0" t="s">
        <v>3351</v>
      </c>
      <c r="E598" s="0" t="s">
        <v>20</v>
      </c>
      <c r="F598" s="0" t="s">
        <v>3352</v>
      </c>
      <c r="H598" s="0" t="s">
        <v>22</v>
      </c>
      <c r="I598" s="2" t="s">
        <v>23</v>
      </c>
      <c r="J598" s="2" t="s">
        <v>2911</v>
      </c>
      <c r="K598" s="0" t="s">
        <v>2912</v>
      </c>
      <c r="L598" s="0" t="s">
        <v>2926</v>
      </c>
      <c r="M598" s="0" t="s">
        <v>2927</v>
      </c>
      <c r="N598" s="0" t="s">
        <v>2914</v>
      </c>
      <c r="O598" s="3" t="s">
        <v>3353</v>
      </c>
      <c r="P598" s="2" t="s">
        <v>3354</v>
      </c>
      <c r="Q598" s="2" t="s">
        <v>3355</v>
      </c>
      <c r="R598" s="2" t="s">
        <v>32</v>
      </c>
      <c r="S598" s="2" t="s">
        <v>33</v>
      </c>
    </row>
    <row r="599" customFormat="false" ht="15" hidden="false" customHeight="false" outlineLevel="0" collapsed="false">
      <c r="A599" s="0" t="n">
        <v>598</v>
      </c>
      <c r="D599" s="0" t="s">
        <v>3356</v>
      </c>
      <c r="E599" s="0" t="s">
        <v>20</v>
      </c>
      <c r="F599" s="0" t="s">
        <v>3357</v>
      </c>
      <c r="H599" s="0" t="s">
        <v>22</v>
      </c>
      <c r="I599" s="2" t="s">
        <v>23</v>
      </c>
      <c r="J599" s="2" t="s">
        <v>2911</v>
      </c>
      <c r="K599" s="0" t="s">
        <v>2912</v>
      </c>
      <c r="L599" s="0" t="s">
        <v>2111</v>
      </c>
      <c r="M599" s="0" t="s">
        <v>2975</v>
      </c>
      <c r="N599" s="0" t="s">
        <v>2914</v>
      </c>
      <c r="O599" s="3" t="s">
        <v>3358</v>
      </c>
      <c r="P599" s="2" t="s">
        <v>3359</v>
      </c>
      <c r="Q599" s="2" t="s">
        <v>3360</v>
      </c>
      <c r="R599" s="2" t="s">
        <v>32</v>
      </c>
      <c r="S599" s="2" t="s">
        <v>33</v>
      </c>
    </row>
    <row r="600" customFormat="false" ht="15" hidden="false" customHeight="false" outlineLevel="0" collapsed="false">
      <c r="A600" s="0" t="n">
        <v>599</v>
      </c>
      <c r="D600" s="0" t="s">
        <v>3361</v>
      </c>
      <c r="E600" s="0" t="s">
        <v>20</v>
      </c>
      <c r="H600" s="0" t="s">
        <v>22</v>
      </c>
      <c r="I600" s="2" t="s">
        <v>23</v>
      </c>
      <c r="J600" s="2" t="s">
        <v>2911</v>
      </c>
      <c r="K600" s="0" t="s">
        <v>2912</v>
      </c>
      <c r="L600" s="0" t="s">
        <v>3139</v>
      </c>
      <c r="M600" s="0" t="s">
        <v>2913</v>
      </c>
      <c r="N600" s="0" t="s">
        <v>2914</v>
      </c>
      <c r="O600" s="3" t="s">
        <v>3362</v>
      </c>
      <c r="P600" s="2" t="s">
        <v>3363</v>
      </c>
      <c r="Q600" s="2" t="s">
        <v>3364</v>
      </c>
      <c r="R600" s="2" t="s">
        <v>32</v>
      </c>
      <c r="S600" s="2" t="s">
        <v>33</v>
      </c>
    </row>
    <row r="601" customFormat="false" ht="15" hidden="false" customHeight="false" outlineLevel="0" collapsed="false">
      <c r="A601" s="0" t="n">
        <v>600</v>
      </c>
      <c r="D601" s="0" t="s">
        <v>3365</v>
      </c>
      <c r="E601" s="0" t="s">
        <v>20</v>
      </c>
      <c r="F601" s="0" t="s">
        <v>3366</v>
      </c>
      <c r="H601" s="0" t="s">
        <v>22</v>
      </c>
      <c r="I601" s="2" t="s">
        <v>23</v>
      </c>
      <c r="J601" s="2" t="s">
        <v>2911</v>
      </c>
      <c r="K601" s="0" t="s">
        <v>2912</v>
      </c>
      <c r="L601" s="0" t="s">
        <v>757</v>
      </c>
      <c r="M601" s="0" t="s">
        <v>2954</v>
      </c>
      <c r="N601" s="0" t="s">
        <v>2914</v>
      </c>
      <c r="O601" s="3" t="s">
        <v>3367</v>
      </c>
      <c r="P601" s="2" t="s">
        <v>3368</v>
      </c>
      <c r="Q601" s="2" t="s">
        <v>3369</v>
      </c>
      <c r="R601" s="2" t="s">
        <v>32</v>
      </c>
      <c r="S601" s="2" t="s">
        <v>33</v>
      </c>
    </row>
    <row r="602" customFormat="false" ht="15" hidden="false" customHeight="false" outlineLevel="0" collapsed="false">
      <c r="A602" s="0" t="n">
        <v>601</v>
      </c>
      <c r="D602" s="0" t="s">
        <v>3370</v>
      </c>
      <c r="E602" s="0" t="s">
        <v>20</v>
      </c>
      <c r="F602" s="0" t="s">
        <v>3371</v>
      </c>
      <c r="H602" s="0" t="s">
        <v>22</v>
      </c>
      <c r="I602" s="2" t="s">
        <v>23</v>
      </c>
      <c r="J602" s="2" t="s">
        <v>2911</v>
      </c>
      <c r="K602" s="0" t="s">
        <v>2912</v>
      </c>
      <c r="L602" s="0" t="s">
        <v>483</v>
      </c>
      <c r="M602" s="0" t="s">
        <v>2987</v>
      </c>
      <c r="N602" s="0" t="s">
        <v>2914</v>
      </c>
      <c r="O602" s="3" t="s">
        <v>3372</v>
      </c>
      <c r="P602" s="2" t="s">
        <v>3373</v>
      </c>
      <c r="Q602" s="2" t="s">
        <v>3374</v>
      </c>
      <c r="R602" s="2" t="s">
        <v>32</v>
      </c>
      <c r="S602" s="2" t="s">
        <v>33</v>
      </c>
    </row>
    <row r="603" customFormat="false" ht="15" hidden="false" customHeight="false" outlineLevel="0" collapsed="false">
      <c r="A603" s="0" t="n">
        <v>602</v>
      </c>
      <c r="D603" s="0" t="s">
        <v>3375</v>
      </c>
      <c r="E603" s="0" t="s">
        <v>20</v>
      </c>
      <c r="F603" s="0" t="s">
        <v>3376</v>
      </c>
      <c r="H603" s="0" t="s">
        <v>22</v>
      </c>
      <c r="I603" s="2" t="s">
        <v>23</v>
      </c>
      <c r="J603" s="2" t="s">
        <v>2911</v>
      </c>
      <c r="K603" s="0" t="s">
        <v>2912</v>
      </c>
      <c r="L603" s="0" t="s">
        <v>2926</v>
      </c>
      <c r="M603" s="0" t="s">
        <v>2927</v>
      </c>
      <c r="N603" s="0" t="s">
        <v>2914</v>
      </c>
      <c r="O603" s="3" t="s">
        <v>3377</v>
      </c>
      <c r="P603" s="2" t="s">
        <v>3378</v>
      </c>
      <c r="Q603" s="2" t="s">
        <v>3379</v>
      </c>
      <c r="R603" s="2" t="s">
        <v>32</v>
      </c>
      <c r="S603" s="2" t="s">
        <v>33</v>
      </c>
    </row>
    <row r="604" customFormat="false" ht="15" hidden="false" customHeight="false" outlineLevel="0" collapsed="false">
      <c r="A604" s="0" t="n">
        <v>603</v>
      </c>
      <c r="D604" s="0" t="s">
        <v>3380</v>
      </c>
      <c r="E604" s="0" t="s">
        <v>20</v>
      </c>
      <c r="F604" s="0" t="s">
        <v>3381</v>
      </c>
      <c r="H604" s="0" t="s">
        <v>22</v>
      </c>
      <c r="I604" s="2" t="s">
        <v>23</v>
      </c>
      <c r="J604" s="2" t="s">
        <v>2911</v>
      </c>
      <c r="K604" s="0" t="s">
        <v>2912</v>
      </c>
      <c r="L604" s="0" t="s">
        <v>3139</v>
      </c>
      <c r="M604" s="0" t="s">
        <v>2913</v>
      </c>
      <c r="N604" s="0" t="s">
        <v>2914</v>
      </c>
      <c r="O604" s="3" t="s">
        <v>3382</v>
      </c>
      <c r="P604" s="2" t="s">
        <v>3383</v>
      </c>
      <c r="Q604" s="2" t="s">
        <v>3384</v>
      </c>
      <c r="R604" s="2" t="s">
        <v>32</v>
      </c>
      <c r="S604" s="2" t="s">
        <v>33</v>
      </c>
    </row>
    <row r="605" customFormat="false" ht="15" hidden="false" customHeight="false" outlineLevel="0" collapsed="false">
      <c r="A605" s="0" t="n">
        <v>604</v>
      </c>
      <c r="D605" s="0" t="s">
        <v>3385</v>
      </c>
      <c r="E605" s="0" t="s">
        <v>20</v>
      </c>
      <c r="F605" s="0" t="s">
        <v>3386</v>
      </c>
      <c r="H605" s="0" t="s">
        <v>22</v>
      </c>
      <c r="I605" s="2" t="s">
        <v>23</v>
      </c>
      <c r="J605" s="2" t="s">
        <v>2911</v>
      </c>
      <c r="K605" s="0" t="s">
        <v>2912</v>
      </c>
      <c r="L605" s="0" t="s">
        <v>1668</v>
      </c>
      <c r="M605" s="0" t="s">
        <v>2938</v>
      </c>
      <c r="N605" s="0" t="s">
        <v>2914</v>
      </c>
      <c r="O605" s="3" t="s">
        <v>3387</v>
      </c>
      <c r="P605" s="2" t="s">
        <v>3388</v>
      </c>
      <c r="Q605" s="2" t="s">
        <v>3389</v>
      </c>
      <c r="R605" s="2" t="s">
        <v>99</v>
      </c>
      <c r="S605" s="2" t="s">
        <v>33</v>
      </c>
    </row>
    <row r="606" customFormat="false" ht="15" hidden="false" customHeight="false" outlineLevel="0" collapsed="false">
      <c r="A606" s="0" t="n">
        <v>605</v>
      </c>
      <c r="D606" s="0" t="s">
        <v>3390</v>
      </c>
      <c r="E606" s="0" t="s">
        <v>20</v>
      </c>
      <c r="F606" s="0" t="s">
        <v>3391</v>
      </c>
      <c r="H606" s="0" t="s">
        <v>22</v>
      </c>
      <c r="I606" s="2" t="s">
        <v>23</v>
      </c>
      <c r="J606" s="2" t="s">
        <v>2911</v>
      </c>
      <c r="K606" s="0" t="s">
        <v>2912</v>
      </c>
      <c r="L606" s="0" t="s">
        <v>483</v>
      </c>
      <c r="M606" s="0" t="s">
        <v>2987</v>
      </c>
      <c r="N606" s="0" t="s">
        <v>2914</v>
      </c>
      <c r="O606" s="3" t="s">
        <v>3392</v>
      </c>
      <c r="P606" s="2" t="s">
        <v>3393</v>
      </c>
      <c r="Q606" s="2" t="s">
        <v>3394</v>
      </c>
      <c r="R606" s="2" t="s">
        <v>32</v>
      </c>
      <c r="S606" s="2" t="s">
        <v>33</v>
      </c>
    </row>
    <row r="607" customFormat="false" ht="15" hidden="false" customHeight="false" outlineLevel="0" collapsed="false">
      <c r="A607" s="0" t="n">
        <v>606</v>
      </c>
      <c r="D607" s="0" t="s">
        <v>3395</v>
      </c>
      <c r="E607" s="0" t="s">
        <v>20</v>
      </c>
      <c r="F607" s="0" t="s">
        <v>3396</v>
      </c>
      <c r="H607" s="0" t="s">
        <v>22</v>
      </c>
      <c r="I607" s="2" t="s">
        <v>23</v>
      </c>
      <c r="J607" s="2" t="s">
        <v>2911</v>
      </c>
      <c r="K607" s="0" t="s">
        <v>2912</v>
      </c>
      <c r="L607" s="0" t="s">
        <v>483</v>
      </c>
      <c r="M607" s="0" t="s">
        <v>2987</v>
      </c>
      <c r="N607" s="0" t="s">
        <v>2914</v>
      </c>
      <c r="O607" s="3" t="s">
        <v>3397</v>
      </c>
      <c r="P607" s="2" t="s">
        <v>3398</v>
      </c>
      <c r="Q607" s="2" t="s">
        <v>3399</v>
      </c>
      <c r="R607" s="2" t="s">
        <v>32</v>
      </c>
      <c r="S607" s="2" t="s">
        <v>33</v>
      </c>
    </row>
    <row r="608" customFormat="false" ht="15" hidden="false" customHeight="false" outlineLevel="0" collapsed="false">
      <c r="A608" s="0" t="n">
        <v>607</v>
      </c>
      <c r="D608" s="0" t="s">
        <v>3400</v>
      </c>
      <c r="E608" s="0" t="s">
        <v>20</v>
      </c>
      <c r="H608" s="0" t="s">
        <v>22</v>
      </c>
      <c r="I608" s="2" t="s">
        <v>23</v>
      </c>
      <c r="J608" s="2" t="s">
        <v>2911</v>
      </c>
      <c r="K608" s="0" t="s">
        <v>2912</v>
      </c>
      <c r="L608" s="0" t="s">
        <v>483</v>
      </c>
      <c r="M608" s="0" t="s">
        <v>2987</v>
      </c>
      <c r="N608" s="0" t="s">
        <v>2914</v>
      </c>
      <c r="O608" s="3" t="s">
        <v>3401</v>
      </c>
      <c r="P608" s="2" t="s">
        <v>3402</v>
      </c>
      <c r="Q608" s="2" t="s">
        <v>3403</v>
      </c>
      <c r="R608" s="2" t="s">
        <v>32</v>
      </c>
      <c r="S608" s="2" t="s">
        <v>33</v>
      </c>
    </row>
    <row r="609" customFormat="false" ht="15" hidden="false" customHeight="false" outlineLevel="0" collapsed="false">
      <c r="A609" s="0" t="n">
        <v>608</v>
      </c>
      <c r="D609" s="0" t="s">
        <v>3404</v>
      </c>
      <c r="E609" s="0" t="s">
        <v>20</v>
      </c>
      <c r="F609" s="0" t="s">
        <v>3405</v>
      </c>
      <c r="H609" s="0" t="s">
        <v>22</v>
      </c>
      <c r="I609" s="2" t="s">
        <v>23</v>
      </c>
      <c r="J609" s="2" t="s">
        <v>2911</v>
      </c>
      <c r="K609" s="0" t="s">
        <v>2912</v>
      </c>
      <c r="L609" s="0" t="s">
        <v>102</v>
      </c>
      <c r="M609" s="0" t="s">
        <v>2993</v>
      </c>
      <c r="N609" s="0" t="s">
        <v>2914</v>
      </c>
      <c r="O609" s="3" t="s">
        <v>3406</v>
      </c>
      <c r="P609" s="2" t="s">
        <v>3407</v>
      </c>
      <c r="Q609" s="2" t="s">
        <v>3408</v>
      </c>
      <c r="R609" s="2" t="s">
        <v>32</v>
      </c>
      <c r="S609" s="2" t="s">
        <v>33</v>
      </c>
    </row>
    <row r="610" customFormat="false" ht="15" hidden="false" customHeight="false" outlineLevel="0" collapsed="false">
      <c r="A610" s="0" t="n">
        <v>609</v>
      </c>
      <c r="D610" s="0" t="s">
        <v>3409</v>
      </c>
      <c r="E610" s="0" t="s">
        <v>20</v>
      </c>
      <c r="F610" s="0" t="s">
        <v>3410</v>
      </c>
      <c r="H610" s="0" t="s">
        <v>22</v>
      </c>
      <c r="I610" s="2" t="s">
        <v>23</v>
      </c>
      <c r="J610" s="2" t="s">
        <v>2911</v>
      </c>
      <c r="K610" s="0" t="s">
        <v>2912</v>
      </c>
      <c r="L610" s="0" t="s">
        <v>483</v>
      </c>
      <c r="M610" s="0" t="s">
        <v>2987</v>
      </c>
      <c r="N610" s="0" t="s">
        <v>2914</v>
      </c>
      <c r="O610" s="3" t="s">
        <v>3411</v>
      </c>
      <c r="P610" s="2" t="s">
        <v>3412</v>
      </c>
      <c r="Q610" s="2" t="s">
        <v>3413</v>
      </c>
      <c r="R610" s="2" t="s">
        <v>32</v>
      </c>
      <c r="S610" s="2" t="s">
        <v>33</v>
      </c>
    </row>
    <row r="611" customFormat="false" ht="15" hidden="false" customHeight="false" outlineLevel="0" collapsed="false">
      <c r="A611" s="0" t="n">
        <v>610</v>
      </c>
      <c r="D611" s="0" t="s">
        <v>3414</v>
      </c>
      <c r="E611" s="0" t="s">
        <v>20</v>
      </c>
      <c r="F611" s="0" t="s">
        <v>3415</v>
      </c>
      <c r="H611" s="0" t="s">
        <v>22</v>
      </c>
      <c r="I611" s="2" t="s">
        <v>23</v>
      </c>
      <c r="J611" s="2" t="s">
        <v>2911</v>
      </c>
      <c r="K611" s="0" t="s">
        <v>2912</v>
      </c>
      <c r="L611" s="0" t="s">
        <v>357</v>
      </c>
      <c r="M611" s="0" t="s">
        <v>2954</v>
      </c>
      <c r="N611" s="0" t="s">
        <v>2914</v>
      </c>
      <c r="O611" s="3" t="s">
        <v>3416</v>
      </c>
      <c r="P611" s="2" t="s">
        <v>3417</v>
      </c>
      <c r="Q611" s="2" t="s">
        <v>3418</v>
      </c>
      <c r="R611" s="2" t="s">
        <v>32</v>
      </c>
      <c r="S611" s="2" t="s">
        <v>33</v>
      </c>
    </row>
    <row r="612" customFormat="false" ht="15" hidden="false" customHeight="false" outlineLevel="0" collapsed="false">
      <c r="A612" s="0" t="n">
        <v>611</v>
      </c>
      <c r="D612" s="0" t="s">
        <v>3419</v>
      </c>
      <c r="E612" s="0" t="s">
        <v>20</v>
      </c>
      <c r="H612" s="0" t="s">
        <v>22</v>
      </c>
      <c r="I612" s="2" t="s">
        <v>23</v>
      </c>
      <c r="J612" s="2" t="s">
        <v>2911</v>
      </c>
      <c r="K612" s="0" t="s">
        <v>2912</v>
      </c>
      <c r="L612" s="0" t="s">
        <v>77</v>
      </c>
      <c r="M612" s="0" t="s">
        <v>2920</v>
      </c>
      <c r="N612" s="0" t="s">
        <v>2914</v>
      </c>
      <c r="O612" s="3" t="s">
        <v>3420</v>
      </c>
      <c r="P612" s="2" t="s">
        <v>3421</v>
      </c>
      <c r="Q612" s="2" t="s">
        <v>3422</v>
      </c>
      <c r="R612" s="2" t="s">
        <v>32</v>
      </c>
      <c r="S612" s="2" t="s">
        <v>33</v>
      </c>
    </row>
    <row r="613" customFormat="false" ht="15" hidden="false" customHeight="false" outlineLevel="0" collapsed="false">
      <c r="A613" s="0" t="n">
        <v>612</v>
      </c>
      <c r="D613" s="0" t="s">
        <v>3423</v>
      </c>
      <c r="E613" s="0" t="s">
        <v>20</v>
      </c>
      <c r="F613" s="0" t="s">
        <v>3424</v>
      </c>
      <c r="H613" s="0" t="s">
        <v>22</v>
      </c>
      <c r="I613" s="2" t="s">
        <v>23</v>
      </c>
      <c r="J613" s="2" t="s">
        <v>2911</v>
      </c>
      <c r="K613" s="0" t="s">
        <v>2912</v>
      </c>
      <c r="L613" s="0" t="s">
        <v>757</v>
      </c>
      <c r="M613" s="0" t="s">
        <v>2965</v>
      </c>
      <c r="N613" s="0" t="s">
        <v>2914</v>
      </c>
      <c r="O613" s="3" t="s">
        <v>3425</v>
      </c>
      <c r="P613" s="2" t="s">
        <v>3426</v>
      </c>
      <c r="Q613" s="2" t="s">
        <v>3427</v>
      </c>
      <c r="R613" s="2" t="s">
        <v>99</v>
      </c>
      <c r="S613" s="2" t="s">
        <v>33</v>
      </c>
    </row>
    <row r="614" customFormat="false" ht="15" hidden="false" customHeight="false" outlineLevel="0" collapsed="false">
      <c r="A614" s="0" t="n">
        <v>613</v>
      </c>
      <c r="D614" s="0" t="s">
        <v>3428</v>
      </c>
      <c r="E614" s="0" t="s">
        <v>20</v>
      </c>
      <c r="F614" s="0" t="s">
        <v>3429</v>
      </c>
      <c r="H614" s="0" t="s">
        <v>22</v>
      </c>
      <c r="I614" s="2" t="s">
        <v>23</v>
      </c>
      <c r="J614" s="2" t="s">
        <v>2911</v>
      </c>
      <c r="K614" s="0" t="s">
        <v>2912</v>
      </c>
      <c r="L614" s="0" t="s">
        <v>757</v>
      </c>
      <c r="M614" s="0" t="s">
        <v>2965</v>
      </c>
      <c r="N614" s="0" t="s">
        <v>2914</v>
      </c>
      <c r="O614" s="3" t="s">
        <v>3430</v>
      </c>
      <c r="P614" s="2" t="s">
        <v>3431</v>
      </c>
      <c r="Q614" s="2" t="s">
        <v>3432</v>
      </c>
      <c r="R614" s="2" t="s">
        <v>32</v>
      </c>
      <c r="S614" s="2" t="s">
        <v>33</v>
      </c>
    </row>
    <row r="615" customFormat="false" ht="15" hidden="false" customHeight="false" outlineLevel="0" collapsed="false">
      <c r="A615" s="0" t="n">
        <v>614</v>
      </c>
      <c r="D615" s="0" t="s">
        <v>3433</v>
      </c>
      <c r="E615" s="0" t="s">
        <v>20</v>
      </c>
      <c r="F615" s="0" t="s">
        <v>3434</v>
      </c>
      <c r="H615" s="0" t="s">
        <v>22</v>
      </c>
      <c r="I615" s="2" t="s">
        <v>23</v>
      </c>
      <c r="J615" s="2" t="s">
        <v>2911</v>
      </c>
      <c r="K615" s="0" t="s">
        <v>2912</v>
      </c>
      <c r="L615" s="0" t="s">
        <v>2926</v>
      </c>
      <c r="M615" s="0" t="s">
        <v>2927</v>
      </c>
      <c r="N615" s="0" t="s">
        <v>2914</v>
      </c>
      <c r="O615" s="3" t="s">
        <v>3435</v>
      </c>
      <c r="P615" s="2" t="s">
        <v>3436</v>
      </c>
      <c r="Q615" s="2" t="s">
        <v>3437</v>
      </c>
      <c r="R615" s="2" t="s">
        <v>32</v>
      </c>
      <c r="S615" s="2" t="s">
        <v>33</v>
      </c>
    </row>
    <row r="616" customFormat="false" ht="15" hidden="false" customHeight="false" outlineLevel="0" collapsed="false">
      <c r="A616" s="0" t="n">
        <v>615</v>
      </c>
      <c r="D616" s="0" t="s">
        <v>3438</v>
      </c>
      <c r="E616" s="0" t="s">
        <v>20</v>
      </c>
      <c r="F616" s="0" t="s">
        <v>3439</v>
      </c>
      <c r="H616" s="0" t="s">
        <v>22</v>
      </c>
      <c r="I616" s="2" t="s">
        <v>23</v>
      </c>
      <c r="J616" s="2" t="s">
        <v>2911</v>
      </c>
      <c r="K616" s="0" t="s">
        <v>2912</v>
      </c>
      <c r="L616" s="0" t="s">
        <v>321</v>
      </c>
      <c r="M616" s="0" t="s">
        <v>3000</v>
      </c>
      <c r="N616" s="0" t="s">
        <v>2914</v>
      </c>
      <c r="O616" s="3" t="s">
        <v>3440</v>
      </c>
      <c r="P616" s="2" t="s">
        <v>3441</v>
      </c>
      <c r="Q616" s="2" t="s">
        <v>3442</v>
      </c>
      <c r="R616" s="2" t="s">
        <v>280</v>
      </c>
      <c r="S616" s="2" t="s">
        <v>33</v>
      </c>
    </row>
    <row r="617" customFormat="false" ht="15" hidden="false" customHeight="false" outlineLevel="0" collapsed="false">
      <c r="A617" s="0" t="n">
        <v>616</v>
      </c>
      <c r="D617" s="0" t="s">
        <v>3443</v>
      </c>
      <c r="E617" s="0" t="s">
        <v>20</v>
      </c>
      <c r="H617" s="0" t="s">
        <v>22</v>
      </c>
      <c r="I617" s="2" t="s">
        <v>23</v>
      </c>
      <c r="J617" s="2" t="s">
        <v>2911</v>
      </c>
      <c r="K617" s="0" t="s">
        <v>2912</v>
      </c>
      <c r="L617" s="0" t="s">
        <v>321</v>
      </c>
      <c r="M617" s="0" t="s">
        <v>3000</v>
      </c>
      <c r="N617" s="0" t="s">
        <v>2914</v>
      </c>
      <c r="O617" s="3" t="s">
        <v>3444</v>
      </c>
      <c r="P617" s="2" t="s">
        <v>3445</v>
      </c>
      <c r="Q617" s="2" t="s">
        <v>3446</v>
      </c>
      <c r="R617" s="2" t="s">
        <v>32</v>
      </c>
      <c r="S617" s="2" t="s">
        <v>33</v>
      </c>
    </row>
    <row r="618" customFormat="false" ht="15" hidden="false" customHeight="false" outlineLevel="0" collapsed="false">
      <c r="A618" s="0" t="n">
        <v>617</v>
      </c>
      <c r="D618" s="0" t="s">
        <v>3447</v>
      </c>
      <c r="E618" s="0" t="s">
        <v>20</v>
      </c>
      <c r="F618" s="0" t="s">
        <v>3448</v>
      </c>
      <c r="H618" s="0" t="s">
        <v>22</v>
      </c>
      <c r="I618" s="2" t="s">
        <v>23</v>
      </c>
      <c r="J618" s="2" t="s">
        <v>2911</v>
      </c>
      <c r="K618" s="0" t="s">
        <v>2912</v>
      </c>
      <c r="L618" s="0" t="s">
        <v>102</v>
      </c>
      <c r="M618" s="0" t="s">
        <v>2993</v>
      </c>
      <c r="N618" s="0" t="s">
        <v>2914</v>
      </c>
      <c r="O618" s="3" t="s">
        <v>3449</v>
      </c>
      <c r="P618" s="2" t="s">
        <v>3450</v>
      </c>
      <c r="Q618" s="2" t="s">
        <v>3451</v>
      </c>
      <c r="R618" s="2" t="s">
        <v>32</v>
      </c>
      <c r="S618" s="2" t="s">
        <v>33</v>
      </c>
    </row>
    <row r="619" customFormat="false" ht="15" hidden="false" customHeight="false" outlineLevel="0" collapsed="false">
      <c r="A619" s="0" t="n">
        <v>618</v>
      </c>
      <c r="D619" s="0" t="s">
        <v>3452</v>
      </c>
      <c r="E619" s="0" t="s">
        <v>20</v>
      </c>
      <c r="F619" s="0" t="s">
        <v>3453</v>
      </c>
      <c r="H619" s="0" t="s">
        <v>22</v>
      </c>
      <c r="I619" s="2" t="s">
        <v>23</v>
      </c>
      <c r="J619" s="2" t="s">
        <v>2911</v>
      </c>
      <c r="K619" s="0" t="s">
        <v>2912</v>
      </c>
      <c r="L619" s="0" t="s">
        <v>3139</v>
      </c>
      <c r="M619" s="0" t="s">
        <v>2913</v>
      </c>
      <c r="N619" s="0" t="s">
        <v>2914</v>
      </c>
      <c r="O619" s="3" t="s">
        <v>3454</v>
      </c>
      <c r="P619" s="2" t="s">
        <v>3455</v>
      </c>
      <c r="Q619" s="2" t="s">
        <v>3456</v>
      </c>
      <c r="R619" s="2" t="s">
        <v>32</v>
      </c>
      <c r="S619" s="2" t="s">
        <v>33</v>
      </c>
    </row>
    <row r="620" customFormat="false" ht="15" hidden="false" customHeight="false" outlineLevel="0" collapsed="false">
      <c r="A620" s="0" t="n">
        <v>619</v>
      </c>
      <c r="D620" s="0" t="s">
        <v>3457</v>
      </c>
      <c r="E620" s="0" t="s">
        <v>20</v>
      </c>
      <c r="F620" s="0" t="s">
        <v>3458</v>
      </c>
      <c r="H620" s="0" t="s">
        <v>22</v>
      </c>
      <c r="I620" s="2" t="s">
        <v>23</v>
      </c>
      <c r="J620" s="2" t="s">
        <v>2911</v>
      </c>
      <c r="K620" s="0" t="s">
        <v>2912</v>
      </c>
      <c r="L620" s="0" t="s">
        <v>321</v>
      </c>
      <c r="M620" s="0" t="s">
        <v>3000</v>
      </c>
      <c r="N620" s="0" t="s">
        <v>2914</v>
      </c>
      <c r="O620" s="3" t="s">
        <v>3459</v>
      </c>
      <c r="P620" s="2" t="s">
        <v>3460</v>
      </c>
      <c r="Q620" s="2" t="s">
        <v>3461</v>
      </c>
      <c r="R620" s="2" t="s">
        <v>32</v>
      </c>
      <c r="S620" s="2" t="s">
        <v>33</v>
      </c>
    </row>
    <row r="621" customFormat="false" ht="15" hidden="false" customHeight="false" outlineLevel="0" collapsed="false">
      <c r="A621" s="0" t="n">
        <v>620</v>
      </c>
      <c r="D621" s="0" t="s">
        <v>3462</v>
      </c>
      <c r="E621" s="0" t="s">
        <v>20</v>
      </c>
      <c r="F621" s="0" t="s">
        <v>3463</v>
      </c>
      <c r="H621" s="0" t="s">
        <v>22</v>
      </c>
      <c r="I621" s="2" t="s">
        <v>23</v>
      </c>
      <c r="J621" s="2" t="s">
        <v>2911</v>
      </c>
      <c r="K621" s="0" t="s">
        <v>2912</v>
      </c>
      <c r="L621" s="0" t="s">
        <v>757</v>
      </c>
      <c r="M621" s="0" t="s">
        <v>2965</v>
      </c>
      <c r="N621" s="0" t="s">
        <v>2914</v>
      </c>
      <c r="O621" s="3" t="s">
        <v>3464</v>
      </c>
      <c r="P621" s="2" t="s">
        <v>3465</v>
      </c>
      <c r="Q621" s="2" t="s">
        <v>3466</v>
      </c>
      <c r="R621" s="2" t="s">
        <v>280</v>
      </c>
      <c r="S621" s="2" t="s">
        <v>33</v>
      </c>
    </row>
    <row r="622" customFormat="false" ht="15" hidden="false" customHeight="false" outlineLevel="0" collapsed="false">
      <c r="A622" s="0" t="n">
        <v>621</v>
      </c>
      <c r="D622" s="0" t="s">
        <v>3467</v>
      </c>
      <c r="E622" s="0" t="s">
        <v>20</v>
      </c>
      <c r="F622" s="0" t="s">
        <v>3468</v>
      </c>
      <c r="H622" s="0" t="s">
        <v>22</v>
      </c>
      <c r="I622" s="2" t="s">
        <v>23</v>
      </c>
      <c r="J622" s="2" t="s">
        <v>2911</v>
      </c>
      <c r="K622" s="0" t="s">
        <v>2912</v>
      </c>
      <c r="L622" s="0" t="s">
        <v>483</v>
      </c>
      <c r="M622" s="0" t="s">
        <v>2987</v>
      </c>
      <c r="N622" s="0" t="s">
        <v>2914</v>
      </c>
      <c r="O622" s="3" t="s">
        <v>3469</v>
      </c>
      <c r="P622" s="2" t="s">
        <v>3470</v>
      </c>
      <c r="Q622" s="2" t="s">
        <v>3471</v>
      </c>
      <c r="R622" s="2" t="s">
        <v>32</v>
      </c>
      <c r="S622" s="2" t="s">
        <v>33</v>
      </c>
    </row>
    <row r="623" customFormat="false" ht="15" hidden="false" customHeight="false" outlineLevel="0" collapsed="false">
      <c r="A623" s="0" t="n">
        <v>622</v>
      </c>
      <c r="D623" s="0" t="s">
        <v>3472</v>
      </c>
      <c r="E623" s="0" t="s">
        <v>20</v>
      </c>
      <c r="F623" s="0" t="s">
        <v>3473</v>
      </c>
      <c r="H623" s="0" t="s">
        <v>22</v>
      </c>
      <c r="I623" s="2" t="s">
        <v>23</v>
      </c>
      <c r="J623" s="2" t="s">
        <v>2911</v>
      </c>
      <c r="K623" s="0" t="s">
        <v>2912</v>
      </c>
      <c r="L623" s="0" t="s">
        <v>102</v>
      </c>
      <c r="M623" s="0" t="s">
        <v>2993</v>
      </c>
      <c r="N623" s="0" t="s">
        <v>2914</v>
      </c>
      <c r="O623" s="3" t="s">
        <v>3474</v>
      </c>
      <c r="P623" s="2" t="s">
        <v>3475</v>
      </c>
      <c r="Q623" s="2" t="s">
        <v>3476</v>
      </c>
      <c r="R623" s="2" t="s">
        <v>32</v>
      </c>
      <c r="S623" s="2" t="s">
        <v>33</v>
      </c>
    </row>
    <row r="624" customFormat="false" ht="15" hidden="false" customHeight="false" outlineLevel="0" collapsed="false">
      <c r="A624" s="0" t="n">
        <v>623</v>
      </c>
      <c r="D624" s="0" t="s">
        <v>3477</v>
      </c>
      <c r="E624" s="0" t="s">
        <v>20</v>
      </c>
      <c r="F624" s="0" t="s">
        <v>3478</v>
      </c>
      <c r="H624" s="0" t="s">
        <v>22</v>
      </c>
      <c r="I624" s="2" t="s">
        <v>23</v>
      </c>
      <c r="J624" s="2" t="s">
        <v>2911</v>
      </c>
      <c r="K624" s="0" t="s">
        <v>2912</v>
      </c>
      <c r="L624" s="0" t="s">
        <v>3479</v>
      </c>
      <c r="M624" s="0" t="s">
        <v>3480</v>
      </c>
      <c r="N624" s="0" t="s">
        <v>2914</v>
      </c>
      <c r="O624" s="3" t="s">
        <v>3481</v>
      </c>
      <c r="P624" s="2" t="s">
        <v>3482</v>
      </c>
      <c r="Q624" s="2" t="s">
        <v>3483</v>
      </c>
      <c r="R624" s="2" t="s">
        <v>99</v>
      </c>
      <c r="S624" s="2" t="s">
        <v>33</v>
      </c>
    </row>
    <row r="625" customFormat="false" ht="15" hidden="false" customHeight="false" outlineLevel="0" collapsed="false">
      <c r="A625" s="0" t="n">
        <v>624</v>
      </c>
      <c r="D625" s="0" t="s">
        <v>3484</v>
      </c>
      <c r="E625" s="0" t="s">
        <v>20</v>
      </c>
      <c r="F625" s="0" t="s">
        <v>3485</v>
      </c>
      <c r="H625" s="0" t="s">
        <v>22</v>
      </c>
      <c r="I625" s="2" t="s">
        <v>23</v>
      </c>
      <c r="J625" s="2" t="s">
        <v>2911</v>
      </c>
      <c r="K625" s="0" t="s">
        <v>2912</v>
      </c>
      <c r="L625" s="0" t="s">
        <v>3486</v>
      </c>
      <c r="M625" s="0" t="s">
        <v>2938</v>
      </c>
      <c r="N625" s="0" t="s">
        <v>2914</v>
      </c>
      <c r="O625" s="3" t="s">
        <v>3487</v>
      </c>
      <c r="P625" s="2" t="s">
        <v>3488</v>
      </c>
      <c r="Q625" s="2" t="s">
        <v>3489</v>
      </c>
      <c r="R625" s="2" t="s">
        <v>32</v>
      </c>
      <c r="S625" s="2" t="s">
        <v>33</v>
      </c>
    </row>
    <row r="626" customFormat="false" ht="15" hidden="false" customHeight="false" outlineLevel="0" collapsed="false">
      <c r="A626" s="0" t="n">
        <v>625</v>
      </c>
      <c r="D626" s="0" t="s">
        <v>3490</v>
      </c>
      <c r="E626" s="0" t="s">
        <v>20</v>
      </c>
      <c r="H626" s="0" t="s">
        <v>22</v>
      </c>
      <c r="I626" s="2" t="s">
        <v>23</v>
      </c>
      <c r="J626" s="2" t="s">
        <v>2911</v>
      </c>
      <c r="K626" s="0" t="s">
        <v>2912</v>
      </c>
      <c r="L626" s="0" t="s">
        <v>757</v>
      </c>
      <c r="M626" s="0" t="s">
        <v>2965</v>
      </c>
      <c r="N626" s="0" t="s">
        <v>2914</v>
      </c>
      <c r="O626" s="3" t="s">
        <v>3491</v>
      </c>
      <c r="P626" s="2" t="s">
        <v>3492</v>
      </c>
      <c r="Q626" s="2" t="s">
        <v>3493</v>
      </c>
      <c r="R626" s="2" t="s">
        <v>32</v>
      </c>
      <c r="S626" s="2" t="s">
        <v>33</v>
      </c>
    </row>
    <row r="627" customFormat="false" ht="15" hidden="false" customHeight="false" outlineLevel="0" collapsed="false">
      <c r="A627" s="0" t="n">
        <v>626</v>
      </c>
      <c r="D627" s="0" t="s">
        <v>3494</v>
      </c>
      <c r="E627" s="0" t="s">
        <v>20</v>
      </c>
      <c r="F627" s="0" t="s">
        <v>3495</v>
      </c>
      <c r="H627" s="0" t="s">
        <v>22</v>
      </c>
      <c r="I627" s="2" t="s">
        <v>23</v>
      </c>
      <c r="J627" s="2" t="s">
        <v>2911</v>
      </c>
      <c r="K627" s="0" t="s">
        <v>2912</v>
      </c>
      <c r="L627" s="0" t="s">
        <v>3496</v>
      </c>
      <c r="M627" s="0" t="s">
        <v>3497</v>
      </c>
      <c r="N627" s="0" t="s">
        <v>2914</v>
      </c>
      <c r="O627" s="3" t="s">
        <v>3498</v>
      </c>
      <c r="P627" s="2" t="s">
        <v>3499</v>
      </c>
      <c r="Q627" s="2" t="s">
        <v>3500</v>
      </c>
      <c r="R627" s="2" t="s">
        <v>32</v>
      </c>
      <c r="S627" s="2" t="s">
        <v>33</v>
      </c>
    </row>
    <row r="628" customFormat="false" ht="15" hidden="false" customHeight="false" outlineLevel="0" collapsed="false">
      <c r="A628" s="0" t="n">
        <v>627</v>
      </c>
      <c r="D628" s="0" t="s">
        <v>3501</v>
      </c>
      <c r="E628" s="0" t="s">
        <v>20</v>
      </c>
      <c r="F628" s="0" t="s">
        <v>3502</v>
      </c>
      <c r="H628" s="0" t="s">
        <v>22</v>
      </c>
      <c r="I628" s="2" t="s">
        <v>23</v>
      </c>
      <c r="J628" s="2" t="s">
        <v>2911</v>
      </c>
      <c r="K628" s="0" t="s">
        <v>2912</v>
      </c>
      <c r="L628" s="0" t="s">
        <v>102</v>
      </c>
      <c r="M628" s="0" t="s">
        <v>2993</v>
      </c>
      <c r="N628" s="0" t="s">
        <v>2914</v>
      </c>
      <c r="O628" s="3" t="s">
        <v>3503</v>
      </c>
      <c r="P628" s="2" t="s">
        <v>3504</v>
      </c>
      <c r="Q628" s="2" t="s">
        <v>3505</v>
      </c>
      <c r="R628" s="2" t="s">
        <v>32</v>
      </c>
      <c r="S628" s="2" t="s">
        <v>33</v>
      </c>
    </row>
    <row r="629" customFormat="false" ht="15" hidden="false" customHeight="false" outlineLevel="0" collapsed="false">
      <c r="A629" s="0" t="n">
        <v>628</v>
      </c>
      <c r="D629" s="0" t="s">
        <v>3506</v>
      </c>
      <c r="E629" s="0" t="s">
        <v>20</v>
      </c>
      <c r="F629" s="0" t="s">
        <v>3507</v>
      </c>
      <c r="H629" s="0" t="s">
        <v>22</v>
      </c>
      <c r="I629" s="2" t="s">
        <v>23</v>
      </c>
      <c r="J629" s="2" t="s">
        <v>2911</v>
      </c>
      <c r="K629" s="0" t="s">
        <v>2912</v>
      </c>
      <c r="L629" s="0" t="s">
        <v>483</v>
      </c>
      <c r="M629" s="0" t="s">
        <v>2987</v>
      </c>
      <c r="N629" s="0" t="s">
        <v>2914</v>
      </c>
      <c r="O629" s="3" t="s">
        <v>3508</v>
      </c>
      <c r="P629" s="2" t="s">
        <v>3509</v>
      </c>
      <c r="Q629" s="2" t="s">
        <v>3510</v>
      </c>
      <c r="R629" s="2" t="s">
        <v>32</v>
      </c>
      <c r="S629" s="2" t="s">
        <v>33</v>
      </c>
    </row>
    <row r="630" customFormat="false" ht="15" hidden="false" customHeight="false" outlineLevel="0" collapsed="false">
      <c r="A630" s="0" t="n">
        <v>629</v>
      </c>
      <c r="D630" s="0" t="s">
        <v>3511</v>
      </c>
      <c r="E630" s="0" t="s">
        <v>20</v>
      </c>
      <c r="F630" s="0" t="s">
        <v>3512</v>
      </c>
      <c r="H630" s="0" t="s">
        <v>22</v>
      </c>
      <c r="I630" s="2" t="s">
        <v>23</v>
      </c>
      <c r="J630" s="2" t="s">
        <v>2911</v>
      </c>
      <c r="K630" s="0" t="s">
        <v>2912</v>
      </c>
      <c r="L630" s="0" t="s">
        <v>321</v>
      </c>
      <c r="M630" s="0" t="s">
        <v>3000</v>
      </c>
      <c r="N630" s="0" t="s">
        <v>2914</v>
      </c>
      <c r="O630" s="3" t="s">
        <v>3513</v>
      </c>
      <c r="P630" s="2" t="s">
        <v>3514</v>
      </c>
      <c r="Q630" s="2" t="s">
        <v>3515</v>
      </c>
      <c r="R630" s="2" t="s">
        <v>32</v>
      </c>
      <c r="S630" s="2" t="s">
        <v>33</v>
      </c>
    </row>
    <row r="631" customFormat="false" ht="15" hidden="false" customHeight="false" outlineLevel="0" collapsed="false">
      <c r="A631" s="0" t="n">
        <v>630</v>
      </c>
      <c r="D631" s="0" t="s">
        <v>3516</v>
      </c>
      <c r="E631" s="0" t="s">
        <v>20</v>
      </c>
      <c r="F631" s="0" t="s">
        <v>3517</v>
      </c>
      <c r="H631" s="0" t="s">
        <v>22</v>
      </c>
      <c r="I631" s="2" t="s">
        <v>23</v>
      </c>
      <c r="J631" s="2" t="s">
        <v>2911</v>
      </c>
      <c r="K631" s="0" t="s">
        <v>2912</v>
      </c>
      <c r="L631" s="0" t="s">
        <v>2111</v>
      </c>
      <c r="M631" s="0" t="s">
        <v>2975</v>
      </c>
      <c r="N631" s="0" t="s">
        <v>2914</v>
      </c>
      <c r="O631" s="3" t="s">
        <v>3518</v>
      </c>
      <c r="P631" s="2" t="s">
        <v>3519</v>
      </c>
      <c r="Q631" s="2" t="s">
        <v>3520</v>
      </c>
      <c r="R631" s="2" t="s">
        <v>32</v>
      </c>
      <c r="S631" s="2" t="s">
        <v>33</v>
      </c>
    </row>
    <row r="632" customFormat="false" ht="15" hidden="false" customHeight="false" outlineLevel="0" collapsed="false">
      <c r="A632" s="0" t="n">
        <v>631</v>
      </c>
      <c r="D632" s="0" t="s">
        <v>3521</v>
      </c>
      <c r="E632" s="0" t="s">
        <v>20</v>
      </c>
      <c r="F632" s="0" t="s">
        <v>3522</v>
      </c>
      <c r="H632" s="0" t="s">
        <v>22</v>
      </c>
      <c r="I632" s="2" t="s">
        <v>23</v>
      </c>
      <c r="J632" s="2" t="s">
        <v>2911</v>
      </c>
      <c r="K632" s="0" t="s">
        <v>2912</v>
      </c>
      <c r="L632" s="0" t="s">
        <v>2926</v>
      </c>
      <c r="M632" s="0" t="s">
        <v>2927</v>
      </c>
      <c r="N632" s="0" t="s">
        <v>2914</v>
      </c>
      <c r="O632" s="3" t="s">
        <v>3523</v>
      </c>
      <c r="P632" s="2" t="s">
        <v>3524</v>
      </c>
      <c r="Q632" s="2" t="s">
        <v>3525</v>
      </c>
      <c r="R632" s="2" t="s">
        <v>32</v>
      </c>
      <c r="S632" s="2" t="s">
        <v>33</v>
      </c>
    </row>
    <row r="633" customFormat="false" ht="15" hidden="false" customHeight="false" outlineLevel="0" collapsed="false">
      <c r="A633" s="0" t="n">
        <v>632</v>
      </c>
      <c r="D633" s="0" t="s">
        <v>3526</v>
      </c>
      <c r="E633" s="0" t="s">
        <v>20</v>
      </c>
      <c r="F633" s="0" t="s">
        <v>3527</v>
      </c>
      <c r="H633" s="0" t="s">
        <v>22</v>
      </c>
      <c r="I633" s="2" t="s">
        <v>23</v>
      </c>
      <c r="J633" s="2" t="s">
        <v>2911</v>
      </c>
      <c r="K633" s="0" t="s">
        <v>2912</v>
      </c>
      <c r="L633" s="0" t="s">
        <v>3139</v>
      </c>
      <c r="M633" s="0" t="s">
        <v>2913</v>
      </c>
      <c r="N633" s="0" t="s">
        <v>2914</v>
      </c>
      <c r="O633" s="3" t="s">
        <v>3528</v>
      </c>
      <c r="P633" s="2" t="s">
        <v>3529</v>
      </c>
      <c r="Q633" s="2" t="s">
        <v>3530</v>
      </c>
      <c r="R633" s="2" t="s">
        <v>32</v>
      </c>
      <c r="S633" s="2" t="s">
        <v>33</v>
      </c>
    </row>
    <row r="634" customFormat="false" ht="15" hidden="false" customHeight="false" outlineLevel="0" collapsed="false">
      <c r="A634" s="0" t="n">
        <v>633</v>
      </c>
      <c r="D634" s="0" t="s">
        <v>3531</v>
      </c>
      <c r="E634" s="0" t="s">
        <v>20</v>
      </c>
      <c r="F634" s="0" t="s">
        <v>3532</v>
      </c>
      <c r="H634" s="0" t="s">
        <v>22</v>
      </c>
      <c r="I634" s="2" t="s">
        <v>23</v>
      </c>
      <c r="J634" s="2" t="s">
        <v>2911</v>
      </c>
      <c r="K634" s="0" t="s">
        <v>2912</v>
      </c>
      <c r="L634" s="0" t="s">
        <v>483</v>
      </c>
      <c r="M634" s="0" t="s">
        <v>2987</v>
      </c>
      <c r="N634" s="0" t="s">
        <v>2914</v>
      </c>
      <c r="O634" s="3" t="s">
        <v>3533</v>
      </c>
      <c r="P634" s="2" t="s">
        <v>3534</v>
      </c>
      <c r="Q634" s="2" t="s">
        <v>3535</v>
      </c>
      <c r="R634" s="2" t="s">
        <v>32</v>
      </c>
      <c r="S634" s="2" t="s">
        <v>33</v>
      </c>
    </row>
    <row r="635" customFormat="false" ht="15" hidden="false" customHeight="false" outlineLevel="0" collapsed="false">
      <c r="A635" s="0" t="n">
        <v>634</v>
      </c>
      <c r="D635" s="0" t="s">
        <v>3536</v>
      </c>
      <c r="E635" s="0" t="s">
        <v>20</v>
      </c>
      <c r="F635" s="0" t="s">
        <v>3537</v>
      </c>
      <c r="H635" s="0" t="s">
        <v>22</v>
      </c>
      <c r="I635" s="2" t="s">
        <v>23</v>
      </c>
      <c r="J635" s="2" t="s">
        <v>2911</v>
      </c>
      <c r="K635" s="0" t="s">
        <v>2912</v>
      </c>
      <c r="L635" s="0" t="s">
        <v>3139</v>
      </c>
      <c r="M635" s="0" t="s">
        <v>2913</v>
      </c>
      <c r="N635" s="0" t="s">
        <v>2914</v>
      </c>
      <c r="O635" s="3" t="s">
        <v>3538</v>
      </c>
      <c r="P635" s="2" t="s">
        <v>3539</v>
      </c>
      <c r="Q635" s="2" t="s">
        <v>3540</v>
      </c>
      <c r="R635" s="2" t="s">
        <v>32</v>
      </c>
      <c r="S635" s="2" t="s">
        <v>33</v>
      </c>
    </row>
    <row r="636" customFormat="false" ht="15" hidden="false" customHeight="false" outlineLevel="0" collapsed="false">
      <c r="A636" s="0" t="n">
        <v>635</v>
      </c>
      <c r="D636" s="0" t="s">
        <v>3541</v>
      </c>
      <c r="E636" s="0" t="s">
        <v>20</v>
      </c>
      <c r="F636" s="0" t="s">
        <v>3542</v>
      </c>
      <c r="H636" s="0" t="s">
        <v>22</v>
      </c>
      <c r="I636" s="2" t="s">
        <v>23</v>
      </c>
      <c r="J636" s="2" t="s">
        <v>2911</v>
      </c>
      <c r="K636" s="0" t="s">
        <v>2912</v>
      </c>
      <c r="L636" s="0" t="s">
        <v>3139</v>
      </c>
      <c r="M636" s="0" t="s">
        <v>2913</v>
      </c>
      <c r="N636" s="0" t="s">
        <v>2914</v>
      </c>
      <c r="O636" s="3" t="s">
        <v>3543</v>
      </c>
      <c r="P636" s="2" t="s">
        <v>3544</v>
      </c>
      <c r="Q636" s="2" t="s">
        <v>3545</v>
      </c>
      <c r="R636" s="2" t="s">
        <v>32</v>
      </c>
      <c r="S636" s="2" t="s">
        <v>33</v>
      </c>
    </row>
    <row r="637" customFormat="false" ht="15" hidden="false" customHeight="false" outlineLevel="0" collapsed="false">
      <c r="A637" s="0" t="n">
        <v>636</v>
      </c>
      <c r="D637" s="0" t="s">
        <v>3546</v>
      </c>
      <c r="E637" s="0" t="s">
        <v>20</v>
      </c>
      <c r="F637" s="0" t="s">
        <v>3547</v>
      </c>
      <c r="H637" s="0" t="s">
        <v>22</v>
      </c>
      <c r="I637" s="2" t="s">
        <v>23</v>
      </c>
      <c r="J637" s="2" t="s">
        <v>2911</v>
      </c>
      <c r="K637" s="0" t="s">
        <v>2912</v>
      </c>
      <c r="L637" s="0" t="s">
        <v>102</v>
      </c>
      <c r="M637" s="0" t="s">
        <v>2993</v>
      </c>
      <c r="N637" s="0" t="s">
        <v>2914</v>
      </c>
      <c r="O637" s="3" t="s">
        <v>3548</v>
      </c>
      <c r="P637" s="2" t="s">
        <v>3549</v>
      </c>
      <c r="Q637" s="2" t="s">
        <v>3550</v>
      </c>
      <c r="R637" s="2" t="s">
        <v>99</v>
      </c>
      <c r="S637" s="2" t="s">
        <v>33</v>
      </c>
    </row>
    <row r="638" customFormat="false" ht="15" hidden="false" customHeight="false" outlineLevel="0" collapsed="false">
      <c r="A638" s="0" t="n">
        <v>637</v>
      </c>
      <c r="D638" s="0" t="s">
        <v>3551</v>
      </c>
      <c r="E638" s="0" t="s">
        <v>20</v>
      </c>
      <c r="F638" s="0" t="s">
        <v>3552</v>
      </c>
      <c r="H638" s="0" t="s">
        <v>22</v>
      </c>
      <c r="I638" s="2" t="s">
        <v>23</v>
      </c>
      <c r="J638" s="2" t="s">
        <v>2911</v>
      </c>
      <c r="K638" s="0" t="s">
        <v>2912</v>
      </c>
      <c r="L638" s="0" t="s">
        <v>321</v>
      </c>
      <c r="M638" s="0" t="s">
        <v>3000</v>
      </c>
      <c r="N638" s="0" t="s">
        <v>2914</v>
      </c>
      <c r="O638" s="3" t="s">
        <v>3553</v>
      </c>
      <c r="P638" s="2" t="s">
        <v>3554</v>
      </c>
      <c r="Q638" s="2" t="s">
        <v>3555</v>
      </c>
      <c r="R638" s="2" t="s">
        <v>32</v>
      </c>
      <c r="S638" s="2" t="s">
        <v>33</v>
      </c>
    </row>
    <row r="639" customFormat="false" ht="15" hidden="false" customHeight="false" outlineLevel="0" collapsed="false">
      <c r="A639" s="0" t="n">
        <v>638</v>
      </c>
      <c r="D639" s="0" t="s">
        <v>3556</v>
      </c>
      <c r="E639" s="0" t="s">
        <v>20</v>
      </c>
      <c r="F639" s="0" t="s">
        <v>3557</v>
      </c>
      <c r="H639" s="0" t="s">
        <v>22</v>
      </c>
      <c r="I639" s="2" t="s">
        <v>23</v>
      </c>
      <c r="J639" s="2" t="s">
        <v>2911</v>
      </c>
      <c r="K639" s="0" t="s">
        <v>2912</v>
      </c>
      <c r="L639" s="0" t="s">
        <v>3139</v>
      </c>
      <c r="M639" s="0" t="s">
        <v>2913</v>
      </c>
      <c r="N639" s="0" t="s">
        <v>2914</v>
      </c>
      <c r="O639" s="3" t="s">
        <v>3558</v>
      </c>
      <c r="P639" s="2" t="s">
        <v>3559</v>
      </c>
      <c r="Q639" s="2" t="s">
        <v>3560</v>
      </c>
      <c r="R639" s="2" t="s">
        <v>32</v>
      </c>
      <c r="S639" s="2" t="s">
        <v>33</v>
      </c>
    </row>
    <row r="640" customFormat="false" ht="15" hidden="false" customHeight="false" outlineLevel="0" collapsed="false">
      <c r="A640" s="0" t="n">
        <v>639</v>
      </c>
      <c r="D640" s="0" t="s">
        <v>3561</v>
      </c>
      <c r="E640" s="0" t="s">
        <v>20</v>
      </c>
      <c r="F640" s="0" t="s">
        <v>3562</v>
      </c>
      <c r="H640" s="0" t="s">
        <v>22</v>
      </c>
      <c r="I640" s="2" t="s">
        <v>23</v>
      </c>
      <c r="J640" s="2" t="s">
        <v>2911</v>
      </c>
      <c r="K640" s="0" t="s">
        <v>2912</v>
      </c>
      <c r="L640" s="0" t="s">
        <v>102</v>
      </c>
      <c r="M640" s="0" t="s">
        <v>2993</v>
      </c>
      <c r="N640" s="0" t="s">
        <v>2914</v>
      </c>
      <c r="O640" s="3" t="s">
        <v>3563</v>
      </c>
      <c r="P640" s="2" t="s">
        <v>3564</v>
      </c>
      <c r="Q640" s="2" t="s">
        <v>3565</v>
      </c>
      <c r="R640" s="2" t="s">
        <v>32</v>
      </c>
      <c r="S640" s="2" t="s">
        <v>33</v>
      </c>
    </row>
    <row r="641" customFormat="false" ht="15" hidden="false" customHeight="false" outlineLevel="0" collapsed="false">
      <c r="A641" s="0" t="n">
        <v>640</v>
      </c>
      <c r="D641" s="0" t="s">
        <v>3566</v>
      </c>
      <c r="E641" s="0" t="s">
        <v>20</v>
      </c>
      <c r="F641" s="0" t="s">
        <v>3567</v>
      </c>
      <c r="H641" s="0" t="s">
        <v>22</v>
      </c>
      <c r="I641" s="2" t="s">
        <v>23</v>
      </c>
      <c r="J641" s="2" t="s">
        <v>2911</v>
      </c>
      <c r="K641" s="0" t="s">
        <v>2912</v>
      </c>
      <c r="L641" s="0" t="s">
        <v>3139</v>
      </c>
      <c r="M641" s="0" t="s">
        <v>2913</v>
      </c>
      <c r="N641" s="0" t="s">
        <v>2914</v>
      </c>
      <c r="O641" s="3" t="s">
        <v>3568</v>
      </c>
      <c r="P641" s="2" t="s">
        <v>3569</v>
      </c>
      <c r="Q641" s="2" t="s">
        <v>3570</v>
      </c>
      <c r="R641" s="2" t="s">
        <v>32</v>
      </c>
      <c r="S641" s="2" t="s">
        <v>33</v>
      </c>
    </row>
    <row r="642" customFormat="false" ht="15" hidden="false" customHeight="false" outlineLevel="0" collapsed="false">
      <c r="A642" s="0" t="n">
        <v>641</v>
      </c>
      <c r="D642" s="0" t="s">
        <v>3571</v>
      </c>
      <c r="E642" s="0" t="s">
        <v>20</v>
      </c>
      <c r="F642" s="0" t="s">
        <v>3572</v>
      </c>
      <c r="H642" s="0" t="s">
        <v>22</v>
      </c>
      <c r="I642" s="2" t="s">
        <v>23</v>
      </c>
      <c r="J642" s="2" t="s">
        <v>2911</v>
      </c>
      <c r="K642" s="0" t="s">
        <v>2912</v>
      </c>
      <c r="L642" s="0" t="s">
        <v>2111</v>
      </c>
      <c r="M642" s="0" t="s">
        <v>2975</v>
      </c>
      <c r="N642" s="0" t="s">
        <v>2914</v>
      </c>
      <c r="O642" s="3" t="s">
        <v>3573</v>
      </c>
      <c r="P642" s="2" t="s">
        <v>3574</v>
      </c>
      <c r="Q642" s="2" t="s">
        <v>3575</v>
      </c>
      <c r="R642" s="2" t="s">
        <v>32</v>
      </c>
      <c r="S642" s="2" t="s">
        <v>33</v>
      </c>
    </row>
    <row r="643" customFormat="false" ht="15" hidden="false" customHeight="false" outlineLevel="0" collapsed="false">
      <c r="A643" s="0" t="n">
        <v>642</v>
      </c>
      <c r="D643" s="0" t="s">
        <v>3576</v>
      </c>
      <c r="E643" s="0" t="s">
        <v>20</v>
      </c>
      <c r="F643" s="0" t="s">
        <v>3577</v>
      </c>
      <c r="H643" s="0" t="s">
        <v>22</v>
      </c>
      <c r="I643" s="2" t="s">
        <v>23</v>
      </c>
      <c r="J643" s="2" t="s">
        <v>2911</v>
      </c>
      <c r="K643" s="0" t="s">
        <v>2912</v>
      </c>
      <c r="L643" s="0" t="s">
        <v>483</v>
      </c>
      <c r="M643" s="0" t="s">
        <v>2987</v>
      </c>
      <c r="N643" s="0" t="s">
        <v>2914</v>
      </c>
      <c r="O643" s="3" t="s">
        <v>3578</v>
      </c>
      <c r="P643" s="2" t="s">
        <v>3579</v>
      </c>
      <c r="Q643" s="2" t="s">
        <v>3580</v>
      </c>
      <c r="R643" s="2" t="s">
        <v>32</v>
      </c>
      <c r="S643" s="2" t="s">
        <v>33</v>
      </c>
    </row>
    <row r="644" customFormat="false" ht="15" hidden="false" customHeight="false" outlineLevel="0" collapsed="false">
      <c r="A644" s="0" t="n">
        <v>643</v>
      </c>
      <c r="D644" s="0" t="s">
        <v>3581</v>
      </c>
      <c r="E644" s="0" t="s">
        <v>20</v>
      </c>
      <c r="F644" s="0" t="s">
        <v>3582</v>
      </c>
      <c r="H644" s="0" t="s">
        <v>22</v>
      </c>
      <c r="I644" s="2" t="s">
        <v>23</v>
      </c>
      <c r="J644" s="2" t="s">
        <v>2911</v>
      </c>
      <c r="K644" s="0" t="s">
        <v>2912</v>
      </c>
      <c r="L644" s="0" t="s">
        <v>102</v>
      </c>
      <c r="M644" s="0" t="s">
        <v>2993</v>
      </c>
      <c r="N644" s="0" t="s">
        <v>2914</v>
      </c>
      <c r="O644" s="3" t="s">
        <v>3583</v>
      </c>
      <c r="P644" s="2" t="s">
        <v>3584</v>
      </c>
      <c r="Q644" s="2" t="s">
        <v>3585</v>
      </c>
      <c r="R644" s="2" t="s">
        <v>32</v>
      </c>
      <c r="S644" s="2" t="s">
        <v>33</v>
      </c>
    </row>
    <row r="645" customFormat="false" ht="15" hidden="false" customHeight="false" outlineLevel="0" collapsed="false">
      <c r="A645" s="0" t="n">
        <v>644</v>
      </c>
      <c r="D645" s="0" t="s">
        <v>3586</v>
      </c>
      <c r="E645" s="0" t="s">
        <v>20</v>
      </c>
      <c r="F645" s="0" t="s">
        <v>3587</v>
      </c>
      <c r="H645" s="0" t="s">
        <v>22</v>
      </c>
      <c r="I645" s="2" t="s">
        <v>23</v>
      </c>
      <c r="J645" s="2" t="s">
        <v>2911</v>
      </c>
      <c r="K645" s="0" t="s">
        <v>2912</v>
      </c>
      <c r="L645" s="0" t="s">
        <v>2926</v>
      </c>
      <c r="M645" s="0" t="s">
        <v>2927</v>
      </c>
      <c r="N645" s="0" t="s">
        <v>2914</v>
      </c>
      <c r="O645" s="3" t="s">
        <v>3588</v>
      </c>
      <c r="P645" s="2" t="s">
        <v>3589</v>
      </c>
      <c r="Q645" s="2" t="s">
        <v>3590</v>
      </c>
      <c r="R645" s="2" t="s">
        <v>32</v>
      </c>
      <c r="S645" s="2" t="s">
        <v>33</v>
      </c>
    </row>
    <row r="646" customFormat="false" ht="15" hidden="false" customHeight="false" outlineLevel="0" collapsed="false">
      <c r="A646" s="0" t="n">
        <v>645</v>
      </c>
      <c r="D646" s="0" t="s">
        <v>3591</v>
      </c>
      <c r="E646" s="0" t="s">
        <v>20</v>
      </c>
      <c r="F646" s="0" t="s">
        <v>3592</v>
      </c>
      <c r="H646" s="0" t="s">
        <v>22</v>
      </c>
      <c r="I646" s="2" t="s">
        <v>23</v>
      </c>
      <c r="J646" s="2" t="s">
        <v>2911</v>
      </c>
      <c r="K646" s="0" t="s">
        <v>2912</v>
      </c>
      <c r="L646" s="0" t="s">
        <v>3593</v>
      </c>
      <c r="M646" s="0" t="s">
        <v>3594</v>
      </c>
      <c r="N646" s="0" t="s">
        <v>2914</v>
      </c>
      <c r="O646" s="3" t="s">
        <v>3595</v>
      </c>
      <c r="P646" s="2" t="s">
        <v>3596</v>
      </c>
      <c r="Q646" s="2" t="s">
        <v>3597</v>
      </c>
      <c r="R646" s="2" t="s">
        <v>99</v>
      </c>
      <c r="S646" s="2" t="s">
        <v>33</v>
      </c>
    </row>
    <row r="647" customFormat="false" ht="15" hidden="false" customHeight="false" outlineLevel="0" collapsed="false">
      <c r="A647" s="0" t="n">
        <v>646</v>
      </c>
      <c r="D647" s="0" t="s">
        <v>3598</v>
      </c>
      <c r="E647" s="0" t="s">
        <v>20</v>
      </c>
      <c r="F647" s="0" t="s">
        <v>3599</v>
      </c>
      <c r="H647" s="0" t="s">
        <v>22</v>
      </c>
      <c r="I647" s="2" t="s">
        <v>23</v>
      </c>
      <c r="J647" s="2" t="s">
        <v>2911</v>
      </c>
      <c r="K647" s="0" t="s">
        <v>2912</v>
      </c>
      <c r="L647" s="0" t="s">
        <v>2111</v>
      </c>
      <c r="M647" s="0" t="s">
        <v>2975</v>
      </c>
      <c r="N647" s="0" t="s">
        <v>2914</v>
      </c>
      <c r="O647" s="3" t="s">
        <v>3600</v>
      </c>
      <c r="P647" s="2" t="s">
        <v>3601</v>
      </c>
      <c r="Q647" s="2" t="s">
        <v>3602</v>
      </c>
      <c r="R647" s="2" t="s">
        <v>32</v>
      </c>
      <c r="S647" s="2" t="s">
        <v>33</v>
      </c>
    </row>
    <row r="648" customFormat="false" ht="15" hidden="false" customHeight="false" outlineLevel="0" collapsed="false">
      <c r="A648" s="0" t="n">
        <v>647</v>
      </c>
      <c r="D648" s="0" t="s">
        <v>3603</v>
      </c>
      <c r="E648" s="0" t="s">
        <v>20</v>
      </c>
      <c r="F648" s="0" t="s">
        <v>3604</v>
      </c>
      <c r="H648" s="0" t="s">
        <v>22</v>
      </c>
      <c r="I648" s="2" t="s">
        <v>23</v>
      </c>
      <c r="J648" s="2" t="s">
        <v>2911</v>
      </c>
      <c r="K648" s="0" t="s">
        <v>2912</v>
      </c>
      <c r="L648" s="0" t="s">
        <v>1668</v>
      </c>
      <c r="M648" s="0" t="s">
        <v>2938</v>
      </c>
      <c r="N648" s="0" t="s">
        <v>2914</v>
      </c>
      <c r="O648" s="3" t="s">
        <v>3605</v>
      </c>
      <c r="P648" s="2" t="s">
        <v>3606</v>
      </c>
      <c r="Q648" s="2" t="s">
        <v>3607</v>
      </c>
      <c r="R648" s="2" t="s">
        <v>32</v>
      </c>
      <c r="S648" s="2" t="s">
        <v>33</v>
      </c>
    </row>
    <row r="649" customFormat="false" ht="15" hidden="false" customHeight="false" outlineLevel="0" collapsed="false">
      <c r="A649" s="0" t="n">
        <v>648</v>
      </c>
      <c r="D649" s="0" t="s">
        <v>3608</v>
      </c>
      <c r="E649" s="0" t="s">
        <v>20</v>
      </c>
      <c r="F649" s="0" t="s">
        <v>3609</v>
      </c>
      <c r="H649" s="0" t="s">
        <v>22</v>
      </c>
      <c r="I649" s="2" t="s">
        <v>23</v>
      </c>
      <c r="J649" s="2" t="s">
        <v>2911</v>
      </c>
      <c r="K649" s="0" t="s">
        <v>2912</v>
      </c>
      <c r="L649" s="0" t="s">
        <v>321</v>
      </c>
      <c r="M649" s="0" t="s">
        <v>3610</v>
      </c>
      <c r="N649" s="0" t="s">
        <v>2914</v>
      </c>
      <c r="O649" s="3" t="s">
        <v>3611</v>
      </c>
      <c r="P649" s="2" t="s">
        <v>3612</v>
      </c>
      <c r="Q649" s="2" t="s">
        <v>3613</v>
      </c>
      <c r="R649" s="2" t="s">
        <v>32</v>
      </c>
      <c r="S649" s="2" t="s">
        <v>33</v>
      </c>
    </row>
    <row r="650" customFormat="false" ht="15" hidden="false" customHeight="false" outlineLevel="0" collapsed="false">
      <c r="A650" s="0" t="n">
        <v>649</v>
      </c>
      <c r="D650" s="0" t="s">
        <v>3614</v>
      </c>
      <c r="E650" s="0" t="s">
        <v>20</v>
      </c>
      <c r="F650" s="0" t="s">
        <v>3615</v>
      </c>
      <c r="H650" s="0" t="s">
        <v>22</v>
      </c>
      <c r="I650" s="2" t="s">
        <v>23</v>
      </c>
      <c r="J650" s="2" t="s">
        <v>2911</v>
      </c>
      <c r="K650" s="0" t="s">
        <v>2912</v>
      </c>
      <c r="L650" s="0" t="s">
        <v>757</v>
      </c>
      <c r="M650" s="0" t="s">
        <v>2965</v>
      </c>
      <c r="N650" s="0" t="s">
        <v>2914</v>
      </c>
      <c r="O650" s="3" t="s">
        <v>3616</v>
      </c>
      <c r="P650" s="2" t="s">
        <v>3617</v>
      </c>
      <c r="Q650" s="2" t="s">
        <v>3618</v>
      </c>
      <c r="R650" s="2" t="s">
        <v>32</v>
      </c>
      <c r="S650" s="2" t="s">
        <v>33</v>
      </c>
    </row>
    <row r="651" customFormat="false" ht="15" hidden="false" customHeight="false" outlineLevel="0" collapsed="false">
      <c r="A651" s="0" t="n">
        <v>650</v>
      </c>
      <c r="D651" s="0" t="s">
        <v>3619</v>
      </c>
      <c r="E651" s="0" t="s">
        <v>20</v>
      </c>
      <c r="F651" s="0" t="s">
        <v>3620</v>
      </c>
      <c r="H651" s="0" t="s">
        <v>22</v>
      </c>
      <c r="I651" s="2" t="s">
        <v>23</v>
      </c>
      <c r="J651" s="2" t="s">
        <v>2911</v>
      </c>
      <c r="K651" s="0" t="s">
        <v>2912</v>
      </c>
      <c r="L651" s="0" t="s">
        <v>757</v>
      </c>
      <c r="M651" s="0" t="s">
        <v>2965</v>
      </c>
      <c r="N651" s="0" t="s">
        <v>2914</v>
      </c>
      <c r="O651" s="3" t="s">
        <v>3621</v>
      </c>
      <c r="P651" s="2" t="s">
        <v>3622</v>
      </c>
      <c r="Q651" s="2" t="s">
        <v>3623</v>
      </c>
      <c r="R651" s="2" t="s">
        <v>32</v>
      </c>
      <c r="S651" s="2" t="s">
        <v>33</v>
      </c>
    </row>
    <row r="652" customFormat="false" ht="15" hidden="false" customHeight="false" outlineLevel="0" collapsed="false">
      <c r="A652" s="0" t="n">
        <v>651</v>
      </c>
      <c r="D652" s="0" t="s">
        <v>3624</v>
      </c>
      <c r="E652" s="0" t="s">
        <v>20</v>
      </c>
      <c r="F652" s="0" t="s">
        <v>3625</v>
      </c>
      <c r="H652" s="0" t="s">
        <v>22</v>
      </c>
      <c r="I652" s="2" t="s">
        <v>23</v>
      </c>
      <c r="J652" s="2" t="s">
        <v>2911</v>
      </c>
      <c r="K652" s="0" t="s">
        <v>2912</v>
      </c>
      <c r="L652" s="0" t="s">
        <v>1668</v>
      </c>
      <c r="M652" s="0" t="s">
        <v>2938</v>
      </c>
      <c r="N652" s="0" t="s">
        <v>2914</v>
      </c>
      <c r="O652" s="3" t="s">
        <v>3626</v>
      </c>
      <c r="P652" s="2" t="s">
        <v>3627</v>
      </c>
      <c r="Q652" s="2" t="s">
        <v>3628</v>
      </c>
      <c r="R652" s="2" t="s">
        <v>32</v>
      </c>
      <c r="S652" s="2" t="s">
        <v>33</v>
      </c>
    </row>
    <row r="653" customFormat="false" ht="15" hidden="false" customHeight="false" outlineLevel="0" collapsed="false">
      <c r="A653" s="0" t="n">
        <v>652</v>
      </c>
      <c r="D653" s="0" t="s">
        <v>3629</v>
      </c>
      <c r="E653" s="0" t="s">
        <v>20</v>
      </c>
      <c r="F653" s="0" t="s">
        <v>3630</v>
      </c>
      <c r="H653" s="0" t="s">
        <v>22</v>
      </c>
      <c r="I653" s="2" t="s">
        <v>23</v>
      </c>
      <c r="J653" s="2" t="s">
        <v>2911</v>
      </c>
      <c r="K653" s="0" t="s">
        <v>2912</v>
      </c>
      <c r="L653" s="0" t="s">
        <v>102</v>
      </c>
      <c r="M653" s="0" t="s">
        <v>2993</v>
      </c>
      <c r="N653" s="0" t="s">
        <v>2914</v>
      </c>
      <c r="O653" s="3" t="s">
        <v>3631</v>
      </c>
      <c r="P653" s="2" t="s">
        <v>3632</v>
      </c>
      <c r="Q653" s="2" t="s">
        <v>3633</v>
      </c>
      <c r="R653" s="2" t="s">
        <v>32</v>
      </c>
      <c r="S653" s="2" t="s">
        <v>33</v>
      </c>
    </row>
    <row r="654" customFormat="false" ht="15" hidden="false" customHeight="false" outlineLevel="0" collapsed="false">
      <c r="A654" s="0" t="n">
        <v>653</v>
      </c>
      <c r="D654" s="0" t="s">
        <v>3634</v>
      </c>
      <c r="E654" s="0" t="s">
        <v>20</v>
      </c>
      <c r="F654" s="0" t="s">
        <v>3635</v>
      </c>
      <c r="H654" s="0" t="s">
        <v>22</v>
      </c>
      <c r="I654" s="2" t="s">
        <v>23</v>
      </c>
      <c r="J654" s="2" t="s">
        <v>2911</v>
      </c>
      <c r="K654" s="0" t="s">
        <v>2912</v>
      </c>
      <c r="L654" s="0" t="s">
        <v>77</v>
      </c>
      <c r="M654" s="0" t="s">
        <v>2920</v>
      </c>
      <c r="N654" s="0" t="s">
        <v>2914</v>
      </c>
      <c r="O654" s="3" t="s">
        <v>3636</v>
      </c>
      <c r="P654" s="2" t="s">
        <v>3637</v>
      </c>
      <c r="Q654" s="2" t="s">
        <v>3638</v>
      </c>
      <c r="R654" s="2" t="s">
        <v>32</v>
      </c>
      <c r="S654" s="2" t="s">
        <v>33</v>
      </c>
    </row>
    <row r="655" customFormat="false" ht="15" hidden="false" customHeight="false" outlineLevel="0" collapsed="false">
      <c r="A655" s="0" t="n">
        <v>654</v>
      </c>
      <c r="D655" s="0" t="s">
        <v>3639</v>
      </c>
      <c r="E655" s="0" t="s">
        <v>20</v>
      </c>
      <c r="F655" s="0" t="s">
        <v>3640</v>
      </c>
      <c r="H655" s="0" t="s">
        <v>22</v>
      </c>
      <c r="I655" s="2" t="s">
        <v>23</v>
      </c>
      <c r="J655" s="2" t="s">
        <v>2911</v>
      </c>
      <c r="K655" s="0" t="s">
        <v>2912</v>
      </c>
      <c r="L655" s="0" t="s">
        <v>3139</v>
      </c>
      <c r="M655" s="0" t="s">
        <v>2913</v>
      </c>
      <c r="N655" s="0" t="s">
        <v>2914</v>
      </c>
      <c r="O655" s="3" t="s">
        <v>3641</v>
      </c>
      <c r="P655" s="2" t="s">
        <v>3642</v>
      </c>
      <c r="Q655" s="2" t="s">
        <v>3643</v>
      </c>
      <c r="R655" s="2" t="s">
        <v>32</v>
      </c>
      <c r="S655" s="2" t="s">
        <v>33</v>
      </c>
    </row>
    <row r="656" customFormat="false" ht="15" hidden="false" customHeight="false" outlineLevel="0" collapsed="false">
      <c r="A656" s="0" t="n">
        <v>655</v>
      </c>
      <c r="D656" s="0" t="s">
        <v>3644</v>
      </c>
      <c r="E656" s="0" t="s">
        <v>20</v>
      </c>
      <c r="F656" s="0" t="s">
        <v>3645</v>
      </c>
      <c r="H656" s="0" t="s">
        <v>22</v>
      </c>
      <c r="I656" s="2" t="s">
        <v>23</v>
      </c>
      <c r="J656" s="2" t="s">
        <v>2911</v>
      </c>
      <c r="K656" s="0" t="s">
        <v>2912</v>
      </c>
      <c r="L656" s="0" t="s">
        <v>321</v>
      </c>
      <c r="M656" s="0" t="s">
        <v>3610</v>
      </c>
      <c r="N656" s="0" t="s">
        <v>2914</v>
      </c>
      <c r="O656" s="3" t="s">
        <v>3646</v>
      </c>
      <c r="P656" s="2" t="s">
        <v>3647</v>
      </c>
      <c r="Q656" s="2" t="s">
        <v>3648</v>
      </c>
      <c r="R656" s="2" t="s">
        <v>32</v>
      </c>
      <c r="S656" s="2" t="s">
        <v>33</v>
      </c>
    </row>
    <row r="657" customFormat="false" ht="15" hidden="false" customHeight="false" outlineLevel="0" collapsed="false">
      <c r="A657" s="0" t="n">
        <v>656</v>
      </c>
      <c r="D657" s="0" t="s">
        <v>3649</v>
      </c>
      <c r="E657" s="0" t="s">
        <v>20</v>
      </c>
      <c r="F657" s="0" t="s">
        <v>3650</v>
      </c>
      <c r="H657" s="0" t="s">
        <v>22</v>
      </c>
      <c r="I657" s="2" t="s">
        <v>23</v>
      </c>
      <c r="J657" s="2" t="s">
        <v>2911</v>
      </c>
      <c r="K657" s="0" t="s">
        <v>2912</v>
      </c>
      <c r="L657" s="0" t="s">
        <v>483</v>
      </c>
      <c r="M657" s="0" t="s">
        <v>2987</v>
      </c>
      <c r="N657" s="0" t="s">
        <v>2914</v>
      </c>
      <c r="O657" s="3" t="s">
        <v>3651</v>
      </c>
      <c r="P657" s="2" t="s">
        <v>3652</v>
      </c>
      <c r="Q657" s="2" t="s">
        <v>3653</v>
      </c>
      <c r="R657" s="2" t="s">
        <v>99</v>
      </c>
      <c r="S657" s="2" t="s">
        <v>33</v>
      </c>
    </row>
    <row r="658" customFormat="false" ht="15" hidden="false" customHeight="false" outlineLevel="0" collapsed="false">
      <c r="A658" s="0" t="n">
        <v>657</v>
      </c>
      <c r="D658" s="0" t="s">
        <v>3654</v>
      </c>
      <c r="E658" s="0" t="s">
        <v>20</v>
      </c>
      <c r="F658" s="0" t="s">
        <v>3655</v>
      </c>
      <c r="H658" s="0" t="s">
        <v>22</v>
      </c>
      <c r="I658" s="2" t="s">
        <v>23</v>
      </c>
      <c r="J658" s="2" t="s">
        <v>2911</v>
      </c>
      <c r="K658" s="0" t="s">
        <v>2912</v>
      </c>
      <c r="L658" s="0" t="s">
        <v>102</v>
      </c>
      <c r="M658" s="0" t="s">
        <v>2993</v>
      </c>
      <c r="N658" s="0" t="s">
        <v>2914</v>
      </c>
      <c r="O658" s="3" t="s">
        <v>3656</v>
      </c>
      <c r="P658" s="2" t="s">
        <v>3657</v>
      </c>
      <c r="Q658" s="2" t="s">
        <v>3658</v>
      </c>
      <c r="R658" s="2" t="s">
        <v>1127</v>
      </c>
      <c r="S658" s="2" t="s">
        <v>33</v>
      </c>
    </row>
    <row r="659" customFormat="false" ht="15" hidden="false" customHeight="false" outlineLevel="0" collapsed="false">
      <c r="A659" s="0" t="n">
        <v>658</v>
      </c>
      <c r="D659" s="0" t="s">
        <v>3659</v>
      </c>
      <c r="E659" s="0" t="s">
        <v>20</v>
      </c>
      <c r="F659" s="0" t="s">
        <v>3660</v>
      </c>
      <c r="H659" s="0" t="s">
        <v>22</v>
      </c>
      <c r="I659" s="2" t="s">
        <v>23</v>
      </c>
      <c r="J659" s="2" t="s">
        <v>2911</v>
      </c>
      <c r="K659" s="0" t="s">
        <v>2912</v>
      </c>
      <c r="L659" s="0" t="s">
        <v>483</v>
      </c>
      <c r="M659" s="0" t="s">
        <v>2987</v>
      </c>
      <c r="N659" s="0" t="s">
        <v>2914</v>
      </c>
      <c r="O659" s="3" t="s">
        <v>3661</v>
      </c>
      <c r="P659" s="2" t="s">
        <v>3662</v>
      </c>
      <c r="Q659" s="2" t="s">
        <v>3663</v>
      </c>
      <c r="R659" s="2" t="s">
        <v>32</v>
      </c>
      <c r="S659" s="2" t="s">
        <v>33</v>
      </c>
    </row>
    <row r="660" customFormat="false" ht="15" hidden="false" customHeight="false" outlineLevel="0" collapsed="false">
      <c r="A660" s="0" t="n">
        <v>659</v>
      </c>
      <c r="D660" s="0" t="s">
        <v>3664</v>
      </c>
      <c r="E660" s="0" t="s">
        <v>20</v>
      </c>
      <c r="F660" s="0" t="s">
        <v>3665</v>
      </c>
      <c r="H660" s="0" t="s">
        <v>22</v>
      </c>
      <c r="I660" s="2" t="s">
        <v>23</v>
      </c>
      <c r="J660" s="2" t="s">
        <v>2911</v>
      </c>
      <c r="K660" s="0" t="s">
        <v>2912</v>
      </c>
      <c r="L660" s="0" t="s">
        <v>483</v>
      </c>
      <c r="M660" s="0" t="s">
        <v>2987</v>
      </c>
      <c r="N660" s="0" t="s">
        <v>2914</v>
      </c>
      <c r="O660" s="3" t="s">
        <v>3666</v>
      </c>
      <c r="P660" s="2" t="s">
        <v>3667</v>
      </c>
      <c r="Q660" s="2" t="s">
        <v>3668</v>
      </c>
      <c r="R660" s="2" t="s">
        <v>32</v>
      </c>
      <c r="S660" s="2" t="s">
        <v>33</v>
      </c>
    </row>
    <row r="661" customFormat="false" ht="15" hidden="false" customHeight="false" outlineLevel="0" collapsed="false">
      <c r="A661" s="0" t="n">
        <v>660</v>
      </c>
      <c r="D661" s="0" t="s">
        <v>3669</v>
      </c>
      <c r="E661" s="0" t="s">
        <v>20</v>
      </c>
      <c r="H661" s="0" t="s">
        <v>22</v>
      </c>
      <c r="I661" s="2" t="s">
        <v>23</v>
      </c>
      <c r="J661" s="2" t="s">
        <v>2911</v>
      </c>
      <c r="K661" s="0" t="s">
        <v>2912</v>
      </c>
      <c r="L661" s="0" t="s">
        <v>483</v>
      </c>
      <c r="M661" s="0" t="s">
        <v>2987</v>
      </c>
      <c r="N661" s="0" t="s">
        <v>2914</v>
      </c>
      <c r="O661" s="3" t="s">
        <v>3670</v>
      </c>
      <c r="P661" s="2" t="s">
        <v>3671</v>
      </c>
      <c r="Q661" s="2" t="s">
        <v>3672</v>
      </c>
      <c r="R661" s="2" t="s">
        <v>32</v>
      </c>
      <c r="S661" s="2" t="s">
        <v>33</v>
      </c>
    </row>
    <row r="662" customFormat="false" ht="15" hidden="false" customHeight="false" outlineLevel="0" collapsed="false">
      <c r="A662" s="0" t="n">
        <v>661</v>
      </c>
      <c r="D662" s="0" t="s">
        <v>3673</v>
      </c>
      <c r="E662" s="0" t="s">
        <v>20</v>
      </c>
      <c r="F662" s="0" t="s">
        <v>3674</v>
      </c>
      <c r="H662" s="0" t="s">
        <v>22</v>
      </c>
      <c r="I662" s="2" t="s">
        <v>23</v>
      </c>
      <c r="J662" s="2" t="s">
        <v>2911</v>
      </c>
      <c r="K662" s="0" t="s">
        <v>2912</v>
      </c>
      <c r="L662" s="0" t="s">
        <v>483</v>
      </c>
      <c r="M662" s="0" t="s">
        <v>2987</v>
      </c>
      <c r="N662" s="0" t="s">
        <v>2914</v>
      </c>
      <c r="O662" s="3" t="s">
        <v>3675</v>
      </c>
      <c r="P662" s="2" t="s">
        <v>3676</v>
      </c>
      <c r="Q662" s="2" t="s">
        <v>3677</v>
      </c>
      <c r="R662" s="2" t="s">
        <v>32</v>
      </c>
      <c r="S662" s="2" t="s">
        <v>33</v>
      </c>
    </row>
    <row r="663" customFormat="false" ht="15" hidden="false" customHeight="false" outlineLevel="0" collapsed="false">
      <c r="A663" s="0" t="n">
        <v>662</v>
      </c>
      <c r="D663" s="0" t="s">
        <v>3678</v>
      </c>
      <c r="E663" s="0" t="s">
        <v>20</v>
      </c>
      <c r="F663" s="0" t="s">
        <v>3679</v>
      </c>
      <c r="H663" s="0" t="s">
        <v>22</v>
      </c>
      <c r="I663" s="2" t="s">
        <v>23</v>
      </c>
      <c r="J663" s="2" t="s">
        <v>2911</v>
      </c>
      <c r="K663" s="0" t="s">
        <v>2912</v>
      </c>
      <c r="L663" s="0" t="s">
        <v>1668</v>
      </c>
      <c r="M663" s="0" t="s">
        <v>2938</v>
      </c>
      <c r="N663" s="0" t="s">
        <v>2914</v>
      </c>
      <c r="O663" s="3" t="s">
        <v>3680</v>
      </c>
      <c r="P663" s="2" t="s">
        <v>3681</v>
      </c>
      <c r="Q663" s="2" t="s">
        <v>3682</v>
      </c>
      <c r="R663" s="2" t="s">
        <v>32</v>
      </c>
      <c r="S663" s="2" t="s">
        <v>33</v>
      </c>
    </row>
    <row r="664" customFormat="false" ht="15" hidden="false" customHeight="false" outlineLevel="0" collapsed="false">
      <c r="A664" s="0" t="n">
        <v>663</v>
      </c>
      <c r="D664" s="0" t="s">
        <v>3683</v>
      </c>
      <c r="E664" s="0" t="s">
        <v>20</v>
      </c>
      <c r="F664" s="0" t="s">
        <v>3684</v>
      </c>
      <c r="H664" s="0" t="s">
        <v>22</v>
      </c>
      <c r="I664" s="2" t="s">
        <v>23</v>
      </c>
      <c r="J664" s="2" t="s">
        <v>2911</v>
      </c>
      <c r="K664" s="0" t="s">
        <v>2912</v>
      </c>
      <c r="L664" s="0" t="s">
        <v>2111</v>
      </c>
      <c r="M664" s="0" t="s">
        <v>2975</v>
      </c>
      <c r="N664" s="0" t="s">
        <v>2914</v>
      </c>
      <c r="O664" s="3" t="s">
        <v>3685</v>
      </c>
      <c r="P664" s="2" t="s">
        <v>3686</v>
      </c>
      <c r="Q664" s="2" t="s">
        <v>3687</v>
      </c>
      <c r="R664" s="2" t="s">
        <v>32</v>
      </c>
      <c r="S664" s="2" t="s">
        <v>33</v>
      </c>
    </row>
    <row r="665" customFormat="false" ht="15" hidden="false" customHeight="false" outlineLevel="0" collapsed="false">
      <c r="A665" s="0" t="n">
        <v>664</v>
      </c>
      <c r="D665" s="0" t="s">
        <v>3688</v>
      </c>
      <c r="E665" s="0" t="s">
        <v>20</v>
      </c>
      <c r="F665" s="0" t="s">
        <v>3689</v>
      </c>
      <c r="H665" s="0" t="s">
        <v>22</v>
      </c>
      <c r="I665" s="2" t="s">
        <v>23</v>
      </c>
      <c r="J665" s="2" t="s">
        <v>2911</v>
      </c>
      <c r="K665" s="0" t="s">
        <v>2912</v>
      </c>
      <c r="L665" s="0" t="s">
        <v>357</v>
      </c>
      <c r="M665" s="0" t="s">
        <v>2954</v>
      </c>
      <c r="N665" s="0" t="s">
        <v>2914</v>
      </c>
      <c r="O665" s="3" t="s">
        <v>3690</v>
      </c>
      <c r="P665" s="2" t="s">
        <v>3691</v>
      </c>
      <c r="Q665" s="2" t="s">
        <v>3692</v>
      </c>
      <c r="R665" s="2" t="s">
        <v>32</v>
      </c>
      <c r="S665" s="2" t="s">
        <v>33</v>
      </c>
    </row>
    <row r="666" customFormat="false" ht="15" hidden="false" customHeight="false" outlineLevel="0" collapsed="false">
      <c r="A666" s="0" t="n">
        <v>665</v>
      </c>
      <c r="D666" s="0" t="s">
        <v>3693</v>
      </c>
      <c r="E666" s="0" t="s">
        <v>20</v>
      </c>
      <c r="H666" s="0" t="s">
        <v>22</v>
      </c>
      <c r="I666" s="2" t="s">
        <v>23</v>
      </c>
      <c r="J666" s="2" t="s">
        <v>2911</v>
      </c>
      <c r="K666" s="0" t="s">
        <v>2912</v>
      </c>
      <c r="L666" s="0" t="s">
        <v>757</v>
      </c>
      <c r="M666" s="0" t="s">
        <v>2965</v>
      </c>
      <c r="N666" s="0" t="s">
        <v>2914</v>
      </c>
      <c r="O666" s="3" t="s">
        <v>3694</v>
      </c>
      <c r="P666" s="2" t="s">
        <v>3695</v>
      </c>
      <c r="Q666" s="2" t="s">
        <v>3696</v>
      </c>
      <c r="R666" s="2" t="s">
        <v>32</v>
      </c>
      <c r="S666" s="2" t="s">
        <v>33</v>
      </c>
    </row>
    <row r="667" customFormat="false" ht="15" hidden="false" customHeight="false" outlineLevel="0" collapsed="false">
      <c r="A667" s="0" t="n">
        <v>666</v>
      </c>
      <c r="D667" s="0" t="s">
        <v>3697</v>
      </c>
      <c r="E667" s="0" t="s">
        <v>20</v>
      </c>
      <c r="F667" s="0" t="s">
        <v>3698</v>
      </c>
      <c r="H667" s="0" t="s">
        <v>22</v>
      </c>
      <c r="I667" s="2" t="s">
        <v>23</v>
      </c>
      <c r="J667" s="2" t="s">
        <v>2911</v>
      </c>
      <c r="K667" s="0" t="s">
        <v>2912</v>
      </c>
      <c r="L667" s="0" t="s">
        <v>757</v>
      </c>
      <c r="M667" s="0" t="s">
        <v>2965</v>
      </c>
      <c r="N667" s="0" t="s">
        <v>2914</v>
      </c>
      <c r="O667" s="3" t="s">
        <v>3699</v>
      </c>
      <c r="P667" s="2" t="s">
        <v>3700</v>
      </c>
      <c r="Q667" s="2" t="s">
        <v>3701</v>
      </c>
      <c r="R667" s="2" t="s">
        <v>32</v>
      </c>
      <c r="S667" s="2" t="s">
        <v>33</v>
      </c>
    </row>
    <row r="668" customFormat="false" ht="15" hidden="false" customHeight="false" outlineLevel="0" collapsed="false">
      <c r="A668" s="0" t="n">
        <v>667</v>
      </c>
      <c r="D668" s="0" t="s">
        <v>3702</v>
      </c>
      <c r="E668" s="0" t="s">
        <v>20</v>
      </c>
      <c r="F668" s="0" t="s">
        <v>3703</v>
      </c>
      <c r="H668" s="0" t="s">
        <v>22</v>
      </c>
      <c r="I668" s="2" t="s">
        <v>23</v>
      </c>
      <c r="J668" s="2" t="s">
        <v>2911</v>
      </c>
      <c r="K668" s="0" t="s">
        <v>2912</v>
      </c>
      <c r="L668" s="0" t="s">
        <v>757</v>
      </c>
      <c r="M668" s="0" t="s">
        <v>2965</v>
      </c>
      <c r="N668" s="0" t="s">
        <v>2914</v>
      </c>
      <c r="O668" s="3" t="s">
        <v>3704</v>
      </c>
      <c r="P668" s="2" t="s">
        <v>3705</v>
      </c>
      <c r="Q668" s="2" t="s">
        <v>3706</v>
      </c>
      <c r="R668" s="2" t="s">
        <v>99</v>
      </c>
      <c r="S668" s="2" t="s">
        <v>33</v>
      </c>
    </row>
    <row r="669" customFormat="false" ht="15" hidden="false" customHeight="false" outlineLevel="0" collapsed="false">
      <c r="A669" s="0" t="n">
        <v>668</v>
      </c>
      <c r="D669" s="0" t="s">
        <v>3707</v>
      </c>
      <c r="E669" s="0" t="s">
        <v>20</v>
      </c>
      <c r="F669" s="0" t="s">
        <v>3708</v>
      </c>
      <c r="H669" s="0" t="s">
        <v>22</v>
      </c>
      <c r="I669" s="2" t="s">
        <v>23</v>
      </c>
      <c r="J669" s="2" t="s">
        <v>2911</v>
      </c>
      <c r="K669" s="0" t="s">
        <v>2912</v>
      </c>
      <c r="L669" s="0" t="s">
        <v>757</v>
      </c>
      <c r="M669" s="0" t="s">
        <v>2965</v>
      </c>
      <c r="N669" s="0" t="s">
        <v>2914</v>
      </c>
      <c r="O669" s="3" t="s">
        <v>3709</v>
      </c>
      <c r="Q669" s="2" t="s">
        <v>3710</v>
      </c>
      <c r="R669" s="2" t="s">
        <v>48</v>
      </c>
      <c r="S669" s="2" t="s">
        <v>33</v>
      </c>
    </row>
    <row r="670" customFormat="false" ht="15" hidden="false" customHeight="false" outlineLevel="0" collapsed="false">
      <c r="A670" s="0" t="n">
        <v>669</v>
      </c>
      <c r="D670" s="0" t="s">
        <v>3711</v>
      </c>
      <c r="E670" s="0" t="s">
        <v>20</v>
      </c>
      <c r="F670" s="0" t="s">
        <v>3712</v>
      </c>
      <c r="H670" s="0" t="s">
        <v>22</v>
      </c>
      <c r="I670" s="2" t="s">
        <v>23</v>
      </c>
      <c r="J670" s="2" t="s">
        <v>2911</v>
      </c>
      <c r="K670" s="0" t="s">
        <v>2912</v>
      </c>
      <c r="L670" s="0" t="s">
        <v>757</v>
      </c>
      <c r="M670" s="0" t="s">
        <v>2965</v>
      </c>
      <c r="N670" s="0" t="s">
        <v>2914</v>
      </c>
      <c r="O670" s="3" t="s">
        <v>3713</v>
      </c>
      <c r="P670" s="2" t="s">
        <v>3714</v>
      </c>
      <c r="Q670" s="2" t="s">
        <v>3715</v>
      </c>
      <c r="R670" s="2" t="s">
        <v>32</v>
      </c>
      <c r="S670" s="2" t="s">
        <v>33</v>
      </c>
    </row>
    <row r="671" customFormat="false" ht="15" hidden="false" customHeight="false" outlineLevel="0" collapsed="false">
      <c r="A671" s="0" t="n">
        <v>670</v>
      </c>
      <c r="D671" s="0" t="s">
        <v>3716</v>
      </c>
      <c r="E671" s="0" t="s">
        <v>20</v>
      </c>
      <c r="F671" s="0" t="s">
        <v>3717</v>
      </c>
      <c r="H671" s="0" t="s">
        <v>22</v>
      </c>
      <c r="I671" s="2" t="s">
        <v>23</v>
      </c>
      <c r="J671" s="2" t="s">
        <v>2911</v>
      </c>
      <c r="K671" s="0" t="s">
        <v>2912</v>
      </c>
      <c r="L671" s="0" t="s">
        <v>2593</v>
      </c>
      <c r="M671" s="0" t="s">
        <v>3000</v>
      </c>
      <c r="N671" s="0" t="s">
        <v>2914</v>
      </c>
      <c r="O671" s="3" t="s">
        <v>3718</v>
      </c>
      <c r="P671" s="2" t="s">
        <v>3719</v>
      </c>
      <c r="Q671" s="2" t="s">
        <v>3720</v>
      </c>
      <c r="R671" s="2" t="s">
        <v>32</v>
      </c>
      <c r="S671" s="2" t="s">
        <v>33</v>
      </c>
    </row>
    <row r="672" customFormat="false" ht="15" hidden="false" customHeight="false" outlineLevel="0" collapsed="false">
      <c r="A672" s="0" t="n">
        <v>671</v>
      </c>
      <c r="D672" s="0" t="s">
        <v>3721</v>
      </c>
      <c r="E672" s="0" t="s">
        <v>20</v>
      </c>
      <c r="F672" s="0" t="s">
        <v>3722</v>
      </c>
      <c r="H672" s="0" t="s">
        <v>22</v>
      </c>
      <c r="I672" s="2" t="s">
        <v>23</v>
      </c>
      <c r="J672" s="2" t="s">
        <v>2911</v>
      </c>
      <c r="K672" s="0" t="s">
        <v>2912</v>
      </c>
      <c r="L672" s="0" t="s">
        <v>2111</v>
      </c>
      <c r="M672" s="0" t="s">
        <v>2975</v>
      </c>
      <c r="N672" s="0" t="s">
        <v>2914</v>
      </c>
      <c r="O672" s="3" t="s">
        <v>3723</v>
      </c>
      <c r="P672" s="2" t="s">
        <v>3724</v>
      </c>
      <c r="Q672" s="2" t="s">
        <v>3725</v>
      </c>
      <c r="R672" s="2" t="s">
        <v>32</v>
      </c>
      <c r="S672" s="2" t="s">
        <v>33</v>
      </c>
    </row>
    <row r="673" customFormat="false" ht="15" hidden="false" customHeight="false" outlineLevel="0" collapsed="false">
      <c r="A673" s="0" t="n">
        <v>672</v>
      </c>
      <c r="D673" s="0" t="s">
        <v>3726</v>
      </c>
      <c r="E673" s="0" t="s">
        <v>20</v>
      </c>
      <c r="F673" s="0" t="s">
        <v>3727</v>
      </c>
      <c r="H673" s="0" t="s">
        <v>22</v>
      </c>
      <c r="I673" s="2" t="s">
        <v>23</v>
      </c>
      <c r="J673" s="2" t="s">
        <v>2911</v>
      </c>
      <c r="K673" s="0" t="s">
        <v>2912</v>
      </c>
      <c r="L673" s="0" t="s">
        <v>3139</v>
      </c>
      <c r="M673" s="0" t="s">
        <v>2913</v>
      </c>
      <c r="N673" s="0" t="s">
        <v>2914</v>
      </c>
      <c r="O673" s="3" t="s">
        <v>3728</v>
      </c>
      <c r="P673" s="2" t="s">
        <v>3729</v>
      </c>
      <c r="Q673" s="2" t="s">
        <v>3730</v>
      </c>
      <c r="R673" s="2" t="s">
        <v>32</v>
      </c>
      <c r="S673" s="2" t="s">
        <v>33</v>
      </c>
    </row>
    <row r="674" customFormat="false" ht="15" hidden="false" customHeight="false" outlineLevel="0" collapsed="false">
      <c r="A674" s="0" t="n">
        <v>673</v>
      </c>
      <c r="D674" s="0" t="s">
        <v>3731</v>
      </c>
      <c r="E674" s="0" t="s">
        <v>20</v>
      </c>
      <c r="F674" s="0" t="s">
        <v>3732</v>
      </c>
      <c r="H674" s="0" t="s">
        <v>22</v>
      </c>
      <c r="I674" s="2" t="s">
        <v>23</v>
      </c>
      <c r="J674" s="2" t="s">
        <v>2911</v>
      </c>
      <c r="K674" s="0" t="s">
        <v>2912</v>
      </c>
      <c r="L674" s="0" t="s">
        <v>483</v>
      </c>
      <c r="M674" s="0" t="s">
        <v>2987</v>
      </c>
      <c r="N674" s="0" t="s">
        <v>2914</v>
      </c>
      <c r="O674" s="3" t="s">
        <v>3733</v>
      </c>
      <c r="P674" s="2" t="s">
        <v>3734</v>
      </c>
      <c r="Q674" s="2" t="s">
        <v>3735</v>
      </c>
      <c r="R674" s="2" t="s">
        <v>32</v>
      </c>
      <c r="S674" s="2" t="s">
        <v>33</v>
      </c>
    </row>
    <row r="675" customFormat="false" ht="15" hidden="false" customHeight="false" outlineLevel="0" collapsed="false">
      <c r="A675" s="0" t="n">
        <v>674</v>
      </c>
      <c r="D675" s="0" t="s">
        <v>3736</v>
      </c>
      <c r="E675" s="0" t="s">
        <v>20</v>
      </c>
      <c r="F675" s="0" t="s">
        <v>3737</v>
      </c>
      <c r="H675" s="0" t="s">
        <v>22</v>
      </c>
      <c r="I675" s="2" t="s">
        <v>23</v>
      </c>
      <c r="J675" s="2" t="s">
        <v>2911</v>
      </c>
      <c r="K675" s="0" t="s">
        <v>2912</v>
      </c>
      <c r="L675" s="0" t="s">
        <v>757</v>
      </c>
      <c r="M675" s="0" t="s">
        <v>2965</v>
      </c>
      <c r="N675" s="0" t="s">
        <v>2914</v>
      </c>
      <c r="O675" s="3" t="s">
        <v>3738</v>
      </c>
      <c r="P675" s="2" t="s">
        <v>3739</v>
      </c>
      <c r="Q675" s="2" t="s">
        <v>3740</v>
      </c>
      <c r="R675" s="2" t="s">
        <v>32</v>
      </c>
      <c r="S675" s="2" t="s">
        <v>33</v>
      </c>
    </row>
    <row r="676" customFormat="false" ht="15" hidden="false" customHeight="false" outlineLevel="0" collapsed="false">
      <c r="I676" s="2"/>
      <c r="J676" s="2"/>
    </row>
    <row r="677" customFormat="false" ht="15" hidden="false" customHeight="false" outlineLevel="0" collapsed="false">
      <c r="I677" s="2"/>
      <c r="J677" s="2"/>
    </row>
    <row r="678" customFormat="false" ht="15" hidden="false" customHeight="false" outlineLevel="0" collapsed="false">
      <c r="I678" s="2"/>
      <c r="J678" s="2"/>
    </row>
    <row r="679" customFormat="false" ht="15" hidden="false" customHeight="false" outlineLevel="0" collapsed="false">
      <c r="I679" s="2"/>
      <c r="J679" s="2"/>
    </row>
    <row r="680" customFormat="false" ht="15" hidden="false" customHeight="false" outlineLevel="0" collapsed="false">
      <c r="I680" s="2"/>
      <c r="J680" s="2"/>
    </row>
    <row r="681" customFormat="false" ht="15" hidden="false" customHeight="false" outlineLevel="0" collapsed="false">
      <c r="I681" s="2"/>
      <c r="J681" s="2"/>
    </row>
    <row r="682" customFormat="false" ht="15" hidden="false" customHeight="false" outlineLevel="0" collapsed="false">
      <c r="I682" s="2"/>
      <c r="J682" s="2"/>
    </row>
    <row r="683" customFormat="false" ht="15" hidden="false" customHeight="false" outlineLevel="0" collapsed="false">
      <c r="I683" s="2"/>
      <c r="J683" s="2"/>
    </row>
    <row r="684" customFormat="false" ht="15" hidden="false" customHeight="false" outlineLevel="0" collapsed="false">
      <c r="I684" s="2"/>
      <c r="J684" s="2"/>
    </row>
    <row r="685" customFormat="false" ht="15" hidden="false" customHeight="false" outlineLevel="0" collapsed="false">
      <c r="I685" s="2"/>
      <c r="J685" s="2"/>
    </row>
    <row r="686" customFormat="false" ht="15" hidden="false" customHeight="false" outlineLevel="0" collapsed="false">
      <c r="I686" s="2"/>
      <c r="J686" s="2"/>
    </row>
    <row r="687" customFormat="false" ht="15" hidden="false" customHeight="false" outlineLevel="0" collapsed="false">
      <c r="I687" s="2"/>
      <c r="J687" s="2"/>
    </row>
    <row r="688" customFormat="false" ht="15" hidden="false" customHeight="false" outlineLevel="0" collapsed="false">
      <c r="I688" s="2"/>
      <c r="J688" s="2"/>
    </row>
    <row r="689" customFormat="false" ht="15" hidden="false" customHeight="false" outlineLevel="0" collapsed="false">
      <c r="I689" s="2"/>
      <c r="J689" s="2"/>
    </row>
    <row r="690" customFormat="false" ht="15" hidden="false" customHeight="false" outlineLevel="0" collapsed="false">
      <c r="I690" s="2"/>
      <c r="J690" s="2"/>
    </row>
    <row r="691" customFormat="false" ht="15" hidden="false" customHeight="false" outlineLevel="0" collapsed="false">
      <c r="I691" s="2"/>
      <c r="J691" s="2"/>
    </row>
    <row r="692" customFormat="false" ht="15" hidden="false" customHeight="false" outlineLevel="0" collapsed="false">
      <c r="I692" s="2"/>
      <c r="J692" s="2"/>
    </row>
    <row r="693" customFormat="false" ht="15" hidden="false" customHeight="false" outlineLevel="0" collapsed="false">
      <c r="I693" s="2"/>
      <c r="J693" s="2"/>
    </row>
    <row r="694" customFormat="false" ht="15" hidden="false" customHeight="false" outlineLevel="0" collapsed="false">
      <c r="I694" s="2"/>
      <c r="J694" s="2"/>
    </row>
    <row r="695" customFormat="false" ht="15" hidden="false" customHeight="false" outlineLevel="0" collapsed="false">
      <c r="I695" s="2"/>
      <c r="J695" s="2"/>
    </row>
    <row r="696" customFormat="false" ht="15" hidden="false" customHeight="false" outlineLevel="0" collapsed="false">
      <c r="I696" s="2"/>
      <c r="J696" s="2"/>
    </row>
    <row r="697" customFormat="false" ht="15" hidden="false" customHeight="false" outlineLevel="0" collapsed="false">
      <c r="I697" s="2"/>
      <c r="J697" s="2"/>
    </row>
    <row r="698" customFormat="false" ht="15" hidden="false" customHeight="false" outlineLevel="0" collapsed="false">
      <c r="I698" s="2"/>
      <c r="J698" s="2"/>
    </row>
    <row r="699" customFormat="false" ht="15" hidden="false" customHeight="false" outlineLevel="0" collapsed="false">
      <c r="I699" s="2"/>
      <c r="J699" s="2"/>
    </row>
    <row r="700" customFormat="false" ht="15" hidden="false" customHeight="false" outlineLevel="0" collapsed="false">
      <c r="I700" s="2"/>
      <c r="J700" s="2"/>
    </row>
    <row r="701" customFormat="false" ht="15" hidden="false" customHeight="false" outlineLevel="0" collapsed="false">
      <c r="I701" s="2"/>
      <c r="J701" s="2"/>
    </row>
    <row r="702" customFormat="false" ht="15" hidden="false" customHeight="false" outlineLevel="0" collapsed="false">
      <c r="I702" s="2"/>
      <c r="J702" s="2"/>
    </row>
    <row r="703" customFormat="false" ht="15" hidden="false" customHeight="false" outlineLevel="0" collapsed="false">
      <c r="I703" s="2"/>
      <c r="J703" s="2"/>
    </row>
    <row r="704" customFormat="false" ht="15" hidden="false" customHeight="false" outlineLevel="0" collapsed="false">
      <c r="I704" s="2"/>
      <c r="J704" s="2"/>
    </row>
    <row r="705" customFormat="false" ht="15" hidden="false" customHeight="false" outlineLevel="0" collapsed="false">
      <c r="I705" s="2"/>
      <c r="J705" s="2"/>
    </row>
    <row r="706" customFormat="false" ht="15" hidden="false" customHeight="false" outlineLevel="0" collapsed="false">
      <c r="I706" s="2"/>
      <c r="J706" s="2"/>
    </row>
    <row r="707" customFormat="false" ht="15" hidden="false" customHeight="false" outlineLevel="0" collapsed="false">
      <c r="I707" s="2"/>
      <c r="J707" s="2"/>
    </row>
    <row r="708" customFormat="false" ht="15" hidden="false" customHeight="false" outlineLevel="0" collapsed="false">
      <c r="I708" s="2"/>
      <c r="J708" s="2"/>
    </row>
    <row r="709" customFormat="false" ht="15" hidden="false" customHeight="false" outlineLevel="0" collapsed="false">
      <c r="I709" s="2"/>
      <c r="J709" s="2"/>
    </row>
    <row r="710" customFormat="false" ht="15" hidden="false" customHeight="false" outlineLevel="0" collapsed="false">
      <c r="I710" s="2"/>
      <c r="J710" s="2"/>
    </row>
    <row r="711" customFormat="false" ht="15" hidden="false" customHeight="false" outlineLevel="0" collapsed="false">
      <c r="I711" s="2"/>
      <c r="J711" s="2"/>
    </row>
    <row r="712" customFormat="false" ht="15" hidden="false" customHeight="false" outlineLevel="0" collapsed="false">
      <c r="I712" s="2"/>
      <c r="J712" s="2"/>
    </row>
    <row r="713" customFormat="false" ht="15" hidden="false" customHeight="false" outlineLevel="0" collapsed="false">
      <c r="I713" s="2"/>
      <c r="J713" s="2"/>
    </row>
    <row r="714" customFormat="false" ht="15" hidden="false" customHeight="false" outlineLevel="0" collapsed="false">
      <c r="I714" s="2"/>
      <c r="J714" s="2"/>
    </row>
    <row r="715" customFormat="false" ht="15" hidden="false" customHeight="false" outlineLevel="0" collapsed="false">
      <c r="I715" s="2"/>
      <c r="J715" s="2"/>
    </row>
    <row r="716" customFormat="false" ht="15" hidden="false" customHeight="false" outlineLevel="0" collapsed="false">
      <c r="I716" s="2"/>
      <c r="J716" s="2"/>
    </row>
    <row r="717" customFormat="false" ht="15" hidden="false" customHeight="false" outlineLevel="0" collapsed="false">
      <c r="I717" s="2"/>
      <c r="J717" s="2"/>
    </row>
    <row r="718" customFormat="false" ht="15" hidden="false" customHeight="false" outlineLevel="0" collapsed="false">
      <c r="I718" s="2"/>
      <c r="J718" s="2"/>
    </row>
    <row r="719" customFormat="false" ht="15" hidden="false" customHeight="false" outlineLevel="0" collapsed="false">
      <c r="I719" s="2"/>
      <c r="J719" s="2"/>
    </row>
    <row r="720" customFormat="false" ht="15" hidden="false" customHeight="false" outlineLevel="0" collapsed="false">
      <c r="I720" s="2"/>
      <c r="J720" s="2"/>
    </row>
    <row r="721" customFormat="false" ht="15" hidden="false" customHeight="false" outlineLevel="0" collapsed="false">
      <c r="I721" s="2"/>
      <c r="J721" s="2"/>
    </row>
    <row r="722" customFormat="false" ht="15" hidden="false" customHeight="false" outlineLevel="0" collapsed="false">
      <c r="I722" s="2"/>
      <c r="J722" s="2"/>
    </row>
    <row r="723" customFormat="false" ht="15" hidden="false" customHeight="false" outlineLevel="0" collapsed="false">
      <c r="I723" s="2"/>
      <c r="J723" s="2"/>
    </row>
    <row r="724" customFormat="false" ht="15" hidden="false" customHeight="false" outlineLevel="0" collapsed="false">
      <c r="I724" s="2"/>
      <c r="J724" s="2"/>
    </row>
    <row r="725" customFormat="false" ht="15" hidden="false" customHeight="false" outlineLevel="0" collapsed="false">
      <c r="I725" s="2"/>
      <c r="J725" s="2"/>
    </row>
    <row r="726" customFormat="false" ht="15" hidden="false" customHeight="false" outlineLevel="0" collapsed="false">
      <c r="I726" s="2"/>
      <c r="J726" s="2"/>
    </row>
    <row r="727" customFormat="false" ht="15" hidden="false" customHeight="false" outlineLevel="0" collapsed="false">
      <c r="I727" s="2"/>
      <c r="J727" s="2"/>
    </row>
    <row r="728" customFormat="false" ht="15" hidden="false" customHeight="false" outlineLevel="0" collapsed="false">
      <c r="I728" s="2"/>
      <c r="J728" s="2"/>
    </row>
    <row r="729" customFormat="false" ht="15" hidden="false" customHeight="false" outlineLevel="0" collapsed="false">
      <c r="I729" s="2"/>
      <c r="J729" s="2"/>
    </row>
    <row r="730" customFormat="false" ht="15" hidden="false" customHeight="false" outlineLevel="0" collapsed="false">
      <c r="I730" s="2"/>
      <c r="J730" s="2"/>
    </row>
    <row r="731" customFormat="false" ht="15" hidden="false" customHeight="false" outlineLevel="0" collapsed="false">
      <c r="I731" s="2"/>
      <c r="J731" s="2"/>
    </row>
    <row r="732" customFormat="false" ht="15" hidden="false" customHeight="false" outlineLevel="0" collapsed="false">
      <c r="I732" s="2"/>
      <c r="J732" s="2"/>
    </row>
    <row r="733" customFormat="false" ht="15" hidden="false" customHeight="false" outlineLevel="0" collapsed="false">
      <c r="I733" s="2"/>
      <c r="J733" s="2"/>
    </row>
    <row r="734" customFormat="false" ht="15" hidden="false" customHeight="false" outlineLevel="0" collapsed="false">
      <c r="I734" s="2"/>
      <c r="J734" s="2"/>
    </row>
    <row r="735" customFormat="false" ht="15" hidden="false" customHeight="false" outlineLevel="0" collapsed="false">
      <c r="I735" s="2"/>
      <c r="J735" s="2"/>
    </row>
    <row r="736" customFormat="false" ht="15" hidden="false" customHeight="false" outlineLevel="0" collapsed="false">
      <c r="I736" s="2"/>
      <c r="J736" s="2"/>
    </row>
    <row r="737" customFormat="false" ht="15" hidden="false" customHeight="false" outlineLevel="0" collapsed="false">
      <c r="I737" s="2"/>
      <c r="J737" s="2"/>
    </row>
    <row r="738" customFormat="false" ht="15" hidden="false" customHeight="false" outlineLevel="0" collapsed="false">
      <c r="I738" s="2"/>
      <c r="J738" s="2"/>
    </row>
    <row r="739" customFormat="false" ht="15" hidden="false" customHeight="false" outlineLevel="0" collapsed="false">
      <c r="I739" s="2"/>
      <c r="J739" s="2"/>
    </row>
    <row r="740" customFormat="false" ht="15" hidden="false" customHeight="false" outlineLevel="0" collapsed="false">
      <c r="I740" s="2"/>
      <c r="J740" s="2"/>
    </row>
    <row r="741" customFormat="false" ht="15" hidden="false" customHeight="false" outlineLevel="0" collapsed="false">
      <c r="I741" s="2"/>
      <c r="J741" s="2"/>
    </row>
    <row r="742" customFormat="false" ht="15" hidden="false" customHeight="false" outlineLevel="0" collapsed="false">
      <c r="I742" s="2"/>
      <c r="J742" s="2"/>
    </row>
    <row r="743" customFormat="false" ht="15" hidden="false" customHeight="false" outlineLevel="0" collapsed="false">
      <c r="I743" s="2"/>
      <c r="J743" s="2"/>
    </row>
    <row r="744" customFormat="false" ht="15" hidden="false" customHeight="false" outlineLevel="0" collapsed="false">
      <c r="I744" s="2"/>
      <c r="J744" s="2"/>
    </row>
    <row r="745" customFormat="false" ht="15" hidden="false" customHeight="false" outlineLevel="0" collapsed="false">
      <c r="I745" s="2"/>
      <c r="J745" s="2"/>
    </row>
    <row r="746" customFormat="false" ht="15" hidden="false" customHeight="false" outlineLevel="0" collapsed="false">
      <c r="I746" s="2"/>
      <c r="J746" s="2"/>
    </row>
    <row r="747" customFormat="false" ht="15" hidden="false" customHeight="false" outlineLevel="0" collapsed="false">
      <c r="I747" s="2"/>
      <c r="J747" s="2"/>
    </row>
    <row r="748" customFormat="false" ht="15" hidden="false" customHeight="false" outlineLevel="0" collapsed="false">
      <c r="I748" s="2"/>
      <c r="J748" s="2"/>
    </row>
    <row r="749" customFormat="false" ht="15" hidden="false" customHeight="false" outlineLevel="0" collapsed="false">
      <c r="I749" s="2"/>
      <c r="J749" s="2"/>
    </row>
    <row r="750" customFormat="false" ht="15" hidden="false" customHeight="false" outlineLevel="0" collapsed="false">
      <c r="I750" s="2"/>
      <c r="J750" s="2"/>
    </row>
    <row r="751" customFormat="false" ht="15" hidden="false" customHeight="false" outlineLevel="0" collapsed="false">
      <c r="I751" s="2"/>
      <c r="J751" s="2"/>
    </row>
    <row r="752" customFormat="false" ht="15" hidden="false" customHeight="false" outlineLevel="0" collapsed="false">
      <c r="I752" s="2"/>
      <c r="J752" s="2"/>
    </row>
    <row r="753" customFormat="false" ht="15" hidden="false" customHeight="false" outlineLevel="0" collapsed="false">
      <c r="I753" s="2"/>
      <c r="J753" s="2"/>
    </row>
    <row r="754" customFormat="false" ht="15" hidden="false" customHeight="false" outlineLevel="0" collapsed="false">
      <c r="I754" s="2"/>
      <c r="J754" s="2"/>
    </row>
    <row r="755" customFormat="false" ht="15" hidden="false" customHeight="false" outlineLevel="0" collapsed="false">
      <c r="I755" s="2"/>
      <c r="J755" s="2"/>
    </row>
    <row r="756" customFormat="false" ht="15" hidden="false" customHeight="false" outlineLevel="0" collapsed="false">
      <c r="I756" s="2"/>
      <c r="J756" s="2"/>
    </row>
    <row r="757" customFormat="false" ht="15" hidden="false" customHeight="false" outlineLevel="0" collapsed="false">
      <c r="I757" s="2"/>
      <c r="J757" s="2"/>
    </row>
    <row r="758" customFormat="false" ht="15" hidden="false" customHeight="false" outlineLevel="0" collapsed="false">
      <c r="I758" s="2"/>
      <c r="J758" s="2"/>
    </row>
    <row r="759" customFormat="false" ht="15" hidden="false" customHeight="false" outlineLevel="0" collapsed="false">
      <c r="I759" s="2"/>
      <c r="J759" s="2"/>
    </row>
    <row r="760" customFormat="false" ht="15" hidden="false" customHeight="false" outlineLevel="0" collapsed="false">
      <c r="I760" s="2"/>
      <c r="J760" s="2"/>
    </row>
    <row r="761" customFormat="false" ht="15" hidden="false" customHeight="false" outlineLevel="0" collapsed="false">
      <c r="I761" s="2"/>
      <c r="J761" s="2"/>
    </row>
    <row r="762" customFormat="false" ht="15" hidden="false" customHeight="false" outlineLevel="0" collapsed="false">
      <c r="I762" s="2"/>
      <c r="J762" s="2"/>
    </row>
    <row r="763" customFormat="false" ht="15" hidden="false" customHeight="false" outlineLevel="0" collapsed="false">
      <c r="I763" s="2"/>
      <c r="J763" s="2"/>
    </row>
    <row r="764" customFormat="false" ht="15" hidden="false" customHeight="false" outlineLevel="0" collapsed="false">
      <c r="I764" s="2"/>
      <c r="J764" s="2"/>
    </row>
    <row r="765" customFormat="false" ht="15" hidden="false" customHeight="false" outlineLevel="0" collapsed="false">
      <c r="I765" s="2"/>
      <c r="J765" s="2"/>
    </row>
    <row r="766" customFormat="false" ht="15" hidden="false" customHeight="false" outlineLevel="0" collapsed="false">
      <c r="I766" s="2"/>
      <c r="J766" s="2"/>
    </row>
    <row r="767" customFormat="false" ht="15" hidden="false" customHeight="false" outlineLevel="0" collapsed="false">
      <c r="I767" s="2"/>
      <c r="J767" s="2"/>
    </row>
    <row r="768" customFormat="false" ht="15" hidden="false" customHeight="false" outlineLevel="0" collapsed="false">
      <c r="I768" s="2"/>
      <c r="J768" s="2"/>
    </row>
    <row r="769" customFormat="false" ht="15" hidden="false" customHeight="false" outlineLevel="0" collapsed="false">
      <c r="I769" s="2"/>
      <c r="J769" s="2"/>
    </row>
    <row r="770" customFormat="false" ht="15" hidden="false" customHeight="false" outlineLevel="0" collapsed="false">
      <c r="I770" s="2"/>
      <c r="J770" s="2"/>
    </row>
    <row r="771" customFormat="false" ht="15" hidden="false" customHeight="false" outlineLevel="0" collapsed="false">
      <c r="I771" s="2"/>
      <c r="J771" s="2"/>
    </row>
    <row r="772" customFormat="false" ht="15" hidden="false" customHeight="false" outlineLevel="0" collapsed="false">
      <c r="I772" s="2"/>
      <c r="J772" s="2"/>
    </row>
    <row r="773" customFormat="false" ht="15" hidden="false" customHeight="false" outlineLevel="0" collapsed="false">
      <c r="I773" s="2"/>
      <c r="J773" s="2"/>
    </row>
    <row r="774" customFormat="false" ht="15" hidden="false" customHeight="false" outlineLevel="0" collapsed="false">
      <c r="I774" s="2"/>
      <c r="J774" s="2"/>
    </row>
    <row r="775" customFormat="false" ht="15" hidden="false" customHeight="false" outlineLevel="0" collapsed="false">
      <c r="I775" s="2"/>
      <c r="J775" s="2"/>
    </row>
    <row r="776" customFormat="false" ht="15" hidden="false" customHeight="false" outlineLevel="0" collapsed="false">
      <c r="I776" s="2"/>
      <c r="J776" s="2"/>
    </row>
    <row r="777" customFormat="false" ht="15" hidden="false" customHeight="false" outlineLevel="0" collapsed="false">
      <c r="I777" s="2"/>
      <c r="J777" s="2"/>
    </row>
    <row r="778" customFormat="false" ht="15" hidden="false" customHeight="false" outlineLevel="0" collapsed="false">
      <c r="I778" s="2"/>
      <c r="J778" s="2"/>
    </row>
    <row r="779" customFormat="false" ht="15" hidden="false" customHeight="false" outlineLevel="0" collapsed="false">
      <c r="I779" s="2"/>
      <c r="J779" s="2"/>
    </row>
    <row r="780" customFormat="false" ht="15" hidden="false" customHeight="false" outlineLevel="0" collapsed="false">
      <c r="I780" s="2"/>
      <c r="J780" s="2"/>
    </row>
    <row r="781" customFormat="false" ht="15" hidden="false" customHeight="false" outlineLevel="0" collapsed="false">
      <c r="I781" s="2"/>
      <c r="J781" s="2"/>
    </row>
    <row r="782" customFormat="false" ht="15" hidden="false" customHeight="false" outlineLevel="0" collapsed="false">
      <c r="I782" s="2"/>
      <c r="J782" s="2"/>
    </row>
    <row r="783" customFormat="false" ht="15" hidden="false" customHeight="false" outlineLevel="0" collapsed="false">
      <c r="I783" s="2"/>
      <c r="J783" s="2"/>
    </row>
    <row r="784" customFormat="false" ht="15" hidden="false" customHeight="false" outlineLevel="0" collapsed="false">
      <c r="I784" s="2"/>
      <c r="J784" s="2"/>
    </row>
    <row r="785" customFormat="false" ht="15" hidden="false" customHeight="false" outlineLevel="0" collapsed="false">
      <c r="I785" s="2"/>
      <c r="J785" s="2"/>
    </row>
    <row r="786" customFormat="false" ht="15" hidden="false" customHeight="false" outlineLevel="0" collapsed="false">
      <c r="I786" s="2"/>
      <c r="J786" s="2"/>
    </row>
    <row r="787" customFormat="false" ht="15" hidden="false" customHeight="false" outlineLevel="0" collapsed="false">
      <c r="I787" s="2"/>
      <c r="J787" s="2"/>
    </row>
    <row r="788" customFormat="false" ht="15" hidden="false" customHeight="false" outlineLevel="0" collapsed="false">
      <c r="I788" s="2"/>
      <c r="J788" s="2"/>
    </row>
    <row r="789" customFormat="false" ht="15" hidden="false" customHeight="false" outlineLevel="0" collapsed="false">
      <c r="I789" s="2"/>
      <c r="J789" s="2"/>
    </row>
    <row r="790" customFormat="false" ht="15" hidden="false" customHeight="false" outlineLevel="0" collapsed="false">
      <c r="I790" s="2"/>
      <c r="J790" s="2"/>
    </row>
    <row r="791" customFormat="false" ht="15" hidden="false" customHeight="false" outlineLevel="0" collapsed="false">
      <c r="I791" s="2"/>
      <c r="J791" s="2"/>
    </row>
    <row r="792" customFormat="false" ht="15" hidden="false" customHeight="false" outlineLevel="0" collapsed="false">
      <c r="I792" s="2"/>
      <c r="J792" s="2"/>
    </row>
    <row r="793" customFormat="false" ht="15" hidden="false" customHeight="false" outlineLevel="0" collapsed="false">
      <c r="I793" s="2"/>
      <c r="J793" s="2"/>
    </row>
    <row r="794" customFormat="false" ht="15" hidden="false" customHeight="false" outlineLevel="0" collapsed="false">
      <c r="I794" s="2"/>
      <c r="J794" s="2"/>
    </row>
    <row r="795" customFormat="false" ht="15" hidden="false" customHeight="false" outlineLevel="0" collapsed="false">
      <c r="I795" s="2"/>
      <c r="J795" s="2"/>
    </row>
    <row r="796" customFormat="false" ht="15" hidden="false" customHeight="false" outlineLevel="0" collapsed="false">
      <c r="I796" s="2"/>
      <c r="J796" s="2"/>
    </row>
    <row r="797" customFormat="false" ht="15" hidden="false" customHeight="false" outlineLevel="0" collapsed="false">
      <c r="I797" s="2"/>
      <c r="J797" s="2"/>
    </row>
    <row r="798" customFormat="false" ht="15" hidden="false" customHeight="false" outlineLevel="0" collapsed="false">
      <c r="I798" s="2"/>
      <c r="J798" s="2"/>
    </row>
    <row r="799" customFormat="false" ht="15" hidden="false" customHeight="false" outlineLevel="0" collapsed="false">
      <c r="I799" s="2"/>
      <c r="J799" s="2"/>
    </row>
    <row r="800" customFormat="false" ht="15" hidden="false" customHeight="false" outlineLevel="0" collapsed="false">
      <c r="I800" s="2"/>
      <c r="J800" s="2"/>
    </row>
    <row r="801" customFormat="false" ht="15" hidden="false" customHeight="false" outlineLevel="0" collapsed="false">
      <c r="I801" s="2"/>
      <c r="J801" s="2"/>
    </row>
    <row r="802" customFormat="false" ht="15" hidden="false" customHeight="false" outlineLevel="0" collapsed="false">
      <c r="I802" s="2"/>
      <c r="J802" s="2"/>
    </row>
    <row r="803" customFormat="false" ht="15" hidden="false" customHeight="false" outlineLevel="0" collapsed="false">
      <c r="I803" s="2"/>
      <c r="J803" s="2"/>
    </row>
    <row r="804" customFormat="false" ht="15" hidden="false" customHeight="false" outlineLevel="0" collapsed="false">
      <c r="I804" s="2"/>
      <c r="J804" s="2"/>
    </row>
    <row r="805" customFormat="false" ht="15" hidden="false" customHeight="false" outlineLevel="0" collapsed="false">
      <c r="I805" s="2"/>
      <c r="J805" s="2"/>
    </row>
    <row r="806" customFormat="false" ht="15" hidden="false" customHeight="false" outlineLevel="0" collapsed="false">
      <c r="I806" s="2"/>
      <c r="J806" s="2"/>
    </row>
    <row r="807" customFormat="false" ht="15" hidden="false" customHeight="false" outlineLevel="0" collapsed="false">
      <c r="I807" s="2"/>
      <c r="J807" s="2"/>
    </row>
    <row r="808" customFormat="false" ht="15" hidden="false" customHeight="false" outlineLevel="0" collapsed="false">
      <c r="I808" s="2"/>
      <c r="J808" s="2"/>
    </row>
    <row r="809" customFormat="false" ht="15" hidden="false" customHeight="false" outlineLevel="0" collapsed="false">
      <c r="I809" s="2"/>
      <c r="J809" s="2"/>
    </row>
    <row r="810" customFormat="false" ht="15" hidden="false" customHeight="false" outlineLevel="0" collapsed="false">
      <c r="I810" s="2"/>
      <c r="J810" s="2"/>
    </row>
    <row r="811" customFormat="false" ht="15" hidden="false" customHeight="false" outlineLevel="0" collapsed="false">
      <c r="I811" s="2"/>
      <c r="J811" s="2"/>
    </row>
    <row r="812" customFormat="false" ht="15" hidden="false" customHeight="false" outlineLevel="0" collapsed="false">
      <c r="I812" s="2"/>
      <c r="J812" s="2"/>
    </row>
    <row r="813" customFormat="false" ht="15" hidden="false" customHeight="false" outlineLevel="0" collapsed="false">
      <c r="I813" s="2"/>
      <c r="J813" s="2"/>
    </row>
    <row r="814" customFormat="false" ht="15" hidden="false" customHeight="false" outlineLevel="0" collapsed="false">
      <c r="I814" s="2"/>
      <c r="J814" s="2"/>
    </row>
    <row r="815" customFormat="false" ht="15" hidden="false" customHeight="false" outlineLevel="0" collapsed="false">
      <c r="I815" s="2"/>
      <c r="J815" s="2"/>
    </row>
    <row r="816" customFormat="false" ht="15" hidden="false" customHeight="false" outlineLevel="0" collapsed="false">
      <c r="I816" s="2"/>
      <c r="J816" s="2"/>
    </row>
    <row r="817" customFormat="false" ht="15" hidden="false" customHeight="false" outlineLevel="0" collapsed="false">
      <c r="I817" s="2"/>
      <c r="J817" s="2"/>
    </row>
    <row r="818" customFormat="false" ht="15" hidden="false" customHeight="false" outlineLevel="0" collapsed="false">
      <c r="I818" s="2"/>
      <c r="J818" s="2"/>
    </row>
    <row r="819" customFormat="false" ht="15" hidden="false" customHeight="false" outlineLevel="0" collapsed="false">
      <c r="I819" s="2"/>
      <c r="J819" s="2"/>
    </row>
    <row r="820" customFormat="false" ht="15" hidden="false" customHeight="false" outlineLevel="0" collapsed="false">
      <c r="I820" s="2"/>
      <c r="J820" s="2"/>
    </row>
    <row r="821" customFormat="false" ht="15" hidden="false" customHeight="false" outlineLevel="0" collapsed="false">
      <c r="I821" s="2"/>
      <c r="J821" s="2"/>
    </row>
    <row r="822" customFormat="false" ht="15" hidden="false" customHeight="false" outlineLevel="0" collapsed="false">
      <c r="I822" s="2"/>
      <c r="J822" s="2"/>
    </row>
    <row r="823" customFormat="false" ht="15" hidden="false" customHeight="false" outlineLevel="0" collapsed="false">
      <c r="I823" s="2"/>
      <c r="J823" s="2"/>
    </row>
    <row r="824" customFormat="false" ht="15" hidden="false" customHeight="false" outlineLevel="0" collapsed="false">
      <c r="I824" s="2"/>
      <c r="J824" s="2"/>
    </row>
    <row r="825" customFormat="false" ht="15" hidden="false" customHeight="false" outlineLevel="0" collapsed="false">
      <c r="I825" s="2"/>
      <c r="J825" s="2"/>
    </row>
    <row r="826" customFormat="false" ht="15" hidden="false" customHeight="false" outlineLevel="0" collapsed="false">
      <c r="I826" s="2"/>
      <c r="J826" s="2"/>
    </row>
    <row r="827" customFormat="false" ht="15" hidden="false" customHeight="false" outlineLevel="0" collapsed="false">
      <c r="I827" s="2"/>
      <c r="J827" s="2"/>
    </row>
    <row r="828" customFormat="false" ht="15" hidden="false" customHeight="false" outlineLevel="0" collapsed="false">
      <c r="I828" s="2"/>
      <c r="J828" s="2"/>
    </row>
    <row r="829" customFormat="false" ht="15" hidden="false" customHeight="false" outlineLevel="0" collapsed="false">
      <c r="I829" s="2"/>
      <c r="J829" s="2"/>
    </row>
    <row r="830" customFormat="false" ht="15" hidden="false" customHeight="false" outlineLevel="0" collapsed="false">
      <c r="I830" s="2"/>
      <c r="J830" s="2"/>
    </row>
    <row r="831" customFormat="false" ht="15" hidden="false" customHeight="false" outlineLevel="0" collapsed="false">
      <c r="I831" s="2"/>
      <c r="J831" s="2"/>
    </row>
    <row r="832" customFormat="false" ht="15" hidden="false" customHeight="false" outlineLevel="0" collapsed="false">
      <c r="I832" s="2"/>
      <c r="J832" s="2"/>
    </row>
    <row r="833" customFormat="false" ht="15" hidden="false" customHeight="false" outlineLevel="0" collapsed="false">
      <c r="I833" s="2"/>
      <c r="J833" s="2"/>
    </row>
    <row r="834" customFormat="false" ht="15" hidden="false" customHeight="false" outlineLevel="0" collapsed="false">
      <c r="I834" s="2"/>
      <c r="J834" s="2"/>
    </row>
    <row r="835" customFormat="false" ht="15" hidden="false" customHeight="false" outlineLevel="0" collapsed="false">
      <c r="I835" s="2"/>
      <c r="J835" s="2"/>
    </row>
    <row r="836" customFormat="false" ht="15" hidden="false" customHeight="false" outlineLevel="0" collapsed="false">
      <c r="I836" s="2"/>
      <c r="J836" s="2"/>
    </row>
    <row r="837" customFormat="false" ht="15" hidden="false" customHeight="false" outlineLevel="0" collapsed="false">
      <c r="I837" s="2"/>
      <c r="J837" s="2"/>
    </row>
    <row r="838" customFormat="false" ht="15" hidden="false" customHeight="false" outlineLevel="0" collapsed="false">
      <c r="I838" s="2"/>
      <c r="J838" s="2"/>
    </row>
    <row r="839" customFormat="false" ht="15" hidden="false" customHeight="false" outlineLevel="0" collapsed="false">
      <c r="I839" s="2"/>
      <c r="J839" s="2"/>
    </row>
    <row r="840" customFormat="false" ht="15" hidden="false" customHeight="false" outlineLevel="0" collapsed="false">
      <c r="I840" s="2"/>
      <c r="J840" s="2"/>
    </row>
    <row r="841" customFormat="false" ht="15" hidden="false" customHeight="false" outlineLevel="0" collapsed="false">
      <c r="I841" s="2"/>
      <c r="J841" s="2"/>
    </row>
    <row r="842" customFormat="false" ht="15" hidden="false" customHeight="false" outlineLevel="0" collapsed="false">
      <c r="I842" s="2"/>
      <c r="J842" s="2"/>
    </row>
    <row r="843" customFormat="false" ht="15" hidden="false" customHeight="false" outlineLevel="0" collapsed="false">
      <c r="I843" s="2"/>
      <c r="J843" s="2"/>
    </row>
    <row r="844" customFormat="false" ht="15" hidden="false" customHeight="false" outlineLevel="0" collapsed="false">
      <c r="I844" s="2"/>
      <c r="J844" s="2"/>
    </row>
    <row r="845" customFormat="false" ht="15" hidden="false" customHeight="false" outlineLevel="0" collapsed="false">
      <c r="I845" s="2"/>
      <c r="J845" s="2"/>
    </row>
    <row r="846" customFormat="false" ht="15" hidden="false" customHeight="false" outlineLevel="0" collapsed="false">
      <c r="I846" s="2"/>
      <c r="J846" s="2"/>
    </row>
    <row r="847" customFormat="false" ht="15" hidden="false" customHeight="false" outlineLevel="0" collapsed="false">
      <c r="I847" s="2"/>
      <c r="J847" s="2"/>
    </row>
    <row r="848" customFormat="false" ht="15" hidden="false" customHeight="false" outlineLevel="0" collapsed="false">
      <c r="I848" s="2"/>
      <c r="J848" s="2"/>
    </row>
    <row r="849" customFormat="false" ht="15" hidden="false" customHeight="false" outlineLevel="0" collapsed="false">
      <c r="I849" s="2"/>
      <c r="J849" s="2"/>
    </row>
    <row r="850" customFormat="false" ht="15" hidden="false" customHeight="false" outlineLevel="0" collapsed="false">
      <c r="I850" s="2"/>
      <c r="J850" s="2"/>
    </row>
    <row r="851" customFormat="false" ht="15" hidden="false" customHeight="false" outlineLevel="0" collapsed="false">
      <c r="I851" s="2"/>
      <c r="J851" s="2"/>
    </row>
    <row r="852" customFormat="false" ht="15" hidden="false" customHeight="false" outlineLevel="0" collapsed="false">
      <c r="I852" s="2"/>
      <c r="J852" s="2"/>
    </row>
    <row r="853" customFormat="false" ht="15" hidden="false" customHeight="false" outlineLevel="0" collapsed="false">
      <c r="I853" s="2"/>
      <c r="J853" s="2"/>
    </row>
    <row r="854" customFormat="false" ht="15" hidden="false" customHeight="false" outlineLevel="0" collapsed="false">
      <c r="I854" s="2"/>
      <c r="J854" s="2"/>
    </row>
    <row r="855" customFormat="false" ht="15" hidden="false" customHeight="false" outlineLevel="0" collapsed="false">
      <c r="I855" s="2"/>
      <c r="J855" s="2"/>
    </row>
    <row r="856" customFormat="false" ht="15" hidden="false" customHeight="false" outlineLevel="0" collapsed="false">
      <c r="I856" s="2"/>
      <c r="J856" s="2"/>
    </row>
    <row r="857" customFormat="false" ht="15" hidden="false" customHeight="false" outlineLevel="0" collapsed="false">
      <c r="I857" s="2"/>
      <c r="J857" s="2"/>
    </row>
    <row r="858" customFormat="false" ht="15" hidden="false" customHeight="false" outlineLevel="0" collapsed="false">
      <c r="I858" s="2"/>
      <c r="J858" s="2"/>
    </row>
    <row r="859" customFormat="false" ht="15" hidden="false" customHeight="false" outlineLevel="0" collapsed="false">
      <c r="I859" s="2"/>
      <c r="J859" s="2"/>
    </row>
    <row r="860" customFormat="false" ht="15" hidden="false" customHeight="false" outlineLevel="0" collapsed="false">
      <c r="I860" s="2"/>
      <c r="J860" s="2"/>
    </row>
    <row r="861" customFormat="false" ht="15" hidden="false" customHeight="false" outlineLevel="0" collapsed="false">
      <c r="I861" s="2"/>
      <c r="J861" s="2"/>
    </row>
    <row r="862" customFormat="false" ht="15" hidden="false" customHeight="false" outlineLevel="0" collapsed="false">
      <c r="I862" s="2"/>
      <c r="J862" s="2"/>
    </row>
    <row r="863" customFormat="false" ht="15" hidden="false" customHeight="false" outlineLevel="0" collapsed="false">
      <c r="I863" s="2"/>
      <c r="J863" s="2"/>
    </row>
    <row r="864" customFormat="false" ht="15" hidden="false" customHeight="false" outlineLevel="0" collapsed="false">
      <c r="I864" s="2"/>
      <c r="J864" s="2"/>
    </row>
    <row r="865" customFormat="false" ht="15" hidden="false" customHeight="false" outlineLevel="0" collapsed="false">
      <c r="I865" s="2"/>
      <c r="J865" s="2"/>
    </row>
    <row r="866" customFormat="false" ht="15" hidden="false" customHeight="false" outlineLevel="0" collapsed="false">
      <c r="I866" s="2"/>
      <c r="J866" s="2"/>
    </row>
    <row r="867" customFormat="false" ht="15" hidden="false" customHeight="false" outlineLevel="0" collapsed="false">
      <c r="I867" s="2"/>
      <c r="J867" s="2"/>
    </row>
    <row r="868" customFormat="false" ht="15" hidden="false" customHeight="false" outlineLevel="0" collapsed="false">
      <c r="I868" s="2"/>
      <c r="J868" s="2"/>
    </row>
    <row r="869" customFormat="false" ht="15" hidden="false" customHeight="false" outlineLevel="0" collapsed="false">
      <c r="I869" s="2"/>
      <c r="J869" s="2"/>
    </row>
    <row r="870" customFormat="false" ht="15" hidden="false" customHeight="false" outlineLevel="0" collapsed="false">
      <c r="I870" s="2"/>
      <c r="J870" s="2"/>
    </row>
    <row r="871" customFormat="false" ht="15" hidden="false" customHeight="false" outlineLevel="0" collapsed="false">
      <c r="I871" s="2"/>
      <c r="J871" s="2"/>
    </row>
    <row r="872" customFormat="false" ht="15" hidden="false" customHeight="false" outlineLevel="0" collapsed="false">
      <c r="I872" s="2"/>
      <c r="J872" s="2"/>
    </row>
    <row r="873" customFormat="false" ht="15" hidden="false" customHeight="false" outlineLevel="0" collapsed="false">
      <c r="I873" s="2"/>
      <c r="J873" s="2"/>
    </row>
    <row r="874" customFormat="false" ht="15" hidden="false" customHeight="false" outlineLevel="0" collapsed="false">
      <c r="I874" s="2"/>
      <c r="J874" s="2"/>
    </row>
    <row r="875" customFormat="false" ht="15" hidden="false" customHeight="false" outlineLevel="0" collapsed="false">
      <c r="I875" s="2"/>
      <c r="J875" s="2"/>
    </row>
    <row r="876" customFormat="false" ht="15" hidden="false" customHeight="false" outlineLevel="0" collapsed="false">
      <c r="I876" s="2"/>
      <c r="J876" s="2"/>
    </row>
    <row r="877" customFormat="false" ht="15" hidden="false" customHeight="false" outlineLevel="0" collapsed="false">
      <c r="I877" s="2"/>
      <c r="J877" s="2"/>
    </row>
    <row r="878" customFormat="false" ht="15" hidden="false" customHeight="false" outlineLevel="0" collapsed="false">
      <c r="I878" s="2"/>
      <c r="J878" s="2"/>
    </row>
    <row r="879" customFormat="false" ht="15" hidden="false" customHeight="false" outlineLevel="0" collapsed="false">
      <c r="I879" s="2"/>
      <c r="J879" s="2"/>
    </row>
    <row r="880" customFormat="false" ht="15" hidden="false" customHeight="false" outlineLevel="0" collapsed="false">
      <c r="I880" s="2"/>
      <c r="J880" s="2"/>
    </row>
    <row r="881" customFormat="false" ht="15" hidden="false" customHeight="false" outlineLevel="0" collapsed="false">
      <c r="I881" s="2"/>
      <c r="J881" s="2"/>
    </row>
    <row r="882" customFormat="false" ht="15" hidden="false" customHeight="false" outlineLevel="0" collapsed="false">
      <c r="I882" s="2"/>
      <c r="J882" s="2"/>
    </row>
    <row r="883" customFormat="false" ht="15" hidden="false" customHeight="false" outlineLevel="0" collapsed="false">
      <c r="I883" s="2"/>
      <c r="J883" s="2"/>
    </row>
    <row r="884" customFormat="false" ht="15" hidden="false" customHeight="false" outlineLevel="0" collapsed="false">
      <c r="I884" s="2"/>
      <c r="J884" s="2"/>
    </row>
    <row r="885" customFormat="false" ht="15" hidden="false" customHeight="false" outlineLevel="0" collapsed="false">
      <c r="I885" s="2"/>
      <c r="J885" s="2"/>
    </row>
    <row r="886" customFormat="false" ht="15" hidden="false" customHeight="false" outlineLevel="0" collapsed="false">
      <c r="I886" s="2"/>
      <c r="J886" s="2"/>
    </row>
    <row r="887" customFormat="false" ht="15" hidden="false" customHeight="false" outlineLevel="0" collapsed="false">
      <c r="I887" s="2"/>
      <c r="J887" s="2"/>
    </row>
    <row r="888" customFormat="false" ht="15" hidden="false" customHeight="false" outlineLevel="0" collapsed="false">
      <c r="I888" s="2"/>
      <c r="J888" s="2"/>
    </row>
    <row r="889" customFormat="false" ht="15" hidden="false" customHeight="false" outlineLevel="0" collapsed="false">
      <c r="I889" s="2"/>
      <c r="J889" s="2"/>
    </row>
    <row r="890" customFormat="false" ht="15" hidden="false" customHeight="false" outlineLevel="0" collapsed="false">
      <c r="I890" s="2"/>
      <c r="J890" s="2"/>
    </row>
    <row r="891" customFormat="false" ht="15" hidden="false" customHeight="false" outlineLevel="0" collapsed="false">
      <c r="I891" s="2"/>
      <c r="J891" s="2"/>
    </row>
    <row r="892" customFormat="false" ht="15" hidden="false" customHeight="false" outlineLevel="0" collapsed="false">
      <c r="I892" s="2"/>
      <c r="J892" s="2"/>
    </row>
    <row r="893" customFormat="false" ht="15" hidden="false" customHeight="false" outlineLevel="0" collapsed="false">
      <c r="I893" s="2"/>
      <c r="J893" s="2"/>
    </row>
    <row r="894" customFormat="false" ht="15" hidden="false" customHeight="false" outlineLevel="0" collapsed="false">
      <c r="I894" s="2"/>
      <c r="J894" s="2"/>
    </row>
    <row r="895" customFormat="false" ht="15" hidden="false" customHeight="false" outlineLevel="0" collapsed="false">
      <c r="I895" s="2"/>
      <c r="J895" s="2"/>
    </row>
    <row r="896" customFormat="false" ht="15" hidden="false" customHeight="false" outlineLevel="0" collapsed="false">
      <c r="I896" s="2"/>
      <c r="J896" s="2"/>
    </row>
    <row r="897" customFormat="false" ht="15" hidden="false" customHeight="false" outlineLevel="0" collapsed="false">
      <c r="I897" s="2"/>
      <c r="J897" s="2"/>
    </row>
    <row r="898" customFormat="false" ht="15" hidden="false" customHeight="false" outlineLevel="0" collapsed="false">
      <c r="I898" s="2"/>
      <c r="J898" s="2"/>
    </row>
    <row r="899" customFormat="false" ht="15" hidden="false" customHeight="false" outlineLevel="0" collapsed="false">
      <c r="I899" s="2"/>
      <c r="J899" s="2"/>
    </row>
    <row r="900" customFormat="false" ht="15" hidden="false" customHeight="false" outlineLevel="0" collapsed="false">
      <c r="I900" s="2"/>
      <c r="J900" s="2"/>
    </row>
    <row r="901" customFormat="false" ht="15" hidden="false" customHeight="false" outlineLevel="0" collapsed="false">
      <c r="I901" s="2"/>
      <c r="J901" s="2"/>
    </row>
    <row r="902" customFormat="false" ht="15" hidden="false" customHeight="false" outlineLevel="0" collapsed="false">
      <c r="I902" s="2"/>
      <c r="J902" s="2"/>
    </row>
    <row r="903" customFormat="false" ht="15" hidden="false" customHeight="false" outlineLevel="0" collapsed="false">
      <c r="I903" s="2"/>
      <c r="J903" s="2"/>
    </row>
    <row r="904" customFormat="false" ht="15" hidden="false" customHeight="false" outlineLevel="0" collapsed="false">
      <c r="I904" s="2"/>
      <c r="J904" s="2"/>
    </row>
    <row r="905" customFormat="false" ht="15" hidden="false" customHeight="false" outlineLevel="0" collapsed="false">
      <c r="I905" s="2"/>
      <c r="J905" s="2"/>
    </row>
    <row r="906" customFormat="false" ht="15" hidden="false" customHeight="false" outlineLevel="0" collapsed="false">
      <c r="I906" s="2"/>
      <c r="J906" s="2"/>
    </row>
    <row r="907" customFormat="false" ht="15" hidden="false" customHeight="false" outlineLevel="0" collapsed="false">
      <c r="I907" s="2"/>
      <c r="J907" s="2"/>
    </row>
    <row r="908" customFormat="false" ht="15" hidden="false" customHeight="false" outlineLevel="0" collapsed="false">
      <c r="I908" s="2"/>
      <c r="J908" s="2"/>
    </row>
    <row r="909" customFormat="false" ht="15" hidden="false" customHeight="false" outlineLevel="0" collapsed="false">
      <c r="I909" s="2"/>
      <c r="J909" s="2"/>
    </row>
    <row r="910" customFormat="false" ht="15" hidden="false" customHeight="false" outlineLevel="0" collapsed="false">
      <c r="I910" s="2"/>
      <c r="J910" s="2"/>
    </row>
    <row r="911" customFormat="false" ht="15" hidden="false" customHeight="false" outlineLevel="0" collapsed="false">
      <c r="I911" s="2"/>
      <c r="J911" s="2"/>
    </row>
    <row r="912" customFormat="false" ht="15" hidden="false" customHeight="false" outlineLevel="0" collapsed="false">
      <c r="I912" s="2"/>
      <c r="J912" s="2"/>
    </row>
    <row r="913" customFormat="false" ht="15" hidden="false" customHeight="false" outlineLevel="0" collapsed="false">
      <c r="I913" s="2"/>
      <c r="J913" s="2"/>
    </row>
    <row r="914" customFormat="false" ht="15" hidden="false" customHeight="false" outlineLevel="0" collapsed="false">
      <c r="I914" s="2"/>
      <c r="J914" s="2"/>
    </row>
    <row r="915" customFormat="false" ht="15" hidden="false" customHeight="false" outlineLevel="0" collapsed="false">
      <c r="I915" s="2"/>
      <c r="J915" s="2"/>
    </row>
    <row r="916" customFormat="false" ht="15" hidden="false" customHeight="false" outlineLevel="0" collapsed="false">
      <c r="I916" s="2"/>
      <c r="J916" s="2"/>
    </row>
    <row r="917" customFormat="false" ht="15" hidden="false" customHeight="false" outlineLevel="0" collapsed="false">
      <c r="I917" s="2"/>
      <c r="J917" s="2"/>
    </row>
    <row r="918" customFormat="false" ht="15" hidden="false" customHeight="false" outlineLevel="0" collapsed="false">
      <c r="I918" s="2"/>
      <c r="J918" s="2"/>
    </row>
    <row r="919" customFormat="false" ht="15" hidden="false" customHeight="false" outlineLevel="0" collapsed="false">
      <c r="I919" s="2"/>
      <c r="J919" s="2"/>
    </row>
    <row r="920" customFormat="false" ht="15" hidden="false" customHeight="false" outlineLevel="0" collapsed="false">
      <c r="I920" s="2"/>
      <c r="J920" s="2"/>
    </row>
    <row r="921" customFormat="false" ht="15" hidden="false" customHeight="false" outlineLevel="0" collapsed="false">
      <c r="I921" s="2"/>
      <c r="J921" s="2"/>
    </row>
    <row r="922" customFormat="false" ht="15" hidden="false" customHeight="false" outlineLevel="0" collapsed="false">
      <c r="I922" s="2"/>
      <c r="J922" s="2"/>
    </row>
    <row r="923" customFormat="false" ht="15" hidden="false" customHeight="false" outlineLevel="0" collapsed="false">
      <c r="I923" s="2"/>
      <c r="J923" s="2"/>
    </row>
    <row r="924" customFormat="false" ht="15" hidden="false" customHeight="false" outlineLevel="0" collapsed="false">
      <c r="I924" s="2"/>
      <c r="J924" s="2"/>
    </row>
    <row r="925" customFormat="false" ht="15" hidden="false" customHeight="false" outlineLevel="0" collapsed="false">
      <c r="I925" s="2"/>
      <c r="J925" s="2"/>
    </row>
    <row r="926" customFormat="false" ht="15" hidden="false" customHeight="false" outlineLevel="0" collapsed="false">
      <c r="I926" s="2"/>
      <c r="J926" s="2"/>
    </row>
    <row r="927" customFormat="false" ht="15" hidden="false" customHeight="false" outlineLevel="0" collapsed="false">
      <c r="I927" s="2"/>
      <c r="J927" s="2"/>
    </row>
    <row r="928" customFormat="false" ht="15" hidden="false" customHeight="false" outlineLevel="0" collapsed="false">
      <c r="I928" s="2"/>
      <c r="J928" s="2"/>
    </row>
    <row r="929" customFormat="false" ht="15" hidden="false" customHeight="false" outlineLevel="0" collapsed="false">
      <c r="I929" s="2"/>
      <c r="J929" s="2"/>
    </row>
    <row r="930" customFormat="false" ht="15" hidden="false" customHeight="false" outlineLevel="0" collapsed="false">
      <c r="I930" s="2"/>
      <c r="J930" s="2"/>
    </row>
    <row r="931" customFormat="false" ht="15" hidden="false" customHeight="false" outlineLevel="0" collapsed="false">
      <c r="I931" s="2"/>
      <c r="J931" s="2"/>
    </row>
    <row r="932" customFormat="false" ht="15" hidden="false" customHeight="false" outlineLevel="0" collapsed="false">
      <c r="I932" s="2"/>
      <c r="J932" s="2"/>
    </row>
    <row r="933" customFormat="false" ht="15" hidden="false" customHeight="false" outlineLevel="0" collapsed="false">
      <c r="I933" s="2"/>
      <c r="J933" s="2"/>
    </row>
    <row r="934" customFormat="false" ht="15" hidden="false" customHeight="false" outlineLevel="0" collapsed="false">
      <c r="I934" s="2"/>
      <c r="J934" s="2"/>
    </row>
    <row r="935" customFormat="false" ht="15" hidden="false" customHeight="false" outlineLevel="0" collapsed="false">
      <c r="I935" s="2"/>
      <c r="J935" s="2"/>
    </row>
    <row r="936" customFormat="false" ht="15" hidden="false" customHeight="false" outlineLevel="0" collapsed="false">
      <c r="I936" s="2"/>
      <c r="J936" s="2"/>
    </row>
    <row r="937" customFormat="false" ht="15" hidden="false" customHeight="false" outlineLevel="0" collapsed="false">
      <c r="I937" s="2"/>
      <c r="J937" s="2"/>
    </row>
    <row r="938" customFormat="false" ht="15" hidden="false" customHeight="false" outlineLevel="0" collapsed="false">
      <c r="I938" s="2"/>
      <c r="J938" s="2"/>
    </row>
    <row r="939" customFormat="false" ht="15" hidden="false" customHeight="false" outlineLevel="0" collapsed="false">
      <c r="I939" s="2"/>
      <c r="J939" s="2"/>
    </row>
    <row r="940" customFormat="false" ht="15" hidden="false" customHeight="false" outlineLevel="0" collapsed="false">
      <c r="I940" s="2"/>
      <c r="J940" s="2"/>
    </row>
    <row r="941" customFormat="false" ht="15" hidden="false" customHeight="false" outlineLevel="0" collapsed="false">
      <c r="I941" s="2"/>
      <c r="J941" s="2"/>
    </row>
    <row r="942" customFormat="false" ht="15" hidden="false" customHeight="false" outlineLevel="0" collapsed="false">
      <c r="I942" s="2"/>
      <c r="J942" s="2"/>
    </row>
    <row r="943" customFormat="false" ht="15" hidden="false" customHeight="false" outlineLevel="0" collapsed="false">
      <c r="I943" s="2"/>
      <c r="J943" s="2"/>
    </row>
    <row r="944" customFormat="false" ht="15" hidden="false" customHeight="false" outlineLevel="0" collapsed="false">
      <c r="I944" s="2"/>
      <c r="J944" s="2"/>
    </row>
    <row r="945" customFormat="false" ht="15" hidden="false" customHeight="false" outlineLevel="0" collapsed="false">
      <c r="I945" s="2"/>
      <c r="J945" s="2"/>
    </row>
    <row r="946" customFormat="false" ht="15" hidden="false" customHeight="false" outlineLevel="0" collapsed="false">
      <c r="I946" s="2"/>
      <c r="J946" s="2"/>
    </row>
    <row r="947" customFormat="false" ht="15" hidden="false" customHeight="false" outlineLevel="0" collapsed="false">
      <c r="I947" s="2"/>
      <c r="J947" s="2"/>
    </row>
    <row r="948" customFormat="false" ht="15" hidden="false" customHeight="false" outlineLevel="0" collapsed="false">
      <c r="I948" s="2"/>
      <c r="J948" s="2"/>
    </row>
    <row r="949" customFormat="false" ht="15" hidden="false" customHeight="false" outlineLevel="0" collapsed="false">
      <c r="I949" s="2"/>
      <c r="J949" s="2"/>
    </row>
    <row r="950" customFormat="false" ht="15" hidden="false" customHeight="false" outlineLevel="0" collapsed="false">
      <c r="I950" s="2"/>
      <c r="J950" s="2"/>
    </row>
    <row r="951" customFormat="false" ht="15" hidden="false" customHeight="false" outlineLevel="0" collapsed="false">
      <c r="I951" s="2"/>
      <c r="J951" s="2"/>
    </row>
    <row r="952" customFormat="false" ht="15" hidden="false" customHeight="false" outlineLevel="0" collapsed="false">
      <c r="I952" s="2"/>
      <c r="J952" s="2"/>
    </row>
    <row r="953" customFormat="false" ht="15" hidden="false" customHeight="false" outlineLevel="0" collapsed="false">
      <c r="I953" s="2"/>
      <c r="J953" s="2"/>
    </row>
    <row r="954" customFormat="false" ht="15" hidden="false" customHeight="false" outlineLevel="0" collapsed="false">
      <c r="I954" s="2"/>
      <c r="J954" s="2"/>
    </row>
    <row r="955" customFormat="false" ht="15" hidden="false" customHeight="false" outlineLevel="0" collapsed="false">
      <c r="I955" s="2"/>
      <c r="J955" s="2"/>
    </row>
    <row r="956" customFormat="false" ht="15" hidden="false" customHeight="false" outlineLevel="0" collapsed="false">
      <c r="I956" s="2"/>
      <c r="J956" s="2"/>
    </row>
    <row r="957" customFormat="false" ht="15" hidden="false" customHeight="false" outlineLevel="0" collapsed="false">
      <c r="I957" s="2"/>
      <c r="J957" s="2"/>
    </row>
    <row r="958" customFormat="false" ht="15" hidden="false" customHeight="false" outlineLevel="0" collapsed="false">
      <c r="I958" s="2"/>
      <c r="J958" s="2"/>
    </row>
    <row r="959" customFormat="false" ht="15" hidden="false" customHeight="false" outlineLevel="0" collapsed="false">
      <c r="I959" s="2"/>
      <c r="J959" s="2"/>
    </row>
    <row r="960" customFormat="false" ht="15" hidden="false" customHeight="false" outlineLevel="0" collapsed="false">
      <c r="I960" s="2"/>
      <c r="J960" s="2"/>
    </row>
    <row r="961" customFormat="false" ht="15" hidden="false" customHeight="false" outlineLevel="0" collapsed="false">
      <c r="I961" s="2"/>
      <c r="J961" s="2"/>
    </row>
    <row r="962" customFormat="false" ht="15" hidden="false" customHeight="false" outlineLevel="0" collapsed="false">
      <c r="I962" s="2"/>
      <c r="J962" s="2"/>
    </row>
    <row r="963" customFormat="false" ht="15" hidden="false" customHeight="false" outlineLevel="0" collapsed="false">
      <c r="I963" s="2"/>
      <c r="J963" s="2"/>
    </row>
    <row r="964" customFormat="false" ht="15" hidden="false" customHeight="false" outlineLevel="0" collapsed="false">
      <c r="I964" s="2"/>
      <c r="J964" s="2"/>
    </row>
    <row r="965" customFormat="false" ht="15" hidden="false" customHeight="false" outlineLevel="0" collapsed="false">
      <c r="I965" s="2"/>
      <c r="J965" s="2"/>
    </row>
    <row r="966" customFormat="false" ht="15" hidden="false" customHeight="false" outlineLevel="0" collapsed="false">
      <c r="I966" s="2"/>
      <c r="J966" s="2"/>
    </row>
    <row r="967" customFormat="false" ht="15" hidden="false" customHeight="false" outlineLevel="0" collapsed="false">
      <c r="I967" s="2"/>
      <c r="J967" s="2"/>
    </row>
    <row r="968" customFormat="false" ht="15" hidden="false" customHeight="false" outlineLevel="0" collapsed="false">
      <c r="I968" s="2"/>
      <c r="J968" s="2"/>
    </row>
    <row r="969" customFormat="false" ht="15" hidden="false" customHeight="false" outlineLevel="0" collapsed="false">
      <c r="I969" s="2"/>
      <c r="J969" s="2"/>
    </row>
    <row r="970" customFormat="false" ht="15" hidden="false" customHeight="false" outlineLevel="0" collapsed="false">
      <c r="I970" s="2"/>
      <c r="J970" s="2"/>
    </row>
    <row r="971" customFormat="false" ht="15" hidden="false" customHeight="false" outlineLevel="0" collapsed="false">
      <c r="I971" s="2"/>
      <c r="J971" s="2"/>
    </row>
    <row r="972" customFormat="false" ht="15" hidden="false" customHeight="false" outlineLevel="0" collapsed="false">
      <c r="I972" s="2"/>
      <c r="J972" s="2"/>
    </row>
    <row r="973" customFormat="false" ht="15" hidden="false" customHeight="false" outlineLevel="0" collapsed="false">
      <c r="I973" s="2"/>
      <c r="J973" s="2"/>
    </row>
    <row r="974" customFormat="false" ht="15" hidden="false" customHeight="false" outlineLevel="0" collapsed="false">
      <c r="I974" s="2"/>
      <c r="J974" s="2"/>
    </row>
    <row r="975" customFormat="false" ht="15" hidden="false" customHeight="false" outlineLevel="0" collapsed="false">
      <c r="I975" s="2"/>
      <c r="J975" s="2"/>
    </row>
    <row r="976" customFormat="false" ht="15" hidden="false" customHeight="false" outlineLevel="0" collapsed="false">
      <c r="I976" s="2"/>
      <c r="J976" s="2"/>
    </row>
    <row r="977" customFormat="false" ht="15" hidden="false" customHeight="false" outlineLevel="0" collapsed="false">
      <c r="I977" s="2"/>
      <c r="J977" s="2"/>
    </row>
    <row r="978" customFormat="false" ht="15" hidden="false" customHeight="false" outlineLevel="0" collapsed="false">
      <c r="I978" s="2"/>
      <c r="J978" s="2"/>
    </row>
    <row r="979" customFormat="false" ht="15" hidden="false" customHeight="false" outlineLevel="0" collapsed="false">
      <c r="I979" s="2"/>
      <c r="J979" s="2"/>
    </row>
    <row r="980" customFormat="false" ht="15" hidden="false" customHeight="false" outlineLevel="0" collapsed="false">
      <c r="I980" s="2"/>
      <c r="J980" s="2"/>
    </row>
    <row r="981" customFormat="false" ht="15" hidden="false" customHeight="false" outlineLevel="0" collapsed="false">
      <c r="I981" s="2"/>
      <c r="J981" s="2"/>
    </row>
    <row r="982" customFormat="false" ht="15" hidden="false" customHeight="false" outlineLevel="0" collapsed="false">
      <c r="I982" s="2"/>
      <c r="J982" s="2"/>
    </row>
    <row r="983" customFormat="false" ht="15" hidden="false" customHeight="false" outlineLevel="0" collapsed="false">
      <c r="I983" s="2"/>
      <c r="J983" s="2"/>
    </row>
    <row r="984" customFormat="false" ht="15" hidden="false" customHeight="false" outlineLevel="0" collapsed="false">
      <c r="I984" s="2"/>
      <c r="J984" s="2"/>
    </row>
    <row r="985" customFormat="false" ht="15" hidden="false" customHeight="false" outlineLevel="0" collapsed="false">
      <c r="I985" s="2"/>
      <c r="J985" s="2"/>
    </row>
    <row r="986" customFormat="false" ht="15" hidden="false" customHeight="false" outlineLevel="0" collapsed="false">
      <c r="I986" s="2"/>
      <c r="J986" s="2"/>
    </row>
    <row r="987" customFormat="false" ht="15" hidden="false" customHeight="false" outlineLevel="0" collapsed="false">
      <c r="I987" s="2"/>
      <c r="J987" s="2"/>
    </row>
    <row r="988" customFormat="false" ht="15" hidden="false" customHeight="false" outlineLevel="0" collapsed="false">
      <c r="I988" s="2"/>
      <c r="J988" s="2"/>
    </row>
    <row r="989" customFormat="false" ht="15" hidden="false" customHeight="false" outlineLevel="0" collapsed="false">
      <c r="I989" s="2"/>
      <c r="J989" s="2"/>
    </row>
    <row r="990" customFormat="false" ht="15" hidden="false" customHeight="false" outlineLevel="0" collapsed="false">
      <c r="I990" s="2"/>
      <c r="J990" s="2"/>
    </row>
    <row r="991" customFormat="false" ht="15" hidden="false" customHeight="false" outlineLevel="0" collapsed="false">
      <c r="I991" s="2"/>
      <c r="J991" s="2"/>
    </row>
    <row r="992" customFormat="false" ht="15" hidden="false" customHeight="false" outlineLevel="0" collapsed="false">
      <c r="I992" s="2"/>
      <c r="J992" s="2"/>
    </row>
    <row r="993" customFormat="false" ht="15" hidden="false" customHeight="false" outlineLevel="0" collapsed="false">
      <c r="I993" s="2"/>
      <c r="J993" s="2"/>
    </row>
    <row r="994" customFormat="false" ht="15" hidden="false" customHeight="false" outlineLevel="0" collapsed="false">
      <c r="I994" s="2"/>
      <c r="J994" s="2"/>
    </row>
    <row r="995" customFormat="false" ht="15" hidden="false" customHeight="false" outlineLevel="0" collapsed="false">
      <c r="I995" s="2"/>
      <c r="J995" s="2"/>
    </row>
    <row r="996" customFormat="false" ht="15" hidden="false" customHeight="false" outlineLevel="0" collapsed="false">
      <c r="I996" s="2"/>
      <c r="J996" s="2"/>
    </row>
    <row r="997" customFormat="false" ht="15" hidden="false" customHeight="false" outlineLevel="0" collapsed="false">
      <c r="I997" s="2"/>
      <c r="J997" s="2"/>
    </row>
    <row r="998" customFormat="false" ht="15" hidden="false" customHeight="false" outlineLevel="0" collapsed="false">
      <c r="I998" s="2"/>
      <c r="J998" s="2"/>
    </row>
    <row r="999" customFormat="false" ht="15" hidden="false" customHeight="false" outlineLevel="0" collapsed="false">
      <c r="I999" s="2"/>
      <c r="J999" s="2"/>
    </row>
    <row r="1000" customFormat="false" ht="15" hidden="false" customHeight="false" outlineLevel="0" collapsed="false">
      <c r="I1000" s="2"/>
      <c r="J1000" s="2"/>
    </row>
    <row r="1001" customFormat="false" ht="15" hidden="false" customHeight="false" outlineLevel="0" collapsed="false">
      <c r="I1001" s="2"/>
      <c r="J1001" s="2"/>
    </row>
    <row r="1002" customFormat="false" ht="15" hidden="false" customHeight="false" outlineLevel="0" collapsed="false">
      <c r="I1002" s="2"/>
      <c r="J1002" s="2"/>
    </row>
    <row r="1003" customFormat="false" ht="15" hidden="false" customHeight="false" outlineLevel="0" collapsed="false">
      <c r="I1003" s="2"/>
      <c r="J1003" s="2"/>
    </row>
    <row r="1004" customFormat="false" ht="15" hidden="false" customHeight="false" outlineLevel="0" collapsed="false">
      <c r="I1004" s="2"/>
      <c r="J1004" s="2"/>
    </row>
    <row r="1005" customFormat="false" ht="15" hidden="false" customHeight="false" outlineLevel="0" collapsed="false">
      <c r="I1005" s="2"/>
      <c r="J1005" s="2"/>
    </row>
    <row r="1006" customFormat="false" ht="15" hidden="false" customHeight="false" outlineLevel="0" collapsed="false">
      <c r="I1006" s="2"/>
      <c r="J1006" s="2"/>
    </row>
    <row r="1007" customFormat="false" ht="15" hidden="false" customHeight="false" outlineLevel="0" collapsed="false">
      <c r="I1007" s="2"/>
      <c r="J1007" s="2"/>
    </row>
    <row r="1008" customFormat="false" ht="15" hidden="false" customHeight="false" outlineLevel="0" collapsed="false">
      <c r="I1008" s="2"/>
      <c r="J1008" s="2"/>
    </row>
    <row r="1009" customFormat="false" ht="15" hidden="false" customHeight="false" outlineLevel="0" collapsed="false">
      <c r="I1009" s="2"/>
      <c r="J1009" s="2"/>
    </row>
    <row r="1010" customFormat="false" ht="15" hidden="false" customHeight="false" outlineLevel="0" collapsed="false">
      <c r="I1010" s="2"/>
      <c r="J1010" s="2"/>
    </row>
    <row r="1011" customFormat="false" ht="15" hidden="false" customHeight="false" outlineLevel="0" collapsed="false">
      <c r="I1011" s="2"/>
      <c r="J1011" s="2"/>
    </row>
    <row r="1012" customFormat="false" ht="15" hidden="false" customHeight="false" outlineLevel="0" collapsed="false">
      <c r="I1012" s="2"/>
      <c r="J1012" s="2"/>
    </row>
    <row r="1013" customFormat="false" ht="15" hidden="false" customHeight="false" outlineLevel="0" collapsed="false">
      <c r="I1013" s="2"/>
      <c r="J1013" s="2"/>
    </row>
    <row r="1014" customFormat="false" ht="15" hidden="false" customHeight="false" outlineLevel="0" collapsed="false">
      <c r="I1014" s="2"/>
      <c r="J1014" s="2"/>
    </row>
    <row r="1015" customFormat="false" ht="15" hidden="false" customHeight="false" outlineLevel="0" collapsed="false">
      <c r="I1015" s="2"/>
      <c r="J1015" s="2"/>
    </row>
    <row r="1016" customFormat="false" ht="15" hidden="false" customHeight="false" outlineLevel="0" collapsed="false">
      <c r="I1016" s="2"/>
      <c r="J1016" s="2"/>
    </row>
    <row r="1017" customFormat="false" ht="15" hidden="false" customHeight="false" outlineLevel="0" collapsed="false">
      <c r="I1017" s="2"/>
      <c r="J1017" s="2"/>
    </row>
    <row r="1018" customFormat="false" ht="15" hidden="false" customHeight="false" outlineLevel="0" collapsed="false">
      <c r="I1018" s="2"/>
      <c r="J1018" s="2"/>
    </row>
    <row r="1019" customFormat="false" ht="15" hidden="false" customHeight="false" outlineLevel="0" collapsed="false">
      <c r="I1019" s="2"/>
      <c r="J1019" s="2"/>
    </row>
    <row r="1020" customFormat="false" ht="15" hidden="false" customHeight="false" outlineLevel="0" collapsed="false">
      <c r="I1020" s="2"/>
      <c r="J1020" s="2"/>
    </row>
    <row r="1021" customFormat="false" ht="15" hidden="false" customHeight="false" outlineLevel="0" collapsed="false">
      <c r="I1021" s="2"/>
      <c r="J1021" s="2"/>
    </row>
    <row r="1022" customFormat="false" ht="15" hidden="false" customHeight="false" outlineLevel="0" collapsed="false">
      <c r="I1022" s="2"/>
      <c r="J1022" s="2"/>
    </row>
    <row r="1023" customFormat="false" ht="15" hidden="false" customHeight="false" outlineLevel="0" collapsed="false">
      <c r="I1023" s="2"/>
      <c r="J1023" s="2"/>
    </row>
    <row r="1024" customFormat="false" ht="15" hidden="false" customHeight="false" outlineLevel="0" collapsed="false">
      <c r="I1024" s="2"/>
      <c r="J1024" s="2"/>
    </row>
    <row r="1025" customFormat="false" ht="15" hidden="false" customHeight="false" outlineLevel="0" collapsed="false">
      <c r="I1025" s="2"/>
      <c r="J1025" s="2"/>
    </row>
    <row r="1026" customFormat="false" ht="15" hidden="false" customHeight="false" outlineLevel="0" collapsed="false">
      <c r="I1026" s="2"/>
      <c r="J1026" s="2"/>
    </row>
    <row r="1027" customFormat="false" ht="15" hidden="false" customHeight="false" outlineLevel="0" collapsed="false">
      <c r="I1027" s="2"/>
      <c r="J1027" s="2"/>
    </row>
    <row r="1028" customFormat="false" ht="15" hidden="false" customHeight="false" outlineLevel="0" collapsed="false">
      <c r="I1028" s="2"/>
      <c r="J1028" s="2"/>
    </row>
    <row r="1029" customFormat="false" ht="15" hidden="false" customHeight="false" outlineLevel="0" collapsed="false">
      <c r="I1029" s="2"/>
      <c r="J1029" s="2"/>
    </row>
    <row r="1030" customFormat="false" ht="15" hidden="false" customHeight="false" outlineLevel="0" collapsed="false">
      <c r="I1030" s="2"/>
      <c r="J1030" s="2"/>
    </row>
    <row r="1031" customFormat="false" ht="15" hidden="false" customHeight="false" outlineLevel="0" collapsed="false">
      <c r="I1031" s="2"/>
      <c r="J1031" s="2"/>
    </row>
    <row r="1032" customFormat="false" ht="15" hidden="false" customHeight="false" outlineLevel="0" collapsed="false">
      <c r="I1032" s="2"/>
      <c r="J1032" s="2"/>
    </row>
    <row r="1033" customFormat="false" ht="15" hidden="false" customHeight="false" outlineLevel="0" collapsed="false">
      <c r="I1033" s="2"/>
      <c r="J1033" s="2"/>
    </row>
    <row r="1034" customFormat="false" ht="15" hidden="false" customHeight="false" outlineLevel="0" collapsed="false">
      <c r="I1034" s="2"/>
      <c r="J1034" s="2"/>
    </row>
    <row r="1035" customFormat="false" ht="15" hidden="false" customHeight="false" outlineLevel="0" collapsed="false">
      <c r="I1035" s="2"/>
      <c r="J1035" s="2"/>
    </row>
    <row r="1036" customFormat="false" ht="15" hidden="false" customHeight="false" outlineLevel="0" collapsed="false">
      <c r="I1036" s="2"/>
      <c r="J1036" s="2"/>
    </row>
    <row r="1037" customFormat="false" ht="15" hidden="false" customHeight="false" outlineLevel="0" collapsed="false">
      <c r="I1037" s="2"/>
      <c r="J1037" s="2"/>
    </row>
    <row r="1038" customFormat="false" ht="15" hidden="false" customHeight="false" outlineLevel="0" collapsed="false">
      <c r="I1038" s="2"/>
      <c r="J1038" s="2"/>
    </row>
    <row r="1039" customFormat="false" ht="15" hidden="false" customHeight="false" outlineLevel="0" collapsed="false">
      <c r="I1039" s="2"/>
      <c r="J1039" s="2"/>
    </row>
    <row r="1040" customFormat="false" ht="15" hidden="false" customHeight="false" outlineLevel="0" collapsed="false">
      <c r="I1040" s="2"/>
      <c r="J1040" s="2"/>
    </row>
    <row r="1041" customFormat="false" ht="15" hidden="false" customHeight="false" outlineLevel="0" collapsed="false">
      <c r="I1041" s="2"/>
      <c r="J1041" s="2"/>
    </row>
    <row r="1042" customFormat="false" ht="15" hidden="false" customHeight="false" outlineLevel="0" collapsed="false">
      <c r="I1042" s="2"/>
      <c r="J1042" s="2"/>
    </row>
    <row r="1043" customFormat="false" ht="15" hidden="false" customHeight="false" outlineLevel="0" collapsed="false">
      <c r="I1043" s="2"/>
      <c r="J1043" s="2"/>
    </row>
    <row r="1044" customFormat="false" ht="15" hidden="false" customHeight="false" outlineLevel="0" collapsed="false">
      <c r="I1044" s="2"/>
      <c r="J1044" s="2"/>
    </row>
    <row r="1045" customFormat="false" ht="15" hidden="false" customHeight="false" outlineLevel="0" collapsed="false">
      <c r="I1045" s="2"/>
      <c r="J1045" s="2"/>
    </row>
    <row r="1046" customFormat="false" ht="15" hidden="false" customHeight="false" outlineLevel="0" collapsed="false">
      <c r="I1046" s="2"/>
      <c r="J1046" s="2"/>
    </row>
    <row r="1047" customFormat="false" ht="15" hidden="false" customHeight="false" outlineLevel="0" collapsed="false">
      <c r="I1047" s="2"/>
      <c r="J1047" s="2"/>
    </row>
    <row r="1048" customFormat="false" ht="15" hidden="false" customHeight="false" outlineLevel="0" collapsed="false">
      <c r="I1048" s="2"/>
      <c r="J1048" s="2"/>
    </row>
    <row r="1049" customFormat="false" ht="15" hidden="false" customHeight="false" outlineLevel="0" collapsed="false">
      <c r="I1049" s="2"/>
      <c r="J1049" s="2"/>
    </row>
    <row r="1050" customFormat="false" ht="15" hidden="false" customHeight="false" outlineLevel="0" collapsed="false">
      <c r="I1050" s="2"/>
      <c r="J1050" s="2"/>
    </row>
    <row r="1051" customFormat="false" ht="15" hidden="false" customHeight="false" outlineLevel="0" collapsed="false">
      <c r="I1051" s="2"/>
      <c r="J1051" s="2"/>
    </row>
    <row r="1052" customFormat="false" ht="15" hidden="false" customHeight="false" outlineLevel="0" collapsed="false">
      <c r="I1052" s="2"/>
      <c r="J1052" s="2"/>
    </row>
    <row r="1053" customFormat="false" ht="15" hidden="false" customHeight="false" outlineLevel="0" collapsed="false">
      <c r="I1053" s="2"/>
      <c r="J1053" s="2"/>
    </row>
    <row r="1054" customFormat="false" ht="15" hidden="false" customHeight="false" outlineLevel="0" collapsed="false">
      <c r="I1054" s="2"/>
      <c r="J1054" s="2"/>
    </row>
    <row r="1055" customFormat="false" ht="15" hidden="false" customHeight="false" outlineLevel="0" collapsed="false">
      <c r="I1055" s="2"/>
      <c r="J1055" s="2"/>
    </row>
    <row r="1056" customFormat="false" ht="15" hidden="false" customHeight="false" outlineLevel="0" collapsed="false">
      <c r="I1056" s="2"/>
      <c r="J1056" s="2"/>
    </row>
    <row r="1057" customFormat="false" ht="15" hidden="false" customHeight="false" outlineLevel="0" collapsed="false">
      <c r="I1057" s="2"/>
      <c r="J1057" s="2"/>
    </row>
    <row r="1058" customFormat="false" ht="15" hidden="false" customHeight="false" outlineLevel="0" collapsed="false">
      <c r="I1058" s="2"/>
      <c r="J1058" s="2"/>
    </row>
    <row r="1059" customFormat="false" ht="15" hidden="false" customHeight="false" outlineLevel="0" collapsed="false">
      <c r="I1059" s="2"/>
      <c r="J1059" s="2"/>
    </row>
    <row r="1060" customFormat="false" ht="15" hidden="false" customHeight="false" outlineLevel="0" collapsed="false">
      <c r="I1060" s="2"/>
      <c r="J1060" s="2"/>
    </row>
    <row r="1061" customFormat="false" ht="15" hidden="false" customHeight="false" outlineLevel="0" collapsed="false">
      <c r="I1061" s="2"/>
      <c r="J1061" s="2"/>
    </row>
    <row r="1062" customFormat="false" ht="15" hidden="false" customHeight="false" outlineLevel="0" collapsed="false">
      <c r="I1062" s="2"/>
      <c r="J1062" s="2"/>
    </row>
    <row r="1063" customFormat="false" ht="15" hidden="false" customHeight="false" outlineLevel="0" collapsed="false">
      <c r="I1063" s="2"/>
      <c r="J1063" s="2"/>
    </row>
    <row r="1064" customFormat="false" ht="15" hidden="false" customHeight="false" outlineLevel="0" collapsed="false">
      <c r="I1064" s="2"/>
      <c r="J1064" s="2"/>
    </row>
    <row r="1065" customFormat="false" ht="15" hidden="false" customHeight="false" outlineLevel="0" collapsed="false">
      <c r="I1065" s="2"/>
      <c r="J1065" s="2"/>
    </row>
    <row r="1066" customFormat="false" ht="15" hidden="false" customHeight="false" outlineLevel="0" collapsed="false">
      <c r="I1066" s="2"/>
      <c r="J1066" s="2"/>
    </row>
    <row r="1067" customFormat="false" ht="15" hidden="false" customHeight="false" outlineLevel="0" collapsed="false">
      <c r="I1067" s="2"/>
      <c r="J1067" s="2"/>
    </row>
    <row r="1068" customFormat="false" ht="15" hidden="false" customHeight="false" outlineLevel="0" collapsed="false">
      <c r="I1068" s="2"/>
      <c r="J1068" s="2"/>
    </row>
    <row r="1069" customFormat="false" ht="15" hidden="false" customHeight="false" outlineLevel="0" collapsed="false">
      <c r="I1069" s="2"/>
      <c r="J1069" s="2"/>
    </row>
    <row r="1070" customFormat="false" ht="15" hidden="false" customHeight="false" outlineLevel="0" collapsed="false">
      <c r="I1070" s="2"/>
      <c r="J1070" s="2"/>
    </row>
    <row r="1071" customFormat="false" ht="15" hidden="false" customHeight="false" outlineLevel="0" collapsed="false">
      <c r="I1071" s="2"/>
      <c r="J1071" s="2"/>
    </row>
    <row r="1072" customFormat="false" ht="15" hidden="false" customHeight="false" outlineLevel="0" collapsed="false">
      <c r="I1072" s="2"/>
      <c r="J1072" s="2"/>
    </row>
    <row r="1073" customFormat="false" ht="15" hidden="false" customHeight="false" outlineLevel="0" collapsed="false">
      <c r="I1073" s="2"/>
      <c r="J1073" s="2"/>
    </row>
    <row r="1074" customFormat="false" ht="15" hidden="false" customHeight="false" outlineLevel="0" collapsed="false">
      <c r="I1074" s="2"/>
      <c r="J1074" s="2"/>
    </row>
    <row r="1075" customFormat="false" ht="15" hidden="false" customHeight="false" outlineLevel="0" collapsed="false">
      <c r="I1075" s="2"/>
      <c r="J1075" s="2"/>
    </row>
    <row r="1076" customFormat="false" ht="15" hidden="false" customHeight="false" outlineLevel="0" collapsed="false">
      <c r="I1076" s="2"/>
      <c r="J1076" s="2"/>
    </row>
    <row r="1077" customFormat="false" ht="15" hidden="false" customHeight="false" outlineLevel="0" collapsed="false">
      <c r="I1077" s="2"/>
      <c r="J1077" s="2"/>
    </row>
    <row r="1078" customFormat="false" ht="15" hidden="false" customHeight="false" outlineLevel="0" collapsed="false">
      <c r="I1078" s="2"/>
      <c r="J1078" s="2"/>
    </row>
    <row r="1079" customFormat="false" ht="15" hidden="false" customHeight="false" outlineLevel="0" collapsed="false">
      <c r="I1079" s="2"/>
      <c r="J1079" s="2"/>
    </row>
    <row r="1080" customFormat="false" ht="15" hidden="false" customHeight="false" outlineLevel="0" collapsed="false">
      <c r="I1080" s="2"/>
      <c r="J1080" s="2"/>
    </row>
    <row r="1081" customFormat="false" ht="15" hidden="false" customHeight="false" outlineLevel="0" collapsed="false">
      <c r="I1081" s="2"/>
      <c r="J1081" s="2"/>
    </row>
    <row r="1082" customFormat="false" ht="15" hidden="false" customHeight="false" outlineLevel="0" collapsed="false">
      <c r="I1082" s="2"/>
      <c r="J1082" s="2"/>
    </row>
    <row r="1083" customFormat="false" ht="15" hidden="false" customHeight="false" outlineLevel="0" collapsed="false">
      <c r="I1083" s="2"/>
      <c r="J1083" s="2"/>
    </row>
    <row r="1084" customFormat="false" ht="15" hidden="false" customHeight="false" outlineLevel="0" collapsed="false">
      <c r="I1084" s="2"/>
      <c r="J1084" s="2"/>
    </row>
    <row r="1085" customFormat="false" ht="15" hidden="false" customHeight="false" outlineLevel="0" collapsed="false">
      <c r="I1085" s="2"/>
      <c r="J1085" s="2"/>
    </row>
    <row r="1086" customFormat="false" ht="15" hidden="false" customHeight="false" outlineLevel="0" collapsed="false">
      <c r="I1086" s="2"/>
      <c r="J1086" s="2"/>
    </row>
    <row r="1087" customFormat="false" ht="15" hidden="false" customHeight="false" outlineLevel="0" collapsed="false">
      <c r="I1087" s="2"/>
      <c r="J1087" s="2"/>
    </row>
    <row r="1088" customFormat="false" ht="15" hidden="false" customHeight="false" outlineLevel="0" collapsed="false">
      <c r="I1088" s="2"/>
      <c r="J1088" s="2"/>
    </row>
    <row r="1089" customFormat="false" ht="15" hidden="false" customHeight="false" outlineLevel="0" collapsed="false">
      <c r="I1089" s="2"/>
      <c r="J1089" s="2"/>
    </row>
    <row r="1090" customFormat="false" ht="15" hidden="false" customHeight="false" outlineLevel="0" collapsed="false">
      <c r="I1090" s="2"/>
      <c r="J1090" s="2"/>
    </row>
    <row r="1091" customFormat="false" ht="15" hidden="false" customHeight="false" outlineLevel="0" collapsed="false">
      <c r="I1091" s="2"/>
      <c r="J1091" s="2"/>
    </row>
    <row r="1092" customFormat="false" ht="15" hidden="false" customHeight="false" outlineLevel="0" collapsed="false">
      <c r="I1092" s="2"/>
      <c r="J1092" s="2"/>
    </row>
    <row r="1093" customFormat="false" ht="15" hidden="false" customHeight="false" outlineLevel="0" collapsed="false">
      <c r="I1093" s="2"/>
      <c r="J1093" s="2"/>
    </row>
    <row r="1094" customFormat="false" ht="15" hidden="false" customHeight="false" outlineLevel="0" collapsed="false">
      <c r="I1094" s="2"/>
      <c r="J1094" s="2"/>
    </row>
    <row r="1095" customFormat="false" ht="15" hidden="false" customHeight="false" outlineLevel="0" collapsed="false">
      <c r="I1095" s="2"/>
      <c r="J1095" s="2"/>
    </row>
    <row r="1096" customFormat="false" ht="15" hidden="false" customHeight="false" outlineLevel="0" collapsed="false">
      <c r="I1096" s="2"/>
      <c r="J1096" s="2"/>
    </row>
    <row r="1097" customFormat="false" ht="15" hidden="false" customHeight="false" outlineLevel="0" collapsed="false">
      <c r="I1097" s="2"/>
      <c r="J1097" s="2"/>
    </row>
    <row r="1098" customFormat="false" ht="15" hidden="false" customHeight="false" outlineLevel="0" collapsed="false">
      <c r="I1098" s="2"/>
      <c r="J1098" s="2"/>
    </row>
    <row r="1099" customFormat="false" ht="15" hidden="false" customHeight="false" outlineLevel="0" collapsed="false">
      <c r="I1099" s="2"/>
      <c r="J1099" s="2"/>
    </row>
    <row r="1100" customFormat="false" ht="15" hidden="false" customHeight="false" outlineLevel="0" collapsed="false">
      <c r="I1100" s="2"/>
      <c r="J1100" s="2"/>
    </row>
    <row r="1101" customFormat="false" ht="15" hidden="false" customHeight="false" outlineLevel="0" collapsed="false">
      <c r="I1101" s="2"/>
      <c r="J1101" s="2"/>
    </row>
    <row r="1102" customFormat="false" ht="15" hidden="false" customHeight="false" outlineLevel="0" collapsed="false">
      <c r="I1102" s="2"/>
      <c r="J1102" s="2"/>
    </row>
    <row r="1103" customFormat="false" ht="15" hidden="false" customHeight="false" outlineLevel="0" collapsed="false">
      <c r="I1103" s="2"/>
      <c r="J1103" s="2"/>
    </row>
    <row r="1104" customFormat="false" ht="15" hidden="false" customHeight="false" outlineLevel="0" collapsed="false">
      <c r="I1104" s="2"/>
      <c r="J1104" s="2"/>
    </row>
    <row r="1105" customFormat="false" ht="15" hidden="false" customHeight="false" outlineLevel="0" collapsed="false">
      <c r="I1105" s="2"/>
      <c r="J1105" s="2"/>
    </row>
    <row r="1106" customFormat="false" ht="15" hidden="false" customHeight="false" outlineLevel="0" collapsed="false">
      <c r="I1106" s="2"/>
      <c r="J1106" s="2"/>
    </row>
    <row r="1107" customFormat="false" ht="15" hidden="false" customHeight="false" outlineLevel="0" collapsed="false">
      <c r="I1107" s="2"/>
      <c r="J1107" s="2"/>
    </row>
    <row r="1108" customFormat="false" ht="15" hidden="false" customHeight="false" outlineLevel="0" collapsed="false">
      <c r="I1108" s="2"/>
      <c r="J1108" s="2"/>
    </row>
    <row r="1109" customFormat="false" ht="15" hidden="false" customHeight="false" outlineLevel="0" collapsed="false">
      <c r="I1109" s="2"/>
      <c r="J1109" s="2"/>
    </row>
    <row r="1110" customFormat="false" ht="15" hidden="false" customHeight="false" outlineLevel="0" collapsed="false">
      <c r="I1110" s="2"/>
      <c r="J1110" s="2"/>
    </row>
    <row r="1111" customFormat="false" ht="15" hidden="false" customHeight="false" outlineLevel="0" collapsed="false">
      <c r="I1111" s="2"/>
      <c r="J1111" s="2"/>
    </row>
    <row r="1112" customFormat="false" ht="15" hidden="false" customHeight="false" outlineLevel="0" collapsed="false">
      <c r="I1112" s="2"/>
      <c r="J1112" s="2"/>
    </row>
    <row r="1113" customFormat="false" ht="15" hidden="false" customHeight="false" outlineLevel="0" collapsed="false">
      <c r="I1113" s="2"/>
      <c r="J1113" s="2"/>
    </row>
    <row r="1114" customFormat="false" ht="15" hidden="false" customHeight="false" outlineLevel="0" collapsed="false">
      <c r="I1114" s="2"/>
      <c r="J1114" s="2"/>
    </row>
    <row r="1115" customFormat="false" ht="15" hidden="false" customHeight="false" outlineLevel="0" collapsed="false">
      <c r="I1115" s="2"/>
      <c r="J1115" s="2"/>
    </row>
    <row r="1116" customFormat="false" ht="15" hidden="false" customHeight="false" outlineLevel="0" collapsed="false">
      <c r="I1116" s="2"/>
      <c r="J1116" s="2"/>
    </row>
    <row r="1117" customFormat="false" ht="15" hidden="false" customHeight="false" outlineLevel="0" collapsed="false">
      <c r="I1117" s="2"/>
      <c r="J1117" s="2"/>
    </row>
    <row r="1118" customFormat="false" ht="15" hidden="false" customHeight="false" outlineLevel="0" collapsed="false">
      <c r="I1118" s="2"/>
      <c r="J1118" s="2"/>
    </row>
    <row r="1119" customFormat="false" ht="15" hidden="false" customHeight="false" outlineLevel="0" collapsed="false">
      <c r="I1119" s="2"/>
      <c r="J1119" s="2"/>
    </row>
    <row r="1120" customFormat="false" ht="15" hidden="false" customHeight="false" outlineLevel="0" collapsed="false">
      <c r="I1120" s="2"/>
      <c r="J1120" s="2"/>
    </row>
    <row r="1121" customFormat="false" ht="15" hidden="false" customHeight="false" outlineLevel="0" collapsed="false">
      <c r="I1121" s="2"/>
      <c r="J1121" s="2"/>
    </row>
    <row r="1122" customFormat="false" ht="15" hidden="false" customHeight="false" outlineLevel="0" collapsed="false">
      <c r="I1122" s="2"/>
      <c r="J1122" s="2"/>
    </row>
    <row r="1123" customFormat="false" ht="15" hidden="false" customHeight="false" outlineLevel="0" collapsed="false">
      <c r="I1123" s="2"/>
      <c r="J1123" s="2"/>
    </row>
    <row r="1124" customFormat="false" ht="15" hidden="false" customHeight="false" outlineLevel="0" collapsed="false">
      <c r="I1124" s="2"/>
      <c r="J1124" s="2"/>
    </row>
    <row r="1125" customFormat="false" ht="15" hidden="false" customHeight="false" outlineLevel="0" collapsed="false">
      <c r="I1125" s="2"/>
      <c r="J1125" s="2"/>
    </row>
    <row r="1126" customFormat="false" ht="15" hidden="false" customHeight="false" outlineLevel="0" collapsed="false">
      <c r="I1126" s="2"/>
      <c r="J1126" s="2"/>
    </row>
    <row r="1127" customFormat="false" ht="15" hidden="false" customHeight="false" outlineLevel="0" collapsed="false">
      <c r="I1127" s="2"/>
      <c r="J1127" s="2"/>
    </row>
    <row r="1128" customFormat="false" ht="15" hidden="false" customHeight="false" outlineLevel="0" collapsed="false">
      <c r="I1128" s="2"/>
      <c r="J1128" s="2"/>
    </row>
    <row r="1129" customFormat="false" ht="15" hidden="false" customHeight="false" outlineLevel="0" collapsed="false">
      <c r="I1129" s="2"/>
      <c r="J1129" s="2"/>
    </row>
    <row r="1130" customFormat="false" ht="15" hidden="false" customHeight="false" outlineLevel="0" collapsed="false">
      <c r="I1130" s="2"/>
      <c r="J1130" s="2"/>
    </row>
    <row r="1131" customFormat="false" ht="15" hidden="false" customHeight="false" outlineLevel="0" collapsed="false">
      <c r="I1131" s="2"/>
      <c r="J1131" s="2"/>
    </row>
    <row r="1132" customFormat="false" ht="15" hidden="false" customHeight="false" outlineLevel="0" collapsed="false">
      <c r="I1132" s="2"/>
      <c r="J1132" s="2"/>
    </row>
    <row r="1133" customFormat="false" ht="15" hidden="false" customHeight="false" outlineLevel="0" collapsed="false">
      <c r="I1133" s="2"/>
      <c r="J1133" s="2"/>
    </row>
    <row r="1134" customFormat="false" ht="15" hidden="false" customHeight="false" outlineLevel="0" collapsed="false">
      <c r="I1134" s="2"/>
      <c r="J1134" s="2"/>
    </row>
    <row r="1135" customFormat="false" ht="15" hidden="false" customHeight="false" outlineLevel="0" collapsed="false">
      <c r="I1135" s="2"/>
      <c r="J1135" s="2"/>
    </row>
    <row r="1136" customFormat="false" ht="15" hidden="false" customHeight="false" outlineLevel="0" collapsed="false">
      <c r="I1136" s="2"/>
      <c r="J1136" s="2"/>
    </row>
    <row r="1137" customFormat="false" ht="15" hidden="false" customHeight="false" outlineLevel="0" collapsed="false">
      <c r="I1137" s="2"/>
      <c r="J1137" s="2"/>
    </row>
    <row r="1138" customFormat="false" ht="15" hidden="false" customHeight="false" outlineLevel="0" collapsed="false">
      <c r="I1138" s="2"/>
      <c r="J1138" s="2"/>
    </row>
    <row r="1139" customFormat="false" ht="15" hidden="false" customHeight="false" outlineLevel="0" collapsed="false">
      <c r="I1139" s="2"/>
      <c r="J1139" s="2"/>
    </row>
    <row r="1140" customFormat="false" ht="15" hidden="false" customHeight="false" outlineLevel="0" collapsed="false">
      <c r="I1140" s="2"/>
      <c r="J1140" s="2"/>
    </row>
    <row r="1141" customFormat="false" ht="15" hidden="false" customHeight="false" outlineLevel="0" collapsed="false">
      <c r="I1141" s="2"/>
      <c r="J1141" s="2"/>
    </row>
    <row r="1142" customFormat="false" ht="15" hidden="false" customHeight="false" outlineLevel="0" collapsed="false">
      <c r="I1142" s="2"/>
      <c r="J1142" s="2"/>
    </row>
    <row r="1143" customFormat="false" ht="15" hidden="false" customHeight="false" outlineLevel="0" collapsed="false">
      <c r="I1143" s="2"/>
      <c r="J1143" s="2"/>
    </row>
    <row r="1144" customFormat="false" ht="15" hidden="false" customHeight="false" outlineLevel="0" collapsed="false">
      <c r="I1144" s="2"/>
      <c r="J1144" s="2"/>
    </row>
    <row r="1145" customFormat="false" ht="15" hidden="false" customHeight="false" outlineLevel="0" collapsed="false">
      <c r="I1145" s="2"/>
      <c r="J1145" s="2"/>
    </row>
    <row r="1146" customFormat="false" ht="15" hidden="false" customHeight="false" outlineLevel="0" collapsed="false">
      <c r="I1146" s="2"/>
      <c r="J1146" s="2"/>
    </row>
    <row r="1147" customFormat="false" ht="15" hidden="false" customHeight="false" outlineLevel="0" collapsed="false">
      <c r="I1147" s="2"/>
      <c r="J1147" s="2"/>
    </row>
    <row r="1148" customFormat="false" ht="15" hidden="false" customHeight="false" outlineLevel="0" collapsed="false">
      <c r="I1148" s="2"/>
      <c r="J1148" s="2"/>
    </row>
    <row r="1149" customFormat="false" ht="15" hidden="false" customHeight="false" outlineLevel="0" collapsed="false">
      <c r="I1149" s="2"/>
      <c r="J1149" s="2"/>
    </row>
    <row r="1150" customFormat="false" ht="15" hidden="false" customHeight="false" outlineLevel="0" collapsed="false">
      <c r="I1150" s="2"/>
      <c r="J1150" s="2"/>
    </row>
    <row r="1151" customFormat="false" ht="15" hidden="false" customHeight="false" outlineLevel="0" collapsed="false">
      <c r="I1151" s="2"/>
      <c r="J1151" s="2"/>
    </row>
    <row r="1152" customFormat="false" ht="15" hidden="false" customHeight="false" outlineLevel="0" collapsed="false">
      <c r="I1152" s="2"/>
      <c r="J1152" s="2"/>
    </row>
    <row r="1153" customFormat="false" ht="15" hidden="false" customHeight="false" outlineLevel="0" collapsed="false">
      <c r="I1153" s="2"/>
      <c r="J1153" s="2"/>
    </row>
    <row r="1154" customFormat="false" ht="15" hidden="false" customHeight="false" outlineLevel="0" collapsed="false">
      <c r="I1154" s="2"/>
      <c r="J1154" s="2"/>
    </row>
    <row r="1155" customFormat="false" ht="15" hidden="false" customHeight="false" outlineLevel="0" collapsed="false">
      <c r="I1155" s="2"/>
      <c r="J1155" s="2"/>
    </row>
    <row r="1156" customFormat="false" ht="15" hidden="false" customHeight="false" outlineLevel="0" collapsed="false">
      <c r="I1156" s="2"/>
      <c r="J1156" s="2"/>
    </row>
    <row r="1157" customFormat="false" ht="15" hidden="false" customHeight="false" outlineLevel="0" collapsed="false">
      <c r="I1157" s="2"/>
      <c r="J1157" s="2"/>
    </row>
    <row r="1158" customFormat="false" ht="15" hidden="false" customHeight="false" outlineLevel="0" collapsed="false">
      <c r="I1158" s="2"/>
      <c r="J1158" s="2"/>
    </row>
    <row r="1159" customFormat="false" ht="15" hidden="false" customHeight="false" outlineLevel="0" collapsed="false">
      <c r="I1159" s="2"/>
      <c r="J1159" s="2"/>
    </row>
    <row r="1160" customFormat="false" ht="15" hidden="false" customHeight="false" outlineLevel="0" collapsed="false">
      <c r="I1160" s="2"/>
      <c r="J1160" s="2"/>
    </row>
    <row r="1161" customFormat="false" ht="15" hidden="false" customHeight="false" outlineLevel="0" collapsed="false">
      <c r="I1161" s="2"/>
      <c r="J1161" s="2"/>
    </row>
    <row r="1162" customFormat="false" ht="15" hidden="false" customHeight="false" outlineLevel="0" collapsed="false">
      <c r="I1162" s="2"/>
      <c r="J1162" s="2"/>
    </row>
    <row r="1163" customFormat="false" ht="15" hidden="false" customHeight="false" outlineLevel="0" collapsed="false">
      <c r="I1163" s="2"/>
      <c r="J1163" s="2"/>
    </row>
    <row r="1164" customFormat="false" ht="15" hidden="false" customHeight="false" outlineLevel="0" collapsed="false">
      <c r="I1164" s="2"/>
      <c r="J1164" s="2"/>
    </row>
    <row r="1165" customFormat="false" ht="15" hidden="false" customHeight="false" outlineLevel="0" collapsed="false">
      <c r="I1165" s="2"/>
      <c r="J1165" s="2"/>
    </row>
    <row r="1166" customFormat="false" ht="15" hidden="false" customHeight="false" outlineLevel="0" collapsed="false">
      <c r="I1166" s="2"/>
      <c r="J1166" s="2"/>
    </row>
    <row r="1167" customFormat="false" ht="15" hidden="false" customHeight="false" outlineLevel="0" collapsed="false">
      <c r="I1167" s="2"/>
      <c r="J1167" s="2"/>
    </row>
    <row r="1168" customFormat="false" ht="15" hidden="false" customHeight="false" outlineLevel="0" collapsed="false">
      <c r="I1168" s="2"/>
      <c r="J1168" s="2"/>
    </row>
    <row r="1169" customFormat="false" ht="15" hidden="false" customHeight="false" outlineLevel="0" collapsed="false">
      <c r="I1169" s="2"/>
      <c r="J1169" s="2"/>
    </row>
    <row r="1170" customFormat="false" ht="15" hidden="false" customHeight="false" outlineLevel="0" collapsed="false">
      <c r="I1170" s="2"/>
      <c r="J1170" s="2"/>
    </row>
    <row r="1171" customFormat="false" ht="15" hidden="false" customHeight="false" outlineLevel="0" collapsed="false">
      <c r="I1171" s="2"/>
      <c r="J1171" s="2"/>
    </row>
    <row r="1172" customFormat="false" ht="15" hidden="false" customHeight="false" outlineLevel="0" collapsed="false">
      <c r="I1172" s="2"/>
      <c r="J1172" s="2"/>
    </row>
    <row r="1173" customFormat="false" ht="15" hidden="false" customHeight="false" outlineLevel="0" collapsed="false">
      <c r="I1173" s="2"/>
      <c r="J1173" s="2"/>
    </row>
    <row r="1174" customFormat="false" ht="15" hidden="false" customHeight="false" outlineLevel="0" collapsed="false">
      <c r="I1174" s="2"/>
      <c r="J1174" s="2"/>
    </row>
    <row r="1175" customFormat="false" ht="15" hidden="false" customHeight="false" outlineLevel="0" collapsed="false">
      <c r="I1175" s="2"/>
      <c r="J1175" s="2"/>
    </row>
  </sheetData>
  <dataValidations count="2">
    <dataValidation allowBlank="true" errorStyle="stop" operator="between" showDropDown="false" showErrorMessage="false" showInputMessage="false" sqref="I2:I1175" type="list">
      <formula1>"Prospecto,Contactado,Reunión,Propuesta,Cliente,No interesado"</formula1>
      <formula2>0</formula2>
    </dataValidation>
    <dataValidation allowBlank="true" errorStyle="stop" operator="between" showDropDown="false" showErrorMessage="false" showInputMessage="false" sqref="J2:J1175" type="list">
      <formula1>"Alta,Media,Baja,Por calificar"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5" min="3" style="0" width="40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9" min="9" style="0" width="40"/>
    <col collapsed="false" customWidth="true" hidden="false" outlineLevel="0" max="10" min="10" style="0" width="12"/>
  </cols>
  <sheetData>
    <row r="1" customFormat="false" ht="28.35" hidden="false" customHeight="false" outlineLevel="0" collapsed="false">
      <c r="A1" s="1" t="s">
        <v>3741</v>
      </c>
      <c r="B1" s="1" t="s">
        <v>3742</v>
      </c>
      <c r="C1" s="1" t="s">
        <v>3</v>
      </c>
      <c r="D1" s="1" t="s">
        <v>3743</v>
      </c>
      <c r="E1" s="1" t="s">
        <v>3744</v>
      </c>
      <c r="F1" s="1" t="s">
        <v>3745</v>
      </c>
      <c r="G1" s="1" t="s">
        <v>3746</v>
      </c>
      <c r="H1" s="1" t="s">
        <v>3747</v>
      </c>
      <c r="I1" s="1" t="s">
        <v>10</v>
      </c>
      <c r="J1" s="1" t="s">
        <v>3748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6"/>
    <col collapsed="false" customWidth="true" hidden="false" outlineLevel="0" max="5" min="3" style="0" width="12"/>
  </cols>
  <sheetData>
    <row r="1" customFormat="false" ht="15" hidden="false" customHeight="false" outlineLevel="0" collapsed="false">
      <c r="A1" s="1" t="s">
        <v>3749</v>
      </c>
      <c r="B1" s="1" t="s">
        <v>4</v>
      </c>
      <c r="C1" s="1" t="s">
        <v>3750</v>
      </c>
      <c r="D1" s="1"/>
      <c r="E1" s="1"/>
    </row>
    <row r="2" customFormat="false" ht="15" hidden="false" customHeight="false" outlineLevel="0" collapsed="false">
      <c r="A2" s="0" t="s">
        <v>22</v>
      </c>
      <c r="B2" s="0" t="s">
        <v>20</v>
      </c>
      <c r="C2" s="0" t="n">
        <f aca="false">COUNTIFS(Contactos!$H:$H,$A2,Contactos!$E:$E,$B2)</f>
        <v>667</v>
      </c>
    </row>
    <row r="3" customFormat="false" ht="15" hidden="false" customHeight="false" outlineLevel="0" collapsed="false">
      <c r="A3" s="0" t="s">
        <v>22</v>
      </c>
      <c r="B3" s="0" t="s">
        <v>1043</v>
      </c>
      <c r="C3" s="0" t="n">
        <f aca="false">COUNTIFS(Contactos!$H:$H,$A3,Contactos!$E:$E,$B3)</f>
        <v>1</v>
      </c>
    </row>
    <row r="4" customFormat="false" ht="15" hidden="false" customHeight="false" outlineLevel="0" collapsed="false">
      <c r="A4" s="0" t="s">
        <v>22</v>
      </c>
      <c r="B4" s="0" t="s">
        <v>1392</v>
      </c>
      <c r="C4" s="0" t="n">
        <f aca="false">COUNTIFS(Contactos!$H:$H,$A4,Contactos!$E:$E,$B4)</f>
        <v>1</v>
      </c>
    </row>
    <row r="5" customFormat="false" ht="15" hidden="false" customHeight="false" outlineLevel="0" collapsed="false">
      <c r="A5" s="0" t="s">
        <v>22</v>
      </c>
      <c r="B5" s="0" t="s">
        <v>1334</v>
      </c>
      <c r="C5" s="0" t="n">
        <f aca="false">COUNTIFS(Contactos!$H:$H,$A5,Contactos!$E:$E,$B5)</f>
        <v>1</v>
      </c>
    </row>
    <row r="6" customFormat="false" ht="15" hidden="false" customHeight="false" outlineLevel="0" collapsed="false">
      <c r="A6" s="0" t="s">
        <v>22</v>
      </c>
      <c r="B6" s="0" t="s">
        <v>1838</v>
      </c>
      <c r="C6" s="0" t="n">
        <f aca="false">COUNTIFS(Contactos!$H:$H,$A6,Contactos!$E:$E,$B6)</f>
        <v>1</v>
      </c>
    </row>
    <row r="7" customFormat="false" ht="15" hidden="false" customHeight="false" outlineLevel="0" collapsed="false">
      <c r="A7" s="0" t="s">
        <v>22</v>
      </c>
      <c r="B7" s="0" t="s">
        <v>1597</v>
      </c>
      <c r="C7" s="0" t="n">
        <f aca="false">COUNTIFS(Contactos!$H:$H,$A7,Contactos!$E:$E,$B7)</f>
        <v>1</v>
      </c>
    </row>
    <row r="8" customFormat="false" ht="15" hidden="false" customHeight="false" outlineLevel="0" collapsed="false">
      <c r="A8" s="0" t="s">
        <v>22</v>
      </c>
      <c r="B8" s="0" t="s">
        <v>1520</v>
      </c>
      <c r="C8" s="0" t="n">
        <f aca="false">COUNTIFS(Contactos!$H:$H,$A8,Contactos!$E:$E,$B8)</f>
        <v>1</v>
      </c>
    </row>
    <row r="9" customFormat="false" ht="15" hidden="false" customHeight="false" outlineLevel="0" collapsed="false">
      <c r="A9" s="0" t="s">
        <v>22</v>
      </c>
      <c r="B9" s="0" t="s">
        <v>2368</v>
      </c>
      <c r="C9" s="0" t="n">
        <f aca="false">COUNTIFS(Contactos!$H:$H,$A9,Contactos!$E:$E,$B9)</f>
        <v>1</v>
      </c>
    </row>
    <row r="10" customFormat="false" ht="15" hidden="false" customHeight="false" outlineLevel="0" collapsed="false">
      <c r="A10" s="0" t="s">
        <v>3751</v>
      </c>
      <c r="C10" s="0" t="n">
        <f aca="false">SUM(C2:C9)</f>
        <v>674</v>
      </c>
    </row>
    <row r="12" customFormat="false" ht="15" hidden="false" customHeight="false" outlineLevel="0" collapsed="false">
      <c r="A12" s="4" t="s">
        <v>13</v>
      </c>
      <c r="B12" s="4" t="s">
        <v>24</v>
      </c>
      <c r="C12" s="4" t="s">
        <v>1630</v>
      </c>
      <c r="D12" s="4" t="s">
        <v>2911</v>
      </c>
      <c r="E12" s="4" t="s">
        <v>3751</v>
      </c>
    </row>
    <row r="13" customFormat="false" ht="15" hidden="false" customHeight="false" outlineLevel="0" collapsed="false">
      <c r="A13" s="0" t="s">
        <v>28</v>
      </c>
      <c r="B13" s="0" t="n">
        <f aca="false">COUNTIFS(Contactos!$N:$N,$A13,Contactos!$J:$J,B$12)</f>
        <v>168</v>
      </c>
      <c r="C13" s="0" t="n">
        <f aca="false">COUNTIFS(Contactos!$N:$N,$A13,Contactos!$J:$J,C$12)</f>
        <v>0</v>
      </c>
      <c r="D13" s="0" t="n">
        <f aca="false">COUNTIFS(Contactos!$N:$N,$A13,Contactos!$J:$J,D$12)</f>
        <v>0</v>
      </c>
      <c r="E13" s="0" t="n">
        <f aca="false">SUM(B13:D13)</f>
        <v>168</v>
      </c>
    </row>
    <row r="14" customFormat="false" ht="15" hidden="false" customHeight="false" outlineLevel="0" collapsed="false">
      <c r="A14" s="0" t="s">
        <v>936</v>
      </c>
      <c r="B14" s="0" t="n">
        <f aca="false">COUNTIFS(Contactos!$N:$N,$A14,Contactos!$J:$J,B$12)</f>
        <v>16</v>
      </c>
      <c r="C14" s="0" t="n">
        <f aca="false">COUNTIFS(Contactos!$N:$N,$A14,Contactos!$J:$J,C$12)</f>
        <v>0</v>
      </c>
      <c r="D14" s="0" t="n">
        <f aca="false">COUNTIFS(Contactos!$N:$N,$A14,Contactos!$J:$J,D$12)</f>
        <v>0</v>
      </c>
      <c r="E14" s="0" t="n">
        <f aca="false">SUM(B14:D14)</f>
        <v>16</v>
      </c>
    </row>
    <row r="15" customFormat="false" ht="15" hidden="false" customHeight="false" outlineLevel="0" collapsed="false">
      <c r="A15" s="0" t="s">
        <v>1025</v>
      </c>
      <c r="B15" s="0" t="n">
        <f aca="false">COUNTIFS(Contactos!$N:$N,$A15,Contactos!$J:$J,B$12)</f>
        <v>82</v>
      </c>
      <c r="C15" s="0" t="n">
        <f aca="false">COUNTIFS(Contactos!$N:$N,$A15,Contactos!$J:$J,C$12)</f>
        <v>0</v>
      </c>
      <c r="D15" s="0" t="n">
        <f aca="false">COUNTIFS(Contactos!$N:$N,$A15,Contactos!$J:$J,D$12)</f>
        <v>0</v>
      </c>
      <c r="E15" s="0" t="n">
        <f aca="false">SUM(B15:D15)</f>
        <v>82</v>
      </c>
    </row>
    <row r="16" customFormat="false" ht="15" hidden="false" customHeight="false" outlineLevel="0" collapsed="false">
      <c r="A16" s="0" t="s">
        <v>1507</v>
      </c>
      <c r="B16" s="0" t="n">
        <f aca="false">COUNTIFS(Contactos!$N:$N,$A16,Contactos!$J:$J,B$12)</f>
        <v>8</v>
      </c>
      <c r="C16" s="0" t="n">
        <f aca="false">COUNTIFS(Contactos!$N:$N,$A16,Contactos!$J:$J,C$12)</f>
        <v>105</v>
      </c>
      <c r="D16" s="0" t="n">
        <f aca="false">COUNTIFS(Contactos!$N:$N,$A16,Contactos!$J:$J,D$12)</f>
        <v>0</v>
      </c>
      <c r="E16" s="0" t="n">
        <f aca="false">SUM(B16:D16)</f>
        <v>113</v>
      </c>
    </row>
    <row r="17" customFormat="false" ht="15" hidden="false" customHeight="false" outlineLevel="0" collapsed="false">
      <c r="A17" s="0" t="s">
        <v>1575</v>
      </c>
      <c r="B17" s="0" t="n">
        <f aca="false">COUNTIFS(Contactos!$N:$N,$A17,Contactos!$J:$J,B$12)</f>
        <v>6</v>
      </c>
      <c r="C17" s="0" t="n">
        <f aca="false">COUNTIFS(Contactos!$N:$N,$A17,Contactos!$J:$J,C$12)</f>
        <v>78</v>
      </c>
      <c r="D17" s="0" t="n">
        <f aca="false">COUNTIFS(Contactos!$N:$N,$A17,Contactos!$J:$J,D$12)</f>
        <v>0</v>
      </c>
      <c r="E17" s="0" t="n">
        <f aca="false">SUM(B17:D17)</f>
        <v>84</v>
      </c>
    </row>
    <row r="18" customFormat="false" ht="15" hidden="false" customHeight="false" outlineLevel="0" collapsed="false">
      <c r="A18" s="0" t="s">
        <v>1624</v>
      </c>
      <c r="B18" s="0" t="n">
        <f aca="false">COUNTIFS(Contactos!$N:$N,$A18,Contactos!$J:$J,B$12)</f>
        <v>1</v>
      </c>
      <c r="C18" s="0" t="n">
        <f aca="false">COUNTIFS(Contactos!$N:$N,$A18,Contactos!$J:$J,C$12)</f>
        <v>47</v>
      </c>
      <c r="D18" s="0" t="n">
        <f aca="false">COUNTIFS(Contactos!$N:$N,$A18,Contactos!$J:$J,D$12)</f>
        <v>0</v>
      </c>
      <c r="E18" s="0" t="n">
        <f aca="false">SUM(B18:D18)</f>
        <v>48</v>
      </c>
    </row>
    <row r="19" customFormat="false" ht="15" hidden="false" customHeight="false" outlineLevel="0" collapsed="false">
      <c r="A19" s="0" t="s">
        <v>2914</v>
      </c>
      <c r="B19" s="0" t="n">
        <f aca="false">COUNTIFS(Contactos!$N:$N,$A19,Contactos!$J:$J,B$12)</f>
        <v>0</v>
      </c>
      <c r="C19" s="0" t="n">
        <f aca="false">COUNTIFS(Contactos!$N:$N,$A19,Contactos!$J:$J,C$12)</f>
        <v>0</v>
      </c>
      <c r="D19" s="0" t="n">
        <f aca="false">COUNTIFS(Contactos!$N:$N,$A19,Contactos!$J:$J,D$12)</f>
        <v>163</v>
      </c>
      <c r="E19" s="0" t="n">
        <f aca="false">SUM(B19:D19)</f>
        <v>163</v>
      </c>
    </row>
    <row r="20" customFormat="false" ht="15" hidden="false" customHeight="false" outlineLevel="0" collapsed="false">
      <c r="A20" s="0" t="s">
        <v>3751</v>
      </c>
      <c r="B20" s="0" t="n">
        <f aca="false">SUM(B13:B19)</f>
        <v>281</v>
      </c>
      <c r="C20" s="0" t="n">
        <f aca="false">SUM(C13:C19)</f>
        <v>230</v>
      </c>
      <c r="D20" s="0" t="n">
        <f aca="false">SUM(D13:D19)</f>
        <v>163</v>
      </c>
      <c r="E20" s="0" t="n">
        <f aca="false">SUM(E13:E19)</f>
        <v>674</v>
      </c>
    </row>
    <row r="22" customFormat="false" ht="15" hidden="false" customHeight="false" outlineLevel="0" collapsed="false">
      <c r="A22" s="4" t="s">
        <v>3752</v>
      </c>
      <c r="B22" s="4" t="s">
        <v>3750</v>
      </c>
    </row>
    <row r="23" customFormat="false" ht="15" hidden="false" customHeight="false" outlineLevel="0" collapsed="false">
      <c r="A23" s="0" t="s">
        <v>23</v>
      </c>
      <c r="B23" s="0" t="n">
        <f aca="false">COUNTIF(Contactos!$I:$I,A23)</f>
        <v>674</v>
      </c>
    </row>
    <row r="24" customFormat="false" ht="15" hidden="false" customHeight="false" outlineLevel="0" collapsed="false">
      <c r="A24" s="0" t="s">
        <v>3753</v>
      </c>
      <c r="B24" s="0" t="n">
        <f aca="false">COUNTIF(Contactos!$I:$I,A24)</f>
        <v>0</v>
      </c>
    </row>
    <row r="25" customFormat="false" ht="15" hidden="false" customHeight="false" outlineLevel="0" collapsed="false">
      <c r="A25" s="0" t="s">
        <v>3754</v>
      </c>
      <c r="B25" s="0" t="n">
        <f aca="false">COUNTIF(Contactos!$I:$I,A25)</f>
        <v>0</v>
      </c>
    </row>
    <row r="26" customFormat="false" ht="15" hidden="false" customHeight="false" outlineLevel="0" collapsed="false">
      <c r="A26" s="0" t="s">
        <v>3755</v>
      </c>
      <c r="B26" s="0" t="n">
        <f aca="false">COUNTIF(Contactos!$I:$I,A26)</f>
        <v>0</v>
      </c>
    </row>
    <row r="27" customFormat="false" ht="15" hidden="false" customHeight="false" outlineLevel="0" collapsed="false">
      <c r="A27" s="0" t="s">
        <v>3756</v>
      </c>
      <c r="B27" s="0" t="n">
        <f aca="false">COUNTIF(Contactos!$I:$I,A27)</f>
        <v>0</v>
      </c>
    </row>
    <row r="28" customFormat="false" ht="15" hidden="false" customHeight="false" outlineLevel="0" collapsed="false">
      <c r="A28" s="0" t="s">
        <v>3757</v>
      </c>
      <c r="B28" s="0" t="n">
        <f aca="false">COUNTIF(Contactos!$I:$I,A28)</f>
        <v>0</v>
      </c>
    </row>
    <row r="30" customFormat="false" ht="15" hidden="false" customHeight="false" outlineLevel="0" collapsed="false">
      <c r="A30" s="4" t="s">
        <v>3758</v>
      </c>
      <c r="B30" s="4" t="s">
        <v>3750</v>
      </c>
    </row>
    <row r="31" customFormat="false" ht="15" hidden="false" customHeight="false" outlineLevel="0" collapsed="false">
      <c r="A31" s="0" t="s">
        <v>3759</v>
      </c>
      <c r="B31" s="0" t="n">
        <f aca="false">COUNTIF(Contactos!$F$2:$F$2000,"?*")</f>
        <v>623</v>
      </c>
    </row>
    <row r="32" customFormat="false" ht="15" hidden="false" customHeight="false" outlineLevel="0" collapsed="false">
      <c r="A32" s="0" t="s">
        <v>3760</v>
      </c>
      <c r="B32" s="0" t="n">
        <f aca="false">COUNTA(Contactos!$O$2:$O$2000)</f>
        <v>654</v>
      </c>
    </row>
    <row r="33" customFormat="false" ht="15" hidden="false" customHeight="false" outlineLevel="0" collapsed="false">
      <c r="A33" s="0" t="s">
        <v>3761</v>
      </c>
      <c r="B33" s="0" t="n">
        <f aca="false">COUNTIF(Contactos!$B$2:$B$2000,"?*")</f>
        <v>20</v>
      </c>
    </row>
    <row r="34" customFormat="false" ht="15" hidden="false" customHeight="false" outlineLevel="0" collapsed="false">
      <c r="A34" s="0" t="s">
        <v>3762</v>
      </c>
      <c r="B34" s="0" t="n">
        <f aca="false">COUNTIF(Contactos!$S:$S,"Sí")</f>
        <v>21</v>
      </c>
    </row>
    <row r="35" customFormat="false" ht="15" hidden="false" customHeight="false" outlineLevel="0" collapsed="false">
      <c r="A35" s="0" t="s">
        <v>3763</v>
      </c>
      <c r="B35" s="0" t="n">
        <f aca="false">COUNTIF(Contactos!$G$2:$G$2000,"?*")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2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1" t="s">
        <v>3764</v>
      </c>
      <c r="B1" s="1" t="s">
        <v>4</v>
      </c>
      <c r="C1" s="1" t="s">
        <v>3765</v>
      </c>
    </row>
    <row r="2" customFormat="false" ht="15" hidden="false" customHeight="false" outlineLevel="0" collapsed="false">
      <c r="A2" s="0" t="s">
        <v>3766</v>
      </c>
      <c r="B2" s="0" t="s">
        <v>20</v>
      </c>
      <c r="C2" s="0" t="s">
        <v>3767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2026-10-06T17:53:23Z</dcterms:created>
  <dc:creator>openpyxl</dc:creator>
  <dc:description/>
  <dc:language>en-US</dc:language>
  <cp:lastModifiedBy/>
  <dcterms:modified xsi:type="dcterms:W3CDTF">2026-10-06T17:53:23Z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