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os" sheetId="1" state="visible" r:id="rId3"/>
    <sheet name="Oportunidades" sheetId="2" state="visible" r:id="rId4"/>
    <sheet name="Resumen" sheetId="3" state="visible" r:id="rId5"/>
    <sheet name="Ev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<sst xmlns="http://schemas.openxmlformats.org/spreadsheetml/2006/main" count="5234" uniqueCount="1236">
  <si>
    <t xml:space="preserve">ID</t>
  </si>
  <si>
    <t xml:space="preserve">Nombre</t>
  </si>
  <si>
    <t xml:space="preserve">Cargo</t>
  </si>
  <si>
    <t xml:space="preserve">Empresa</t>
  </si>
  <si>
    <t xml:space="preserve">País</t>
  </si>
  <si>
    <t xml:space="preserve">Email</t>
  </si>
  <si>
    <t xml:space="preserve">LinkedIn</t>
  </si>
  <si>
    <t xml:space="preserve">Origen</t>
  </si>
  <si>
    <t xml:space="preserve">Estado</t>
  </si>
  <si>
    <t xml:space="preserve">Prioridad</t>
  </si>
  <si>
    <t xml:space="preserve">Próxima acción</t>
  </si>
  <si>
    <t xml:space="preserve">Notas</t>
  </si>
  <si>
    <t xml:space="preserve">Segmento SafetyMind</t>
  </si>
  <si>
    <t xml:space="preserve">Stand(s)</t>
  </si>
  <si>
    <t xml:space="preserve">N° stands</t>
  </si>
  <si>
    <t xml:space="preserve">Rubro FIDAE</t>
  </si>
  <si>
    <t xml:space="preserve">Web</t>
  </si>
  <si>
    <t xml:space="preserve">Teléfono(s)</t>
  </si>
  <si>
    <t xml:space="preserve">Cruce otros CRM</t>
  </si>
  <si>
    <t xml:space="preserve">A PROFESIONAL AVIATION SERVICES CHILE ( APAS CHILE)</t>
  </si>
  <si>
    <t xml:space="preserve">Chile</t>
  </si>
  <si>
    <t xml:space="preserve">FIDAE 2026</t>
  </si>
  <si>
    <t xml:space="preserve">Prospecto</t>
  </si>
  <si>
    <t xml:space="preserve">Alta</t>
  </si>
  <si>
    <t xml:space="preserve">Identificar Gerente de Seguridad Operacional/HSE; proponer piloto (hangar, rampa, mantenimiento, combustible)</t>
  </si>
  <si>
    <t xml:space="preserve">FIDAE 2026. Sin contacto publicado.</t>
  </si>
  <si>
    <t xml:space="preserve">Cliente final – operador aéreo / MRO / industria</t>
  </si>
  <si>
    <t xml:space="preserve">CHALET C5 Y C6</t>
  </si>
  <si>
    <t xml:space="preserve">Mantenimiento aeronáutico (MRO)</t>
  </si>
  <si>
    <t xml:space="preserve">https://www.apaschile.cl/</t>
  </si>
  <si>
    <t xml:space="preserve">No</t>
  </si>
  <si>
    <t xml:space="preserve">ABM AERO</t>
  </si>
  <si>
    <t xml:space="preserve">D23</t>
  </si>
  <si>
    <t xml:space="preserve">Aviación civil y comercial</t>
  </si>
  <si>
    <t xml:space="preserve">https://ww.abmaero.cl/</t>
  </si>
  <si>
    <t xml:space="preserve">AEREOS DEFENSE</t>
  </si>
  <si>
    <t xml:space="preserve">C53</t>
  </si>
  <si>
    <t xml:space="preserve">https://ww.aereos.com/</t>
  </si>
  <si>
    <t xml:space="preserve">AEROCARDAL LIMITADA</t>
  </si>
  <si>
    <t xml:space="preserve">CHALET A3</t>
  </si>
  <si>
    <t xml:space="preserve">https://www.aerocardal.com/</t>
  </si>
  <si>
    <t xml:space="preserve">AEROLIDER</t>
  </si>
  <si>
    <t xml:space="preserve">E12</t>
  </si>
  <si>
    <t xml:space="preserve">https://www.aerolider.com/</t>
  </si>
  <si>
    <t xml:space="preserve">AEROMAC (AERONAUTICAL MAINTENANCE CENTER SPA.)</t>
  </si>
  <si>
    <t xml:space="preserve">E139</t>
  </si>
  <si>
    <t xml:space="preserve">Defensa</t>
  </si>
  <si>
    <t xml:space="preserve">https://www.aeromac-group.com/</t>
  </si>
  <si>
    <t xml:space="preserve">AERONAUTICAL INVESTMENTS SPA</t>
  </si>
  <si>
    <t xml:space="preserve">E30</t>
  </si>
  <si>
    <t xml:space="preserve">https://www.aeronauticalinvestments.com/</t>
  </si>
  <si>
    <t xml:space="preserve">Aeroservicios Toqui Ltda</t>
  </si>
  <si>
    <t xml:space="preserve">E 02</t>
  </si>
  <si>
    <t xml:space="preserve">https://www.aerotoqui.cl/</t>
  </si>
  <si>
    <t xml:space="preserve">ASMAR - ASTILLEROS Y MAESTRANZAS DE LA ARMADA</t>
  </si>
  <si>
    <t xml:space="preserve">D130</t>
  </si>
  <si>
    <t xml:space="preserve">https://www.asmar.cl/</t>
  </si>
  <si>
    <t xml:space="preserve">BODE AVIATION</t>
  </si>
  <si>
    <t xml:space="preserve">E02</t>
  </si>
  <si>
    <t xml:space="preserve">https://www.flybode.com/</t>
  </si>
  <si>
    <t xml:space="preserve">CLUB AÉREO DE SANTIAGO</t>
  </si>
  <si>
    <t xml:space="preserve">OUTDOOR /AIRCRAFT DISPLAY</t>
  </si>
  <si>
    <t xml:space="preserve">https://www.cas.cl/</t>
  </si>
  <si>
    <t xml:space="preserve">DISTRIBUIDORA DE VEHICULOS ESPECIALES SPA.</t>
  </si>
  <si>
    <t xml:space="preserve">OUTDOOR</t>
  </si>
  <si>
    <t xml:space="preserve">https://www.divespec.cl/</t>
  </si>
  <si>
    <t xml:space="preserve">EAGLE COPTERS SOUTH AMERICA</t>
  </si>
  <si>
    <t xml:space="preserve">AIRCRAFT DISPLAY PARK HALL E</t>
  </si>
  <si>
    <t xml:space="preserve">https://www.eaglecopters.cl/</t>
  </si>
  <si>
    <t xml:space="preserve">ESMAX</t>
  </si>
  <si>
    <t xml:space="preserve">FIDAE 2026. También en: Exponor (ID 614); AquaSur (ID 286). Sin contacto publicado.</t>
  </si>
  <si>
    <t xml:space="preserve">AUSPICIADOR LANYARDS</t>
  </si>
  <si>
    <t xml:space="preserve">Otros</t>
  </si>
  <si>
    <t xml:space="preserve">https://www.esmax.cl/</t>
  </si>
  <si>
    <t xml:space="preserve">Exponor (ID 614); AquaSur (ID 286)</t>
  </si>
  <si>
    <t xml:space="preserve">EXPLORAIR</t>
  </si>
  <si>
    <t xml:space="preserve">AIRCRAFT DISPLAY PARK HALL</t>
  </si>
  <si>
    <t xml:space="preserve">https://ww.explorair.cl/</t>
  </si>
  <si>
    <t xml:space="preserve">Fabricas Y Maestranzas Del Ejercito</t>
  </si>
  <si>
    <t xml:space="preserve">G139</t>
  </si>
  <si>
    <t xml:space="preserve">https://www.famae.cl/</t>
  </si>
  <si>
    <t xml:space="preserve">FIELD AEROSPACE</t>
  </si>
  <si>
    <t xml:space="preserve">D115</t>
  </si>
  <si>
    <t xml:space="preserve">https://www.fieldaero.com/</t>
  </si>
  <si>
    <t xml:space="preserve">FORESTAL ARAUCO S.A</t>
  </si>
  <si>
    <t xml:space="preserve">OUTG01</t>
  </si>
  <si>
    <t xml:space="preserve">https://www.arauco.com/</t>
  </si>
  <si>
    <t xml:space="preserve">HAIN SPA</t>
  </si>
  <si>
    <t xml:space="preserve">E8</t>
  </si>
  <si>
    <t xml:space="preserve">https://www.hainfly.com/</t>
  </si>
  <si>
    <t xml:space="preserve">LATAM AILINES GROUP</t>
  </si>
  <si>
    <t xml:space="preserve">AIRCRAFT DISPLAY</t>
  </si>
  <si>
    <t xml:space="preserve">https://www.latam.com/</t>
  </si>
  <si>
    <t xml:space="preserve">NACIONAL DE AERONÁUTICA DE CHILE - ENAER</t>
  </si>
  <si>
    <t xml:space="preserve">HALL F</t>
  </si>
  <si>
    <t xml:space="preserve">https://www.enaer.cl/</t>
  </si>
  <si>
    <t xml:space="preserve">SISDEF LTDA</t>
  </si>
  <si>
    <t xml:space="preserve">FIDAE 2026. También en: AquaSur (ID 17). Sin contacto publicado.</t>
  </si>
  <si>
    <t xml:space="preserve">https://www.sisdef.cl/</t>
  </si>
  <si>
    <t xml:space="preserve">AquaSur (ID 17)</t>
  </si>
  <si>
    <t xml:space="preserve">TKOF SPA</t>
  </si>
  <si>
    <t xml:space="preserve">E29</t>
  </si>
  <si>
    <t xml:space="preserve">https://www.tkofaviation.com/</t>
  </si>
  <si>
    <t xml:space="preserve">HELISUL TAXI AEREO LTDA</t>
  </si>
  <si>
    <t xml:space="preserve">Brasil</t>
  </si>
  <si>
    <t xml:space="preserve">C47</t>
  </si>
  <si>
    <t xml:space="preserve">https://www.helisul.com/</t>
  </si>
  <si>
    <t xml:space="preserve">LAMAIGNERE CARGO S.L.</t>
  </si>
  <si>
    <t xml:space="preserve">España</t>
  </si>
  <si>
    <t xml:space="preserve">B30</t>
  </si>
  <si>
    <t xml:space="preserve">Logística y apoyo en tierra</t>
  </si>
  <si>
    <t xml:space="preserve">https://www.lamaignere.com/</t>
  </si>
  <si>
    <t xml:space="preserve">WORLD FUEL SERVICES</t>
  </si>
  <si>
    <t xml:space="preserve">Estados Unidos</t>
  </si>
  <si>
    <t xml:space="preserve">FIDAE 2026. Sin ubicación asignada. Sin contacto publicado.</t>
  </si>
  <si>
    <t xml:space="preserve">Servicios y equipos aeroportuarios</t>
  </si>
  <si>
    <t xml:space="preserve">https://www.world-kinect.com/world-fuel</t>
  </si>
  <si>
    <t xml:space="preserve">ACELERADORA ANIPRIME LIMITADA</t>
  </si>
  <si>
    <t xml:space="preserve">Mapear oferta: evaluar integración (cámaras térmicas, drones, satélite, comunicaciones) o competencia</t>
  </si>
  <si>
    <t xml:space="preserve">Partner tecnológico / competidor</t>
  </si>
  <si>
    <t xml:space="preserve">D29</t>
  </si>
  <si>
    <t xml:space="preserve">UAV / drones</t>
  </si>
  <si>
    <t xml:space="preserve">https://www.stellarchile.cl/</t>
  </si>
  <si>
    <t xml:space="preserve">ALACRON.AI</t>
  </si>
  <si>
    <t xml:space="preserve">E10</t>
  </si>
  <si>
    <t xml:space="preserve">https://www.alacron.ai/</t>
  </si>
  <si>
    <t xml:space="preserve">AUTEL ROBOTICS</t>
  </si>
  <si>
    <t xml:space="preserve">G06</t>
  </si>
  <si>
    <t xml:space="preserve">https://www.uavsics.cl/</t>
  </si>
  <si>
    <t xml:space="preserve">Codan Communications</t>
  </si>
  <si>
    <t xml:space="preserve">D08</t>
  </si>
  <si>
    <t xml:space="preserve">COMERCIALIZADORA RUGGEDTECH LIMITADA</t>
  </si>
  <si>
    <t xml:space="preserve">D15</t>
  </si>
  <si>
    <t xml:space="preserve">https://www.ruggedtechla/</t>
  </si>
  <si>
    <t xml:space="preserve">DTS (DESARROLLO DE TECNOLOGIA Y SISTEMAS SPA)</t>
  </si>
  <si>
    <t xml:space="preserve">CHALET A1-A2</t>
  </si>
  <si>
    <t xml:space="preserve">https://www.dts.cl/</t>
  </si>
  <si>
    <t xml:space="preserve">ESRI CHILE</t>
  </si>
  <si>
    <t xml:space="preserve">D18</t>
  </si>
  <si>
    <t xml:space="preserve">Tecnologías espaciales</t>
  </si>
  <si>
    <t xml:space="preserve">https://www.esri.cl/</t>
  </si>
  <si>
    <t xml:space="preserve">GEOCOM</t>
  </si>
  <si>
    <t xml:space="preserve">G05</t>
  </si>
  <si>
    <t xml:space="preserve">https://www.geocom.cl/</t>
  </si>
  <si>
    <t xml:space="preserve">IPS TELECOM SPA</t>
  </si>
  <si>
    <t xml:space="preserve">D8</t>
  </si>
  <si>
    <t xml:space="preserve">https://www.ipstelecom.cl/</t>
  </si>
  <si>
    <t xml:space="preserve">MOTOROLA SOLUTIONS CHILE</t>
  </si>
  <si>
    <t xml:space="preserve">B02</t>
  </si>
  <si>
    <t xml:space="preserve">https://www.motorolasolutions.com/</t>
  </si>
  <si>
    <t xml:space="preserve">NVIS Communications</t>
  </si>
  <si>
    <t xml:space="preserve">OPEN CHANNEL S.A.</t>
  </si>
  <si>
    <t xml:space="preserve">E44</t>
  </si>
  <si>
    <t xml:space="preserve">Ciberseguridad</t>
  </si>
  <si>
    <t xml:space="preserve">https://www.openchannels.cl/</t>
  </si>
  <si>
    <t xml:space="preserve">RASTER 4 SPA</t>
  </si>
  <si>
    <t xml:space="preserve">D12</t>
  </si>
  <si>
    <t xml:space="preserve">https://www.raster4.com/</t>
  </si>
  <si>
    <t xml:space="preserve">ROBOMOTIC SPA</t>
  </si>
  <si>
    <t xml:space="preserve">E26</t>
  </si>
  <si>
    <t xml:space="preserve">https://www.robomotic%20.cl/</t>
  </si>
  <si>
    <t xml:space="preserve">SERVICIOS Y SOLUCIONES TECNOLOGICAS SA</t>
  </si>
  <si>
    <t xml:space="preserve">https://www.s2t.cl/</t>
  </si>
  <si>
    <t xml:space="preserve">SETRONIX CHILE S.A</t>
  </si>
  <si>
    <t xml:space="preserve">G10</t>
  </si>
  <si>
    <t xml:space="preserve">https://www.setronix.cl/</t>
  </si>
  <si>
    <t xml:space="preserve">SI IMAGING SERVICES (SIIS)</t>
  </si>
  <si>
    <t xml:space="preserve">D136</t>
  </si>
  <si>
    <t xml:space="preserve">https://www.si-imaging.com/</t>
  </si>
  <si>
    <t xml:space="preserve">SKYTEL TELECOMUNICACIONES LIMITADA</t>
  </si>
  <si>
    <t xml:space="preserve">HALL E - 16</t>
  </si>
  <si>
    <t xml:space="preserve">https://www.skytel.cl/</t>
  </si>
  <si>
    <t xml:space="preserve">SMART PARTNERS</t>
  </si>
  <si>
    <t xml:space="preserve">C49</t>
  </si>
  <si>
    <t xml:space="preserve">https://www.smartpartners.cl/</t>
  </si>
  <si>
    <t xml:space="preserve">SOCIEDAD CREA3D INGENIERÍA SPA</t>
  </si>
  <si>
    <t xml:space="preserve">E28</t>
  </si>
  <si>
    <t xml:space="preserve">https://www.c3d.cl/</t>
  </si>
  <si>
    <t xml:space="preserve">TEK CHILE</t>
  </si>
  <si>
    <t xml:space="preserve">D105</t>
  </si>
  <si>
    <t xml:space="preserve">https://www.tek.tech/</t>
  </si>
  <si>
    <t xml:space="preserve">AEVEX</t>
  </si>
  <si>
    <t xml:space="preserve">C64</t>
  </si>
  <si>
    <t xml:space="preserve">Seguridad interior</t>
  </si>
  <si>
    <t xml:space="preserve">https://www.aevex.com/</t>
  </si>
  <si>
    <t xml:space="preserve">BLIGHTER SURVEILLANCE SYSTEMS LTD.</t>
  </si>
  <si>
    <t xml:space="preserve">Reino Unido</t>
  </si>
  <si>
    <t xml:space="preserve">E115</t>
  </si>
  <si>
    <t xml:space="preserve">https://www.blighter.com/</t>
  </si>
  <si>
    <t xml:space="preserve">CAPELLA, AN IONQ COMPANY</t>
  </si>
  <si>
    <t xml:space="preserve">C73</t>
  </si>
  <si>
    <t xml:space="preserve">https://www.capellaspace.com/</t>
  </si>
  <si>
    <t xml:space="preserve">DOODLE LABS. LLC</t>
  </si>
  <si>
    <t xml:space="preserve">C70</t>
  </si>
  <si>
    <t xml:space="preserve">https://www.doodlelabs.com/</t>
  </si>
  <si>
    <t xml:space="preserve">DRONESHIELD</t>
  </si>
  <si>
    <t xml:space="preserve">Australia</t>
  </si>
  <si>
    <t xml:space="preserve">D114</t>
  </si>
  <si>
    <t xml:space="preserve">https://www.droneshield.com/</t>
  </si>
  <si>
    <t xml:space="preserve">EDNEO AG</t>
  </si>
  <si>
    <t xml:space="preserve">Alemania</t>
  </si>
  <si>
    <t xml:space="preserve">C36</t>
  </si>
  <si>
    <t xml:space="preserve">https://www.edneo.de/</t>
  </si>
  <si>
    <t xml:space="preserve">HAWKEYE 360</t>
  </si>
  <si>
    <t xml:space="preserve">C60</t>
  </si>
  <si>
    <t xml:space="preserve">https://www.he360.com/</t>
  </si>
  <si>
    <t xml:space="preserve">HUGHES NETWORK SYSTEMS LLC</t>
  </si>
  <si>
    <t xml:space="preserve">C38</t>
  </si>
  <si>
    <t xml:space="preserve">https://www.hughes.com/cl</t>
  </si>
  <si>
    <t xml:space="preserve">IBERNEX</t>
  </si>
  <si>
    <t xml:space="preserve">https://www.ibernex.es/</t>
  </si>
  <si>
    <t xml:space="preserve">ICEYE</t>
  </si>
  <si>
    <t xml:space="preserve">Finlandia</t>
  </si>
  <si>
    <t xml:space="preserve">E137</t>
  </si>
  <si>
    <t xml:space="preserve">https://www.iceye.com/</t>
  </si>
  <si>
    <t xml:space="preserve">IDEAFORGE TECHNOLOGY LTD.</t>
  </si>
  <si>
    <t xml:space="preserve">India</t>
  </si>
  <si>
    <t xml:space="preserve">B16</t>
  </si>
  <si>
    <t xml:space="preserve">https://www.el-146,%20ttc%20industrial%20aerea,%20electronic%20zone,%20midc,%20ha/</t>
  </si>
  <si>
    <t xml:space="preserve">JEPPESEN FOREFLIGHT</t>
  </si>
  <si>
    <t xml:space="preserve">D14</t>
  </si>
  <si>
    <t xml:space="preserve">https://www.foreflight.com/</t>
  </si>
  <si>
    <t xml:space="preserve">NEXATLAS TECNOLOGIAS DIGITAIS LTDA.</t>
  </si>
  <si>
    <t xml:space="preserve">https://www.nexatlas.com/</t>
  </si>
  <si>
    <t xml:space="preserve">ORORATECH</t>
  </si>
  <si>
    <t xml:space="preserve">SPONSOR</t>
  </si>
  <si>
    <t xml:space="preserve">https://www.ororatech.com/</t>
  </si>
  <si>
    <t xml:space="preserve">PERSISTENT SYSTEMS</t>
  </si>
  <si>
    <t xml:space="preserve">C-32</t>
  </si>
  <si>
    <t xml:space="preserve">https://www.persitentsystems.com/</t>
  </si>
  <si>
    <t xml:space="preserve">PLANET LABS PBC</t>
  </si>
  <si>
    <t xml:space="preserve">C41</t>
  </si>
  <si>
    <t xml:space="preserve">https://www.planet.com/</t>
  </si>
  <si>
    <t xml:space="preserve">RED CAT HOLDING (Teal Drones)</t>
  </si>
  <si>
    <t xml:space="preserve">C40</t>
  </si>
  <si>
    <t xml:space="preserve">https://www.redcat.red/</t>
  </si>
  <si>
    <t xml:space="preserve">SATLANTIS MICROSATS S.A.</t>
  </si>
  <si>
    <t xml:space="preserve">B120</t>
  </si>
  <si>
    <t xml:space="preserve">https://www.satlantis.com/</t>
  </si>
  <si>
    <t xml:space="preserve">SECUNET INTERNATIONAL GMBH</t>
  </si>
  <si>
    <t xml:space="preserve">G02</t>
  </si>
  <si>
    <t xml:space="preserve">https://www.secunet.com/</t>
  </si>
  <si>
    <t xml:space="preserve">SHIELD AI</t>
  </si>
  <si>
    <t xml:space="preserve">C22</t>
  </si>
  <si>
    <t xml:space="preserve">https://www.shield.ai/</t>
  </si>
  <si>
    <t xml:space="preserve">TELEDYNE FLIR LLC.</t>
  </si>
  <si>
    <t xml:space="preserve">C17</t>
  </si>
  <si>
    <t xml:space="preserve">THEON SENSORS</t>
  </si>
  <si>
    <t xml:space="preserve">Grecia</t>
  </si>
  <si>
    <t xml:space="preserve">D113</t>
  </si>
  <si>
    <t xml:space="preserve">https://www.theon.com/</t>
  </si>
  <si>
    <t xml:space="preserve">TONBO IMAGING INDIA LIMITED</t>
  </si>
  <si>
    <t xml:space="preserve">D107</t>
  </si>
  <si>
    <t xml:space="preserve">https://www.tonboimaging.com/</t>
  </si>
  <si>
    <t xml:space="preserve">TRAKKA SYSTEMS</t>
  </si>
  <si>
    <t xml:space="preserve">https://www.trakkasystems.com/</t>
  </si>
  <si>
    <t xml:space="preserve">VOLATUS AEROSPACE CORP</t>
  </si>
  <si>
    <t xml:space="preserve">Canadá</t>
  </si>
  <si>
    <t xml:space="preserve">B01</t>
  </si>
  <si>
    <t xml:space="preserve">https://www.volatusaerospace.com/</t>
  </si>
  <si>
    <t xml:space="preserve">XMOBOTS AEROESPACIAL E DEFESA</t>
  </si>
  <si>
    <t xml:space="preserve">https://www.xmobots.com.br/</t>
  </si>
  <si>
    <t xml:space="preserve">9G SIMULATORS SPA</t>
  </si>
  <si>
    <t xml:space="preserve">Explorar alianza comercial / formación conjunta en seguridad</t>
  </si>
  <si>
    <t xml:space="preserve">Canal / aliado – capacitación y consultoría</t>
  </si>
  <si>
    <t xml:space="preserve">HALL E 20</t>
  </si>
  <si>
    <t xml:space="preserve">https://www.9g-simulators.com/</t>
  </si>
  <si>
    <t xml:space="preserve">COMPUTATIONAL ENTERPRISE SIMULATIONS CHILE SPA</t>
  </si>
  <si>
    <t xml:space="preserve">FIDAE 2026. También en: ExpoMina (ID 382). Sin contacto publicado.</t>
  </si>
  <si>
    <t xml:space="preserve">B21</t>
  </si>
  <si>
    <t xml:space="preserve">https://www.cesimulations.com/</t>
  </si>
  <si>
    <t xml:space="preserve">ExpoMina (ID 382)</t>
  </si>
  <si>
    <t xml:space="preserve">CORPORACION INSTITUTO PROFESIONAL INACAP</t>
  </si>
  <si>
    <t xml:space="preserve">G01</t>
  </si>
  <si>
    <t xml:space="preserve">Educación</t>
  </si>
  <si>
    <t xml:space="preserve">https://www.portal.inacacp.cl/</t>
  </si>
  <si>
    <t xml:space="preserve">EQUIPOS Y SERVICIOS TENSOR LTDA</t>
  </si>
  <si>
    <t xml:space="preserve">E05</t>
  </si>
  <si>
    <t xml:space="preserve">https://www.tensorconsult.cl/</t>
  </si>
  <si>
    <t xml:space="preserve">ESCUELA TECNICA AERONAUTICA - DIRECCION GENERAL DE AERONAUTICA CIVIL (ETA)</t>
  </si>
  <si>
    <t xml:space="preserve">G09</t>
  </si>
  <si>
    <t xml:space="preserve">https://www.escuelaaeronautca.cl/</t>
  </si>
  <si>
    <t xml:space="preserve">SERVICIOS PROFESIONALES UP SPA (BLACK UP)</t>
  </si>
  <si>
    <t xml:space="preserve">D6</t>
  </si>
  <si>
    <t xml:space="preserve">https://www.black-up.cl/</t>
  </si>
  <si>
    <t xml:space="preserve">ADF FLIGHT SCHOOL</t>
  </si>
  <si>
    <t xml:space="preserve">G119</t>
  </si>
  <si>
    <t xml:space="preserve">https://www.adfairways.net/</t>
  </si>
  <si>
    <t xml:space="preserve">CT INGENIEROS AAI, S.L.</t>
  </si>
  <si>
    <t xml:space="preserve">https://www.ctingeneeringgroup.com/</t>
  </si>
  <si>
    <t xml:space="preserve">EOLO CONSULTORES</t>
  </si>
  <si>
    <t xml:space="preserve">Perú</t>
  </si>
  <si>
    <t xml:space="preserve">https://www.eoloconsult.com/</t>
  </si>
  <si>
    <t xml:space="preserve">REISER SIMULATION &amp; TRAINING GMBH</t>
  </si>
  <si>
    <t xml:space="preserve">Aeroespacial</t>
  </si>
  <si>
    <t xml:space="preserve">https://www.reiser-st.com/</t>
  </si>
  <si>
    <t xml:space="preserve">Comercial Kaufmann S.A</t>
  </si>
  <si>
    <t xml:space="preserve">Media</t>
  </si>
  <si>
    <t xml:space="preserve">Explorar alianza con representante local / centros de servicio en Chile</t>
  </si>
  <si>
    <t xml:space="preserve">Partner OEM – aeronaves, motores y equipos</t>
  </si>
  <si>
    <t xml:space="preserve">HALL E - OUTE02</t>
  </si>
  <si>
    <t xml:space="preserve">https://www.kaufmann.cl/</t>
  </si>
  <si>
    <t xml:space="preserve">ROLLS ROYCE - POWER SYSTEMS AG</t>
  </si>
  <si>
    <t xml:space="preserve">https://www.mtu.salutions.com/</t>
  </si>
  <si>
    <t xml:space="preserve">AIR AMBULANCE TECHNOLOGY GMBH</t>
  </si>
  <si>
    <t xml:space="preserve">Austria</t>
  </si>
  <si>
    <t xml:space="preserve">E101</t>
  </si>
  <si>
    <t xml:space="preserve">https://www.airambulancetechnology.com/</t>
  </si>
  <si>
    <t xml:space="preserve">AIRBUS SAS</t>
  </si>
  <si>
    <t xml:space="preserve">Francia</t>
  </si>
  <si>
    <t xml:space="preserve">CHALET D3,4,5,6,7,8</t>
  </si>
  <si>
    <t xml:space="preserve">https://www.airbus.com/</t>
  </si>
  <si>
    <t xml:space="preserve">AIRCRAFT INDUSTRIES</t>
  </si>
  <si>
    <t xml:space="preserve">República Checa</t>
  </si>
  <si>
    <t xml:space="preserve">CHALET A4</t>
  </si>
  <si>
    <t xml:space="preserve">https://www.let.cz/</t>
  </si>
  <si>
    <t xml:space="preserve">BELL TEXTRON INC.</t>
  </si>
  <si>
    <t xml:space="preserve">CHALET A5-8 / AIRCRAFT DISPLAY</t>
  </si>
  <si>
    <t xml:space="preserve">https://www.bellflight.com/</t>
  </si>
  <si>
    <t xml:space="preserve">CIRRUS AIRCRAFT</t>
  </si>
  <si>
    <t xml:space="preserve">https://www.cirrusaircraft.com/</t>
  </si>
  <si>
    <t xml:space="preserve">COLLINS AEROSPACE</t>
  </si>
  <si>
    <t xml:space="preserve">C20</t>
  </si>
  <si>
    <t xml:space="preserve">https://www.rtx.com/collinsaerospace</t>
  </si>
  <si>
    <t xml:space="preserve">DE HAVILLAND AIRCRAFT OF CANADA LIMITED</t>
  </si>
  <si>
    <t xml:space="preserve">C04</t>
  </si>
  <si>
    <t xml:space="preserve">https://www.dehavilland.com/</t>
  </si>
  <si>
    <t xml:space="preserve">DIAMOND AIRCRAFT INDUSTRIES GMBH</t>
  </si>
  <si>
    <t xml:space="preserve">https://www.diamondaircraft.com/</t>
  </si>
  <si>
    <t xml:space="preserve">ELECTROAIR OU</t>
  </si>
  <si>
    <t xml:space="preserve">Estonia</t>
  </si>
  <si>
    <t xml:space="preserve">OUT D03</t>
  </si>
  <si>
    <t xml:space="preserve">https://www.electroair.eu/</t>
  </si>
  <si>
    <t xml:space="preserve">EMBRAER</t>
  </si>
  <si>
    <t xml:space="preserve">CHALET B1-B2- AIRCRAFT DISPLAY</t>
  </si>
  <si>
    <t xml:space="preserve">https://www.embraer.com/</t>
  </si>
  <si>
    <t xml:space="preserve">FAUN TRACKWAY LIMITED</t>
  </si>
  <si>
    <t xml:space="preserve">https://www.fauntrackway.co.uk/</t>
  </si>
  <si>
    <t xml:space="preserve">GE AEROSPACE</t>
  </si>
  <si>
    <t xml:space="preserve">C26</t>
  </si>
  <si>
    <t xml:space="preserve">https://www.geaerospace.com/</t>
  </si>
  <si>
    <t xml:space="preserve">HYUNDAI</t>
  </si>
  <si>
    <t xml:space="preserve">Corea del Sur</t>
  </si>
  <si>
    <t xml:space="preserve">https://www.hyundaicorp.com/</t>
  </si>
  <si>
    <t xml:space="preserve">KIA</t>
  </si>
  <si>
    <t xml:space="preserve">https://www.specia.kia.com/</t>
  </si>
  <si>
    <t xml:space="preserve">L3HARRIS TECHNOLOGIES</t>
  </si>
  <si>
    <t xml:space="preserve">C24</t>
  </si>
  <si>
    <t xml:space="preserve">https://www.l3harris.com/</t>
  </si>
  <si>
    <t xml:space="preserve">LEONARDO SPA</t>
  </si>
  <si>
    <t xml:space="preserve">Italia</t>
  </si>
  <si>
    <t xml:space="preserve">B133</t>
  </si>
  <si>
    <t xml:space="preserve">https://www.leonardo.com/</t>
  </si>
  <si>
    <t xml:space="preserve">MD HELICOPTERS</t>
  </si>
  <si>
    <t xml:space="preserve">https://www.mdhelicopters.com/</t>
  </si>
  <si>
    <t xml:space="preserve">PRATT &amp; WHITNEY</t>
  </si>
  <si>
    <t xml:space="preserve">https://www.prattwhitney.com/</t>
  </si>
  <si>
    <t xml:space="preserve">SAFRAN HELICOPTERS ENGINES BRASIL</t>
  </si>
  <si>
    <t xml:space="preserve">B116</t>
  </si>
  <si>
    <t xml:space="preserve">https://www.safrangroup.com/</t>
  </si>
  <si>
    <t xml:space="preserve">SCHIEBEL ELEKTRONISCHE GERATE GMBH</t>
  </si>
  <si>
    <t xml:space="preserve">E107</t>
  </si>
  <si>
    <t xml:space="preserve">https://www.schiebel.net/</t>
  </si>
  <si>
    <t xml:space="preserve">STANDARDAERO</t>
  </si>
  <si>
    <t xml:space="preserve">C72</t>
  </si>
  <si>
    <t xml:space="preserve">https://www.standardaero.com/</t>
  </si>
  <si>
    <t xml:space="preserve">TECHMAN-HEAD</t>
  </si>
  <si>
    <t xml:space="preserve">B114</t>
  </si>
  <si>
    <t xml:space="preserve">https://www.techman-head.com/</t>
  </si>
  <si>
    <t xml:space="preserve">TEXTRON AVIATION</t>
  </si>
  <si>
    <t xml:space="preserve">CHALET A 5-8/ AIRCRAFT DISPLAY</t>
  </si>
  <si>
    <t xml:space="preserve">THALES</t>
  </si>
  <si>
    <t xml:space="preserve">B117</t>
  </si>
  <si>
    <t xml:space="preserve">https://www.thalesgroup.com/</t>
  </si>
  <si>
    <t xml:space="preserve">THE BOEING COMPANY</t>
  </si>
  <si>
    <t xml:space="preserve">CHALET B4-5</t>
  </si>
  <si>
    <t xml:space="preserve">https://www.boeing.com/</t>
  </si>
  <si>
    <t xml:space="preserve">BTG GROUP SPA</t>
  </si>
  <si>
    <t xml:space="preserve">Evaluar como canal de distribución hacia industria/FF.AA.</t>
  </si>
  <si>
    <t xml:space="preserve">Canal / distribuidor EPP y equipamiento táctico</t>
  </si>
  <si>
    <t xml:space="preserve">E9</t>
  </si>
  <si>
    <t xml:space="preserve">https://www.beartaticalgear.com/</t>
  </si>
  <si>
    <t xml:space="preserve">COMERCIALIZADORA RMH SPA (HAIX)</t>
  </si>
  <si>
    <t xml:space="preserve">D9</t>
  </si>
  <si>
    <t xml:space="preserve">https://www.haix.com/</t>
  </si>
  <si>
    <t xml:space="preserve">DON KYATT SOUTHAMERICA SPA</t>
  </si>
  <si>
    <t xml:space="preserve">HALLG - OUTG02</t>
  </si>
  <si>
    <t xml:space="preserve">https://www.terraintamer.com/</t>
  </si>
  <si>
    <t xml:space="preserve">IMPORTACIONES Y REPRESENTACIONES TRUST LINE LTDA</t>
  </si>
  <si>
    <t xml:space="preserve">E35</t>
  </si>
  <si>
    <t xml:space="preserve">https://www.trustline.cl/</t>
  </si>
  <si>
    <t xml:space="preserve">IMPORTADORA LILLO SPA</t>
  </si>
  <si>
    <t xml:space="preserve">https://www.heliboss.cl/</t>
  </si>
  <si>
    <t xml:space="preserve">INVERSIONES RETA SPA</t>
  </si>
  <si>
    <t xml:space="preserve">D02</t>
  </si>
  <si>
    <t xml:space="preserve">https://www.botasmilitares.cl/</t>
  </si>
  <si>
    <t xml:space="preserve">MGCG SPA</t>
  </si>
  <si>
    <t xml:space="preserve">E46</t>
  </si>
  <si>
    <t xml:space="preserve">https://www.militarygear.cl/</t>
  </si>
  <si>
    <t xml:space="preserve">MIGUEL CABALLEROS CHILE SPA</t>
  </si>
  <si>
    <t xml:space="preserve">E33</t>
  </si>
  <si>
    <t xml:space="preserve">PROTACTICAL SPA</t>
  </si>
  <si>
    <t xml:space="preserve">https://www.protactical.cl/</t>
  </si>
  <si>
    <t xml:space="preserve">SOCIEDAD COMERCIAL E INDUSTRIAL AUSTRAL TACTICAL SPA</t>
  </si>
  <si>
    <t xml:space="preserve">OUTE04</t>
  </si>
  <si>
    <t xml:space="preserve">https://www.australtactical.cl/</t>
  </si>
  <si>
    <t xml:space="preserve">ARMOR INTERNATIONAL SAS</t>
  </si>
  <si>
    <t xml:space="preserve">Colombia</t>
  </si>
  <si>
    <t xml:space="preserve">OUTDOOR B</t>
  </si>
  <si>
    <t xml:space="preserve">https://www.armorinternational.com/</t>
  </si>
  <si>
    <t xml:space="preserve">BELLEVILLE BOOT COMPANY</t>
  </si>
  <si>
    <t xml:space="preserve">C74</t>
  </si>
  <si>
    <t xml:space="preserve">https://www.bellevilleboot.com/</t>
  </si>
  <si>
    <t xml:space="preserve">CONDOR OUTDOOR PRODUCTS, INC</t>
  </si>
  <si>
    <t xml:space="preserve">C08</t>
  </si>
  <si>
    <t xml:space="preserve">https://www.condoroutdoor.com/</t>
  </si>
  <si>
    <t xml:space="preserve">FENIX PROTECTOR S.R.O.</t>
  </si>
  <si>
    <t xml:space="preserve">B137</t>
  </si>
  <si>
    <t xml:space="preserve">https://www.fenix-protector.com/</t>
  </si>
  <si>
    <t xml:space="preserve">GUMARNY ZUBRI A.S.</t>
  </si>
  <si>
    <t xml:space="preserve">https://www.guzu.cz/</t>
  </si>
  <si>
    <t xml:space="preserve">KONG ITALY SPA</t>
  </si>
  <si>
    <t xml:space="preserve">B26</t>
  </si>
  <si>
    <t xml:space="preserve">https://www.kong.it/</t>
  </si>
  <si>
    <t xml:space="preserve">MILFORT S.A.</t>
  </si>
  <si>
    <t xml:space="preserve">D24</t>
  </si>
  <si>
    <t xml:space="preserve">https://www.milfortshop.com/</t>
  </si>
  <si>
    <t xml:space="preserve">MKU LIMITED</t>
  </si>
  <si>
    <t xml:space="preserve">G17-G18</t>
  </si>
  <si>
    <t xml:space="preserve">https://www.mku.com/</t>
  </si>
  <si>
    <t xml:space="preserve">POINT BLANK ENTERPRISES</t>
  </si>
  <si>
    <t xml:space="preserve">C48</t>
  </si>
  <si>
    <t xml:space="preserve">https://www.pointblnkenterprises.com/</t>
  </si>
  <si>
    <t xml:space="preserve">SWITLIK PARACHUTE CO., INC.</t>
  </si>
  <si>
    <t xml:space="preserve">C66</t>
  </si>
  <si>
    <t xml:space="preserve">https://www.switlik.com/</t>
  </si>
  <si>
    <t xml:space="preserve">BLINDATEK SPA</t>
  </si>
  <si>
    <t xml:space="preserve">Evaluar co-venta o integración de soluciones</t>
  </si>
  <si>
    <t xml:space="preserve">Aliado complementario – seguridad</t>
  </si>
  <si>
    <t xml:space="preserve">OUTE03</t>
  </si>
  <si>
    <t xml:space="preserve">https://www.blindatek.cl/</t>
  </si>
  <si>
    <t xml:space="preserve">HAZTEC INTYERNATIONAL LTD</t>
  </si>
  <si>
    <t xml:space="preserve">E42</t>
  </si>
  <si>
    <t xml:space="preserve">https://www.hazte.cl/</t>
  </si>
  <si>
    <t xml:space="preserve">HESCO REP. BY BAI CONSULTING</t>
  </si>
  <si>
    <t xml:space="preserve">https://www.hesco.com/</t>
  </si>
  <si>
    <t xml:space="preserve">INER CHILE SPA</t>
  </si>
  <si>
    <t xml:space="preserve">D13</t>
  </si>
  <si>
    <t xml:space="preserve">INSTITUTO DE INVESTIGACIONES Y CONTROL</t>
  </si>
  <si>
    <t xml:space="preserve">https://www.idic.cl/</t>
  </si>
  <si>
    <t xml:space="preserve">RED FLAME</t>
  </si>
  <si>
    <t xml:space="preserve">E18</t>
  </si>
  <si>
    <t xml:space="preserve">https://www.redflame.cl/</t>
  </si>
  <si>
    <t xml:space="preserve">S.S TARGET</t>
  </si>
  <si>
    <t xml:space="preserve">E6</t>
  </si>
  <si>
    <t xml:space="preserve">https://www.sstarget.com/</t>
  </si>
  <si>
    <t xml:space="preserve">Tarpulin</t>
  </si>
  <si>
    <t xml:space="preserve">FIDAE 2026. También en: Exponor (ID 1232). Sin contacto publicado.</t>
  </si>
  <si>
    <t xml:space="preserve">EXTERIOR HALL D</t>
  </si>
  <si>
    <t xml:space="preserve">Exponor (ID 1232)</t>
  </si>
  <si>
    <t xml:space="preserve">CAYLYM TECHNOLOGIES INTERNATIONAL</t>
  </si>
  <si>
    <t xml:space="preserve">C-51</t>
  </si>
  <si>
    <t xml:space="preserve">https://www.caylym.com/</t>
  </si>
  <si>
    <t xml:space="preserve">CHANG SUNG ACE</t>
  </si>
  <si>
    <t xml:space="preserve">https://www.csa-fire.com/en/</t>
  </si>
  <si>
    <t xml:space="preserve">KFPT. LTD</t>
  </si>
  <si>
    <t xml:space="preserve">https://www.kfpt119.c0m/</t>
  </si>
  <si>
    <t xml:space="preserve">CCFA LA ARAUCANA</t>
  </si>
  <si>
    <t xml:space="preserve">Evaluar alianza en salud ocupacional / fatiga</t>
  </si>
  <si>
    <t xml:space="preserve">Aliado complementario – salud</t>
  </si>
  <si>
    <t xml:space="preserve">EXTERIOR HALL AB</t>
  </si>
  <si>
    <t xml:space="preserve">https://www.laaraucana.cl/</t>
  </si>
  <si>
    <t xml:space="preserve">MUTUALIDAD DEL EJÉRCITO Y AVIACIÓN</t>
  </si>
  <si>
    <t xml:space="preserve">G3</t>
  </si>
  <si>
    <t xml:space="preserve">https://www.mutualidad.cl/</t>
  </si>
  <si>
    <t xml:space="preserve">WORKMED</t>
  </si>
  <si>
    <t xml:space="preserve">G23</t>
  </si>
  <si>
    <t xml:space="preserve">https://www.workmed.cl/</t>
  </si>
  <si>
    <t xml:space="preserve">AGENCIA CHILENA DE EFICIENCIA ENERGETICA (VUELO LIMPIO)</t>
  </si>
  <si>
    <t xml:space="preserve">Mapear unidad de prevención/seguridad operacional; vía licitación o convenio marco</t>
  </si>
  <si>
    <t xml:space="preserve">Institución pública – FF.AA., policías y autoridad</t>
  </si>
  <si>
    <t xml:space="preserve">E11</t>
  </si>
  <si>
    <t xml:space="preserve">https://www.agenciase.org/</t>
  </si>
  <si>
    <t xml:space="preserve">Brigada de Aviación del Ejército de Chile</t>
  </si>
  <si>
    <t xml:space="preserve">CARABINEROS DE CHILE</t>
  </si>
  <si>
    <t xml:space="preserve">FIDAE 2026. Unidades presentes: 10. Sin contacto publicado.</t>
  </si>
  <si>
    <t xml:space="preserve">D101</t>
  </si>
  <si>
    <t xml:space="preserve">Seguridad interior | Defensa</t>
  </si>
  <si>
    <t xml:space="preserve">https://www.carabineros.cl/; https://www.carabinero.cl/</t>
  </si>
  <si>
    <t xml:space="preserve">DIRECCIÓN GENERAL DE AERONÁUTICA CIVIL (DGAC)</t>
  </si>
  <si>
    <t xml:space="preserve">G123-B3</t>
  </si>
  <si>
    <t xml:space="preserve">https://www.dgac.gob.cl/</t>
  </si>
  <si>
    <t xml:space="preserve">DIRECCIÓN GENERAL DE LOS SERVICIOS DE LA ARMADA</t>
  </si>
  <si>
    <t xml:space="preserve">D126</t>
  </si>
  <si>
    <t xml:space="preserve">https://www.armada.cl/</t>
  </si>
  <si>
    <t xml:space="preserve">EJERCITO DE CHILE</t>
  </si>
  <si>
    <t xml:space="preserve">Escuela de Suboficiales del Ejército de Chile</t>
  </si>
  <si>
    <t xml:space="preserve">Escuela Militar del Ejército de Chile</t>
  </si>
  <si>
    <t xml:space="preserve">FUERZA AÉREA DE CHILE</t>
  </si>
  <si>
    <t xml:space="preserve">FIDAE 2026. Unidades presentes: 10. Varios espacios (mayor inversión). Sin contacto publicado.</t>
  </si>
  <si>
    <t xml:space="preserve">HALL F | F</t>
  </si>
  <si>
    <t xml:space="preserve">Defensa | Aeroespacial</t>
  </si>
  <si>
    <t xml:space="preserve">https://www.saf.cl/; https://admision.fach.mil.cl/; https://www.escuadrilladebandas.cl/; https://www.xn--escueladeaviacin-kvb.cl/; https://www.escueladeespecialidades.cl/; https://www.fach.mil.cl/sar</t>
  </si>
  <si>
    <t xml:space="preserve">Gendarmeria De Chile</t>
  </si>
  <si>
    <t xml:space="preserve">G13</t>
  </si>
  <si>
    <t xml:space="preserve">INSTITUTO GEOGRAFICO MILITAR</t>
  </si>
  <si>
    <t xml:space="preserve">POLICÍA DE INVESTIGACIONES DE CHILE (PDI)</t>
  </si>
  <si>
    <t xml:space="preserve">FIDAE 2026. Unidades presentes: 5. Sin contacto publicado.</t>
  </si>
  <si>
    <t xml:space="preserve">B12</t>
  </si>
  <si>
    <t xml:space="preserve">Otros | Seguridad interior | Aviación civil y comercial | Defensa</t>
  </si>
  <si>
    <t xml:space="preserve">https://www.escuelapdi.cl/; https://www.pdichile.cl/</t>
  </si>
  <si>
    <t xml:space="preserve">SERVICIO NACIONAL DE TURISMO - SERNATUR</t>
  </si>
  <si>
    <t xml:space="preserve">C43</t>
  </si>
  <si>
    <t xml:space="preserve">https://www.sernatur.cl/</t>
  </si>
  <si>
    <t xml:space="preserve">CORPORACION DE LA INDUSTRIA AERONAUTICA COLOMBIANA- CIAC S.A.</t>
  </si>
  <si>
    <t xml:space="preserve">B15-17</t>
  </si>
  <si>
    <t xml:space="preserve">https://www.ciac.gob.co/</t>
  </si>
  <si>
    <t xml:space="preserve">DEFENSE SECURITY COOPERATION AGENCY</t>
  </si>
  <si>
    <t xml:space="preserve">C58</t>
  </si>
  <si>
    <t xml:space="preserve">https://www.dsca.mil/</t>
  </si>
  <si>
    <t xml:space="preserve">MAKINA VE KIMYA ENDUSTRISI (MKE)</t>
  </si>
  <si>
    <t xml:space="preserve">Turquía</t>
  </si>
  <si>
    <t xml:space="preserve">E143</t>
  </si>
  <si>
    <t xml:space="preserve">https://www.mke.gov.tr/</t>
  </si>
  <si>
    <t xml:space="preserve">SSB</t>
  </si>
  <si>
    <t xml:space="preserve">G 101</t>
  </si>
  <si>
    <t xml:space="preserve">https://www.ssb.com.tr/</t>
  </si>
  <si>
    <t xml:space="preserve">ADMINISTRACIÓN Y GESTIÓN DE INSTITUCIONES SPA</t>
  </si>
  <si>
    <t xml:space="preserve">Networking institucional; identificar contacto</t>
  </si>
  <si>
    <t xml:space="preserve">Institución / gremio / pabellón país</t>
  </si>
  <si>
    <t xml:space="preserve">https://www.britcham.cl/</t>
  </si>
  <si>
    <t xml:space="preserve">ASOCIACIÓN CHILENA DEL ESPACIO A.G. (ACHIDE)</t>
  </si>
  <si>
    <t xml:space="preserve">C37</t>
  </si>
  <si>
    <t xml:space="preserve">BRITISH CHILEAN CHAMBER OF COMMERCE</t>
  </si>
  <si>
    <t xml:space="preserve">FIDAE 2026. También en: Exponor (ID 300). Sin contacto publicado.</t>
  </si>
  <si>
    <t xml:space="preserve">Exponor (ID 300)</t>
  </si>
  <si>
    <t xml:space="preserve">BUSINESS FINLAND</t>
  </si>
  <si>
    <t xml:space="preserve">https://www.newmedialab.cl/</t>
  </si>
  <si>
    <t xml:space="preserve">CÍRCULO DE PILOTOS DE CHILE</t>
  </si>
  <si>
    <t xml:space="preserve">E27</t>
  </si>
  <si>
    <t xml:space="preserve">https://www.aspch.org/</t>
  </si>
  <si>
    <t xml:space="preserve">FEDERACIÓN AÉREA DE CHILE (FEDACH)</t>
  </si>
  <si>
    <t xml:space="preserve">OUTDOOR HALL A</t>
  </si>
  <si>
    <t xml:space="preserve">https://www.fedach.cl/</t>
  </si>
  <si>
    <t xml:space="preserve">Fundación Arturo Merino Benitez</t>
  </si>
  <si>
    <t xml:space="preserve">EXTERIOR HALL C</t>
  </si>
  <si>
    <t xml:space="preserve">https://www.famb.cl/</t>
  </si>
  <si>
    <t xml:space="preserve">GOBIERNO DE CANADÁ</t>
  </si>
  <si>
    <t xml:space="preserve">C-02A</t>
  </si>
  <si>
    <t xml:space="preserve">https://www.chile.oc.ca/</t>
  </si>
  <si>
    <t xml:space="preserve">LIVING HISTORY CHILE</t>
  </si>
  <si>
    <t xml:space="preserve">EXTERIOR AIRE LIBRE</t>
  </si>
  <si>
    <t xml:space="preserve">MUSEO JEDIMAR</t>
  </si>
  <si>
    <t xml:space="preserve">EXTERIOR</t>
  </si>
  <si>
    <t xml:space="preserve">Museo Nacional Aeronautico Y Del Espacio</t>
  </si>
  <si>
    <t xml:space="preserve">https://www.museoaeronautico.cl/</t>
  </si>
  <si>
    <t xml:space="preserve">ABIMDE ASSOCIACAO BRASILEIRA DAS INDUSTRIAS DE MATERIAIS DE DEFESA E SEGURANCA</t>
  </si>
  <si>
    <t xml:space="preserve">https://www.abimde.org.br/</t>
  </si>
  <si>
    <t xml:space="preserve">ADVANTAGE AUSTRIA</t>
  </si>
  <si>
    <t xml:space="preserve">FIDAE 2026. También en: Exponor (ID 292). Sin contacto publicado.</t>
  </si>
  <si>
    <t xml:space="preserve">https://www.advantageaustria.org/cl</t>
  </si>
  <si>
    <t xml:space="preserve">Exponor (ID 292)</t>
  </si>
  <si>
    <t xml:space="preserve">Agencia Nacional De Promoción Comercial De La República Checa</t>
  </si>
  <si>
    <t xml:space="preserve">AUSTRIAN DEFENCE &amp; SECURITY INDUSTRY</t>
  </si>
  <si>
    <t xml:space="preserve">https://www.wko.at/</t>
  </si>
  <si>
    <t xml:space="preserve">BRITISH EMBASSY IN CHILE</t>
  </si>
  <si>
    <t xml:space="preserve">FIDAE 2026. También en: Exponor (ID 301). Sin contacto publicado.</t>
  </si>
  <si>
    <t xml:space="preserve">https://www.fcdo.gov.uk/</t>
  </si>
  <si>
    <t xml:space="preserve">Exponor (ID 301)</t>
  </si>
  <si>
    <t xml:space="preserve">CANADIAN COMMERCIAL CORPORATION</t>
  </si>
  <si>
    <t xml:space="preserve">https://www.ccc.ca/</t>
  </si>
  <si>
    <t xml:space="preserve">CZECH AEROSPACE CLUSTER</t>
  </si>
  <si>
    <t xml:space="preserve">https://www.aero-cluster.cz/</t>
  </si>
  <si>
    <t xml:space="preserve">DEFENCE AND AEROSPACE INDUSTRY EXPORTERS' ASSOCIATION (SSI)</t>
  </si>
  <si>
    <t xml:space="preserve">G101</t>
  </si>
  <si>
    <t xml:space="preserve">https://www.turksavunmasanayi.gov.tr/</t>
  </si>
  <si>
    <t xml:space="preserve">ECM EXPO&amp;CONFERENCE MANAGEMENT GMBH</t>
  </si>
  <si>
    <t xml:space="preserve">E105</t>
  </si>
  <si>
    <t xml:space="preserve">https://www.ecm-berlin.de/</t>
  </si>
  <si>
    <t xml:space="preserve">FERIA AEROESPACIAL MÉXICO (FAMEX )</t>
  </si>
  <si>
    <t xml:space="preserve">México</t>
  </si>
  <si>
    <t xml:space="preserve">G12</t>
  </si>
  <si>
    <t xml:space="preserve">https://www.f-airmexico.com.mx/</t>
  </si>
  <si>
    <t xml:space="preserve">FERIA INTERNACIONAL DE DEFENSA Y SEGURIDAD DE ESPAÑA (FEINDEF)</t>
  </si>
  <si>
    <t xml:space="preserve">B11</t>
  </si>
  <si>
    <t xml:space="preserve">https://www.feindef.com/</t>
  </si>
  <si>
    <t xml:space="preserve">GIFAS</t>
  </si>
  <si>
    <t xml:space="preserve">https://www.gifas.fr/</t>
  </si>
  <si>
    <t xml:space="preserve">GRUPO EDEFA S.A.</t>
  </si>
  <si>
    <t xml:space="preserve">B04</t>
  </si>
  <si>
    <t xml:space="preserve">https://www.edefa.com/</t>
  </si>
  <si>
    <t xml:space="preserve">ICE AGENCIA ITALIANA PARA EL COMERCIO EXTERIOR</t>
  </si>
  <si>
    <t xml:space="preserve">B27</t>
  </si>
  <si>
    <t xml:space="preserve">https://www.ice.it/</t>
  </si>
  <si>
    <t xml:space="preserve">IDEF</t>
  </si>
  <si>
    <t xml:space="preserve">G14</t>
  </si>
  <si>
    <t xml:space="preserve">https://www.idef.com.tr/</t>
  </si>
  <si>
    <t xml:space="preserve">INFORMATION AND DESIGN SOLUTIONS SL</t>
  </si>
  <si>
    <t xml:space="preserve">B10</t>
  </si>
  <si>
    <t xml:space="preserve">Medios</t>
  </si>
  <si>
    <t xml:space="preserve">https://www.idsolutions.biz/</t>
  </si>
  <si>
    <t xml:space="preserve">KALLMAN WORLDWIDE</t>
  </si>
  <si>
    <t xml:space="preserve">FIDAE 2026. También en: Exponor (ID 838). Sin contacto publicado.</t>
  </si>
  <si>
    <t xml:space="preserve">HALL C 52 , C42/ CHALET B6</t>
  </si>
  <si>
    <t xml:space="preserve">https://www.kallman.com/</t>
  </si>
  <si>
    <t xml:space="preserve">Exponor (ID 838)</t>
  </si>
  <si>
    <t xml:space="preserve">KOTRA (OFICINA COMERCIAL DEL GOBIERNO DE COREA)</t>
  </si>
  <si>
    <t xml:space="preserve">https://www.kotrachile.cl/</t>
  </si>
  <si>
    <t xml:space="preserve">PARQUE DE INOVACAO TECNOLOGICA DE SAO JOSE DOS CAMPOS-PIT</t>
  </si>
  <si>
    <t xml:space="preserve">https://www.pitsjc.org.br/</t>
  </si>
  <si>
    <t xml:space="preserve">POLISH INVESTMENT AND TRADE AGENCY</t>
  </si>
  <si>
    <t xml:space="preserve">Polonia</t>
  </si>
  <si>
    <t xml:space="preserve">E31</t>
  </si>
  <si>
    <t xml:space="preserve">https://www.paih.gov.pl/</t>
  </si>
  <si>
    <t xml:space="preserve">PROMARGENTINA</t>
  </si>
  <si>
    <t xml:space="preserve">Argentina</t>
  </si>
  <si>
    <t xml:space="preserve">FIDAE 2026. También en: Exponor (ID 339). Sin contacto publicado.</t>
  </si>
  <si>
    <t xml:space="preserve">B105</t>
  </si>
  <si>
    <t xml:space="preserve">https://www.argentina.ar/</t>
  </si>
  <si>
    <t xml:space="preserve">Exponor (ID 339)</t>
  </si>
  <si>
    <t xml:space="preserve">TEDAE</t>
  </si>
  <si>
    <t xml:space="preserve">https://www.tedae.org/</t>
  </si>
  <si>
    <t xml:space="preserve">THE ASSOCIATION OF THE CZECH AEROSPACE INDUSTRY</t>
  </si>
  <si>
    <t xml:space="preserve">https://www.czaerospace.org/</t>
  </si>
  <si>
    <t xml:space="preserve">AEROTECH</t>
  </si>
  <si>
    <t xml:space="preserve">Baja</t>
  </si>
  <si>
    <t xml:space="preserve">Nutrir con contenido; sin acción comercial inmediata</t>
  </si>
  <si>
    <t xml:space="preserve">Proveedor defensa / industrial</t>
  </si>
  <si>
    <t xml:space="preserve">G19</t>
  </si>
  <si>
    <t xml:space="preserve">https://www.aerotech.cl/</t>
  </si>
  <si>
    <t xml:space="preserve">AIRSEALAND LTDA.</t>
  </si>
  <si>
    <t xml:space="preserve">D142</t>
  </si>
  <si>
    <t xml:space="preserve">ASESORIAS Y REPRESENTACIONES ALTEC LTDA</t>
  </si>
  <si>
    <t xml:space="preserve">E38</t>
  </si>
  <si>
    <t xml:space="preserve">https://www.altec-ltda.cl/</t>
  </si>
  <si>
    <t xml:space="preserve">CHICAGO PNEUMATIC</t>
  </si>
  <si>
    <t xml:space="preserve">E22</t>
  </si>
  <si>
    <t xml:space="preserve">https://www.tools.op.com/es-latinamerica</t>
  </si>
  <si>
    <t xml:space="preserve">CK S.A</t>
  </si>
  <si>
    <t xml:space="preserve">B07</t>
  </si>
  <si>
    <t xml:space="preserve">https://www.cksa.cl/</t>
  </si>
  <si>
    <t xml:space="preserve">COMERCIAL F- MARINOVIC LTDA</t>
  </si>
  <si>
    <t xml:space="preserve">E25</t>
  </si>
  <si>
    <t xml:space="preserve">https://www.fmarinovic.com/</t>
  </si>
  <si>
    <t xml:space="preserve">CRAMICK S.A.</t>
  </si>
  <si>
    <t xml:space="preserve">OUTDOOR HALL C</t>
  </si>
  <si>
    <t xml:space="preserve">https://www.cramick.com/</t>
  </si>
  <si>
    <t xml:space="preserve">DASSAULT SYSTEMES</t>
  </si>
  <si>
    <t xml:space="preserve">B20</t>
  </si>
  <si>
    <t xml:space="preserve">https://www.3ds.com/</t>
  </si>
  <si>
    <t xml:space="preserve">DESARROLLOS ALIMENTICIOS</t>
  </si>
  <si>
    <t xml:space="preserve">FIDAE 2026. También en: ExpoMina (ID 415). Sin contacto publicado.</t>
  </si>
  <si>
    <t xml:space="preserve">E 20</t>
  </si>
  <si>
    <t xml:space="preserve">https://www.daff.cl/</t>
  </si>
  <si>
    <t xml:space="preserve">ExpoMina (ID 415)</t>
  </si>
  <si>
    <t xml:space="preserve">DM CHILE SPA</t>
  </si>
  <si>
    <t xml:space="preserve">ECOLOGÍA EN TU BARRIO SPA</t>
  </si>
  <si>
    <t xml:space="preserve">https://www.ecologiaentubarrio.cl/</t>
  </si>
  <si>
    <t xml:space="preserve">ENERPAC</t>
  </si>
  <si>
    <t xml:space="preserve">https://www.enerpac.com/</t>
  </si>
  <si>
    <t xml:space="preserve">FISA</t>
  </si>
  <si>
    <t xml:space="preserve">D03</t>
  </si>
  <si>
    <t xml:space="preserve">INVERSIONES BRIAN PATRICK SMITH HANNE EIRL (CAXTOR)</t>
  </si>
  <si>
    <t xml:space="preserve">E37</t>
  </si>
  <si>
    <t xml:space="preserve">https://www.caxtor.cl/</t>
  </si>
  <si>
    <t xml:space="preserve">JIMENEZ Y JIMENEZ ELECTRONICA Y CONSTRUCCIONES LIMITADA (INDAMAX)</t>
  </si>
  <si>
    <t xml:space="preserve">E133</t>
  </si>
  <si>
    <t xml:space="preserve">https://www.indamax.cl/</t>
  </si>
  <si>
    <t xml:space="preserve">LEMANIA ENERGY SWITZERLAND</t>
  </si>
  <si>
    <t xml:space="preserve">https://www.lemania-energy.com/</t>
  </si>
  <si>
    <t xml:space="preserve">LORENB SPA.</t>
  </si>
  <si>
    <t xml:space="preserve">SALA DE REUNIONES D</t>
  </si>
  <si>
    <t xml:space="preserve">MEGAPARTS S.A (GOLDEN EAGLE)</t>
  </si>
  <si>
    <t xml:space="preserve">E15</t>
  </si>
  <si>
    <t xml:space="preserve">https://www.goldeneagle.cl/</t>
  </si>
  <si>
    <t xml:space="preserve">PROVEEDORES SUR EXPRESS LTDA</t>
  </si>
  <si>
    <t xml:space="preserve">https://www.surexpress.cl/</t>
  </si>
  <si>
    <t xml:space="preserve">RAYLEX REPRESENTACIONES Y SERVICIOS S.A</t>
  </si>
  <si>
    <t xml:space="preserve">E103</t>
  </si>
  <si>
    <t xml:space="preserve">https://www.raylex.cl/</t>
  </si>
  <si>
    <t xml:space="preserve">REPRESENTACIONES MANIFE SPA</t>
  </si>
  <si>
    <t xml:space="preserve">E13</t>
  </si>
  <si>
    <t xml:space="preserve">https://www.vientonorte.cl/</t>
  </si>
  <si>
    <t xml:space="preserve">ROCKBLAST DESIGN SPA</t>
  </si>
  <si>
    <t xml:space="preserve">B101</t>
  </si>
  <si>
    <t xml:space="preserve">https://www.rockblast.cl/</t>
  </si>
  <si>
    <t xml:space="preserve">ROKETSAN ROKET SANAYI VE TICARET A.S.</t>
  </si>
  <si>
    <t xml:space="preserve">E 108</t>
  </si>
  <si>
    <t xml:space="preserve">https://www.roketsan.com.tr/</t>
  </si>
  <si>
    <t xml:space="preserve">SIATT</t>
  </si>
  <si>
    <t xml:space="preserve">B-124</t>
  </si>
  <si>
    <t xml:space="preserve">https://www.siatt.edge.com/</t>
  </si>
  <si>
    <t xml:space="preserve">SOCIEDAD COMERCIAL E INDUSTRIAL HYDROTORC LTDA</t>
  </si>
  <si>
    <t xml:space="preserve">https://www.hydrotorc.cl/</t>
  </si>
  <si>
    <t xml:space="preserve">SOLAER INGENIERIA CHILE SpA</t>
  </si>
  <si>
    <t xml:space="preserve">https://www.solaeringenieria.com/</t>
  </si>
  <si>
    <t xml:space="preserve">TANFOGLIO LATAM</t>
  </si>
  <si>
    <t xml:space="preserve">D25</t>
  </si>
  <si>
    <t xml:space="preserve">https://www.tanfoglio.cl/</t>
  </si>
  <si>
    <t xml:space="preserve">TORRES Y MEDINA COMPAÑÍA LIMITADA</t>
  </si>
  <si>
    <t xml:space="preserve">TORSIONX SURAMERICA</t>
  </si>
  <si>
    <t xml:space="preserve">https://www.torsionx.com/</t>
  </si>
  <si>
    <t xml:space="preserve">VÓRTICE SPA</t>
  </si>
  <si>
    <t xml:space="preserve">https://www.vortice.cl/</t>
  </si>
  <si>
    <t xml:space="preserve">A.S. AVIONICS SERVICES S/A</t>
  </si>
  <si>
    <t xml:space="preserve">https://www.avionics.com.br/</t>
  </si>
  <si>
    <t xml:space="preserve">AEL SISTEMAS S.A.</t>
  </si>
  <si>
    <t xml:space="preserve">https://www.ael.com.br/</t>
  </si>
  <si>
    <t xml:space="preserve">AERO CONCEPTS-AEROESPACIAL, INDUSTRIAL E DEFESA LTDA.</t>
  </si>
  <si>
    <t xml:space="preserve">https://www.aeroconcepts/</t>
  </si>
  <si>
    <t xml:space="preserve">AERO PRODUCTS COMPONENTS SERVICES</t>
  </si>
  <si>
    <t xml:space="preserve">C07</t>
  </si>
  <si>
    <t xml:space="preserve">https://www.aeroproducts.com/</t>
  </si>
  <si>
    <t xml:space="preserve">AERO VODOCHODY AEROSPACE A.S.</t>
  </si>
  <si>
    <t xml:space="preserve">https://www.aero.cz/</t>
  </si>
  <si>
    <t xml:space="preserve">AEROTEC ARGENTINA S.A.</t>
  </si>
  <si>
    <t xml:space="preserve">HALL D 152/ AIRCRAFT DISPLAY</t>
  </si>
  <si>
    <t xml:space="preserve">https://www.aerotec.lat/</t>
  </si>
  <si>
    <t xml:space="preserve">AGSUR AVIONES</t>
  </si>
  <si>
    <t xml:space="preserve">C01</t>
  </si>
  <si>
    <t xml:space="preserve">https://www.agsuraviones.com/</t>
  </si>
  <si>
    <t xml:space="preserve">AIRBILITY</t>
  </si>
  <si>
    <t xml:space="preserve">https://www.airbility.co.kr/</t>
  </si>
  <si>
    <t xml:space="preserve">AIRBORNE SYSTEMS</t>
  </si>
  <si>
    <t xml:space="preserve">C63</t>
  </si>
  <si>
    <t xml:space="preserve">https://www.airborne-systems.com/</t>
  </si>
  <si>
    <t xml:space="preserve">AIRBORNE TECHNOLOGIES GMBH</t>
  </si>
  <si>
    <t xml:space="preserve">https://www.airbornetechnology.at/</t>
  </si>
  <si>
    <t xml:space="preserve">ALLCLEAR</t>
  </si>
  <si>
    <t xml:space="preserve">D5</t>
  </si>
  <si>
    <t xml:space="preserve">https://www.goallclear.com/</t>
  </si>
  <si>
    <t xml:space="preserve">AMPER</t>
  </si>
  <si>
    <t xml:space="preserve">https://www.grupoamper.com/</t>
  </si>
  <si>
    <t xml:space="preserve">AMST SYSTEMTECHNIK GMBH</t>
  </si>
  <si>
    <t xml:space="preserve">https://www.amst.co.at/</t>
  </si>
  <si>
    <t xml:space="preserve">ANAVIA</t>
  </si>
  <si>
    <t xml:space="preserve">Suiza</t>
  </si>
  <si>
    <t xml:space="preserve">https://www.anavia.eu/</t>
  </si>
  <si>
    <t xml:space="preserve">ARES AEROESPACIAL E DEFESA S.A.</t>
  </si>
  <si>
    <t xml:space="preserve">https://www.ares.ind.br/</t>
  </si>
  <si>
    <t xml:space="preserve">ARMTEC DEFENSE TECHNOLOGIES</t>
  </si>
  <si>
    <t xml:space="preserve">https://www.armtecdefense.com/</t>
  </si>
  <si>
    <t xml:space="preserve">ASELSAN</t>
  </si>
  <si>
    <t xml:space="preserve">G25-G147</t>
  </si>
  <si>
    <t xml:space="preserve">https://www.aselsan.com/</t>
  </si>
  <si>
    <t xml:space="preserve">ASFAT</t>
  </si>
  <si>
    <t xml:space="preserve">G111</t>
  </si>
  <si>
    <t xml:space="preserve">https://www.asfat.com.tr/</t>
  </si>
  <si>
    <t xml:space="preserve">ASSETTA</t>
  </si>
  <si>
    <t xml:space="preserve">https://www.asseta.co.kr/</t>
  </si>
  <si>
    <t xml:space="preserve">ASTRONAUTICS CORPORATION OF AMERICA</t>
  </si>
  <si>
    <t xml:space="preserve">C10</t>
  </si>
  <si>
    <t xml:space="preserve">https://www.astronautics.com/</t>
  </si>
  <si>
    <t xml:space="preserve">AVENTURE AVIATION</t>
  </si>
  <si>
    <t xml:space="preserve">C45</t>
  </si>
  <si>
    <t xml:space="preserve">https://www.aventureaviation.com/</t>
  </si>
  <si>
    <t xml:space="preserve">AVEO ENGINEERING GROUP S.R.O.</t>
  </si>
  <si>
    <t xml:space="preserve">B 137</t>
  </si>
  <si>
    <t xml:space="preserve">https://www.aveoengineering.com/</t>
  </si>
  <si>
    <t xml:space="preserve">AXON' CABLE</t>
  </si>
  <si>
    <t xml:space="preserve">https://www.axon-cable.com/</t>
  </si>
  <si>
    <t xml:space="preserve">BABCOCK INTERNATIONAL</t>
  </si>
  <si>
    <t xml:space="preserve">https://www.babcockinternational.com/</t>
  </si>
  <si>
    <t xml:space="preserve">BAE FALCONWORKS</t>
  </si>
  <si>
    <t xml:space="preserve">https://www.baesystems.com/</t>
  </si>
  <si>
    <t xml:space="preserve">BAE SYSTEMS PLC</t>
  </si>
  <si>
    <t xml:space="preserve">C28</t>
  </si>
  <si>
    <t xml:space="preserve">https://www.baesystems.com/en-pl/home</t>
  </si>
  <si>
    <t xml:space="preserve">BE MEYERS &amp; CO., INC.</t>
  </si>
  <si>
    <t xml:space="preserve">https://www.bemeyers.com/</t>
  </si>
  <si>
    <t xml:space="preserve">BECKER AVIONICS</t>
  </si>
  <si>
    <t xml:space="preserve">D21</t>
  </si>
  <si>
    <t xml:space="preserve">https://www.becker-avionics.com/</t>
  </si>
  <si>
    <t xml:space="preserve">BLUEWAVETEL</t>
  </si>
  <si>
    <t xml:space="preserve">https://www.bluewavetel.com/</t>
  </si>
  <si>
    <t xml:space="preserve">BOTTLENOSE</t>
  </si>
  <si>
    <t xml:space="preserve">BSTARCOM</t>
  </si>
  <si>
    <t xml:space="preserve">https://www.bstarcom.co.kr/</t>
  </si>
  <si>
    <t xml:space="preserve">BTG SUISSE LTD</t>
  </si>
  <si>
    <t xml:space="preserve">D19</t>
  </si>
  <si>
    <t xml:space="preserve">https://www.btg-suisse.com/</t>
  </si>
  <si>
    <t xml:space="preserve">CENTUM RESEARCH AND TECHNOLOGY S.L.</t>
  </si>
  <si>
    <t xml:space="preserve">https://www.centum.com/</t>
  </si>
  <si>
    <t xml:space="preserve">CERMAK-AERO-ART S.R.O.</t>
  </si>
  <si>
    <t xml:space="preserve">https://www.cermak.aero/</t>
  </si>
  <si>
    <t xml:space="preserve">CG TURBINES SRL</t>
  </si>
  <si>
    <t xml:space="preserve">B19</t>
  </si>
  <si>
    <t xml:space="preserve">https://www.cgturbines.com.ar/</t>
  </si>
  <si>
    <t xml:space="preserve">CHINA AEROSPACE LONG-MARCH INTERNATIONALCO., LTD. (ALIT)</t>
  </si>
  <si>
    <t xml:space="preserve">China</t>
  </si>
  <si>
    <t xml:space="preserve">E 154</t>
  </si>
  <si>
    <t xml:space="preserve">https://www.alitcn.com/</t>
  </si>
  <si>
    <t xml:space="preserve">CHINA GREAT WALL INDUSTRY CORPORATION</t>
  </si>
  <si>
    <t xml:space="preserve">E154</t>
  </si>
  <si>
    <t xml:space="preserve">https://www.chgie.com/</t>
  </si>
  <si>
    <t xml:space="preserve">CIELO S.A.</t>
  </si>
  <si>
    <t xml:space="preserve">OUTB01</t>
  </si>
  <si>
    <t xml:space="preserve">https://www.cielo.com.ar/</t>
  </si>
  <si>
    <t xml:space="preserve">COLT'S MANUFACTURING COMPANY LLC.</t>
  </si>
  <si>
    <t xml:space="preserve">C11</t>
  </si>
  <si>
    <t xml:space="preserve">https://www.colt.com/</t>
  </si>
  <si>
    <t xml:space="preserve">COMPANHIA BRASILEIRA DE CARTUCHOS CBC</t>
  </si>
  <si>
    <t xml:space="preserve">https://www.cbc.com.br/</t>
  </si>
  <si>
    <t xml:space="preserve">CONDOR S/A INDUSTRIA QUIMICA</t>
  </si>
  <si>
    <t xml:space="preserve">https://www.condornaoletal.com/</t>
  </si>
  <si>
    <t xml:space="preserve">CONTINENTAL AIRCRAFT SUPPORT</t>
  </si>
  <si>
    <t xml:space="preserve">C-45</t>
  </si>
  <si>
    <t xml:space="preserve">https://www.continental%20aircraft.com/</t>
  </si>
  <si>
    <t xml:space="preserve">CZECH AIRCRAFT GROUP S.R.O.</t>
  </si>
  <si>
    <t xml:space="preserve">https://www.cruiseaircraft.cz/</t>
  </si>
  <si>
    <t xml:space="preserve">D&amp;D ENTERPRISES</t>
  </si>
  <si>
    <t xml:space="preserve">D11</t>
  </si>
  <si>
    <t xml:space="preserve">https://www.dd-aviation.com/</t>
  </si>
  <si>
    <t xml:space="preserve">DAKTRONICS</t>
  </si>
  <si>
    <t xml:space="preserve">C68</t>
  </si>
  <si>
    <t xml:space="preserve">https://www.daktronics.com/en-gb</t>
  </si>
  <si>
    <t xml:space="preserve">DEMARKO S.A.</t>
  </si>
  <si>
    <t xml:space="preserve">https://www.demarco.com/</t>
  </si>
  <si>
    <t xml:space="preserve">DERCO, A LOCKHEED MARTIN COMPANY</t>
  </si>
  <si>
    <t xml:space="preserve">C78</t>
  </si>
  <si>
    <t xml:space="preserve">https://www.dercoaerospace.com/</t>
  </si>
  <si>
    <t xml:space="preserve">DESTINUS SPAIN SL</t>
  </si>
  <si>
    <t xml:space="preserve">https://www.destinus.com/</t>
  </si>
  <si>
    <t xml:space="preserve">DIVISION TURBOS SRL</t>
  </si>
  <si>
    <t xml:space="preserve">B25</t>
  </si>
  <si>
    <t xml:space="preserve">https://www.divisionturbos.com/</t>
  </si>
  <si>
    <t xml:space="preserve">DM AIRCRAFT SERVICE INC.</t>
  </si>
  <si>
    <t xml:space="preserve">DONGIN OPTICAL</t>
  </si>
  <si>
    <t xml:space="preserve">https://www.donginoptical.com/</t>
  </si>
  <si>
    <t xml:space="preserve">DQ PRO US LLC</t>
  </si>
  <si>
    <t xml:space="preserve">DSS</t>
  </si>
  <si>
    <t xml:space="preserve">B131</t>
  </si>
  <si>
    <t xml:space="preserve">https://www.dss-cz.com/</t>
  </si>
  <si>
    <t xml:space="preserve">DTE - DEFENSE TECHNOLOGY EQUIPMENT INC.</t>
  </si>
  <si>
    <t xml:space="preserve">C50</t>
  </si>
  <si>
    <t xml:space="preserve">https://www.defense-tech.com/</t>
  </si>
  <si>
    <t xml:space="preserve">DUNCAN AVIATION</t>
  </si>
  <si>
    <t xml:space="preserve">G15</t>
  </si>
  <si>
    <t xml:space="preserve">https://www.duncanaviation.com/</t>
  </si>
  <si>
    <t xml:space="preserve">DYNAMIT NOBEL DEFENCE GMBH</t>
  </si>
  <si>
    <t xml:space="preserve">https://www.dn-defence.com/</t>
  </si>
  <si>
    <t xml:space="preserve">EDGE GROUP</t>
  </si>
  <si>
    <t xml:space="preserve">Emiratos Árabes Unidos</t>
  </si>
  <si>
    <t xml:space="preserve">B124</t>
  </si>
  <si>
    <t xml:space="preserve">https://www.edgegroupuae.com/</t>
  </si>
  <si>
    <t xml:space="preserve">EIE GROUP SRL</t>
  </si>
  <si>
    <t xml:space="preserve">B29</t>
  </si>
  <si>
    <t xml:space="preserve">https://www.eie.it/</t>
  </si>
  <si>
    <t xml:space="preserve">EKOLOT AEROSPACE AND DEFENSE</t>
  </si>
  <si>
    <t xml:space="preserve">D152</t>
  </si>
  <si>
    <t xml:space="preserve">https://www.ekolot-ad.com/</t>
  </si>
  <si>
    <t xml:space="preserve">EPSS GLOBAL</t>
  </si>
  <si>
    <t xml:space="preserve">https://www.epssglobal.com/</t>
  </si>
  <si>
    <t xml:space="preserve">ERA A.S.</t>
  </si>
  <si>
    <t xml:space="preserve">ESCRIBANO MECHANICAL &amp; ENGINEERING S.L.U</t>
  </si>
  <si>
    <t xml:space="preserve">https://www.eme-es.com/</t>
  </si>
  <si>
    <t xml:space="preserve">ESG</t>
  </si>
  <si>
    <t xml:space="preserve">https://www.esg-eng.com/</t>
  </si>
  <si>
    <t xml:space="preserve">EUROPAVIA ESPAÑA S.A.</t>
  </si>
  <si>
    <t xml:space="preserve">https://www.europavia.com/</t>
  </si>
  <si>
    <t xml:space="preserve">EXCALIBUR ARMY SPOL. S.R.O.</t>
  </si>
  <si>
    <t xml:space="preserve">https://www.excaliburarmy.cz/</t>
  </si>
  <si>
    <t xml:space="preserve">EXENCE S.A.</t>
  </si>
  <si>
    <t xml:space="preserve">E-31</t>
  </si>
  <si>
    <t xml:space="preserve">https://defense.exence.com/</t>
  </si>
  <si>
    <t xml:space="preserve">EXO S.A.</t>
  </si>
  <si>
    <t xml:space="preserve">https://www.exo.com.ar/</t>
  </si>
  <si>
    <t xml:space="preserve">F-AIR COLOMBIA</t>
  </si>
  <si>
    <t xml:space="preserve">B14</t>
  </si>
  <si>
    <t xml:space="preserve">https://www.f-aircolombia.com.co/</t>
  </si>
  <si>
    <t xml:space="preserve">FABRYKA BRONI "LUCZNIK" - RADOM</t>
  </si>
  <si>
    <t xml:space="preserve">https://www.fabrykabroni.pl/</t>
  </si>
  <si>
    <t xml:space="preserve">FADEA-FABRICA ARGENTINA DE AVIONES "BRIG. SAN MARTIN" S.A.</t>
  </si>
  <si>
    <t xml:space="preserve">https://www.fadeasa.com.ar/</t>
  </si>
  <si>
    <t xml:space="preserve">FIRE EAGLE - PARTS INDUSTRIA DE ARMAS LTDA.</t>
  </si>
  <si>
    <t xml:space="preserve">https://www.fireeagle-armony.com/</t>
  </si>
  <si>
    <t xml:space="preserve">FN HERSTAL</t>
  </si>
  <si>
    <t xml:space="preserve">Bélgica</t>
  </si>
  <si>
    <t xml:space="preserve">E117</t>
  </si>
  <si>
    <t xml:space="preserve">https://www.fnherstal.com/</t>
  </si>
  <si>
    <t xml:space="preserve">FOSSA SYSTEMS S.L.</t>
  </si>
  <si>
    <t xml:space="preserve">D 17</t>
  </si>
  <si>
    <t xml:space="preserve">https://www.fossa.systems/</t>
  </si>
  <si>
    <t xml:space="preserve">FRAZIER AVIATION INC.</t>
  </si>
  <si>
    <t xml:space="preserve">C61</t>
  </si>
  <si>
    <t xml:space="preserve">https://www.frazieraviation.com/</t>
  </si>
  <si>
    <t xml:space="preserve">FUNZIN</t>
  </si>
  <si>
    <t xml:space="preserve">https://www.funzin.xo.kr/</t>
  </si>
  <si>
    <t xml:space="preserve">GENERAL ATOMICS AEROTEC SYSTEMS GMBH</t>
  </si>
  <si>
    <t xml:space="preserve">E122</t>
  </si>
  <si>
    <t xml:space="preserve">https://www.ga-ats.com/</t>
  </si>
  <si>
    <t xml:space="preserve">GENERAL DYNAMICS - MISSION SYSTEMS (GDMS)</t>
  </si>
  <si>
    <t xml:space="preserve">C03</t>
  </si>
  <si>
    <t xml:space="preserve">https://www.gd.com/</t>
  </si>
  <si>
    <t xml:space="preserve">GLENAIR, INC.</t>
  </si>
  <si>
    <t xml:space="preserve">C34</t>
  </si>
  <si>
    <t xml:space="preserve">https://www.glenair.com/</t>
  </si>
  <si>
    <t xml:space="preserve">GLOCK GESELLSCHAFT M.B.H.</t>
  </si>
  <si>
    <t xml:space="preserve">https://www.eu.glock.com/en</t>
  </si>
  <si>
    <t xml:space="preserve">GMS PLESIUM</t>
  </si>
  <si>
    <t xml:space="preserve">https://www.gmsplesium.com/</t>
  </si>
  <si>
    <t xml:space="preserve">GREENTEL</t>
  </si>
  <si>
    <t xml:space="preserve">https://www.g-greentel.com/k-home</t>
  </si>
  <si>
    <t xml:space="preserve">GRUPO OESIA</t>
  </si>
  <si>
    <t xml:space="preserve">https://www.grupooesia.com/</t>
  </si>
  <si>
    <t xml:space="preserve">HANCOME INSPACE</t>
  </si>
  <si>
    <t xml:space="preserve">https://www.inspace.co.kr/</t>
  </si>
  <si>
    <t xml:space="preserve">HANWHA AEROSPACE</t>
  </si>
  <si>
    <t xml:space="preserve">D132</t>
  </si>
  <si>
    <t xml:space="preserve">https://www.hanwhaaerospace.com/</t>
  </si>
  <si>
    <t xml:space="preserve">HANWHA OCEAN</t>
  </si>
  <si>
    <t xml:space="preserve">https://www.hanwhaocean.com/</t>
  </si>
  <si>
    <t xml:space="preserve">HANWHA SYSTEMS</t>
  </si>
  <si>
    <t xml:space="preserve">https://www.hanwhasystems.com/</t>
  </si>
  <si>
    <t xml:space="preserve">HAVELSAN</t>
  </si>
  <si>
    <t xml:space="preserve">D 148</t>
  </si>
  <si>
    <t xml:space="preserve">https://www.havelsan.com/</t>
  </si>
  <si>
    <t xml:space="preserve">HEATCON COMPOSITE SYSTEMS</t>
  </si>
  <si>
    <t xml:space="preserve">C09</t>
  </si>
  <si>
    <t xml:space="preserve">https://www.heatcon.com/</t>
  </si>
  <si>
    <t xml:space="preserve">HIRTENBERGER DEFENCE EUROPE GMBH</t>
  </si>
  <si>
    <t xml:space="preserve">https://www.hirtenberger.com/</t>
  </si>
  <si>
    <t xml:space="preserve">HIRTH ENGINES GMBH</t>
  </si>
  <si>
    <t xml:space="preserve">E34</t>
  </si>
  <si>
    <t xml:space="preserve">https://www.hirthengines.com/</t>
  </si>
  <si>
    <t xml:space="preserve">HISDESAT SERVICIOS ESTRATEGICOS</t>
  </si>
  <si>
    <t xml:space="preserve">https://www.hisdesat.es/</t>
  </si>
  <si>
    <t xml:space="preserve">HULD (GOFORE GROUP)</t>
  </si>
  <si>
    <t xml:space="preserve">https://www.gofore.com/</t>
  </si>
  <si>
    <t xml:space="preserve">HYUNDAI-WIA</t>
  </si>
  <si>
    <t xml:space="preserve">https://www.hyundai-wia.com/</t>
  </si>
  <si>
    <t xml:space="preserve">IACIT SOLUCOES TECNOLOGICAS S.A.</t>
  </si>
  <si>
    <t xml:space="preserve">https://www.iacit.com.br/</t>
  </si>
  <si>
    <t xml:space="preserve">IAS INDUSTRIA DE AVIACAO E SERVICOS LTDA</t>
  </si>
  <si>
    <t xml:space="preserve">https://www.ias.ind.br/</t>
  </si>
  <si>
    <t xml:space="preserve">IBERIA COMPOSITECH MANUFACTURING S.L.</t>
  </si>
  <si>
    <t xml:space="preserve">https://www.iberiacompositech.com/</t>
  </si>
  <si>
    <t xml:space="preserve">IDV BRASIL LTDA</t>
  </si>
  <si>
    <t xml:space="preserve">https://www.idvgroup.com/</t>
  </si>
  <si>
    <t xml:space="preserve">IMP AEROSPACE &amp; DEFENSE</t>
  </si>
  <si>
    <t xml:space="preserve">C05</t>
  </si>
  <si>
    <t xml:space="preserve">https://www.impaerospaceanddefense.com/</t>
  </si>
  <si>
    <t xml:space="preserve">INDRA GROUP</t>
  </si>
  <si>
    <t xml:space="preserve">B110</t>
  </si>
  <si>
    <t xml:space="preserve">https://www.indracompany.com/</t>
  </si>
  <si>
    <t xml:space="preserve">INDUSTRIA DE MATERIAL BELICO DO BRASIL - IMBEL</t>
  </si>
  <si>
    <t xml:space="preserve">https://www.imbel.gov.br/</t>
  </si>
  <si>
    <t xml:space="preserve">INNOSPACE</t>
  </si>
  <si>
    <t xml:space="preserve">https://www.innospc.com/</t>
  </si>
  <si>
    <t xml:space="preserve">INSTALAZA, S.A.</t>
  </si>
  <si>
    <t xml:space="preserve">https://www.instalaza.com/</t>
  </si>
  <si>
    <t xml:space="preserve">INTEGRATED PROCUREMENT TECHNOLOGIES (IPT)</t>
  </si>
  <si>
    <t xml:space="preserve">C76</t>
  </si>
  <si>
    <t xml:space="preserve">https://www.iptsb.com/</t>
  </si>
  <si>
    <t xml:space="preserve">INTERNATIONAL ARMORED GROUP (IAG)</t>
  </si>
  <si>
    <t xml:space="preserve">G115</t>
  </si>
  <si>
    <t xml:space="preserve">https://www.interarmored.com/</t>
  </si>
  <si>
    <t xml:space="preserve">INVAP S.A.U.</t>
  </si>
  <si>
    <t xml:space="preserve">B06</t>
  </si>
  <si>
    <t xml:space="preserve">https://www.invap.com.ar/</t>
  </si>
  <si>
    <t xml:space="preserve">IOPS</t>
  </si>
  <si>
    <t xml:space="preserve">https://www.i-ops.co.kr/</t>
  </si>
  <si>
    <t xml:space="preserve">JAGUAR AVIATION INDUSTRIES CORP.</t>
  </si>
  <si>
    <t xml:space="preserve">C18</t>
  </si>
  <si>
    <t xml:space="preserve">https://www.jaguar-aviation.com/</t>
  </si>
  <si>
    <t xml:space="preserve">KAL-AVIATION USA LLC</t>
  </si>
  <si>
    <t xml:space="preserve">G24</t>
  </si>
  <si>
    <t xml:space="preserve">https://www.kal-avationusa.com/</t>
  </si>
  <si>
    <t xml:space="preserve">KEARFOTT CORPORATION</t>
  </si>
  <si>
    <t xml:space="preserve">https://www.kearfott.com/</t>
  </si>
  <si>
    <t xml:space="preserve">KEPPLAIR EVOLUTION</t>
  </si>
  <si>
    <t xml:space="preserve">https://www.kepplair-evolution.com/</t>
  </si>
  <si>
    <t xml:space="preserve">KNDS</t>
  </si>
  <si>
    <t xml:space="preserve">https://www.knds.fr/</t>
  </si>
  <si>
    <t xml:space="preserve">KOLON SPACEWORKS</t>
  </si>
  <si>
    <t xml:space="preserve">https://www.kolonspaceworks.com/</t>
  </si>
  <si>
    <t xml:space="preserve">LACROIX</t>
  </si>
  <si>
    <t xml:space="preserve">https://www.lacroix-defense.com/</t>
  </si>
  <si>
    <t xml:space="preserve">LOCKHEED MARTIN CORPORATION</t>
  </si>
  <si>
    <t xml:space="preserve">C44/ CHALET C1-C4</t>
  </si>
  <si>
    <t xml:space="preserve">https://www.loockheedmartin.com/</t>
  </si>
  <si>
    <t xml:space="preserve">LOOK UP</t>
  </si>
  <si>
    <t xml:space="preserve">https://www.lookupspace.com/</t>
  </si>
  <si>
    <t xml:space="preserve">LOTUS INTERNATIONAL</t>
  </si>
  <si>
    <t xml:space="preserve">https://www.lotusglobal.com/</t>
  </si>
  <si>
    <t xml:space="preserve">MAC JEE INDUSTRIA DE DEFESA</t>
  </si>
  <si>
    <t xml:space="preserve">https://www.macjee.com.br/</t>
  </si>
  <si>
    <t xml:space="preserve">MAVEN ENGINEERING CORPORATION</t>
  </si>
  <si>
    <t xml:space="preserve">C67</t>
  </si>
  <si>
    <t xml:space="preserve">https://www.mavencorporation.com/</t>
  </si>
  <si>
    <t xml:space="preserve">MBA S.A.</t>
  </si>
  <si>
    <t xml:space="preserve">https://www.mbaargentina.com/</t>
  </si>
  <si>
    <t xml:space="preserve">MBDA</t>
  </si>
  <si>
    <t xml:space="preserve">CHALET D1-D2</t>
  </si>
  <si>
    <t xml:space="preserve">https://www.mbda-systems.com/</t>
  </si>
  <si>
    <t xml:space="preserve">MESIT HOLDING A.S.</t>
  </si>
  <si>
    <t xml:space="preserve">https://www.mesit.cz/</t>
  </si>
  <si>
    <t xml:space="preserve">MESKO S.A.</t>
  </si>
  <si>
    <t xml:space="preserve">https://www.mesko.com/</t>
  </si>
  <si>
    <t xml:space="preserve">METAL SHARK BOATS</t>
  </si>
  <si>
    <t xml:space="preserve">C32</t>
  </si>
  <si>
    <t xml:space="preserve">https://www.metalsharkboats.com/</t>
  </si>
  <si>
    <t xml:space="preserve">MILEX, INC.</t>
  </si>
  <si>
    <t xml:space="preserve">C12</t>
  </si>
  <si>
    <t xml:space="preserve">https://www.milexinc.com/</t>
  </si>
  <si>
    <t xml:space="preserve">MILKOR PTY LTD</t>
  </si>
  <si>
    <t xml:space="preserve">Sudáfrica</t>
  </si>
  <si>
    <t xml:space="preserve">B22</t>
  </si>
  <si>
    <t xml:space="preserve">https://www.milkor.com/</t>
  </si>
  <si>
    <t xml:space="preserve">MOSER BAER A.G.</t>
  </si>
  <si>
    <t xml:space="preserve">G11</t>
  </si>
  <si>
    <t xml:space="preserve">https://www.mobatime.com/</t>
  </si>
  <si>
    <t xml:space="preserve">NAMCO DEFENSE</t>
  </si>
  <si>
    <t xml:space="preserve">https://www.namco.com.co/</t>
  </si>
  <si>
    <t xml:space="preserve">NIGHTVISION LASERS SPAIN SL</t>
  </si>
  <si>
    <t xml:space="preserve">D22</t>
  </si>
  <si>
    <t xml:space="preserve">https://www.nvls.es/</t>
  </si>
  <si>
    <t xml:space="preserve">NIXUS</t>
  </si>
  <si>
    <t xml:space="preserve">Eslovaquia</t>
  </si>
  <si>
    <t xml:space="preserve">https://www.nixus2protect.com/</t>
  </si>
  <si>
    <t xml:space="preserve">NORTH INTERNATIONAL EXHIBITION CO.,LTD (ON BEHALF OF NORINCO)</t>
  </si>
  <si>
    <t xml:space="preserve">D117</t>
  </si>
  <si>
    <t xml:space="preserve">https://www.norinco.com/</t>
  </si>
  <si>
    <t xml:space="preserve">NOVASKY TECHNOLOGY COMPANY LIMITED</t>
  </si>
  <si>
    <t xml:space="preserve">D16</t>
  </si>
  <si>
    <t xml:space="preserve">https://www.novasky.cn/</t>
  </si>
  <si>
    <t xml:space="preserve">NYCO</t>
  </si>
  <si>
    <t xml:space="preserve">https://www.nyco-group.com/</t>
  </si>
  <si>
    <t xml:space="preserve">OEM DEFENSE SERVICES</t>
  </si>
  <si>
    <t xml:space="preserve">https://www.oemds.com/</t>
  </si>
  <si>
    <t xml:space="preserve">OMNIPOL GROUP</t>
  </si>
  <si>
    <t xml:space="preserve">https://www.omnipol.cz/</t>
  </si>
  <si>
    <t xml:space="preserve">OMNISYS ENGENHARIA S.A</t>
  </si>
  <si>
    <t xml:space="preserve">https://www.omnisys.com.br/</t>
  </si>
  <si>
    <t xml:space="preserve">OPTOKON, A.S.</t>
  </si>
  <si>
    <t xml:space="preserve">https://www.optokon.com/</t>
  </si>
  <si>
    <t xml:space="preserve">PATRIA GROUP OYJ</t>
  </si>
  <si>
    <t xml:space="preserve">https://www.patriagroup.com/</t>
  </si>
  <si>
    <t xml:space="preserve">PBS GROUP</t>
  </si>
  <si>
    <t xml:space="preserve">https://www.pbs.cz/</t>
  </si>
  <si>
    <t xml:space="preserve">POLOMARCONI AMERICA LLC</t>
  </si>
  <si>
    <t xml:space="preserve">D27</t>
  </si>
  <si>
    <t xml:space="preserve">https://www.polomarconi.it/</t>
  </si>
  <si>
    <t xml:space="preserve">POLSKA GRUPA ZBROJENIOWA S.A.</t>
  </si>
  <si>
    <t xml:space="preserve">POONGSAN</t>
  </si>
  <si>
    <t xml:space="preserve">https://www.poongsan.co.kr/en/main</t>
  </si>
  <si>
    <t xml:space="preserve">POWER HIT</t>
  </si>
  <si>
    <t xml:space="preserve">B03</t>
  </si>
  <si>
    <t xml:space="preserve">https://www.power-hit.com/</t>
  </si>
  <si>
    <t xml:space="preserve">PRONAL</t>
  </si>
  <si>
    <t xml:space="preserve">https://www.pronal.com/</t>
  </si>
  <si>
    <t xml:space="preserve">QAI AEROSPACE</t>
  </si>
  <si>
    <t xml:space="preserve">C06</t>
  </si>
  <si>
    <t xml:space="preserve">https://www.qai.aero/</t>
  </si>
  <si>
    <t xml:space="preserve">RAM AEROSPACE AND DEFENSE SOLUTIONS</t>
  </si>
  <si>
    <t xml:space="preserve">https://www.ramairt.com/</t>
  </si>
  <si>
    <t xml:space="preserve">RAPIDM</t>
  </si>
  <si>
    <t xml:space="preserve">E16</t>
  </si>
  <si>
    <t xml:space="preserve">https://www.rapidm.com/</t>
  </si>
  <si>
    <t xml:space="preserve">RAYSERVICE A.S.</t>
  </si>
  <si>
    <t xml:space="preserve">https://www.rayservice.com/</t>
  </si>
  <si>
    <t xml:space="preserve">RAYTHEON</t>
  </si>
  <si>
    <t xml:space="preserve">https://www.rtx.com/raytheon</t>
  </si>
  <si>
    <t xml:space="preserve">REDIMEC S.A.</t>
  </si>
  <si>
    <t xml:space="preserve">https://www.redimec.com.ar/</t>
  </si>
  <si>
    <t xml:space="preserve">RFCOM SISTEMAS LTDA</t>
  </si>
  <si>
    <t xml:space="preserve">https://www.rf.com.br/</t>
  </si>
  <si>
    <t xml:space="preserve">ROBERTSON FUEL SYSTEMS, LLC</t>
  </si>
  <si>
    <t xml:space="preserve">https://www.robersonfuelsystems.com/</t>
  </si>
  <si>
    <t xml:space="preserve">ROCKY MOUNTAIN AIRCRAFT</t>
  </si>
  <si>
    <t xml:space="preserve">C02</t>
  </si>
  <si>
    <t xml:space="preserve">https://www.rockymountainaircraft.com/</t>
  </si>
  <si>
    <t xml:space="preserve">ROHDE &amp; SCHWARZ GMBH &amp; CO.KG</t>
  </si>
  <si>
    <t xml:space="preserve">E150</t>
  </si>
  <si>
    <t xml:space="preserve">https://www.rohde-schwarz.com/</t>
  </si>
  <si>
    <t xml:space="preserve">ROLATUBE TECHNOLOGY</t>
  </si>
  <si>
    <t xml:space="preserve">B23</t>
  </si>
  <si>
    <t xml:space="preserve">https://www.rolatube.com/</t>
  </si>
  <si>
    <t xml:space="preserve">ROSOMAK S.A.</t>
  </si>
  <si>
    <t xml:space="preserve">https://www.rosomaksa.pl/</t>
  </si>
  <si>
    <t xml:space="preserve">RTX</t>
  </si>
  <si>
    <t xml:space="preserve">https://www.rtx.com/</t>
  </si>
  <si>
    <t xml:space="preserve">RUAG AG</t>
  </si>
  <si>
    <t xml:space="preserve">https://www.ruag.ch/</t>
  </si>
  <si>
    <t xml:space="preserve">S3 AERODEFENSE</t>
  </si>
  <si>
    <t xml:space="preserve">D116</t>
  </si>
  <si>
    <t xml:space="preserve">https://www.s3aerodefense.com/</t>
  </si>
  <si>
    <t xml:space="preserve">SAAB</t>
  </si>
  <si>
    <t xml:space="preserve">Suecia</t>
  </si>
  <si>
    <t xml:space="preserve">CHALET E1 / E121</t>
  </si>
  <si>
    <t xml:space="preserve">https://www.saab.com/</t>
  </si>
  <si>
    <t xml:space="preserve">SAFRAN ELECTRONICA &amp; DEFESA BRASIL</t>
  </si>
  <si>
    <t xml:space="preserve">SAFRAN VECTRONIX AG</t>
  </si>
  <si>
    <t xml:space="preserve">https://www.safranvectronix.ch/</t>
  </si>
  <si>
    <t xml:space="preserve">SAMBO A&amp;T</t>
  </si>
  <si>
    <t xml:space="preserve">https://www.sambo-plusmobility.com/</t>
  </si>
  <si>
    <t xml:space="preserve">SCYTALYS S.A.</t>
  </si>
  <si>
    <t xml:space="preserve">https://www.scytalys.com/</t>
  </si>
  <si>
    <t xml:space="preserve">SEABURY SOLUTIONS</t>
  </si>
  <si>
    <t xml:space="preserve">https://www.seaburysolutions.com/</t>
  </si>
  <si>
    <t xml:space="preserve">SEGERS AERO</t>
  </si>
  <si>
    <t xml:space="preserve">C46</t>
  </si>
  <si>
    <t xml:space="preserve">https://www.segers.aero/</t>
  </si>
  <si>
    <t xml:space="preserve">SKYFALL INDUSTRIES LLC</t>
  </si>
  <si>
    <t xml:space="preserve">Ucrania</t>
  </si>
  <si>
    <t xml:space="preserve">G109</t>
  </si>
  <si>
    <t xml:space="preserve">https://www.syfall.ua/</t>
  </si>
  <si>
    <t xml:space="preserve">SOLAR MEMS TECHNOLOGIES S.L.</t>
  </si>
  <si>
    <t xml:space="preserve">https://www.solar-mems.com/</t>
  </si>
  <si>
    <t xml:space="preserve">SOLUCIONES ILIAS</t>
  </si>
  <si>
    <t xml:space="preserve">https://www.ilias-solutions.com/</t>
  </si>
  <si>
    <t xml:space="preserve">SOUTHERN CROSS AVIATION</t>
  </si>
  <si>
    <t xml:space="preserve">B09</t>
  </si>
  <si>
    <t xml:space="preserve">https://www.scross.com/</t>
  </si>
  <si>
    <t xml:space="preserve">SPACEFLUX</t>
  </si>
  <si>
    <t xml:space="preserve">https://www.spaceflux.io/</t>
  </si>
  <si>
    <t xml:space="preserve">SPACELAB</t>
  </si>
  <si>
    <t xml:space="preserve">D-136</t>
  </si>
  <si>
    <t xml:space="preserve">https://www.spacetier.com/</t>
  </si>
  <si>
    <t xml:space="preserve">SPEEL</t>
  </si>
  <si>
    <t xml:space="preserve">https://www.speel.cz/</t>
  </si>
  <si>
    <t xml:space="preserve">ST ENGINEERING SATELLITE SYSTEMS PTE. LTD.</t>
  </si>
  <si>
    <t xml:space="preserve">Singapur</t>
  </si>
  <si>
    <t xml:space="preserve">B18</t>
  </si>
  <si>
    <t xml:space="preserve">https://www.satsys.com.sg/</t>
  </si>
  <si>
    <t xml:space="preserve">STAR.VISION AEROSPACE LIMITED</t>
  </si>
  <si>
    <t xml:space="preserve">D28</t>
  </si>
  <si>
    <t xml:space="preserve">https://www.star.vision/</t>
  </si>
  <si>
    <t xml:space="preserve">STEYR ARMS GMBH</t>
  </si>
  <si>
    <t xml:space="preserve">https://www.steyr-arms.com/</t>
  </si>
  <si>
    <t xml:space="preserve">STM SAVUNMA TEKNOLOJILERI MUH. VE TIC A.S.</t>
  </si>
  <si>
    <t xml:space="preserve">https://www.stm.com.tr/</t>
  </si>
  <si>
    <t xml:space="preserve">STV GROUP A.S.</t>
  </si>
  <si>
    <t xml:space="preserve">https://www.stvgroup.cz/</t>
  </si>
  <si>
    <t xml:space="preserve">STV TECHNOLOGY S.R.O.</t>
  </si>
  <si>
    <t xml:space="preserve">https://www.stvtechnology.cz/</t>
  </si>
  <si>
    <t xml:space="preserve">SUNDRIVE S.R.O.</t>
  </si>
  <si>
    <t xml:space="preserve">FIDAE 2026. Unidades presentes: 3. Varios espacios (mayor inversión). Sin contacto publicado.</t>
  </si>
  <si>
    <t xml:space="preserve">B 131 | B131</t>
  </si>
  <si>
    <t xml:space="preserve">https://www.sundrive.cz/</t>
  </si>
  <si>
    <t xml:space="preserve">SYNERJET</t>
  </si>
  <si>
    <t xml:space="preserve">https://www.synerjet.com/</t>
  </si>
  <si>
    <t xml:space="preserve">TALKEY A.S.</t>
  </si>
  <si>
    <t xml:space="preserve">https://www.talkey.com/</t>
  </si>
  <si>
    <t xml:space="preserve">TAURUS ARMAS S.A.</t>
  </si>
  <si>
    <t xml:space="preserve">https://www.taurusarmas.com.br/</t>
  </si>
  <si>
    <t xml:space="preserve">TD AVIATION CENTER</t>
  </si>
  <si>
    <t xml:space="preserve">G16</t>
  </si>
  <si>
    <t xml:space="preserve">https://www.tdaviationcenter.com/</t>
  </si>
  <si>
    <t xml:space="preserve">TEAM JAS</t>
  </si>
  <si>
    <t xml:space="preserve">G08</t>
  </si>
  <si>
    <t xml:space="preserve">https://www.teamjas.com/</t>
  </si>
  <si>
    <t xml:space="preserve">TECHTREE INNOVATION CO., LTD.</t>
  </si>
  <si>
    <t xml:space="preserve">https://www.tt-inno.com/</t>
  </si>
  <si>
    <t xml:space="preserve">TELERAD</t>
  </si>
  <si>
    <t xml:space="preserve">https://www.telerad.fr/</t>
  </si>
  <si>
    <t xml:space="preserve">TNO</t>
  </si>
  <si>
    <t xml:space="preserve">Países Bajos</t>
  </si>
  <si>
    <t xml:space="preserve">FIDAE 2026. También en: Exponor (ID 1259). Sin contacto publicado.</t>
  </si>
  <si>
    <t xml:space="preserve">D4</t>
  </si>
  <si>
    <t xml:space="preserve">https://www.tno.nl/</t>
  </si>
  <si>
    <t xml:space="preserve">Exponor (ID 1259)</t>
  </si>
  <si>
    <t xml:space="preserve">TRELLISWARE TECHNOLOGIES, INC.</t>
  </si>
  <si>
    <t xml:space="preserve">C30</t>
  </si>
  <si>
    <t xml:space="preserve">https://www.trellisware.com/</t>
  </si>
  <si>
    <t xml:space="preserve">TURBOPOWER, LLC</t>
  </si>
  <si>
    <t xml:space="preserve">C62</t>
  </si>
  <si>
    <t xml:space="preserve">https://www.turbopowerllc.com/</t>
  </si>
  <si>
    <t xml:space="preserve">TURKISH AEROSPACE</t>
  </si>
  <si>
    <t xml:space="preserve">G131</t>
  </si>
  <si>
    <t xml:space="preserve">https://www.tusas.com/</t>
  </si>
  <si>
    <t xml:space="preserve">U&amp;C UAS LLC</t>
  </si>
  <si>
    <t xml:space="preserve">https://www.uacuas.com/</t>
  </si>
  <si>
    <t xml:space="preserve">UNMANNED DEFENSE SYSTEMS, UAB</t>
  </si>
  <si>
    <t xml:space="preserve">Lituania</t>
  </si>
  <si>
    <t xml:space="preserve">B-22</t>
  </si>
  <si>
    <t xml:space="preserve">https://www.udefenses.com/</t>
  </si>
  <si>
    <t xml:space="preserve">VEGA</t>
  </si>
  <si>
    <t xml:space="preserve">https://www.vegadefence.com/</t>
  </si>
  <si>
    <t xml:space="preserve">VENG S.A.</t>
  </si>
  <si>
    <t xml:space="preserve">B-105</t>
  </si>
  <si>
    <t xml:space="preserve">https://www.veng.com.ar/</t>
  </si>
  <si>
    <t xml:space="preserve">VIC TEC SIA</t>
  </si>
  <si>
    <t xml:space="preserve">Letonia</t>
  </si>
  <si>
    <t xml:space="preserve">D-30</t>
  </si>
  <si>
    <t xml:space="preserve">https://www.victec.eu/</t>
  </si>
  <si>
    <t xml:space="preserve">VICTORINOX AG</t>
  </si>
  <si>
    <t xml:space="preserve">https://www.victorinox.com/</t>
  </si>
  <si>
    <t xml:space="preserve">VOLZ SERVOS GMBH</t>
  </si>
  <si>
    <t xml:space="preserve">https://www.volz-servos.com/</t>
  </si>
  <si>
    <t xml:space="preserve">WOOSUNGSITEK</t>
  </si>
  <si>
    <t xml:space="preserve">https://www.en.woosungsitek.com/</t>
  </si>
  <si>
    <t xml:space="preserve">ZAKLADY MECHANICZNE "TARNOW" S.A.</t>
  </si>
  <si>
    <t xml:space="preserve">https://www.zmt.tarnow.pl/</t>
  </si>
  <si>
    <t xml:space="preserve">ZCO ZERO COMPROMISE OPTIC GMBH</t>
  </si>
  <si>
    <t xml:space="preserve">https://www.zcompoptic.com/</t>
  </si>
  <si>
    <t xml:space="preserve">ZIWOO INFORMATION &amp; TECHNOLOGY INC.</t>
  </si>
  <si>
    <t xml:space="preserve">https://www.ziwooit.com/</t>
  </si>
  <si>
    <t xml:space="preserve">ZIYAN TECHNOLOGY CO., LTD.</t>
  </si>
  <si>
    <t xml:space="preserve">D01</t>
  </si>
  <si>
    <t xml:space="preserve">https://www.ziyanuas.com/</t>
  </si>
  <si>
    <t xml:space="preserve">ID oportunidad</t>
  </si>
  <si>
    <t xml:space="preserve">ID contacto</t>
  </si>
  <si>
    <t xml:space="preserve">Necesidad</t>
  </si>
  <si>
    <t xml:space="preserve">Solución propuesta</t>
  </si>
  <si>
    <t xml:space="preserve">Etapa</t>
  </si>
  <si>
    <t xml:space="preserve">Valor estimado</t>
  </si>
  <si>
    <t xml:space="preserve">Probabilidad</t>
  </si>
  <si>
    <t xml:space="preserve">Fecha</t>
  </si>
  <si>
    <t xml:space="preserve">Evento/Fuente</t>
  </si>
  <si>
    <t xml:space="preserve">Cantidad</t>
  </si>
  <si>
    <t xml:space="preserve">Total</t>
  </si>
  <si>
    <t xml:space="preserve">Estado (pipeline)</t>
  </si>
  <si>
    <t xml:space="preserve">Contactado</t>
  </si>
  <si>
    <t xml:space="preserve">Reunión</t>
  </si>
  <si>
    <t xml:space="preserve">Propuesta</t>
  </si>
  <si>
    <t xml:space="preserve">Cliente</t>
  </si>
  <si>
    <t xml:space="preserve">No interesado</t>
  </si>
  <si>
    <t xml:space="preserve">Indicadores</t>
  </si>
  <si>
    <t xml:space="preserve">Registros originales</t>
  </si>
  <si>
    <t xml:space="preserve">Empresas / instituciones únicas</t>
  </si>
  <si>
    <t xml:space="preserve">Con sede en Chile</t>
  </si>
  <si>
    <t xml:space="preserve">Con web</t>
  </si>
  <si>
    <t xml:space="preserve">En otros CRM</t>
  </si>
  <si>
    <t xml:space="preserve">Evento</t>
  </si>
  <si>
    <t xml:space="preserve">Valor para SafetyMind</t>
  </si>
  <si>
    <t xml:space="preserve">Directorio SSO 2026 – Cero Accidentes (22.ª ed.)</t>
  </si>
  <si>
    <t xml:space="preserve">Mapa de ~670 proveedores SST en Perú (ver CRM_Directorio_SSO_2026).</t>
  </si>
  <si>
    <t xml:space="preserve">ExpoMina Perú 2026</t>
  </si>
  <si>
    <t xml:space="preserve">Feria minera (ver CRM_ExpoMina_2026).</t>
  </si>
  <si>
    <t xml:space="preserve">Exponor 2026 (Antofagasta)</t>
  </si>
  <si>
    <t xml:space="preserve">Feria minera del norte de Chile (ver CRM_Exponor_2026).</t>
  </si>
  <si>
    <t xml:space="preserve">AquaSur 2026 (Puerto Montt)</t>
  </si>
  <si>
    <t xml:space="preserve">Feria acuícola (ver CRM_AquaSur_2026).</t>
  </si>
  <si>
    <t xml:space="preserve">FIDAE 2026 (Santiago)</t>
  </si>
  <si>
    <t xml:space="preserve">Feria aeroespacial y de defensa: operadores aéreos y MRO (hangar, rampa, combustible), FF.AA. y policías, tecnología de sensores/drones/satélites y fabricantes de aeronaves.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</si>
</sst>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os" displayName="Contactos" ref="A1:S428" headerRowCount="1" totalsRowCount="0" totalsRowShown="0">
  <autoFilter ref="A1:S428"/>
  <tableColumns count="19">
    <tableColumn id="1" name="ID"/>
    <tableColumn id="2" name="Nombre"/>
    <tableColumn id="3" name="Cargo"/>
    <tableColumn id="4" name="Empresa"/>
    <tableColumn id="5" name="País"/>
    <tableColumn id="6" name="Email"/>
    <tableColumn id="7" name="LinkedIn"/>
    <tableColumn id="8" name="Origen"/>
    <tableColumn id="9" name="Estado"/>
    <tableColumn id="10" name="Prioridad"/>
    <tableColumn id="11" name="Próxima acción"/>
    <tableColumn id="12" name="Notas"/>
    <tableColumn id="13" name="Segmento SafetyMind"/>
    <tableColumn id="14" name="Stand(s)"/>
    <tableColumn id="15" name="N° stands"/>
    <tableColumn id="16" name="Rubro FIDAE"/>
    <tableColumn id="17" name="Web"/>
    <tableColumn id="18" name="Teléfono(s)"/>
    <tableColumn id="19" name="Cruce otros CR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50"/>
    <col collapsed="false" customWidth="true" hidden="false" outlineLevel="0" max="13" min="13" style="0" width="45"/>
    <col collapsed="false" customWidth="true" hidden="false" outlineLevel="0" max="14" min="14" style="0" width="22"/>
    <col collapsed="false" customWidth="true" hidden="false" outlineLevel="0" max="15" min="15" style="0" width="9"/>
    <col collapsed="false" customWidth="true" hidden="false" outlineLevel="0" max="16" min="16" style="0" width="30"/>
    <col collapsed="false" customWidth="true" hidden="false" outlineLevel="0" max="17" min="17" style="0" width="32"/>
    <col collapsed="false" customWidth="true" hidden="false" outlineLevel="0" max="18" min="18" style="0" width="24"/>
    <col collapsed="false" customWidth="true" hidden="false" outlineLevel="0" max="19" min="19" style="0" width="3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D2" s="0" t="s">
        <v>19</v>
      </c>
      <c r="E2" s="0" t="s">
        <v>20</v>
      </c>
      <c r="H2" s="0" t="s">
        <v>21</v>
      </c>
      <c r="I2" s="2" t="s">
        <v>22</v>
      </c>
      <c r="J2" s="2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n">
        <v>1</v>
      </c>
      <c r="P2" s="0" t="s">
        <v>28</v>
      </c>
      <c r="Q2" s="0" t="s">
        <v>29</v>
      </c>
      <c r="R2" s="3"/>
      <c r="S2" s="2" t="s">
        <v>30</v>
      </c>
    </row>
    <row r="3" customFormat="false" ht="15" hidden="false" customHeight="false" outlineLevel="0" collapsed="false">
      <c r="A3" s="0" t="n">
        <v>2</v>
      </c>
      <c r="D3" s="0" t="s">
        <v>31</v>
      </c>
      <c r="E3" s="0" t="s">
        <v>20</v>
      </c>
      <c r="H3" s="0" t="s">
        <v>21</v>
      </c>
      <c r="I3" s="2" t="s">
        <v>22</v>
      </c>
      <c r="J3" s="2" t="s">
        <v>23</v>
      </c>
      <c r="K3" s="0" t="s">
        <v>24</v>
      </c>
      <c r="L3" s="0" t="s">
        <v>25</v>
      </c>
      <c r="M3" s="0" t="s">
        <v>26</v>
      </c>
      <c r="N3" s="0" t="s">
        <v>32</v>
      </c>
      <c r="O3" s="0" t="n">
        <v>1</v>
      </c>
      <c r="P3" s="0" t="s">
        <v>33</v>
      </c>
      <c r="Q3" s="0" t="s">
        <v>34</v>
      </c>
      <c r="R3" s="3"/>
      <c r="S3" s="2" t="s">
        <v>30</v>
      </c>
    </row>
    <row r="4" customFormat="false" ht="15" hidden="false" customHeight="false" outlineLevel="0" collapsed="false">
      <c r="A4" s="0" t="n">
        <v>3</v>
      </c>
      <c r="D4" s="0" t="s">
        <v>35</v>
      </c>
      <c r="E4" s="0" t="s">
        <v>20</v>
      </c>
      <c r="H4" s="0" t="s">
        <v>21</v>
      </c>
      <c r="I4" s="2" t="s">
        <v>22</v>
      </c>
      <c r="J4" s="2" t="s">
        <v>23</v>
      </c>
      <c r="K4" s="0" t="s">
        <v>24</v>
      </c>
      <c r="L4" s="0" t="s">
        <v>25</v>
      </c>
      <c r="M4" s="0" t="s">
        <v>26</v>
      </c>
      <c r="N4" s="0" t="s">
        <v>36</v>
      </c>
      <c r="O4" s="0" t="n">
        <v>1</v>
      </c>
      <c r="P4" s="0" t="s">
        <v>28</v>
      </c>
      <c r="Q4" s="0" t="s">
        <v>37</v>
      </c>
      <c r="R4" s="3"/>
      <c r="S4" s="2" t="s">
        <v>30</v>
      </c>
    </row>
    <row r="5" customFormat="false" ht="15" hidden="false" customHeight="false" outlineLevel="0" collapsed="false">
      <c r="A5" s="0" t="n">
        <v>4</v>
      </c>
      <c r="D5" s="0" t="s">
        <v>38</v>
      </c>
      <c r="E5" s="0" t="s">
        <v>20</v>
      </c>
      <c r="H5" s="0" t="s">
        <v>21</v>
      </c>
      <c r="I5" s="2" t="s">
        <v>22</v>
      </c>
      <c r="J5" s="2" t="s">
        <v>23</v>
      </c>
      <c r="K5" s="0" t="s">
        <v>24</v>
      </c>
      <c r="L5" s="0" t="s">
        <v>25</v>
      </c>
      <c r="M5" s="0" t="s">
        <v>26</v>
      </c>
      <c r="N5" s="0" t="s">
        <v>39</v>
      </c>
      <c r="O5" s="0" t="n">
        <v>1</v>
      </c>
      <c r="P5" s="0" t="s">
        <v>33</v>
      </c>
      <c r="Q5" s="0" t="s">
        <v>40</v>
      </c>
      <c r="R5" s="3"/>
      <c r="S5" s="2" t="s">
        <v>30</v>
      </c>
    </row>
    <row r="6" customFormat="false" ht="15" hidden="false" customHeight="false" outlineLevel="0" collapsed="false">
      <c r="A6" s="0" t="n">
        <v>5</v>
      </c>
      <c r="D6" s="0" t="s">
        <v>41</v>
      </c>
      <c r="E6" s="0" t="s">
        <v>20</v>
      </c>
      <c r="H6" s="0" t="s">
        <v>21</v>
      </c>
      <c r="I6" s="2" t="s">
        <v>22</v>
      </c>
      <c r="J6" s="2" t="s">
        <v>23</v>
      </c>
      <c r="K6" s="0" t="s">
        <v>24</v>
      </c>
      <c r="L6" s="0" t="s">
        <v>25</v>
      </c>
      <c r="M6" s="0" t="s">
        <v>26</v>
      </c>
      <c r="N6" s="0" t="s">
        <v>42</v>
      </c>
      <c r="O6" s="0" t="n">
        <v>1</v>
      </c>
      <c r="P6" s="0" t="s">
        <v>33</v>
      </c>
      <c r="Q6" s="0" t="s">
        <v>43</v>
      </c>
      <c r="R6" s="3"/>
      <c r="S6" s="2" t="s">
        <v>30</v>
      </c>
    </row>
    <row r="7" customFormat="false" ht="15" hidden="false" customHeight="false" outlineLevel="0" collapsed="false">
      <c r="A7" s="0" t="n">
        <v>6</v>
      </c>
      <c r="D7" s="0" t="s">
        <v>44</v>
      </c>
      <c r="E7" s="0" t="s">
        <v>20</v>
      </c>
      <c r="H7" s="0" t="s">
        <v>21</v>
      </c>
      <c r="I7" s="2" t="s">
        <v>22</v>
      </c>
      <c r="J7" s="2" t="s">
        <v>23</v>
      </c>
      <c r="K7" s="0" t="s">
        <v>24</v>
      </c>
      <c r="L7" s="0" t="s">
        <v>25</v>
      </c>
      <c r="M7" s="0" t="s">
        <v>26</v>
      </c>
      <c r="N7" s="0" t="s">
        <v>45</v>
      </c>
      <c r="O7" s="0" t="n">
        <v>1</v>
      </c>
      <c r="P7" s="0" t="s">
        <v>46</v>
      </c>
      <c r="Q7" s="0" t="s">
        <v>47</v>
      </c>
      <c r="R7" s="3"/>
      <c r="S7" s="2" t="s">
        <v>30</v>
      </c>
    </row>
    <row r="8" customFormat="false" ht="15" hidden="false" customHeight="false" outlineLevel="0" collapsed="false">
      <c r="A8" s="0" t="n">
        <v>7</v>
      </c>
      <c r="D8" s="0" t="s">
        <v>48</v>
      </c>
      <c r="E8" s="0" t="s">
        <v>20</v>
      </c>
      <c r="H8" s="0" t="s">
        <v>21</v>
      </c>
      <c r="I8" s="2" t="s">
        <v>22</v>
      </c>
      <c r="J8" s="2" t="s">
        <v>23</v>
      </c>
      <c r="K8" s="0" t="s">
        <v>24</v>
      </c>
      <c r="L8" s="0" t="s">
        <v>25</v>
      </c>
      <c r="M8" s="0" t="s">
        <v>26</v>
      </c>
      <c r="N8" s="0" t="s">
        <v>49</v>
      </c>
      <c r="O8" s="0" t="n">
        <v>1</v>
      </c>
      <c r="P8" s="0" t="s">
        <v>46</v>
      </c>
      <c r="Q8" s="0" t="s">
        <v>50</v>
      </c>
      <c r="R8" s="3"/>
      <c r="S8" s="2" t="s">
        <v>30</v>
      </c>
    </row>
    <row r="9" customFormat="false" ht="15" hidden="false" customHeight="false" outlineLevel="0" collapsed="false">
      <c r="A9" s="0" t="n">
        <v>8</v>
      </c>
      <c r="D9" s="0" t="s">
        <v>51</v>
      </c>
      <c r="E9" s="0" t="s">
        <v>20</v>
      </c>
      <c r="H9" s="0" t="s">
        <v>21</v>
      </c>
      <c r="I9" s="2" t="s">
        <v>22</v>
      </c>
      <c r="J9" s="2" t="s">
        <v>23</v>
      </c>
      <c r="K9" s="0" t="s">
        <v>24</v>
      </c>
      <c r="L9" s="0" t="s">
        <v>25</v>
      </c>
      <c r="M9" s="0" t="s">
        <v>26</v>
      </c>
      <c r="N9" s="0" t="s">
        <v>52</v>
      </c>
      <c r="O9" s="0" t="n">
        <v>1</v>
      </c>
      <c r="P9" s="0" t="s">
        <v>33</v>
      </c>
      <c r="Q9" s="0" t="s">
        <v>53</v>
      </c>
      <c r="R9" s="3"/>
      <c r="S9" s="2" t="s">
        <v>30</v>
      </c>
    </row>
    <row r="10" customFormat="false" ht="15" hidden="false" customHeight="false" outlineLevel="0" collapsed="false">
      <c r="A10" s="0" t="n">
        <v>9</v>
      </c>
      <c r="D10" s="0" t="s">
        <v>54</v>
      </c>
      <c r="E10" s="0" t="s">
        <v>20</v>
      </c>
      <c r="H10" s="0" t="s">
        <v>21</v>
      </c>
      <c r="I10" s="2" t="s">
        <v>22</v>
      </c>
      <c r="J10" s="2" t="s">
        <v>23</v>
      </c>
      <c r="K10" s="0" t="s">
        <v>24</v>
      </c>
      <c r="L10" s="0" t="s">
        <v>25</v>
      </c>
      <c r="M10" s="0" t="s">
        <v>26</v>
      </c>
      <c r="N10" s="0" t="s">
        <v>55</v>
      </c>
      <c r="O10" s="0" t="n">
        <v>1</v>
      </c>
      <c r="P10" s="0" t="s">
        <v>46</v>
      </c>
      <c r="Q10" s="0" t="s">
        <v>56</v>
      </c>
      <c r="R10" s="3"/>
      <c r="S10" s="2" t="s">
        <v>30</v>
      </c>
    </row>
    <row r="11" customFormat="false" ht="15" hidden="false" customHeight="false" outlineLevel="0" collapsed="false">
      <c r="A11" s="0" t="n">
        <v>10</v>
      </c>
      <c r="D11" s="0" t="s">
        <v>57</v>
      </c>
      <c r="E11" s="0" t="s">
        <v>20</v>
      </c>
      <c r="H11" s="0" t="s">
        <v>21</v>
      </c>
      <c r="I11" s="2" t="s">
        <v>22</v>
      </c>
      <c r="J11" s="2" t="s">
        <v>23</v>
      </c>
      <c r="K11" s="0" t="s">
        <v>24</v>
      </c>
      <c r="L11" s="0" t="s">
        <v>25</v>
      </c>
      <c r="M11" s="0" t="s">
        <v>26</v>
      </c>
      <c r="N11" s="0" t="s">
        <v>58</v>
      </c>
      <c r="O11" s="0" t="n">
        <v>1</v>
      </c>
      <c r="P11" s="0" t="s">
        <v>33</v>
      </c>
      <c r="Q11" s="0" t="s">
        <v>59</v>
      </c>
      <c r="R11" s="3"/>
      <c r="S11" s="2" t="s">
        <v>30</v>
      </c>
    </row>
    <row r="12" customFormat="false" ht="15" hidden="false" customHeight="false" outlineLevel="0" collapsed="false">
      <c r="A12" s="0" t="n">
        <v>11</v>
      </c>
      <c r="D12" s="0" t="s">
        <v>60</v>
      </c>
      <c r="E12" s="0" t="s">
        <v>20</v>
      </c>
      <c r="H12" s="0" t="s">
        <v>21</v>
      </c>
      <c r="I12" s="2" t="s">
        <v>22</v>
      </c>
      <c r="J12" s="2" t="s">
        <v>23</v>
      </c>
      <c r="K12" s="0" t="s">
        <v>24</v>
      </c>
      <c r="L12" s="0" t="s">
        <v>25</v>
      </c>
      <c r="M12" s="0" t="s">
        <v>26</v>
      </c>
      <c r="N12" s="0" t="s">
        <v>61</v>
      </c>
      <c r="O12" s="0" t="n">
        <v>1</v>
      </c>
      <c r="P12" s="0" t="s">
        <v>33</v>
      </c>
      <c r="Q12" s="0" t="s">
        <v>62</v>
      </c>
      <c r="R12" s="3"/>
      <c r="S12" s="2" t="s">
        <v>30</v>
      </c>
    </row>
    <row r="13" customFormat="false" ht="15" hidden="false" customHeight="false" outlineLevel="0" collapsed="false">
      <c r="A13" s="0" t="n">
        <v>12</v>
      </c>
      <c r="D13" s="0" t="s">
        <v>63</v>
      </c>
      <c r="E13" s="0" t="s">
        <v>20</v>
      </c>
      <c r="H13" s="0" t="s">
        <v>21</v>
      </c>
      <c r="I13" s="2" t="s">
        <v>22</v>
      </c>
      <c r="J13" s="2" t="s">
        <v>23</v>
      </c>
      <c r="K13" s="0" t="s">
        <v>24</v>
      </c>
      <c r="L13" s="0" t="s">
        <v>25</v>
      </c>
      <c r="M13" s="0" t="s">
        <v>26</v>
      </c>
      <c r="N13" s="0" t="s">
        <v>64</v>
      </c>
      <c r="O13" s="0" t="n">
        <v>1</v>
      </c>
      <c r="P13" s="0" t="s">
        <v>46</v>
      </c>
      <c r="Q13" s="0" t="s">
        <v>65</v>
      </c>
      <c r="R13" s="3"/>
      <c r="S13" s="2" t="s">
        <v>30</v>
      </c>
    </row>
    <row r="14" customFormat="false" ht="15" hidden="false" customHeight="false" outlineLevel="0" collapsed="false">
      <c r="A14" s="0" t="n">
        <v>13</v>
      </c>
      <c r="D14" s="0" t="s">
        <v>66</v>
      </c>
      <c r="E14" s="0" t="s">
        <v>20</v>
      </c>
      <c r="H14" s="0" t="s">
        <v>21</v>
      </c>
      <c r="I14" s="2" t="s">
        <v>22</v>
      </c>
      <c r="J14" s="2" t="s">
        <v>23</v>
      </c>
      <c r="K14" s="0" t="s">
        <v>24</v>
      </c>
      <c r="L14" s="0" t="s">
        <v>25</v>
      </c>
      <c r="M14" s="0" t="s">
        <v>26</v>
      </c>
      <c r="N14" s="0" t="s">
        <v>67</v>
      </c>
      <c r="O14" s="0" t="n">
        <v>1</v>
      </c>
      <c r="P14" s="0" t="s">
        <v>33</v>
      </c>
      <c r="Q14" s="0" t="s">
        <v>68</v>
      </c>
      <c r="R14" s="3"/>
      <c r="S14" s="2" t="s">
        <v>30</v>
      </c>
    </row>
    <row r="15" customFormat="false" ht="15" hidden="false" customHeight="false" outlineLevel="0" collapsed="false">
      <c r="A15" s="0" t="n">
        <v>14</v>
      </c>
      <c r="D15" s="0" t="s">
        <v>69</v>
      </c>
      <c r="E15" s="0" t="s">
        <v>20</v>
      </c>
      <c r="H15" s="0" t="s">
        <v>21</v>
      </c>
      <c r="I15" s="2" t="s">
        <v>22</v>
      </c>
      <c r="J15" s="2" t="s">
        <v>23</v>
      </c>
      <c r="K15" s="0" t="s">
        <v>24</v>
      </c>
      <c r="L15" s="0" t="s">
        <v>70</v>
      </c>
      <c r="M15" s="0" t="s">
        <v>26</v>
      </c>
      <c r="N15" s="0" t="s">
        <v>71</v>
      </c>
      <c r="O15" s="0" t="n">
        <v>1</v>
      </c>
      <c r="P15" s="0" t="s">
        <v>72</v>
      </c>
      <c r="Q15" s="0" t="s">
        <v>73</v>
      </c>
      <c r="R15" s="3"/>
      <c r="S15" s="2" t="s">
        <v>74</v>
      </c>
    </row>
    <row r="16" customFormat="false" ht="15" hidden="false" customHeight="false" outlineLevel="0" collapsed="false">
      <c r="A16" s="0" t="n">
        <v>15</v>
      </c>
      <c r="D16" s="0" t="s">
        <v>75</v>
      </c>
      <c r="E16" s="0" t="s">
        <v>20</v>
      </c>
      <c r="H16" s="0" t="s">
        <v>21</v>
      </c>
      <c r="I16" s="2" t="s">
        <v>22</v>
      </c>
      <c r="J16" s="2" t="s">
        <v>23</v>
      </c>
      <c r="K16" s="0" t="s">
        <v>24</v>
      </c>
      <c r="L16" s="0" t="s">
        <v>25</v>
      </c>
      <c r="M16" s="0" t="s">
        <v>26</v>
      </c>
      <c r="N16" s="0" t="s">
        <v>76</v>
      </c>
      <c r="O16" s="0" t="n">
        <v>1</v>
      </c>
      <c r="P16" s="0" t="s">
        <v>33</v>
      </c>
      <c r="Q16" s="0" t="s">
        <v>77</v>
      </c>
      <c r="R16" s="3"/>
      <c r="S16" s="2" t="s">
        <v>30</v>
      </c>
    </row>
    <row r="17" customFormat="false" ht="15" hidden="false" customHeight="false" outlineLevel="0" collapsed="false">
      <c r="A17" s="0" t="n">
        <v>16</v>
      </c>
      <c r="D17" s="0" t="s">
        <v>78</v>
      </c>
      <c r="E17" s="0" t="s">
        <v>20</v>
      </c>
      <c r="H17" s="0" t="s">
        <v>21</v>
      </c>
      <c r="I17" s="2" t="s">
        <v>22</v>
      </c>
      <c r="J17" s="2" t="s">
        <v>23</v>
      </c>
      <c r="K17" s="0" t="s">
        <v>24</v>
      </c>
      <c r="L17" s="0" t="s">
        <v>25</v>
      </c>
      <c r="M17" s="0" t="s">
        <v>26</v>
      </c>
      <c r="N17" s="0" t="s">
        <v>79</v>
      </c>
      <c r="O17" s="0" t="n">
        <v>1</v>
      </c>
      <c r="P17" s="0" t="s">
        <v>46</v>
      </c>
      <c r="Q17" s="0" t="s">
        <v>80</v>
      </c>
      <c r="R17" s="3"/>
      <c r="S17" s="2" t="s">
        <v>30</v>
      </c>
    </row>
    <row r="18" customFormat="false" ht="15" hidden="false" customHeight="false" outlineLevel="0" collapsed="false">
      <c r="A18" s="0" t="n">
        <v>17</v>
      </c>
      <c r="D18" s="0" t="s">
        <v>81</v>
      </c>
      <c r="E18" s="0" t="s">
        <v>20</v>
      </c>
      <c r="H18" s="0" t="s">
        <v>21</v>
      </c>
      <c r="I18" s="2" t="s">
        <v>22</v>
      </c>
      <c r="J18" s="2" t="s">
        <v>23</v>
      </c>
      <c r="K18" s="0" t="s">
        <v>24</v>
      </c>
      <c r="L18" s="0" t="s">
        <v>25</v>
      </c>
      <c r="M18" s="0" t="s">
        <v>26</v>
      </c>
      <c r="N18" s="0" t="s">
        <v>82</v>
      </c>
      <c r="O18" s="0" t="n">
        <v>1</v>
      </c>
      <c r="P18" s="0" t="s">
        <v>46</v>
      </c>
      <c r="Q18" s="0" t="s">
        <v>83</v>
      </c>
      <c r="R18" s="3"/>
      <c r="S18" s="2" t="s">
        <v>30</v>
      </c>
    </row>
    <row r="19" customFormat="false" ht="15" hidden="false" customHeight="false" outlineLevel="0" collapsed="false">
      <c r="A19" s="0" t="n">
        <v>18</v>
      </c>
      <c r="D19" s="0" t="s">
        <v>84</v>
      </c>
      <c r="E19" s="0" t="s">
        <v>20</v>
      </c>
      <c r="H19" s="0" t="s">
        <v>21</v>
      </c>
      <c r="I19" s="2" t="s">
        <v>22</v>
      </c>
      <c r="J19" s="2" t="s">
        <v>23</v>
      </c>
      <c r="K19" s="0" t="s">
        <v>24</v>
      </c>
      <c r="L19" s="0" t="s">
        <v>25</v>
      </c>
      <c r="M19" s="0" t="s">
        <v>26</v>
      </c>
      <c r="N19" s="0" t="s">
        <v>85</v>
      </c>
      <c r="O19" s="0" t="n">
        <v>1</v>
      </c>
      <c r="P19" s="0" t="s">
        <v>72</v>
      </c>
      <c r="Q19" s="0" t="s">
        <v>86</v>
      </c>
      <c r="R19" s="3"/>
      <c r="S19" s="2" t="s">
        <v>30</v>
      </c>
    </row>
    <row r="20" customFormat="false" ht="15" hidden="false" customHeight="false" outlineLevel="0" collapsed="false">
      <c r="A20" s="0" t="n">
        <v>19</v>
      </c>
      <c r="D20" s="0" t="s">
        <v>87</v>
      </c>
      <c r="E20" s="0" t="s">
        <v>20</v>
      </c>
      <c r="H20" s="0" t="s">
        <v>21</v>
      </c>
      <c r="I20" s="2" t="s">
        <v>22</v>
      </c>
      <c r="J20" s="2" t="s">
        <v>23</v>
      </c>
      <c r="K20" s="0" t="s">
        <v>24</v>
      </c>
      <c r="L20" s="0" t="s">
        <v>25</v>
      </c>
      <c r="M20" s="0" t="s">
        <v>26</v>
      </c>
      <c r="N20" s="0" t="s">
        <v>88</v>
      </c>
      <c r="O20" s="0" t="n">
        <v>1</v>
      </c>
      <c r="P20" s="0" t="s">
        <v>33</v>
      </c>
      <c r="Q20" s="0" t="s">
        <v>89</v>
      </c>
      <c r="R20" s="3"/>
      <c r="S20" s="2" t="s">
        <v>30</v>
      </c>
    </row>
    <row r="21" customFormat="false" ht="15" hidden="false" customHeight="false" outlineLevel="0" collapsed="false">
      <c r="A21" s="0" t="n">
        <v>20</v>
      </c>
      <c r="D21" s="0" t="s">
        <v>90</v>
      </c>
      <c r="E21" s="0" t="s">
        <v>20</v>
      </c>
      <c r="H21" s="0" t="s">
        <v>21</v>
      </c>
      <c r="I21" s="2" t="s">
        <v>22</v>
      </c>
      <c r="J21" s="2" t="s">
        <v>23</v>
      </c>
      <c r="K21" s="0" t="s">
        <v>24</v>
      </c>
      <c r="L21" s="0" t="s">
        <v>25</v>
      </c>
      <c r="M21" s="0" t="s">
        <v>26</v>
      </c>
      <c r="N21" s="0" t="s">
        <v>91</v>
      </c>
      <c r="O21" s="0" t="n">
        <v>1</v>
      </c>
      <c r="P21" s="0" t="s">
        <v>33</v>
      </c>
      <c r="Q21" s="0" t="s">
        <v>92</v>
      </c>
      <c r="R21" s="3"/>
      <c r="S21" s="2" t="s">
        <v>30</v>
      </c>
    </row>
    <row r="22" customFormat="false" ht="15" hidden="false" customHeight="false" outlineLevel="0" collapsed="false">
      <c r="A22" s="0" t="n">
        <v>21</v>
      </c>
      <c r="D22" s="0" t="s">
        <v>93</v>
      </c>
      <c r="E22" s="0" t="s">
        <v>20</v>
      </c>
      <c r="H22" s="0" t="s">
        <v>21</v>
      </c>
      <c r="I22" s="2" t="s">
        <v>22</v>
      </c>
      <c r="J22" s="2" t="s">
        <v>23</v>
      </c>
      <c r="K22" s="0" t="s">
        <v>24</v>
      </c>
      <c r="L22" s="0" t="s">
        <v>25</v>
      </c>
      <c r="M22" s="0" t="s">
        <v>26</v>
      </c>
      <c r="N22" s="0" t="s">
        <v>94</v>
      </c>
      <c r="O22" s="0" t="n">
        <v>1</v>
      </c>
      <c r="P22" s="0" t="s">
        <v>33</v>
      </c>
      <c r="Q22" s="0" t="s">
        <v>95</v>
      </c>
      <c r="R22" s="3"/>
      <c r="S22" s="2" t="s">
        <v>30</v>
      </c>
    </row>
    <row r="23" customFormat="false" ht="15" hidden="false" customHeight="false" outlineLevel="0" collapsed="false">
      <c r="A23" s="0" t="n">
        <v>22</v>
      </c>
      <c r="D23" s="0" t="s">
        <v>96</v>
      </c>
      <c r="E23" s="0" t="s">
        <v>20</v>
      </c>
      <c r="H23" s="0" t="s">
        <v>21</v>
      </c>
      <c r="I23" s="2" t="s">
        <v>22</v>
      </c>
      <c r="J23" s="2" t="s">
        <v>23</v>
      </c>
      <c r="K23" s="0" t="s">
        <v>24</v>
      </c>
      <c r="L23" s="0" t="s">
        <v>97</v>
      </c>
      <c r="M23" s="0" t="s">
        <v>26</v>
      </c>
      <c r="N23" s="0" t="s">
        <v>55</v>
      </c>
      <c r="O23" s="0" t="n">
        <v>1</v>
      </c>
      <c r="P23" s="0" t="s">
        <v>46</v>
      </c>
      <c r="Q23" s="0" t="s">
        <v>98</v>
      </c>
      <c r="R23" s="3"/>
      <c r="S23" s="2" t="s">
        <v>99</v>
      </c>
    </row>
    <row r="24" customFormat="false" ht="15" hidden="false" customHeight="false" outlineLevel="0" collapsed="false">
      <c r="A24" s="0" t="n">
        <v>23</v>
      </c>
      <c r="D24" s="0" t="s">
        <v>100</v>
      </c>
      <c r="E24" s="0" t="s">
        <v>20</v>
      </c>
      <c r="H24" s="0" t="s">
        <v>21</v>
      </c>
      <c r="I24" s="2" t="s">
        <v>22</v>
      </c>
      <c r="J24" s="2" t="s">
        <v>23</v>
      </c>
      <c r="K24" s="0" t="s">
        <v>24</v>
      </c>
      <c r="L24" s="0" t="s">
        <v>25</v>
      </c>
      <c r="M24" s="0" t="s">
        <v>26</v>
      </c>
      <c r="N24" s="0" t="s">
        <v>101</v>
      </c>
      <c r="O24" s="0" t="n">
        <v>1</v>
      </c>
      <c r="Q24" s="0" t="s">
        <v>102</v>
      </c>
      <c r="R24" s="3"/>
      <c r="S24" s="2" t="s">
        <v>30</v>
      </c>
    </row>
    <row r="25" customFormat="false" ht="15" hidden="false" customHeight="false" outlineLevel="0" collapsed="false">
      <c r="A25" s="0" t="n">
        <v>24</v>
      </c>
      <c r="D25" s="0" t="s">
        <v>103</v>
      </c>
      <c r="E25" s="0" t="s">
        <v>104</v>
      </c>
      <c r="H25" s="0" t="s">
        <v>21</v>
      </c>
      <c r="I25" s="2" t="s">
        <v>22</v>
      </c>
      <c r="J25" s="2" t="s">
        <v>23</v>
      </c>
      <c r="K25" s="0" t="s">
        <v>24</v>
      </c>
      <c r="L25" s="0" t="s">
        <v>25</v>
      </c>
      <c r="M25" s="0" t="s">
        <v>26</v>
      </c>
      <c r="N25" s="0" t="s">
        <v>105</v>
      </c>
      <c r="O25" s="0" t="n">
        <v>1</v>
      </c>
      <c r="P25" s="0" t="s">
        <v>33</v>
      </c>
      <c r="Q25" s="0" t="s">
        <v>106</v>
      </c>
      <c r="R25" s="3"/>
      <c r="S25" s="2" t="s">
        <v>30</v>
      </c>
    </row>
    <row r="26" customFormat="false" ht="15" hidden="false" customHeight="false" outlineLevel="0" collapsed="false">
      <c r="A26" s="0" t="n">
        <v>25</v>
      </c>
      <c r="D26" s="0" t="s">
        <v>107</v>
      </c>
      <c r="E26" s="0" t="s">
        <v>108</v>
      </c>
      <c r="H26" s="0" t="s">
        <v>21</v>
      </c>
      <c r="I26" s="2" t="s">
        <v>22</v>
      </c>
      <c r="J26" s="2" t="s">
        <v>23</v>
      </c>
      <c r="K26" s="0" t="s">
        <v>24</v>
      </c>
      <c r="L26" s="0" t="s">
        <v>25</v>
      </c>
      <c r="M26" s="0" t="s">
        <v>26</v>
      </c>
      <c r="N26" s="0" t="s">
        <v>109</v>
      </c>
      <c r="O26" s="0" t="n">
        <v>1</v>
      </c>
      <c r="P26" s="0" t="s">
        <v>110</v>
      </c>
      <c r="Q26" s="0" t="s">
        <v>111</v>
      </c>
      <c r="R26" s="3"/>
      <c r="S26" s="2" t="s">
        <v>30</v>
      </c>
    </row>
    <row r="27" customFormat="false" ht="15" hidden="false" customHeight="false" outlineLevel="0" collapsed="false">
      <c r="A27" s="0" t="n">
        <v>26</v>
      </c>
      <c r="D27" s="0" t="s">
        <v>112</v>
      </c>
      <c r="E27" s="0" t="s">
        <v>113</v>
      </c>
      <c r="H27" s="0" t="s">
        <v>21</v>
      </c>
      <c r="I27" s="2" t="s">
        <v>22</v>
      </c>
      <c r="J27" s="2" t="s">
        <v>23</v>
      </c>
      <c r="K27" s="0" t="s">
        <v>24</v>
      </c>
      <c r="L27" s="0" t="s">
        <v>114</v>
      </c>
      <c r="M27" s="0" t="s">
        <v>26</v>
      </c>
      <c r="O27" s="0" t="n">
        <v>0</v>
      </c>
      <c r="P27" s="0" t="s">
        <v>115</v>
      </c>
      <c r="Q27" s="0" t="s">
        <v>116</v>
      </c>
      <c r="R27" s="3"/>
      <c r="S27" s="2" t="s">
        <v>30</v>
      </c>
    </row>
    <row r="28" customFormat="false" ht="15" hidden="false" customHeight="false" outlineLevel="0" collapsed="false">
      <c r="A28" s="0" t="n">
        <v>27</v>
      </c>
      <c r="D28" s="0" t="s">
        <v>117</v>
      </c>
      <c r="E28" s="0" t="s">
        <v>20</v>
      </c>
      <c r="H28" s="0" t="s">
        <v>21</v>
      </c>
      <c r="I28" s="2" t="s">
        <v>22</v>
      </c>
      <c r="J28" s="2" t="s">
        <v>23</v>
      </c>
      <c r="K28" s="0" t="s">
        <v>118</v>
      </c>
      <c r="L28" s="0" t="s">
        <v>25</v>
      </c>
      <c r="M28" s="0" t="s">
        <v>119</v>
      </c>
      <c r="N28" s="0" t="s">
        <v>120</v>
      </c>
      <c r="O28" s="0" t="n">
        <v>1</v>
      </c>
      <c r="P28" s="0" t="s">
        <v>121</v>
      </c>
      <c r="Q28" s="0" t="s">
        <v>122</v>
      </c>
      <c r="R28" s="3"/>
      <c r="S28" s="2" t="s">
        <v>30</v>
      </c>
    </row>
    <row r="29" customFormat="false" ht="15" hidden="false" customHeight="false" outlineLevel="0" collapsed="false">
      <c r="A29" s="0" t="n">
        <v>28</v>
      </c>
      <c r="D29" s="0" t="s">
        <v>123</v>
      </c>
      <c r="E29" s="0" t="s">
        <v>20</v>
      </c>
      <c r="H29" s="0" t="s">
        <v>21</v>
      </c>
      <c r="I29" s="2" t="s">
        <v>22</v>
      </c>
      <c r="J29" s="2" t="s">
        <v>23</v>
      </c>
      <c r="K29" s="0" t="s">
        <v>118</v>
      </c>
      <c r="L29" s="0" t="s">
        <v>25</v>
      </c>
      <c r="M29" s="0" t="s">
        <v>119</v>
      </c>
      <c r="N29" s="0" t="s">
        <v>124</v>
      </c>
      <c r="O29" s="0" t="n">
        <v>1</v>
      </c>
      <c r="P29" s="0" t="s">
        <v>72</v>
      </c>
      <c r="Q29" s="0" t="s">
        <v>125</v>
      </c>
      <c r="R29" s="3"/>
      <c r="S29" s="2" t="s">
        <v>30</v>
      </c>
    </row>
    <row r="30" customFormat="false" ht="15" hidden="false" customHeight="false" outlineLevel="0" collapsed="false">
      <c r="A30" s="0" t="n">
        <v>29</v>
      </c>
      <c r="D30" s="0" t="s">
        <v>126</v>
      </c>
      <c r="E30" s="0" t="s">
        <v>20</v>
      </c>
      <c r="H30" s="0" t="s">
        <v>21</v>
      </c>
      <c r="I30" s="2" t="s">
        <v>22</v>
      </c>
      <c r="J30" s="2" t="s">
        <v>23</v>
      </c>
      <c r="K30" s="0" t="s">
        <v>118</v>
      </c>
      <c r="L30" s="0" t="s">
        <v>25</v>
      </c>
      <c r="M30" s="0" t="s">
        <v>119</v>
      </c>
      <c r="N30" s="0" t="s">
        <v>127</v>
      </c>
      <c r="O30" s="0" t="n">
        <v>1</v>
      </c>
      <c r="P30" s="0" t="s">
        <v>121</v>
      </c>
      <c r="Q30" s="0" t="s">
        <v>128</v>
      </c>
      <c r="R30" s="3"/>
      <c r="S30" s="2" t="s">
        <v>30</v>
      </c>
    </row>
    <row r="31" customFormat="false" ht="15" hidden="false" customHeight="false" outlineLevel="0" collapsed="false">
      <c r="A31" s="0" t="n">
        <v>30</v>
      </c>
      <c r="D31" s="0" t="s">
        <v>129</v>
      </c>
      <c r="E31" s="0" t="s">
        <v>20</v>
      </c>
      <c r="H31" s="0" t="s">
        <v>21</v>
      </c>
      <c r="I31" s="2" t="s">
        <v>22</v>
      </c>
      <c r="J31" s="2" t="s">
        <v>23</v>
      </c>
      <c r="K31" s="0" t="s">
        <v>118</v>
      </c>
      <c r="L31" s="0" t="s">
        <v>25</v>
      </c>
      <c r="M31" s="0" t="s">
        <v>119</v>
      </c>
      <c r="N31" s="0" t="s">
        <v>130</v>
      </c>
      <c r="O31" s="0" t="n">
        <v>1</v>
      </c>
      <c r="R31" s="3"/>
      <c r="S31" s="2" t="s">
        <v>30</v>
      </c>
    </row>
    <row r="32" customFormat="false" ht="15" hidden="false" customHeight="false" outlineLevel="0" collapsed="false">
      <c r="A32" s="0" t="n">
        <v>31</v>
      </c>
      <c r="D32" s="0" t="s">
        <v>131</v>
      </c>
      <c r="E32" s="0" t="s">
        <v>20</v>
      </c>
      <c r="H32" s="0" t="s">
        <v>21</v>
      </c>
      <c r="I32" s="2" t="s">
        <v>22</v>
      </c>
      <c r="J32" s="2" t="s">
        <v>23</v>
      </c>
      <c r="K32" s="0" t="s">
        <v>118</v>
      </c>
      <c r="L32" s="0" t="s">
        <v>25</v>
      </c>
      <c r="M32" s="0" t="s">
        <v>119</v>
      </c>
      <c r="N32" s="0" t="s">
        <v>132</v>
      </c>
      <c r="O32" s="0" t="n">
        <v>1</v>
      </c>
      <c r="P32" s="0" t="s">
        <v>72</v>
      </c>
      <c r="Q32" s="0" t="s">
        <v>133</v>
      </c>
      <c r="R32" s="3"/>
      <c r="S32" s="2" t="s">
        <v>30</v>
      </c>
    </row>
    <row r="33" customFormat="false" ht="15" hidden="false" customHeight="false" outlineLevel="0" collapsed="false">
      <c r="A33" s="0" t="n">
        <v>32</v>
      </c>
      <c r="D33" s="0" t="s">
        <v>134</v>
      </c>
      <c r="E33" s="0" t="s">
        <v>20</v>
      </c>
      <c r="H33" s="0" t="s">
        <v>21</v>
      </c>
      <c r="I33" s="2" t="s">
        <v>22</v>
      </c>
      <c r="J33" s="2" t="s">
        <v>23</v>
      </c>
      <c r="K33" s="0" t="s">
        <v>118</v>
      </c>
      <c r="L33" s="0" t="s">
        <v>25</v>
      </c>
      <c r="M33" s="0" t="s">
        <v>119</v>
      </c>
      <c r="N33" s="0" t="s">
        <v>135</v>
      </c>
      <c r="O33" s="0" t="n">
        <v>1</v>
      </c>
      <c r="P33" s="0" t="s">
        <v>46</v>
      </c>
      <c r="Q33" s="0" t="s">
        <v>136</v>
      </c>
      <c r="R33" s="3"/>
      <c r="S33" s="2" t="s">
        <v>30</v>
      </c>
    </row>
    <row r="34" customFormat="false" ht="15" hidden="false" customHeight="false" outlineLevel="0" collapsed="false">
      <c r="A34" s="0" t="n">
        <v>33</v>
      </c>
      <c r="D34" s="0" t="s">
        <v>137</v>
      </c>
      <c r="E34" s="0" t="s">
        <v>20</v>
      </c>
      <c r="H34" s="0" t="s">
        <v>21</v>
      </c>
      <c r="I34" s="2" t="s">
        <v>22</v>
      </c>
      <c r="J34" s="2" t="s">
        <v>23</v>
      </c>
      <c r="K34" s="0" t="s">
        <v>118</v>
      </c>
      <c r="L34" s="0" t="s">
        <v>25</v>
      </c>
      <c r="M34" s="0" t="s">
        <v>119</v>
      </c>
      <c r="N34" s="0" t="s">
        <v>138</v>
      </c>
      <c r="O34" s="0" t="n">
        <v>1</v>
      </c>
      <c r="P34" s="0" t="s">
        <v>139</v>
      </c>
      <c r="Q34" s="0" t="s">
        <v>140</v>
      </c>
      <c r="R34" s="3"/>
      <c r="S34" s="2" t="s">
        <v>30</v>
      </c>
    </row>
    <row r="35" customFormat="false" ht="15" hidden="false" customHeight="false" outlineLevel="0" collapsed="false">
      <c r="A35" s="0" t="n">
        <v>34</v>
      </c>
      <c r="D35" s="0" t="s">
        <v>141</v>
      </c>
      <c r="E35" s="0" t="s">
        <v>20</v>
      </c>
      <c r="H35" s="0" t="s">
        <v>21</v>
      </c>
      <c r="I35" s="2" t="s">
        <v>22</v>
      </c>
      <c r="J35" s="2" t="s">
        <v>23</v>
      </c>
      <c r="K35" s="0" t="s">
        <v>118</v>
      </c>
      <c r="L35" s="0" t="s">
        <v>25</v>
      </c>
      <c r="M35" s="0" t="s">
        <v>119</v>
      </c>
      <c r="N35" s="0" t="s">
        <v>142</v>
      </c>
      <c r="O35" s="0" t="n">
        <v>1</v>
      </c>
      <c r="P35" s="0" t="s">
        <v>121</v>
      </c>
      <c r="Q35" s="0" t="s">
        <v>143</v>
      </c>
      <c r="R35" s="3"/>
      <c r="S35" s="2" t="s">
        <v>30</v>
      </c>
    </row>
    <row r="36" customFormat="false" ht="15" hidden="false" customHeight="false" outlineLevel="0" collapsed="false">
      <c r="A36" s="0" t="n">
        <v>35</v>
      </c>
      <c r="D36" s="0" t="s">
        <v>144</v>
      </c>
      <c r="E36" s="0" t="s">
        <v>20</v>
      </c>
      <c r="H36" s="0" t="s">
        <v>21</v>
      </c>
      <c r="I36" s="2" t="s">
        <v>22</v>
      </c>
      <c r="J36" s="2" t="s">
        <v>23</v>
      </c>
      <c r="K36" s="0" t="s">
        <v>118</v>
      </c>
      <c r="L36" s="0" t="s">
        <v>25</v>
      </c>
      <c r="M36" s="0" t="s">
        <v>119</v>
      </c>
      <c r="N36" s="0" t="s">
        <v>145</v>
      </c>
      <c r="O36" s="0" t="n">
        <v>1</v>
      </c>
      <c r="P36" s="0" t="s">
        <v>72</v>
      </c>
      <c r="Q36" s="0" t="s">
        <v>146</v>
      </c>
      <c r="R36" s="3"/>
      <c r="S36" s="2" t="s">
        <v>30</v>
      </c>
    </row>
    <row r="37" customFormat="false" ht="15" hidden="false" customHeight="false" outlineLevel="0" collapsed="false">
      <c r="A37" s="0" t="n">
        <v>36</v>
      </c>
      <c r="D37" s="0" t="s">
        <v>147</v>
      </c>
      <c r="E37" s="0" t="s">
        <v>20</v>
      </c>
      <c r="H37" s="0" t="s">
        <v>21</v>
      </c>
      <c r="I37" s="2" t="s">
        <v>22</v>
      </c>
      <c r="J37" s="2" t="s">
        <v>23</v>
      </c>
      <c r="K37" s="0" t="s">
        <v>118</v>
      </c>
      <c r="L37" s="0" t="s">
        <v>25</v>
      </c>
      <c r="M37" s="0" t="s">
        <v>119</v>
      </c>
      <c r="N37" s="0" t="s">
        <v>148</v>
      </c>
      <c r="O37" s="0" t="n">
        <v>1</v>
      </c>
      <c r="P37" s="0" t="s">
        <v>46</v>
      </c>
      <c r="Q37" s="0" t="s">
        <v>149</v>
      </c>
      <c r="R37" s="3"/>
      <c r="S37" s="2" t="s">
        <v>30</v>
      </c>
    </row>
    <row r="38" customFormat="false" ht="15" hidden="false" customHeight="false" outlineLevel="0" collapsed="false">
      <c r="A38" s="0" t="n">
        <v>37</v>
      </c>
      <c r="D38" s="0" t="s">
        <v>150</v>
      </c>
      <c r="E38" s="0" t="s">
        <v>20</v>
      </c>
      <c r="H38" s="0" t="s">
        <v>21</v>
      </c>
      <c r="I38" s="2" t="s">
        <v>22</v>
      </c>
      <c r="J38" s="2" t="s">
        <v>23</v>
      </c>
      <c r="K38" s="0" t="s">
        <v>118</v>
      </c>
      <c r="L38" s="0" t="s">
        <v>25</v>
      </c>
      <c r="M38" s="0" t="s">
        <v>119</v>
      </c>
      <c r="N38" s="0" t="s">
        <v>130</v>
      </c>
      <c r="O38" s="0" t="n">
        <v>1</v>
      </c>
      <c r="R38" s="3"/>
      <c r="S38" s="2" t="s">
        <v>30</v>
      </c>
    </row>
    <row r="39" customFormat="false" ht="15" hidden="false" customHeight="false" outlineLevel="0" collapsed="false">
      <c r="A39" s="0" t="n">
        <v>38</v>
      </c>
      <c r="D39" s="0" t="s">
        <v>151</v>
      </c>
      <c r="E39" s="0" t="s">
        <v>20</v>
      </c>
      <c r="H39" s="0" t="s">
        <v>21</v>
      </c>
      <c r="I39" s="2" t="s">
        <v>22</v>
      </c>
      <c r="J39" s="2" t="s">
        <v>23</v>
      </c>
      <c r="K39" s="0" t="s">
        <v>118</v>
      </c>
      <c r="L39" s="0" t="s">
        <v>25</v>
      </c>
      <c r="M39" s="0" t="s">
        <v>119</v>
      </c>
      <c r="N39" s="0" t="s">
        <v>152</v>
      </c>
      <c r="O39" s="0" t="n">
        <v>1</v>
      </c>
      <c r="P39" s="0" t="s">
        <v>153</v>
      </c>
      <c r="Q39" s="0" t="s">
        <v>154</v>
      </c>
      <c r="R39" s="3"/>
      <c r="S39" s="2" t="s">
        <v>30</v>
      </c>
    </row>
    <row r="40" customFormat="false" ht="15" hidden="false" customHeight="false" outlineLevel="0" collapsed="false">
      <c r="A40" s="0" t="n">
        <v>39</v>
      </c>
      <c r="D40" s="0" t="s">
        <v>155</v>
      </c>
      <c r="E40" s="0" t="s">
        <v>20</v>
      </c>
      <c r="H40" s="0" t="s">
        <v>21</v>
      </c>
      <c r="I40" s="2" t="s">
        <v>22</v>
      </c>
      <c r="J40" s="2" t="s">
        <v>23</v>
      </c>
      <c r="K40" s="0" t="s">
        <v>118</v>
      </c>
      <c r="L40" s="0" t="s">
        <v>25</v>
      </c>
      <c r="M40" s="0" t="s">
        <v>119</v>
      </c>
      <c r="N40" s="0" t="s">
        <v>156</v>
      </c>
      <c r="O40" s="0" t="n">
        <v>1</v>
      </c>
      <c r="P40" s="0" t="s">
        <v>139</v>
      </c>
      <c r="Q40" s="0" t="s">
        <v>157</v>
      </c>
      <c r="R40" s="3"/>
      <c r="S40" s="2" t="s">
        <v>30</v>
      </c>
    </row>
    <row r="41" customFormat="false" ht="15" hidden="false" customHeight="false" outlineLevel="0" collapsed="false">
      <c r="A41" s="0" t="n">
        <v>40</v>
      </c>
      <c r="D41" s="0" t="s">
        <v>158</v>
      </c>
      <c r="E41" s="0" t="s">
        <v>20</v>
      </c>
      <c r="H41" s="0" t="s">
        <v>21</v>
      </c>
      <c r="I41" s="2" t="s">
        <v>22</v>
      </c>
      <c r="J41" s="2" t="s">
        <v>23</v>
      </c>
      <c r="K41" s="0" t="s">
        <v>118</v>
      </c>
      <c r="L41" s="0" t="s">
        <v>25</v>
      </c>
      <c r="M41" s="0" t="s">
        <v>119</v>
      </c>
      <c r="N41" s="0" t="s">
        <v>159</v>
      </c>
      <c r="O41" s="0" t="n">
        <v>1</v>
      </c>
      <c r="P41" s="0" t="s">
        <v>153</v>
      </c>
      <c r="Q41" s="0" t="s">
        <v>160</v>
      </c>
      <c r="R41" s="3"/>
      <c r="S41" s="2" t="s">
        <v>30</v>
      </c>
    </row>
    <row r="42" customFormat="false" ht="15" hidden="false" customHeight="false" outlineLevel="0" collapsed="false">
      <c r="A42" s="0" t="n">
        <v>41</v>
      </c>
      <c r="D42" s="0" t="s">
        <v>161</v>
      </c>
      <c r="E42" s="0" t="s">
        <v>20</v>
      </c>
      <c r="H42" s="0" t="s">
        <v>21</v>
      </c>
      <c r="I42" s="2" t="s">
        <v>22</v>
      </c>
      <c r="J42" s="2" t="s">
        <v>23</v>
      </c>
      <c r="K42" s="0" t="s">
        <v>118</v>
      </c>
      <c r="L42" s="0" t="s">
        <v>114</v>
      </c>
      <c r="M42" s="0" t="s">
        <v>119</v>
      </c>
      <c r="O42" s="0" t="n">
        <v>0</v>
      </c>
      <c r="P42" s="0" t="s">
        <v>72</v>
      </c>
      <c r="Q42" s="0" t="s">
        <v>162</v>
      </c>
      <c r="R42" s="3"/>
      <c r="S42" s="2" t="s">
        <v>30</v>
      </c>
    </row>
    <row r="43" customFormat="false" ht="15" hidden="false" customHeight="false" outlineLevel="0" collapsed="false">
      <c r="A43" s="0" t="n">
        <v>42</v>
      </c>
      <c r="D43" s="0" t="s">
        <v>163</v>
      </c>
      <c r="E43" s="0" t="s">
        <v>20</v>
      </c>
      <c r="H43" s="0" t="s">
        <v>21</v>
      </c>
      <c r="I43" s="2" t="s">
        <v>22</v>
      </c>
      <c r="J43" s="2" t="s">
        <v>23</v>
      </c>
      <c r="K43" s="0" t="s">
        <v>118</v>
      </c>
      <c r="L43" s="0" t="s">
        <v>25</v>
      </c>
      <c r="M43" s="0" t="s">
        <v>119</v>
      </c>
      <c r="N43" s="0" t="s">
        <v>164</v>
      </c>
      <c r="O43" s="0" t="n">
        <v>1</v>
      </c>
      <c r="Q43" s="0" t="s">
        <v>165</v>
      </c>
      <c r="R43" s="3"/>
      <c r="S43" s="2" t="s">
        <v>30</v>
      </c>
    </row>
    <row r="44" customFormat="false" ht="15" hidden="false" customHeight="false" outlineLevel="0" collapsed="false">
      <c r="A44" s="0" t="n">
        <v>43</v>
      </c>
      <c r="D44" s="0" t="s">
        <v>166</v>
      </c>
      <c r="E44" s="0" t="s">
        <v>20</v>
      </c>
      <c r="H44" s="0" t="s">
        <v>21</v>
      </c>
      <c r="I44" s="2" t="s">
        <v>22</v>
      </c>
      <c r="J44" s="2" t="s">
        <v>23</v>
      </c>
      <c r="K44" s="0" t="s">
        <v>118</v>
      </c>
      <c r="L44" s="0" t="s">
        <v>25</v>
      </c>
      <c r="M44" s="0" t="s">
        <v>119</v>
      </c>
      <c r="N44" s="0" t="s">
        <v>167</v>
      </c>
      <c r="O44" s="0" t="n">
        <v>1</v>
      </c>
      <c r="P44" s="0" t="s">
        <v>139</v>
      </c>
      <c r="Q44" s="0" t="s">
        <v>168</v>
      </c>
      <c r="R44" s="3"/>
      <c r="S44" s="2" t="s">
        <v>30</v>
      </c>
    </row>
    <row r="45" customFormat="false" ht="15" hidden="false" customHeight="false" outlineLevel="0" collapsed="false">
      <c r="A45" s="0" t="n">
        <v>44</v>
      </c>
      <c r="D45" s="0" t="s">
        <v>169</v>
      </c>
      <c r="E45" s="0" t="s">
        <v>20</v>
      </c>
      <c r="H45" s="0" t="s">
        <v>21</v>
      </c>
      <c r="I45" s="2" t="s">
        <v>22</v>
      </c>
      <c r="J45" s="2" t="s">
        <v>23</v>
      </c>
      <c r="K45" s="0" t="s">
        <v>118</v>
      </c>
      <c r="L45" s="0" t="s">
        <v>25</v>
      </c>
      <c r="M45" s="0" t="s">
        <v>119</v>
      </c>
      <c r="N45" s="0" t="s">
        <v>170</v>
      </c>
      <c r="O45" s="0" t="n">
        <v>1</v>
      </c>
      <c r="P45" s="0" t="s">
        <v>46</v>
      </c>
      <c r="Q45" s="0" t="s">
        <v>171</v>
      </c>
      <c r="R45" s="3"/>
      <c r="S45" s="2" t="s">
        <v>30</v>
      </c>
    </row>
    <row r="46" customFormat="false" ht="15" hidden="false" customHeight="false" outlineLevel="0" collapsed="false">
      <c r="A46" s="0" t="n">
        <v>45</v>
      </c>
      <c r="D46" s="0" t="s">
        <v>172</v>
      </c>
      <c r="E46" s="0" t="s">
        <v>20</v>
      </c>
      <c r="H46" s="0" t="s">
        <v>21</v>
      </c>
      <c r="I46" s="2" t="s">
        <v>22</v>
      </c>
      <c r="J46" s="2" t="s">
        <v>23</v>
      </c>
      <c r="K46" s="0" t="s">
        <v>118</v>
      </c>
      <c r="L46" s="0" t="s">
        <v>25</v>
      </c>
      <c r="M46" s="0" t="s">
        <v>119</v>
      </c>
      <c r="N46" s="0" t="s">
        <v>173</v>
      </c>
      <c r="O46" s="0" t="n">
        <v>1</v>
      </c>
      <c r="P46" s="0" t="s">
        <v>46</v>
      </c>
      <c r="Q46" s="0" t="s">
        <v>174</v>
      </c>
      <c r="R46" s="3"/>
      <c r="S46" s="2" t="s">
        <v>30</v>
      </c>
    </row>
    <row r="47" customFormat="false" ht="15" hidden="false" customHeight="false" outlineLevel="0" collapsed="false">
      <c r="A47" s="0" t="n">
        <v>46</v>
      </c>
      <c r="D47" s="0" t="s">
        <v>175</v>
      </c>
      <c r="E47" s="0" t="s">
        <v>20</v>
      </c>
      <c r="H47" s="0" t="s">
        <v>21</v>
      </c>
      <c r="I47" s="2" t="s">
        <v>22</v>
      </c>
      <c r="J47" s="2" t="s">
        <v>23</v>
      </c>
      <c r="K47" s="0" t="s">
        <v>118</v>
      </c>
      <c r="L47" s="0" t="s">
        <v>25</v>
      </c>
      <c r="M47" s="0" t="s">
        <v>119</v>
      </c>
      <c r="N47" s="0" t="s">
        <v>176</v>
      </c>
      <c r="O47" s="0" t="n">
        <v>1</v>
      </c>
      <c r="P47" s="0" t="s">
        <v>121</v>
      </c>
      <c r="Q47" s="0" t="s">
        <v>177</v>
      </c>
      <c r="R47" s="3"/>
      <c r="S47" s="2" t="s">
        <v>30</v>
      </c>
    </row>
    <row r="48" customFormat="false" ht="15" hidden="false" customHeight="false" outlineLevel="0" collapsed="false">
      <c r="A48" s="0" t="n">
        <v>47</v>
      </c>
      <c r="D48" s="0" t="s">
        <v>178</v>
      </c>
      <c r="E48" s="0" t="s">
        <v>20</v>
      </c>
      <c r="H48" s="0" t="s">
        <v>21</v>
      </c>
      <c r="I48" s="2" t="s">
        <v>22</v>
      </c>
      <c r="J48" s="2" t="s">
        <v>23</v>
      </c>
      <c r="K48" s="0" t="s">
        <v>118</v>
      </c>
      <c r="L48" s="0" t="s">
        <v>25</v>
      </c>
      <c r="M48" s="0" t="s">
        <v>119</v>
      </c>
      <c r="N48" s="0" t="s">
        <v>179</v>
      </c>
      <c r="O48" s="0" t="n">
        <v>1</v>
      </c>
      <c r="P48" s="0" t="s">
        <v>46</v>
      </c>
      <c r="Q48" s="0" t="s">
        <v>180</v>
      </c>
      <c r="R48" s="3"/>
      <c r="S48" s="2" t="s">
        <v>30</v>
      </c>
    </row>
    <row r="49" customFormat="false" ht="15" hidden="false" customHeight="false" outlineLevel="0" collapsed="false">
      <c r="A49" s="0" t="n">
        <v>48</v>
      </c>
      <c r="D49" s="0" t="s">
        <v>181</v>
      </c>
      <c r="E49" s="0" t="s">
        <v>113</v>
      </c>
      <c r="H49" s="0" t="s">
        <v>21</v>
      </c>
      <c r="I49" s="2" t="s">
        <v>22</v>
      </c>
      <c r="J49" s="2" t="s">
        <v>23</v>
      </c>
      <c r="K49" s="0" t="s">
        <v>118</v>
      </c>
      <c r="L49" s="0" t="s">
        <v>25</v>
      </c>
      <c r="M49" s="0" t="s">
        <v>119</v>
      </c>
      <c r="N49" s="0" t="s">
        <v>182</v>
      </c>
      <c r="O49" s="0" t="n">
        <v>1</v>
      </c>
      <c r="P49" s="0" t="s">
        <v>183</v>
      </c>
      <c r="Q49" s="0" t="s">
        <v>184</v>
      </c>
      <c r="R49" s="3"/>
      <c r="S49" s="2" t="s">
        <v>30</v>
      </c>
    </row>
    <row r="50" customFormat="false" ht="15" hidden="false" customHeight="false" outlineLevel="0" collapsed="false">
      <c r="A50" s="0" t="n">
        <v>49</v>
      </c>
      <c r="D50" s="0" t="s">
        <v>185</v>
      </c>
      <c r="E50" s="0" t="s">
        <v>186</v>
      </c>
      <c r="H50" s="0" t="s">
        <v>21</v>
      </c>
      <c r="I50" s="2" t="s">
        <v>22</v>
      </c>
      <c r="J50" s="2" t="s">
        <v>23</v>
      </c>
      <c r="K50" s="0" t="s">
        <v>118</v>
      </c>
      <c r="L50" s="0" t="s">
        <v>25</v>
      </c>
      <c r="M50" s="0" t="s">
        <v>119</v>
      </c>
      <c r="N50" s="0" t="s">
        <v>187</v>
      </c>
      <c r="O50" s="0" t="n">
        <v>1</v>
      </c>
      <c r="P50" s="0" t="s">
        <v>33</v>
      </c>
      <c r="Q50" s="0" t="s">
        <v>188</v>
      </c>
      <c r="R50" s="3"/>
      <c r="S50" s="2" t="s">
        <v>30</v>
      </c>
    </row>
    <row r="51" customFormat="false" ht="15" hidden="false" customHeight="false" outlineLevel="0" collapsed="false">
      <c r="A51" s="0" t="n">
        <v>50</v>
      </c>
      <c r="D51" s="0" t="s">
        <v>189</v>
      </c>
      <c r="E51" s="0" t="s">
        <v>113</v>
      </c>
      <c r="H51" s="0" t="s">
        <v>21</v>
      </c>
      <c r="I51" s="2" t="s">
        <v>22</v>
      </c>
      <c r="J51" s="2" t="s">
        <v>23</v>
      </c>
      <c r="K51" s="0" t="s">
        <v>118</v>
      </c>
      <c r="L51" s="0" t="s">
        <v>25</v>
      </c>
      <c r="M51" s="0" t="s">
        <v>119</v>
      </c>
      <c r="N51" s="0" t="s">
        <v>190</v>
      </c>
      <c r="O51" s="0" t="n">
        <v>1</v>
      </c>
      <c r="P51" s="0" t="s">
        <v>139</v>
      </c>
      <c r="Q51" s="0" t="s">
        <v>191</v>
      </c>
      <c r="R51" s="3"/>
      <c r="S51" s="2" t="s">
        <v>30</v>
      </c>
    </row>
    <row r="52" customFormat="false" ht="15" hidden="false" customHeight="false" outlineLevel="0" collapsed="false">
      <c r="A52" s="0" t="n">
        <v>51</v>
      </c>
      <c r="D52" s="0" t="s">
        <v>192</v>
      </c>
      <c r="E52" s="0" t="s">
        <v>113</v>
      </c>
      <c r="H52" s="0" t="s">
        <v>21</v>
      </c>
      <c r="I52" s="2" t="s">
        <v>22</v>
      </c>
      <c r="J52" s="2" t="s">
        <v>23</v>
      </c>
      <c r="K52" s="0" t="s">
        <v>118</v>
      </c>
      <c r="L52" s="0" t="s">
        <v>25</v>
      </c>
      <c r="M52" s="0" t="s">
        <v>119</v>
      </c>
      <c r="N52" s="0" t="s">
        <v>193</v>
      </c>
      <c r="O52" s="0" t="n">
        <v>1</v>
      </c>
      <c r="P52" s="0" t="s">
        <v>46</v>
      </c>
      <c r="Q52" s="0" t="s">
        <v>194</v>
      </c>
      <c r="R52" s="3"/>
      <c r="S52" s="2" t="s">
        <v>30</v>
      </c>
    </row>
    <row r="53" customFormat="false" ht="15" hidden="false" customHeight="false" outlineLevel="0" collapsed="false">
      <c r="A53" s="0" t="n">
        <v>52</v>
      </c>
      <c r="D53" s="0" t="s">
        <v>195</v>
      </c>
      <c r="E53" s="0" t="s">
        <v>196</v>
      </c>
      <c r="H53" s="0" t="s">
        <v>21</v>
      </c>
      <c r="I53" s="2" t="s">
        <v>22</v>
      </c>
      <c r="J53" s="2" t="s">
        <v>23</v>
      </c>
      <c r="K53" s="0" t="s">
        <v>118</v>
      </c>
      <c r="L53" s="0" t="s">
        <v>25</v>
      </c>
      <c r="M53" s="0" t="s">
        <v>119</v>
      </c>
      <c r="N53" s="0" t="s">
        <v>197</v>
      </c>
      <c r="O53" s="0" t="n">
        <v>1</v>
      </c>
      <c r="P53" s="0" t="s">
        <v>121</v>
      </c>
      <c r="Q53" s="0" t="s">
        <v>198</v>
      </c>
      <c r="R53" s="3"/>
      <c r="S53" s="2" t="s">
        <v>30</v>
      </c>
    </row>
    <row r="54" customFormat="false" ht="15" hidden="false" customHeight="false" outlineLevel="0" collapsed="false">
      <c r="A54" s="0" t="n">
        <v>53</v>
      </c>
      <c r="D54" s="0" t="s">
        <v>199</v>
      </c>
      <c r="E54" s="0" t="s">
        <v>200</v>
      </c>
      <c r="H54" s="0" t="s">
        <v>21</v>
      </c>
      <c r="I54" s="2" t="s">
        <v>22</v>
      </c>
      <c r="J54" s="2" t="s">
        <v>23</v>
      </c>
      <c r="K54" s="0" t="s">
        <v>118</v>
      </c>
      <c r="L54" s="0" t="s">
        <v>25</v>
      </c>
      <c r="M54" s="0" t="s">
        <v>119</v>
      </c>
      <c r="N54" s="0" t="s">
        <v>201</v>
      </c>
      <c r="O54" s="0" t="n">
        <v>1</v>
      </c>
      <c r="P54" s="0" t="s">
        <v>121</v>
      </c>
      <c r="Q54" s="0" t="s">
        <v>202</v>
      </c>
      <c r="R54" s="3"/>
      <c r="S54" s="2" t="s">
        <v>30</v>
      </c>
    </row>
    <row r="55" customFormat="false" ht="15" hidden="false" customHeight="false" outlineLevel="0" collapsed="false">
      <c r="A55" s="0" t="n">
        <v>54</v>
      </c>
      <c r="D55" s="0" t="s">
        <v>203</v>
      </c>
      <c r="E55" s="0" t="s">
        <v>113</v>
      </c>
      <c r="H55" s="0" t="s">
        <v>21</v>
      </c>
      <c r="I55" s="2" t="s">
        <v>22</v>
      </c>
      <c r="J55" s="2" t="s">
        <v>23</v>
      </c>
      <c r="K55" s="0" t="s">
        <v>118</v>
      </c>
      <c r="L55" s="0" t="s">
        <v>25</v>
      </c>
      <c r="M55" s="0" t="s">
        <v>119</v>
      </c>
      <c r="N55" s="0" t="s">
        <v>204</v>
      </c>
      <c r="O55" s="0" t="n">
        <v>1</v>
      </c>
      <c r="P55" s="0" t="s">
        <v>183</v>
      </c>
      <c r="Q55" s="0" t="s">
        <v>205</v>
      </c>
      <c r="R55" s="3"/>
      <c r="S55" s="2" t="s">
        <v>30</v>
      </c>
    </row>
    <row r="56" customFormat="false" ht="15" hidden="false" customHeight="false" outlineLevel="0" collapsed="false">
      <c r="A56" s="0" t="n">
        <v>55</v>
      </c>
      <c r="D56" s="0" t="s">
        <v>206</v>
      </c>
      <c r="E56" s="0" t="s">
        <v>113</v>
      </c>
      <c r="H56" s="0" t="s">
        <v>21</v>
      </c>
      <c r="I56" s="2" t="s">
        <v>22</v>
      </c>
      <c r="J56" s="2" t="s">
        <v>23</v>
      </c>
      <c r="K56" s="0" t="s">
        <v>118</v>
      </c>
      <c r="L56" s="0" t="s">
        <v>25</v>
      </c>
      <c r="M56" s="0" t="s">
        <v>119</v>
      </c>
      <c r="N56" s="0" t="s">
        <v>207</v>
      </c>
      <c r="O56" s="0" t="n">
        <v>1</v>
      </c>
      <c r="P56" s="0" t="s">
        <v>139</v>
      </c>
      <c r="Q56" s="0" t="s">
        <v>208</v>
      </c>
      <c r="R56" s="3"/>
      <c r="S56" s="2" t="s">
        <v>30</v>
      </c>
    </row>
    <row r="57" customFormat="false" ht="15" hidden="false" customHeight="false" outlineLevel="0" collapsed="false">
      <c r="A57" s="0" t="n">
        <v>56</v>
      </c>
      <c r="D57" s="0" t="s">
        <v>209</v>
      </c>
      <c r="E57" s="0" t="s">
        <v>108</v>
      </c>
      <c r="H57" s="0" t="s">
        <v>21</v>
      </c>
      <c r="I57" s="2" t="s">
        <v>22</v>
      </c>
      <c r="J57" s="2" t="s">
        <v>23</v>
      </c>
      <c r="K57" s="0" t="s">
        <v>118</v>
      </c>
      <c r="L57" s="0" t="s">
        <v>114</v>
      </c>
      <c r="M57" s="0" t="s">
        <v>119</v>
      </c>
      <c r="O57" s="0" t="n">
        <v>0</v>
      </c>
      <c r="P57" s="0" t="s">
        <v>72</v>
      </c>
      <c r="Q57" s="0" t="s">
        <v>210</v>
      </c>
      <c r="R57" s="3"/>
      <c r="S57" s="2" t="s">
        <v>30</v>
      </c>
    </row>
    <row r="58" customFormat="false" ht="15" hidden="false" customHeight="false" outlineLevel="0" collapsed="false">
      <c r="A58" s="0" t="n">
        <v>57</v>
      </c>
      <c r="D58" s="0" t="s">
        <v>211</v>
      </c>
      <c r="E58" s="0" t="s">
        <v>212</v>
      </c>
      <c r="H58" s="0" t="s">
        <v>21</v>
      </c>
      <c r="I58" s="2" t="s">
        <v>22</v>
      </c>
      <c r="J58" s="2" t="s">
        <v>23</v>
      </c>
      <c r="K58" s="0" t="s">
        <v>118</v>
      </c>
      <c r="L58" s="0" t="s">
        <v>25</v>
      </c>
      <c r="M58" s="0" t="s">
        <v>119</v>
      </c>
      <c r="N58" s="0" t="s">
        <v>213</v>
      </c>
      <c r="O58" s="0" t="n">
        <v>1</v>
      </c>
      <c r="P58" s="0" t="s">
        <v>139</v>
      </c>
      <c r="Q58" s="0" t="s">
        <v>214</v>
      </c>
      <c r="R58" s="3"/>
      <c r="S58" s="2" t="s">
        <v>30</v>
      </c>
    </row>
    <row r="59" customFormat="false" ht="15" hidden="false" customHeight="false" outlineLevel="0" collapsed="false">
      <c r="A59" s="0" t="n">
        <v>58</v>
      </c>
      <c r="D59" s="0" t="s">
        <v>215</v>
      </c>
      <c r="E59" s="0" t="s">
        <v>216</v>
      </c>
      <c r="H59" s="0" t="s">
        <v>21</v>
      </c>
      <c r="I59" s="2" t="s">
        <v>22</v>
      </c>
      <c r="J59" s="2" t="s">
        <v>23</v>
      </c>
      <c r="K59" s="0" t="s">
        <v>118</v>
      </c>
      <c r="L59" s="0" t="s">
        <v>25</v>
      </c>
      <c r="M59" s="0" t="s">
        <v>119</v>
      </c>
      <c r="N59" s="0" t="s">
        <v>217</v>
      </c>
      <c r="O59" s="0" t="n">
        <v>1</v>
      </c>
      <c r="P59" s="0" t="s">
        <v>183</v>
      </c>
      <c r="Q59" s="0" t="s">
        <v>218</v>
      </c>
      <c r="R59" s="3"/>
      <c r="S59" s="2" t="s">
        <v>30</v>
      </c>
    </row>
    <row r="60" customFormat="false" ht="15" hidden="false" customHeight="false" outlineLevel="0" collapsed="false">
      <c r="A60" s="0" t="n">
        <v>59</v>
      </c>
      <c r="D60" s="0" t="s">
        <v>219</v>
      </c>
      <c r="E60" s="0" t="s">
        <v>113</v>
      </c>
      <c r="H60" s="0" t="s">
        <v>21</v>
      </c>
      <c r="I60" s="2" t="s">
        <v>22</v>
      </c>
      <c r="J60" s="2" t="s">
        <v>23</v>
      </c>
      <c r="K60" s="0" t="s">
        <v>118</v>
      </c>
      <c r="L60" s="0" t="s">
        <v>25</v>
      </c>
      <c r="M60" s="0" t="s">
        <v>119</v>
      </c>
      <c r="N60" s="0" t="s">
        <v>220</v>
      </c>
      <c r="O60" s="0" t="n">
        <v>1</v>
      </c>
      <c r="P60" s="0" t="s">
        <v>46</v>
      </c>
      <c r="Q60" s="0" t="s">
        <v>221</v>
      </c>
      <c r="R60" s="3"/>
      <c r="S60" s="2" t="s">
        <v>30</v>
      </c>
    </row>
    <row r="61" customFormat="false" ht="15" hidden="false" customHeight="false" outlineLevel="0" collapsed="false">
      <c r="A61" s="0" t="n">
        <v>60</v>
      </c>
      <c r="D61" s="0" t="s">
        <v>222</v>
      </c>
      <c r="E61" s="0" t="s">
        <v>104</v>
      </c>
      <c r="H61" s="0" t="s">
        <v>21</v>
      </c>
      <c r="I61" s="2" t="s">
        <v>22</v>
      </c>
      <c r="J61" s="2" t="s">
        <v>23</v>
      </c>
      <c r="K61" s="0" t="s">
        <v>118</v>
      </c>
      <c r="L61" s="0" t="s">
        <v>25</v>
      </c>
      <c r="M61" s="0" t="s">
        <v>119</v>
      </c>
      <c r="N61" s="0" t="s">
        <v>105</v>
      </c>
      <c r="O61" s="0" t="n">
        <v>1</v>
      </c>
      <c r="P61" s="0" t="s">
        <v>33</v>
      </c>
      <c r="Q61" s="0" t="s">
        <v>223</v>
      </c>
      <c r="R61" s="3"/>
      <c r="S61" s="2" t="s">
        <v>30</v>
      </c>
    </row>
    <row r="62" customFormat="false" ht="15" hidden="false" customHeight="false" outlineLevel="0" collapsed="false">
      <c r="A62" s="0" t="n">
        <v>61</v>
      </c>
      <c r="D62" s="0" t="s">
        <v>224</v>
      </c>
      <c r="E62" s="0" t="s">
        <v>200</v>
      </c>
      <c r="H62" s="0" t="s">
        <v>21</v>
      </c>
      <c r="I62" s="2" t="s">
        <v>22</v>
      </c>
      <c r="J62" s="2" t="s">
        <v>23</v>
      </c>
      <c r="K62" s="0" t="s">
        <v>118</v>
      </c>
      <c r="L62" s="0" t="s">
        <v>25</v>
      </c>
      <c r="M62" s="0" t="s">
        <v>119</v>
      </c>
      <c r="N62" s="0" t="s">
        <v>225</v>
      </c>
      <c r="O62" s="0" t="n">
        <v>1</v>
      </c>
      <c r="P62" s="0" t="s">
        <v>139</v>
      </c>
      <c r="Q62" s="0" t="s">
        <v>226</v>
      </c>
      <c r="R62" s="3"/>
      <c r="S62" s="2" t="s">
        <v>30</v>
      </c>
    </row>
    <row r="63" customFormat="false" ht="15" hidden="false" customHeight="false" outlineLevel="0" collapsed="false">
      <c r="A63" s="0" t="n">
        <v>62</v>
      </c>
      <c r="D63" s="0" t="s">
        <v>227</v>
      </c>
      <c r="E63" s="0" t="s">
        <v>113</v>
      </c>
      <c r="H63" s="0" t="s">
        <v>21</v>
      </c>
      <c r="I63" s="2" t="s">
        <v>22</v>
      </c>
      <c r="J63" s="2" t="s">
        <v>23</v>
      </c>
      <c r="K63" s="0" t="s">
        <v>118</v>
      </c>
      <c r="L63" s="0" t="s">
        <v>25</v>
      </c>
      <c r="M63" s="0" t="s">
        <v>119</v>
      </c>
      <c r="N63" s="0" t="s">
        <v>228</v>
      </c>
      <c r="O63" s="0" t="n">
        <v>1</v>
      </c>
      <c r="P63" s="0" t="s">
        <v>183</v>
      </c>
      <c r="Q63" s="0" t="s">
        <v>229</v>
      </c>
      <c r="R63" s="3"/>
      <c r="S63" s="2" t="s">
        <v>30</v>
      </c>
    </row>
    <row r="64" customFormat="false" ht="15" hidden="false" customHeight="false" outlineLevel="0" collapsed="false">
      <c r="A64" s="0" t="n">
        <v>63</v>
      </c>
      <c r="D64" s="0" t="s">
        <v>230</v>
      </c>
      <c r="E64" s="0" t="s">
        <v>113</v>
      </c>
      <c r="H64" s="0" t="s">
        <v>21</v>
      </c>
      <c r="I64" s="2" t="s">
        <v>22</v>
      </c>
      <c r="J64" s="2" t="s">
        <v>23</v>
      </c>
      <c r="K64" s="0" t="s">
        <v>118</v>
      </c>
      <c r="L64" s="0" t="s">
        <v>25</v>
      </c>
      <c r="M64" s="0" t="s">
        <v>119</v>
      </c>
      <c r="N64" s="0" t="s">
        <v>231</v>
      </c>
      <c r="O64" s="0" t="n">
        <v>1</v>
      </c>
      <c r="P64" s="0" t="s">
        <v>139</v>
      </c>
      <c r="Q64" s="0" t="s">
        <v>232</v>
      </c>
      <c r="R64" s="3"/>
      <c r="S64" s="2" t="s">
        <v>30</v>
      </c>
    </row>
    <row r="65" customFormat="false" ht="15" hidden="false" customHeight="false" outlineLevel="0" collapsed="false">
      <c r="A65" s="0" t="n">
        <v>64</v>
      </c>
      <c r="D65" s="0" t="s">
        <v>233</v>
      </c>
      <c r="E65" s="0" t="s">
        <v>113</v>
      </c>
      <c r="H65" s="0" t="s">
        <v>21</v>
      </c>
      <c r="I65" s="2" t="s">
        <v>22</v>
      </c>
      <c r="J65" s="2" t="s">
        <v>23</v>
      </c>
      <c r="K65" s="0" t="s">
        <v>118</v>
      </c>
      <c r="L65" s="0" t="s">
        <v>25</v>
      </c>
      <c r="M65" s="0" t="s">
        <v>119</v>
      </c>
      <c r="N65" s="0" t="s">
        <v>234</v>
      </c>
      <c r="O65" s="0" t="n">
        <v>1</v>
      </c>
      <c r="P65" s="0" t="s">
        <v>46</v>
      </c>
      <c r="Q65" s="0" t="s">
        <v>235</v>
      </c>
      <c r="R65" s="3"/>
      <c r="S65" s="2" t="s">
        <v>30</v>
      </c>
    </row>
    <row r="66" customFormat="false" ht="15" hidden="false" customHeight="false" outlineLevel="0" collapsed="false">
      <c r="A66" s="0" t="n">
        <v>65</v>
      </c>
      <c r="D66" s="0" t="s">
        <v>236</v>
      </c>
      <c r="E66" s="0" t="s">
        <v>108</v>
      </c>
      <c r="H66" s="0" t="s">
        <v>21</v>
      </c>
      <c r="I66" s="2" t="s">
        <v>22</v>
      </c>
      <c r="J66" s="2" t="s">
        <v>23</v>
      </c>
      <c r="K66" s="0" t="s">
        <v>118</v>
      </c>
      <c r="L66" s="0" t="s">
        <v>25</v>
      </c>
      <c r="M66" s="0" t="s">
        <v>119</v>
      </c>
      <c r="N66" s="0" t="s">
        <v>237</v>
      </c>
      <c r="O66" s="0" t="n">
        <v>1</v>
      </c>
      <c r="P66" s="0" t="s">
        <v>139</v>
      </c>
      <c r="Q66" s="0" t="s">
        <v>238</v>
      </c>
      <c r="R66" s="3"/>
      <c r="S66" s="2" t="s">
        <v>30</v>
      </c>
    </row>
    <row r="67" customFormat="false" ht="15" hidden="false" customHeight="false" outlineLevel="0" collapsed="false">
      <c r="A67" s="0" t="n">
        <v>66</v>
      </c>
      <c r="D67" s="0" t="s">
        <v>239</v>
      </c>
      <c r="E67" s="0" t="s">
        <v>200</v>
      </c>
      <c r="H67" s="0" t="s">
        <v>21</v>
      </c>
      <c r="I67" s="2" t="s">
        <v>22</v>
      </c>
      <c r="J67" s="2" t="s">
        <v>23</v>
      </c>
      <c r="K67" s="0" t="s">
        <v>118</v>
      </c>
      <c r="L67" s="0" t="s">
        <v>25</v>
      </c>
      <c r="M67" s="0" t="s">
        <v>119</v>
      </c>
      <c r="N67" s="0" t="s">
        <v>240</v>
      </c>
      <c r="O67" s="0" t="n">
        <v>1</v>
      </c>
      <c r="P67" s="0" t="s">
        <v>153</v>
      </c>
      <c r="Q67" s="0" t="s">
        <v>241</v>
      </c>
      <c r="R67" s="3"/>
      <c r="S67" s="2" t="s">
        <v>30</v>
      </c>
    </row>
    <row r="68" customFormat="false" ht="15" hidden="false" customHeight="false" outlineLevel="0" collapsed="false">
      <c r="A68" s="0" t="n">
        <v>67</v>
      </c>
      <c r="D68" s="0" t="s">
        <v>242</v>
      </c>
      <c r="E68" s="0" t="s">
        <v>113</v>
      </c>
      <c r="H68" s="0" t="s">
        <v>21</v>
      </c>
      <c r="I68" s="2" t="s">
        <v>22</v>
      </c>
      <c r="J68" s="2" t="s">
        <v>23</v>
      </c>
      <c r="K68" s="0" t="s">
        <v>118</v>
      </c>
      <c r="L68" s="0" t="s">
        <v>25</v>
      </c>
      <c r="M68" s="0" t="s">
        <v>119</v>
      </c>
      <c r="N68" s="0" t="s">
        <v>243</v>
      </c>
      <c r="O68" s="0" t="n">
        <v>1</v>
      </c>
      <c r="P68" s="0" t="s">
        <v>46</v>
      </c>
      <c r="Q68" s="0" t="s">
        <v>244</v>
      </c>
      <c r="R68" s="3"/>
      <c r="S68" s="2" t="s">
        <v>30</v>
      </c>
    </row>
    <row r="69" customFormat="false" ht="15" hidden="false" customHeight="false" outlineLevel="0" collapsed="false">
      <c r="A69" s="0" t="n">
        <v>68</v>
      </c>
      <c r="D69" s="0" t="s">
        <v>245</v>
      </c>
      <c r="E69" s="0" t="s">
        <v>113</v>
      </c>
      <c r="H69" s="0" t="s">
        <v>21</v>
      </c>
      <c r="I69" s="2" t="s">
        <v>22</v>
      </c>
      <c r="J69" s="2" t="s">
        <v>23</v>
      </c>
      <c r="K69" s="0" t="s">
        <v>118</v>
      </c>
      <c r="L69" s="0" t="s">
        <v>25</v>
      </c>
      <c r="M69" s="0" t="s">
        <v>119</v>
      </c>
      <c r="N69" s="0" t="s">
        <v>246</v>
      </c>
      <c r="O69" s="0" t="n">
        <v>1</v>
      </c>
      <c r="P69" s="0" t="s">
        <v>46</v>
      </c>
      <c r="R69" s="3"/>
      <c r="S69" s="2" t="s">
        <v>30</v>
      </c>
    </row>
    <row r="70" customFormat="false" ht="15" hidden="false" customHeight="false" outlineLevel="0" collapsed="false">
      <c r="A70" s="0" t="n">
        <v>69</v>
      </c>
      <c r="D70" s="0" t="s">
        <v>247</v>
      </c>
      <c r="E70" s="0" t="s">
        <v>248</v>
      </c>
      <c r="H70" s="0" t="s">
        <v>21</v>
      </c>
      <c r="I70" s="2" t="s">
        <v>22</v>
      </c>
      <c r="J70" s="2" t="s">
        <v>23</v>
      </c>
      <c r="K70" s="0" t="s">
        <v>118</v>
      </c>
      <c r="L70" s="0" t="s">
        <v>25</v>
      </c>
      <c r="M70" s="0" t="s">
        <v>119</v>
      </c>
      <c r="N70" s="0" t="s">
        <v>249</v>
      </c>
      <c r="O70" s="0" t="n">
        <v>1</v>
      </c>
      <c r="P70" s="0" t="s">
        <v>46</v>
      </c>
      <c r="Q70" s="0" t="s">
        <v>250</v>
      </c>
      <c r="R70" s="3"/>
      <c r="S70" s="2" t="s">
        <v>30</v>
      </c>
    </row>
    <row r="71" customFormat="false" ht="15" hidden="false" customHeight="false" outlineLevel="0" collapsed="false">
      <c r="A71" s="0" t="n">
        <v>70</v>
      </c>
      <c r="D71" s="0" t="s">
        <v>251</v>
      </c>
      <c r="E71" s="0" t="s">
        <v>216</v>
      </c>
      <c r="H71" s="0" t="s">
        <v>21</v>
      </c>
      <c r="I71" s="2" t="s">
        <v>22</v>
      </c>
      <c r="J71" s="2" t="s">
        <v>23</v>
      </c>
      <c r="K71" s="0" t="s">
        <v>118</v>
      </c>
      <c r="L71" s="0" t="s">
        <v>25</v>
      </c>
      <c r="M71" s="0" t="s">
        <v>119</v>
      </c>
      <c r="N71" s="0" t="s">
        <v>252</v>
      </c>
      <c r="O71" s="0" t="n">
        <v>1</v>
      </c>
      <c r="P71" s="0" t="s">
        <v>46</v>
      </c>
      <c r="Q71" s="0" t="s">
        <v>253</v>
      </c>
      <c r="R71" s="3"/>
      <c r="S71" s="2" t="s">
        <v>30</v>
      </c>
    </row>
    <row r="72" customFormat="false" ht="15" hidden="false" customHeight="false" outlineLevel="0" collapsed="false">
      <c r="A72" s="0" t="n">
        <v>71</v>
      </c>
      <c r="D72" s="0" t="s">
        <v>254</v>
      </c>
      <c r="E72" s="0" t="s">
        <v>113</v>
      </c>
      <c r="H72" s="0" t="s">
        <v>21</v>
      </c>
      <c r="I72" s="2" t="s">
        <v>22</v>
      </c>
      <c r="J72" s="2" t="s">
        <v>23</v>
      </c>
      <c r="K72" s="0" t="s">
        <v>118</v>
      </c>
      <c r="L72" s="0" t="s">
        <v>114</v>
      </c>
      <c r="M72" s="0" t="s">
        <v>119</v>
      </c>
      <c r="O72" s="0" t="n">
        <v>0</v>
      </c>
      <c r="P72" s="0" t="s">
        <v>46</v>
      </c>
      <c r="Q72" s="0" t="s">
        <v>255</v>
      </c>
      <c r="R72" s="3"/>
      <c r="S72" s="2" t="s">
        <v>30</v>
      </c>
    </row>
    <row r="73" customFormat="false" ht="15" hidden="false" customHeight="false" outlineLevel="0" collapsed="false">
      <c r="A73" s="0" t="n">
        <v>72</v>
      </c>
      <c r="D73" s="0" t="s">
        <v>256</v>
      </c>
      <c r="E73" s="0" t="s">
        <v>257</v>
      </c>
      <c r="H73" s="0" t="s">
        <v>21</v>
      </c>
      <c r="I73" s="2" t="s">
        <v>22</v>
      </c>
      <c r="J73" s="2" t="s">
        <v>23</v>
      </c>
      <c r="K73" s="0" t="s">
        <v>118</v>
      </c>
      <c r="L73" s="0" t="s">
        <v>25</v>
      </c>
      <c r="M73" s="0" t="s">
        <v>119</v>
      </c>
      <c r="N73" s="0" t="s">
        <v>258</v>
      </c>
      <c r="O73" s="0" t="n">
        <v>1</v>
      </c>
      <c r="P73" s="0" t="s">
        <v>121</v>
      </c>
      <c r="Q73" s="0" t="s">
        <v>259</v>
      </c>
      <c r="R73" s="3"/>
      <c r="S73" s="2" t="s">
        <v>30</v>
      </c>
    </row>
    <row r="74" customFormat="false" ht="15" hidden="false" customHeight="false" outlineLevel="0" collapsed="false">
      <c r="A74" s="0" t="n">
        <v>73</v>
      </c>
      <c r="D74" s="0" t="s">
        <v>260</v>
      </c>
      <c r="E74" s="0" t="s">
        <v>104</v>
      </c>
      <c r="H74" s="0" t="s">
        <v>21</v>
      </c>
      <c r="I74" s="2" t="s">
        <v>22</v>
      </c>
      <c r="J74" s="2" t="s">
        <v>23</v>
      </c>
      <c r="K74" s="0" t="s">
        <v>118</v>
      </c>
      <c r="L74" s="0" t="s">
        <v>25</v>
      </c>
      <c r="M74" s="0" t="s">
        <v>119</v>
      </c>
      <c r="N74" s="0" t="s">
        <v>105</v>
      </c>
      <c r="O74" s="0" t="n">
        <v>1</v>
      </c>
      <c r="P74" s="0" t="s">
        <v>46</v>
      </c>
      <c r="Q74" s="0" t="s">
        <v>261</v>
      </c>
      <c r="R74" s="3"/>
      <c r="S74" s="2" t="s">
        <v>30</v>
      </c>
    </row>
    <row r="75" customFormat="false" ht="15" hidden="false" customHeight="false" outlineLevel="0" collapsed="false">
      <c r="A75" s="0" t="n">
        <v>74</v>
      </c>
      <c r="D75" s="0" t="s">
        <v>262</v>
      </c>
      <c r="E75" s="0" t="s">
        <v>20</v>
      </c>
      <c r="H75" s="0" t="s">
        <v>21</v>
      </c>
      <c r="I75" s="2" t="s">
        <v>22</v>
      </c>
      <c r="J75" s="2" t="s">
        <v>23</v>
      </c>
      <c r="K75" s="0" t="s">
        <v>263</v>
      </c>
      <c r="L75" s="0" t="s">
        <v>25</v>
      </c>
      <c r="M75" s="0" t="s">
        <v>264</v>
      </c>
      <c r="N75" s="0" t="s">
        <v>265</v>
      </c>
      <c r="O75" s="0" t="n">
        <v>1</v>
      </c>
      <c r="P75" s="0" t="s">
        <v>33</v>
      </c>
      <c r="Q75" s="0" t="s">
        <v>266</v>
      </c>
      <c r="R75" s="3"/>
      <c r="S75" s="2" t="s">
        <v>30</v>
      </c>
    </row>
    <row r="76" customFormat="false" ht="15" hidden="false" customHeight="false" outlineLevel="0" collapsed="false">
      <c r="A76" s="0" t="n">
        <v>75</v>
      </c>
      <c r="D76" s="0" t="s">
        <v>267</v>
      </c>
      <c r="E76" s="0" t="s">
        <v>20</v>
      </c>
      <c r="H76" s="0" t="s">
        <v>21</v>
      </c>
      <c r="I76" s="2" t="s">
        <v>22</v>
      </c>
      <c r="J76" s="2" t="s">
        <v>23</v>
      </c>
      <c r="K76" s="0" t="s">
        <v>263</v>
      </c>
      <c r="L76" s="0" t="s">
        <v>268</v>
      </c>
      <c r="M76" s="0" t="s">
        <v>264</v>
      </c>
      <c r="N76" s="0" t="s">
        <v>269</v>
      </c>
      <c r="O76" s="0" t="n">
        <v>1</v>
      </c>
      <c r="P76" s="0" t="s">
        <v>33</v>
      </c>
      <c r="Q76" s="0" t="s">
        <v>270</v>
      </c>
      <c r="R76" s="3"/>
      <c r="S76" s="2" t="s">
        <v>271</v>
      </c>
    </row>
    <row r="77" customFormat="false" ht="15" hidden="false" customHeight="false" outlineLevel="0" collapsed="false">
      <c r="A77" s="0" t="n">
        <v>76</v>
      </c>
      <c r="D77" s="0" t="s">
        <v>272</v>
      </c>
      <c r="E77" s="0" t="s">
        <v>20</v>
      </c>
      <c r="H77" s="0" t="s">
        <v>21</v>
      </c>
      <c r="I77" s="2" t="s">
        <v>22</v>
      </c>
      <c r="J77" s="2" t="s">
        <v>23</v>
      </c>
      <c r="K77" s="0" t="s">
        <v>263</v>
      </c>
      <c r="L77" s="0" t="s">
        <v>25</v>
      </c>
      <c r="M77" s="0" t="s">
        <v>264</v>
      </c>
      <c r="N77" s="0" t="s">
        <v>273</v>
      </c>
      <c r="O77" s="0" t="n">
        <v>1</v>
      </c>
      <c r="P77" s="0" t="s">
        <v>274</v>
      </c>
      <c r="Q77" s="0" t="s">
        <v>275</v>
      </c>
      <c r="R77" s="3"/>
      <c r="S77" s="2" t="s">
        <v>30</v>
      </c>
    </row>
    <row r="78" customFormat="false" ht="15" hidden="false" customHeight="false" outlineLevel="0" collapsed="false">
      <c r="A78" s="0" t="n">
        <v>77</v>
      </c>
      <c r="D78" s="0" t="s">
        <v>276</v>
      </c>
      <c r="E78" s="0" t="s">
        <v>20</v>
      </c>
      <c r="H78" s="0" t="s">
        <v>21</v>
      </c>
      <c r="I78" s="2" t="s">
        <v>22</v>
      </c>
      <c r="J78" s="2" t="s">
        <v>23</v>
      </c>
      <c r="K78" s="0" t="s">
        <v>263</v>
      </c>
      <c r="L78" s="0" t="s">
        <v>25</v>
      </c>
      <c r="M78" s="0" t="s">
        <v>264</v>
      </c>
      <c r="N78" s="0" t="s">
        <v>277</v>
      </c>
      <c r="O78" s="0" t="n">
        <v>1</v>
      </c>
      <c r="P78" s="0" t="s">
        <v>46</v>
      </c>
      <c r="Q78" s="0" t="s">
        <v>278</v>
      </c>
      <c r="R78" s="3"/>
      <c r="S78" s="2" t="s">
        <v>30</v>
      </c>
    </row>
    <row r="79" customFormat="false" ht="15" hidden="false" customHeight="false" outlineLevel="0" collapsed="false">
      <c r="A79" s="0" t="n">
        <v>78</v>
      </c>
      <c r="D79" s="0" t="s">
        <v>279</v>
      </c>
      <c r="E79" s="0" t="s">
        <v>20</v>
      </c>
      <c r="H79" s="0" t="s">
        <v>21</v>
      </c>
      <c r="I79" s="2" t="s">
        <v>22</v>
      </c>
      <c r="J79" s="2" t="s">
        <v>23</v>
      </c>
      <c r="K79" s="0" t="s">
        <v>263</v>
      </c>
      <c r="L79" s="0" t="s">
        <v>25</v>
      </c>
      <c r="M79" s="0" t="s">
        <v>264</v>
      </c>
      <c r="N79" s="0" t="s">
        <v>280</v>
      </c>
      <c r="O79" s="0" t="n">
        <v>1</v>
      </c>
      <c r="P79" s="0" t="s">
        <v>72</v>
      </c>
      <c r="Q79" s="0" t="s">
        <v>281</v>
      </c>
      <c r="R79" s="3"/>
      <c r="S79" s="2" t="s">
        <v>30</v>
      </c>
    </row>
    <row r="80" customFormat="false" ht="15" hidden="false" customHeight="false" outlineLevel="0" collapsed="false">
      <c r="A80" s="0" t="n">
        <v>79</v>
      </c>
      <c r="D80" s="0" t="s">
        <v>282</v>
      </c>
      <c r="E80" s="0" t="s">
        <v>20</v>
      </c>
      <c r="H80" s="0" t="s">
        <v>21</v>
      </c>
      <c r="I80" s="2" t="s">
        <v>22</v>
      </c>
      <c r="J80" s="2" t="s">
        <v>23</v>
      </c>
      <c r="K80" s="0" t="s">
        <v>263</v>
      </c>
      <c r="L80" s="0" t="s">
        <v>25</v>
      </c>
      <c r="M80" s="0" t="s">
        <v>264</v>
      </c>
      <c r="N80" s="0" t="s">
        <v>283</v>
      </c>
      <c r="O80" s="0" t="n">
        <v>1</v>
      </c>
      <c r="P80" s="0" t="s">
        <v>46</v>
      </c>
      <c r="Q80" s="0" t="s">
        <v>284</v>
      </c>
      <c r="R80" s="3"/>
      <c r="S80" s="2" t="s">
        <v>30</v>
      </c>
    </row>
    <row r="81" customFormat="false" ht="15" hidden="false" customHeight="false" outlineLevel="0" collapsed="false">
      <c r="A81" s="0" t="n">
        <v>80</v>
      </c>
      <c r="D81" s="0" t="s">
        <v>285</v>
      </c>
      <c r="E81" s="0" t="s">
        <v>113</v>
      </c>
      <c r="H81" s="0" t="s">
        <v>21</v>
      </c>
      <c r="I81" s="2" t="s">
        <v>22</v>
      </c>
      <c r="J81" s="2" t="s">
        <v>23</v>
      </c>
      <c r="K81" s="0" t="s">
        <v>263</v>
      </c>
      <c r="L81" s="0" t="s">
        <v>25</v>
      </c>
      <c r="M81" s="0" t="s">
        <v>264</v>
      </c>
      <c r="N81" s="0" t="s">
        <v>286</v>
      </c>
      <c r="O81" s="0" t="n">
        <v>1</v>
      </c>
      <c r="P81" s="0" t="s">
        <v>33</v>
      </c>
      <c r="Q81" s="0" t="s">
        <v>287</v>
      </c>
      <c r="R81" s="3"/>
      <c r="S81" s="2" t="s">
        <v>30</v>
      </c>
    </row>
    <row r="82" customFormat="false" ht="15" hidden="false" customHeight="false" outlineLevel="0" collapsed="false">
      <c r="A82" s="0" t="n">
        <v>81</v>
      </c>
      <c r="D82" s="0" t="s">
        <v>288</v>
      </c>
      <c r="E82" s="0" t="s">
        <v>108</v>
      </c>
      <c r="H82" s="0" t="s">
        <v>21</v>
      </c>
      <c r="I82" s="2" t="s">
        <v>22</v>
      </c>
      <c r="J82" s="2" t="s">
        <v>23</v>
      </c>
      <c r="K82" s="0" t="s">
        <v>263</v>
      </c>
      <c r="L82" s="0" t="s">
        <v>25</v>
      </c>
      <c r="M82" s="0" t="s">
        <v>264</v>
      </c>
      <c r="N82" s="0" t="s">
        <v>237</v>
      </c>
      <c r="O82" s="0" t="n">
        <v>1</v>
      </c>
      <c r="P82" s="0" t="s">
        <v>33</v>
      </c>
      <c r="Q82" s="0" t="s">
        <v>289</v>
      </c>
      <c r="R82" s="3"/>
      <c r="S82" s="2" t="s">
        <v>30</v>
      </c>
    </row>
    <row r="83" customFormat="false" ht="15" hidden="false" customHeight="false" outlineLevel="0" collapsed="false">
      <c r="A83" s="0" t="n">
        <v>82</v>
      </c>
      <c r="D83" s="0" t="s">
        <v>290</v>
      </c>
      <c r="E83" s="0" t="s">
        <v>291</v>
      </c>
      <c r="H83" s="0" t="s">
        <v>21</v>
      </c>
      <c r="I83" s="2" t="s">
        <v>22</v>
      </c>
      <c r="J83" s="2" t="s">
        <v>23</v>
      </c>
      <c r="K83" s="0" t="s">
        <v>263</v>
      </c>
      <c r="L83" s="0" t="s">
        <v>25</v>
      </c>
      <c r="M83" s="0" t="s">
        <v>264</v>
      </c>
      <c r="N83" s="0" t="s">
        <v>217</v>
      </c>
      <c r="O83" s="0" t="n">
        <v>1</v>
      </c>
      <c r="P83" s="0" t="s">
        <v>72</v>
      </c>
      <c r="Q83" s="0" t="s">
        <v>292</v>
      </c>
      <c r="R83" s="3"/>
      <c r="S83" s="2" t="s">
        <v>30</v>
      </c>
    </row>
    <row r="84" customFormat="false" ht="15" hidden="false" customHeight="false" outlineLevel="0" collapsed="false">
      <c r="A84" s="0" t="n">
        <v>83</v>
      </c>
      <c r="D84" s="0" t="s">
        <v>293</v>
      </c>
      <c r="E84" s="0" t="s">
        <v>200</v>
      </c>
      <c r="H84" s="0" t="s">
        <v>21</v>
      </c>
      <c r="I84" s="2" t="s">
        <v>22</v>
      </c>
      <c r="J84" s="2" t="s">
        <v>23</v>
      </c>
      <c r="K84" s="0" t="s">
        <v>263</v>
      </c>
      <c r="L84" s="0" t="s">
        <v>25</v>
      </c>
      <c r="M84" s="0" t="s">
        <v>264</v>
      </c>
      <c r="N84" s="0" t="s">
        <v>240</v>
      </c>
      <c r="O84" s="0" t="n">
        <v>1</v>
      </c>
      <c r="P84" s="0" t="s">
        <v>294</v>
      </c>
      <c r="Q84" s="0" t="s">
        <v>295</v>
      </c>
      <c r="R84" s="3"/>
      <c r="S84" s="2" t="s">
        <v>30</v>
      </c>
    </row>
    <row r="85" customFormat="false" ht="15" hidden="false" customHeight="false" outlineLevel="0" collapsed="false">
      <c r="A85" s="0" t="n">
        <v>84</v>
      </c>
      <c r="D85" s="0" t="s">
        <v>296</v>
      </c>
      <c r="E85" s="0" t="s">
        <v>20</v>
      </c>
      <c r="H85" s="0" t="s">
        <v>21</v>
      </c>
      <c r="I85" s="2" t="s">
        <v>22</v>
      </c>
      <c r="J85" s="2" t="s">
        <v>297</v>
      </c>
      <c r="K85" s="0" t="s">
        <v>298</v>
      </c>
      <c r="L85" s="0" t="s">
        <v>25</v>
      </c>
      <c r="M85" s="0" t="s">
        <v>299</v>
      </c>
      <c r="N85" s="0" t="s">
        <v>300</v>
      </c>
      <c r="O85" s="0" t="n">
        <v>1</v>
      </c>
      <c r="P85" s="0" t="s">
        <v>72</v>
      </c>
      <c r="Q85" s="0" t="s">
        <v>301</v>
      </c>
      <c r="R85" s="3"/>
      <c r="S85" s="2" t="s">
        <v>30</v>
      </c>
    </row>
    <row r="86" customFormat="false" ht="15" hidden="false" customHeight="false" outlineLevel="0" collapsed="false">
      <c r="A86" s="0" t="n">
        <v>85</v>
      </c>
      <c r="D86" s="0" t="s">
        <v>302</v>
      </c>
      <c r="E86" s="0" t="s">
        <v>20</v>
      </c>
      <c r="H86" s="0" t="s">
        <v>21</v>
      </c>
      <c r="I86" s="2" t="s">
        <v>22</v>
      </c>
      <c r="J86" s="2" t="s">
        <v>297</v>
      </c>
      <c r="K86" s="0" t="s">
        <v>298</v>
      </c>
      <c r="L86" s="0" t="s">
        <v>25</v>
      </c>
      <c r="M86" s="0" t="s">
        <v>299</v>
      </c>
      <c r="N86" s="0" t="s">
        <v>79</v>
      </c>
      <c r="O86" s="0" t="n">
        <v>1</v>
      </c>
      <c r="P86" s="0" t="s">
        <v>72</v>
      </c>
      <c r="Q86" s="0" t="s">
        <v>303</v>
      </c>
      <c r="R86" s="3"/>
      <c r="S86" s="2" t="s">
        <v>30</v>
      </c>
    </row>
    <row r="87" customFormat="false" ht="15" hidden="false" customHeight="false" outlineLevel="0" collapsed="false">
      <c r="A87" s="0" t="n">
        <v>86</v>
      </c>
      <c r="D87" s="0" t="s">
        <v>304</v>
      </c>
      <c r="E87" s="0" t="s">
        <v>305</v>
      </c>
      <c r="H87" s="0" t="s">
        <v>21</v>
      </c>
      <c r="I87" s="2" t="s">
        <v>22</v>
      </c>
      <c r="J87" s="2" t="s">
        <v>297</v>
      </c>
      <c r="K87" s="0" t="s">
        <v>298</v>
      </c>
      <c r="L87" s="0" t="s">
        <v>25</v>
      </c>
      <c r="M87" s="0" t="s">
        <v>299</v>
      </c>
      <c r="N87" s="0" t="s">
        <v>306</v>
      </c>
      <c r="O87" s="0" t="n">
        <v>1</v>
      </c>
      <c r="P87" s="0" t="s">
        <v>33</v>
      </c>
      <c r="Q87" s="0" t="s">
        <v>307</v>
      </c>
      <c r="R87" s="3"/>
      <c r="S87" s="2" t="s">
        <v>30</v>
      </c>
    </row>
    <row r="88" customFormat="false" ht="15" hidden="false" customHeight="false" outlineLevel="0" collapsed="false">
      <c r="A88" s="0" t="n">
        <v>87</v>
      </c>
      <c r="D88" s="0" t="s">
        <v>308</v>
      </c>
      <c r="E88" s="0" t="s">
        <v>309</v>
      </c>
      <c r="H88" s="0" t="s">
        <v>21</v>
      </c>
      <c r="I88" s="2" t="s">
        <v>22</v>
      </c>
      <c r="J88" s="2" t="s">
        <v>297</v>
      </c>
      <c r="K88" s="0" t="s">
        <v>298</v>
      </c>
      <c r="L88" s="0" t="s">
        <v>25</v>
      </c>
      <c r="M88" s="0" t="s">
        <v>299</v>
      </c>
      <c r="N88" s="0" t="s">
        <v>310</v>
      </c>
      <c r="O88" s="0" t="n">
        <v>1</v>
      </c>
      <c r="P88" s="0" t="s">
        <v>46</v>
      </c>
      <c r="Q88" s="0" t="s">
        <v>311</v>
      </c>
      <c r="R88" s="3"/>
      <c r="S88" s="2" t="s">
        <v>30</v>
      </c>
    </row>
    <row r="89" customFormat="false" ht="15" hidden="false" customHeight="false" outlineLevel="0" collapsed="false">
      <c r="A89" s="0" t="n">
        <v>88</v>
      </c>
      <c r="D89" s="0" t="s">
        <v>312</v>
      </c>
      <c r="E89" s="0" t="s">
        <v>313</v>
      </c>
      <c r="H89" s="0" t="s">
        <v>21</v>
      </c>
      <c r="I89" s="2" t="s">
        <v>22</v>
      </c>
      <c r="J89" s="2" t="s">
        <v>297</v>
      </c>
      <c r="K89" s="0" t="s">
        <v>298</v>
      </c>
      <c r="L89" s="0" t="s">
        <v>25</v>
      </c>
      <c r="M89" s="0" t="s">
        <v>299</v>
      </c>
      <c r="N89" s="0" t="s">
        <v>314</v>
      </c>
      <c r="O89" s="0" t="n">
        <v>1</v>
      </c>
      <c r="P89" s="0" t="s">
        <v>33</v>
      </c>
      <c r="Q89" s="0" t="s">
        <v>315</v>
      </c>
      <c r="R89" s="3"/>
      <c r="S89" s="2" t="s">
        <v>30</v>
      </c>
    </row>
    <row r="90" customFormat="false" ht="15" hidden="false" customHeight="false" outlineLevel="0" collapsed="false">
      <c r="A90" s="0" t="n">
        <v>89</v>
      </c>
      <c r="D90" s="0" t="s">
        <v>316</v>
      </c>
      <c r="E90" s="0" t="s">
        <v>113</v>
      </c>
      <c r="H90" s="0" t="s">
        <v>21</v>
      </c>
      <c r="I90" s="2" t="s">
        <v>22</v>
      </c>
      <c r="J90" s="2" t="s">
        <v>297</v>
      </c>
      <c r="K90" s="0" t="s">
        <v>298</v>
      </c>
      <c r="L90" s="0" t="s">
        <v>25</v>
      </c>
      <c r="M90" s="0" t="s">
        <v>299</v>
      </c>
      <c r="N90" s="0" t="s">
        <v>317</v>
      </c>
      <c r="O90" s="0" t="n">
        <v>1</v>
      </c>
      <c r="P90" s="0" t="s">
        <v>33</v>
      </c>
      <c r="Q90" s="0" t="s">
        <v>318</v>
      </c>
      <c r="R90" s="3"/>
      <c r="S90" s="2" t="s">
        <v>30</v>
      </c>
    </row>
    <row r="91" customFormat="false" ht="15" hidden="false" customHeight="false" outlineLevel="0" collapsed="false">
      <c r="A91" s="0" t="n">
        <v>90</v>
      </c>
      <c r="D91" s="0" t="s">
        <v>319</v>
      </c>
      <c r="E91" s="0" t="s">
        <v>113</v>
      </c>
      <c r="H91" s="0" t="s">
        <v>21</v>
      </c>
      <c r="I91" s="2" t="s">
        <v>22</v>
      </c>
      <c r="J91" s="2" t="s">
        <v>297</v>
      </c>
      <c r="K91" s="0" t="s">
        <v>298</v>
      </c>
      <c r="L91" s="0" t="s">
        <v>25</v>
      </c>
      <c r="M91" s="0" t="s">
        <v>299</v>
      </c>
      <c r="N91" s="0" t="s">
        <v>91</v>
      </c>
      <c r="O91" s="0" t="n">
        <v>1</v>
      </c>
      <c r="P91" s="0" t="s">
        <v>33</v>
      </c>
      <c r="Q91" s="0" t="s">
        <v>320</v>
      </c>
      <c r="R91" s="3"/>
      <c r="S91" s="2" t="s">
        <v>30</v>
      </c>
    </row>
    <row r="92" customFormat="false" ht="15" hidden="false" customHeight="false" outlineLevel="0" collapsed="false">
      <c r="A92" s="0" t="n">
        <v>91</v>
      </c>
      <c r="D92" s="0" t="s">
        <v>321</v>
      </c>
      <c r="E92" s="0" t="s">
        <v>113</v>
      </c>
      <c r="H92" s="0" t="s">
        <v>21</v>
      </c>
      <c r="I92" s="2" t="s">
        <v>22</v>
      </c>
      <c r="J92" s="2" t="s">
        <v>297</v>
      </c>
      <c r="K92" s="0" t="s">
        <v>298</v>
      </c>
      <c r="L92" s="0" t="s">
        <v>25</v>
      </c>
      <c r="M92" s="0" t="s">
        <v>299</v>
      </c>
      <c r="N92" s="0" t="s">
        <v>322</v>
      </c>
      <c r="O92" s="0" t="n">
        <v>1</v>
      </c>
      <c r="P92" s="0" t="s">
        <v>46</v>
      </c>
      <c r="Q92" s="0" t="s">
        <v>323</v>
      </c>
      <c r="R92" s="3"/>
      <c r="S92" s="2" t="s">
        <v>30</v>
      </c>
    </row>
    <row r="93" customFormat="false" ht="15" hidden="false" customHeight="false" outlineLevel="0" collapsed="false">
      <c r="A93" s="0" t="n">
        <v>92</v>
      </c>
      <c r="D93" s="0" t="s">
        <v>324</v>
      </c>
      <c r="E93" s="0" t="s">
        <v>257</v>
      </c>
      <c r="H93" s="0" t="s">
        <v>21</v>
      </c>
      <c r="I93" s="2" t="s">
        <v>22</v>
      </c>
      <c r="J93" s="2" t="s">
        <v>297</v>
      </c>
      <c r="K93" s="0" t="s">
        <v>298</v>
      </c>
      <c r="L93" s="0" t="s">
        <v>25</v>
      </c>
      <c r="M93" s="0" t="s">
        <v>299</v>
      </c>
      <c r="N93" s="0" t="s">
        <v>325</v>
      </c>
      <c r="O93" s="0" t="n">
        <v>1</v>
      </c>
      <c r="P93" s="0" t="s">
        <v>33</v>
      </c>
      <c r="Q93" s="0" t="s">
        <v>326</v>
      </c>
      <c r="R93" s="3"/>
      <c r="S93" s="2" t="s">
        <v>30</v>
      </c>
    </row>
    <row r="94" customFormat="false" ht="15" hidden="false" customHeight="false" outlineLevel="0" collapsed="false">
      <c r="A94" s="0" t="n">
        <v>93</v>
      </c>
      <c r="D94" s="0" t="s">
        <v>327</v>
      </c>
      <c r="E94" s="0" t="s">
        <v>305</v>
      </c>
      <c r="H94" s="0" t="s">
        <v>21</v>
      </c>
      <c r="I94" s="2" t="s">
        <v>22</v>
      </c>
      <c r="J94" s="2" t="s">
        <v>297</v>
      </c>
      <c r="K94" s="0" t="s">
        <v>298</v>
      </c>
      <c r="L94" s="0" t="s">
        <v>25</v>
      </c>
      <c r="M94" s="0" t="s">
        <v>299</v>
      </c>
      <c r="N94" s="0" t="s">
        <v>306</v>
      </c>
      <c r="O94" s="0" t="n">
        <v>1</v>
      </c>
      <c r="P94" s="0" t="s">
        <v>33</v>
      </c>
      <c r="Q94" s="0" t="s">
        <v>328</v>
      </c>
      <c r="R94" s="3"/>
      <c r="S94" s="2" t="s">
        <v>30</v>
      </c>
    </row>
    <row r="95" customFormat="false" ht="15" hidden="false" customHeight="false" outlineLevel="0" collapsed="false">
      <c r="A95" s="0" t="n">
        <v>94</v>
      </c>
      <c r="D95" s="0" t="s">
        <v>329</v>
      </c>
      <c r="E95" s="0" t="s">
        <v>330</v>
      </c>
      <c r="H95" s="0" t="s">
        <v>21</v>
      </c>
      <c r="I95" s="2" t="s">
        <v>22</v>
      </c>
      <c r="J95" s="2" t="s">
        <v>297</v>
      </c>
      <c r="K95" s="0" t="s">
        <v>298</v>
      </c>
      <c r="L95" s="0" t="s">
        <v>25</v>
      </c>
      <c r="M95" s="0" t="s">
        <v>299</v>
      </c>
      <c r="N95" s="0" t="s">
        <v>331</v>
      </c>
      <c r="O95" s="0" t="n">
        <v>1</v>
      </c>
      <c r="P95" s="0" t="s">
        <v>115</v>
      </c>
      <c r="Q95" s="0" t="s">
        <v>332</v>
      </c>
      <c r="R95" s="3"/>
      <c r="S95" s="2" t="s">
        <v>30</v>
      </c>
    </row>
    <row r="96" customFormat="false" ht="15" hidden="false" customHeight="false" outlineLevel="0" collapsed="false">
      <c r="A96" s="0" t="n">
        <v>95</v>
      </c>
      <c r="D96" s="0" t="s">
        <v>333</v>
      </c>
      <c r="E96" s="0" t="s">
        <v>104</v>
      </c>
      <c r="H96" s="0" t="s">
        <v>21</v>
      </c>
      <c r="I96" s="2" t="s">
        <v>22</v>
      </c>
      <c r="J96" s="2" t="s">
        <v>297</v>
      </c>
      <c r="K96" s="0" t="s">
        <v>298</v>
      </c>
      <c r="L96" s="0" t="s">
        <v>25</v>
      </c>
      <c r="M96" s="0" t="s">
        <v>299</v>
      </c>
      <c r="N96" s="0" t="s">
        <v>334</v>
      </c>
      <c r="O96" s="0" t="n">
        <v>1</v>
      </c>
      <c r="P96" s="0" t="s">
        <v>33</v>
      </c>
      <c r="Q96" s="0" t="s">
        <v>335</v>
      </c>
      <c r="R96" s="3"/>
      <c r="S96" s="2" t="s">
        <v>30</v>
      </c>
    </row>
    <row r="97" customFormat="false" ht="15" hidden="false" customHeight="false" outlineLevel="0" collapsed="false">
      <c r="A97" s="0" t="n">
        <v>96</v>
      </c>
      <c r="D97" s="0" t="s">
        <v>336</v>
      </c>
      <c r="E97" s="0" t="s">
        <v>186</v>
      </c>
      <c r="H97" s="0" t="s">
        <v>21</v>
      </c>
      <c r="I97" s="2" t="s">
        <v>22</v>
      </c>
      <c r="J97" s="2" t="s">
        <v>297</v>
      </c>
      <c r="K97" s="0" t="s">
        <v>298</v>
      </c>
      <c r="L97" s="0" t="s">
        <v>25</v>
      </c>
      <c r="M97" s="0" t="s">
        <v>299</v>
      </c>
      <c r="N97" s="0" t="s">
        <v>187</v>
      </c>
      <c r="O97" s="0" t="n">
        <v>1</v>
      </c>
      <c r="P97" s="0" t="s">
        <v>33</v>
      </c>
      <c r="Q97" s="0" t="s">
        <v>337</v>
      </c>
      <c r="R97" s="3"/>
      <c r="S97" s="2" t="s">
        <v>30</v>
      </c>
    </row>
    <row r="98" customFormat="false" ht="15" hidden="false" customHeight="false" outlineLevel="0" collapsed="false">
      <c r="A98" s="0" t="n">
        <v>97</v>
      </c>
      <c r="D98" s="0" t="s">
        <v>338</v>
      </c>
      <c r="E98" s="0" t="s">
        <v>113</v>
      </c>
      <c r="H98" s="0" t="s">
        <v>21</v>
      </c>
      <c r="I98" s="2" t="s">
        <v>22</v>
      </c>
      <c r="J98" s="2" t="s">
        <v>297</v>
      </c>
      <c r="K98" s="0" t="s">
        <v>298</v>
      </c>
      <c r="L98" s="0" t="s">
        <v>25</v>
      </c>
      <c r="M98" s="0" t="s">
        <v>299</v>
      </c>
      <c r="N98" s="0" t="s">
        <v>339</v>
      </c>
      <c r="O98" s="0" t="n">
        <v>1</v>
      </c>
      <c r="P98" s="0" t="s">
        <v>28</v>
      </c>
      <c r="Q98" s="0" t="s">
        <v>340</v>
      </c>
      <c r="R98" s="3"/>
      <c r="S98" s="2" t="s">
        <v>30</v>
      </c>
    </row>
    <row r="99" customFormat="false" ht="15" hidden="false" customHeight="false" outlineLevel="0" collapsed="false">
      <c r="A99" s="0" t="n">
        <v>98</v>
      </c>
      <c r="D99" s="0" t="s">
        <v>341</v>
      </c>
      <c r="E99" s="0" t="s">
        <v>342</v>
      </c>
      <c r="H99" s="0" t="s">
        <v>21</v>
      </c>
      <c r="I99" s="2" t="s">
        <v>22</v>
      </c>
      <c r="J99" s="2" t="s">
        <v>297</v>
      </c>
      <c r="K99" s="0" t="s">
        <v>298</v>
      </c>
      <c r="L99" s="0" t="s">
        <v>25</v>
      </c>
      <c r="M99" s="0" t="s">
        <v>299</v>
      </c>
      <c r="N99" s="0" t="s">
        <v>167</v>
      </c>
      <c r="O99" s="0" t="n">
        <v>1</v>
      </c>
      <c r="P99" s="0" t="s">
        <v>46</v>
      </c>
      <c r="Q99" s="0" t="s">
        <v>343</v>
      </c>
      <c r="R99" s="3"/>
      <c r="S99" s="2" t="s">
        <v>30</v>
      </c>
    </row>
    <row r="100" customFormat="false" ht="15" hidden="false" customHeight="false" outlineLevel="0" collapsed="false">
      <c r="A100" s="0" t="n">
        <v>99</v>
      </c>
      <c r="D100" s="0" t="s">
        <v>344</v>
      </c>
      <c r="E100" s="0" t="s">
        <v>342</v>
      </c>
      <c r="H100" s="0" t="s">
        <v>21</v>
      </c>
      <c r="I100" s="2" t="s">
        <v>22</v>
      </c>
      <c r="J100" s="2" t="s">
        <v>297</v>
      </c>
      <c r="K100" s="0" t="s">
        <v>298</v>
      </c>
      <c r="L100" s="0" t="s">
        <v>25</v>
      </c>
      <c r="M100" s="0" t="s">
        <v>299</v>
      </c>
      <c r="N100" s="0" t="s">
        <v>167</v>
      </c>
      <c r="O100" s="0" t="n">
        <v>1</v>
      </c>
      <c r="P100" s="0" t="s">
        <v>72</v>
      </c>
      <c r="Q100" s="0" t="s">
        <v>345</v>
      </c>
      <c r="R100" s="3"/>
      <c r="S100" s="2" t="s">
        <v>30</v>
      </c>
    </row>
    <row r="101" customFormat="false" ht="15" hidden="false" customHeight="false" outlineLevel="0" collapsed="false">
      <c r="A101" s="0" t="n">
        <v>100</v>
      </c>
      <c r="D101" s="0" t="s">
        <v>346</v>
      </c>
      <c r="E101" s="0" t="s">
        <v>113</v>
      </c>
      <c r="H101" s="0" t="s">
        <v>21</v>
      </c>
      <c r="I101" s="2" t="s">
        <v>22</v>
      </c>
      <c r="J101" s="2" t="s">
        <v>297</v>
      </c>
      <c r="K101" s="0" t="s">
        <v>298</v>
      </c>
      <c r="L101" s="0" t="s">
        <v>25</v>
      </c>
      <c r="M101" s="0" t="s">
        <v>299</v>
      </c>
      <c r="N101" s="0" t="s">
        <v>347</v>
      </c>
      <c r="O101" s="0" t="n">
        <v>1</v>
      </c>
      <c r="P101" s="0" t="s">
        <v>33</v>
      </c>
      <c r="Q101" s="0" t="s">
        <v>348</v>
      </c>
      <c r="R101" s="3"/>
      <c r="S101" s="2" t="s">
        <v>30</v>
      </c>
    </row>
    <row r="102" customFormat="false" ht="15" hidden="false" customHeight="false" outlineLevel="0" collapsed="false">
      <c r="A102" s="0" t="n">
        <v>101</v>
      </c>
      <c r="D102" s="0" t="s">
        <v>349</v>
      </c>
      <c r="E102" s="0" t="s">
        <v>350</v>
      </c>
      <c r="H102" s="0" t="s">
        <v>21</v>
      </c>
      <c r="I102" s="2" t="s">
        <v>22</v>
      </c>
      <c r="J102" s="2" t="s">
        <v>297</v>
      </c>
      <c r="K102" s="0" t="s">
        <v>298</v>
      </c>
      <c r="L102" s="0" t="s">
        <v>25</v>
      </c>
      <c r="M102" s="0" t="s">
        <v>299</v>
      </c>
      <c r="N102" s="0" t="s">
        <v>351</v>
      </c>
      <c r="O102" s="0" t="n">
        <v>1</v>
      </c>
      <c r="P102" s="0" t="s">
        <v>294</v>
      </c>
      <c r="Q102" s="0" t="s">
        <v>352</v>
      </c>
      <c r="R102" s="3"/>
      <c r="S102" s="2" t="s">
        <v>30</v>
      </c>
    </row>
    <row r="103" customFormat="false" ht="15" hidden="false" customHeight="false" outlineLevel="0" collapsed="false">
      <c r="A103" s="0" t="n">
        <v>102</v>
      </c>
      <c r="D103" s="0" t="s">
        <v>353</v>
      </c>
      <c r="E103" s="0" t="s">
        <v>113</v>
      </c>
      <c r="H103" s="0" t="s">
        <v>21</v>
      </c>
      <c r="I103" s="2" t="s">
        <v>22</v>
      </c>
      <c r="J103" s="2" t="s">
        <v>297</v>
      </c>
      <c r="K103" s="0" t="s">
        <v>298</v>
      </c>
      <c r="L103" s="0" t="s">
        <v>25</v>
      </c>
      <c r="M103" s="0" t="s">
        <v>299</v>
      </c>
      <c r="N103" s="0" t="s">
        <v>91</v>
      </c>
      <c r="O103" s="0" t="n">
        <v>1</v>
      </c>
      <c r="P103" s="0" t="s">
        <v>33</v>
      </c>
      <c r="Q103" s="0" t="s">
        <v>354</v>
      </c>
      <c r="R103" s="3"/>
      <c r="S103" s="2" t="s">
        <v>30</v>
      </c>
    </row>
    <row r="104" customFormat="false" ht="15" hidden="false" customHeight="false" outlineLevel="0" collapsed="false">
      <c r="A104" s="0" t="n">
        <v>103</v>
      </c>
      <c r="D104" s="0" t="s">
        <v>355</v>
      </c>
      <c r="E104" s="0" t="s">
        <v>113</v>
      </c>
      <c r="H104" s="0" t="s">
        <v>21</v>
      </c>
      <c r="I104" s="2" t="s">
        <v>22</v>
      </c>
      <c r="J104" s="2" t="s">
        <v>297</v>
      </c>
      <c r="K104" s="0" t="s">
        <v>298</v>
      </c>
      <c r="L104" s="0" t="s">
        <v>25</v>
      </c>
      <c r="M104" s="0" t="s">
        <v>299</v>
      </c>
      <c r="N104" s="0" t="s">
        <v>322</v>
      </c>
      <c r="O104" s="0" t="n">
        <v>1</v>
      </c>
      <c r="P104" s="0" t="s">
        <v>28</v>
      </c>
      <c r="Q104" s="0" t="s">
        <v>356</v>
      </c>
      <c r="R104" s="3"/>
      <c r="S104" s="2" t="s">
        <v>30</v>
      </c>
    </row>
    <row r="105" customFormat="false" ht="15" hidden="false" customHeight="false" outlineLevel="0" collapsed="false">
      <c r="A105" s="0" t="n">
        <v>104</v>
      </c>
      <c r="D105" s="0" t="s">
        <v>357</v>
      </c>
      <c r="E105" s="0" t="s">
        <v>104</v>
      </c>
      <c r="H105" s="0" t="s">
        <v>21</v>
      </c>
      <c r="I105" s="2" t="s">
        <v>22</v>
      </c>
      <c r="J105" s="2" t="s">
        <v>297</v>
      </c>
      <c r="K105" s="0" t="s">
        <v>298</v>
      </c>
      <c r="L105" s="0" t="s">
        <v>25</v>
      </c>
      <c r="M105" s="0" t="s">
        <v>299</v>
      </c>
      <c r="N105" s="0" t="s">
        <v>358</v>
      </c>
      <c r="O105" s="0" t="n">
        <v>1</v>
      </c>
      <c r="P105" s="0" t="s">
        <v>294</v>
      </c>
      <c r="Q105" s="0" t="s">
        <v>359</v>
      </c>
      <c r="R105" s="3"/>
      <c r="S105" s="2" t="s">
        <v>30</v>
      </c>
    </row>
    <row r="106" customFormat="false" ht="15" hidden="false" customHeight="false" outlineLevel="0" collapsed="false">
      <c r="A106" s="0" t="n">
        <v>105</v>
      </c>
      <c r="D106" s="0" t="s">
        <v>360</v>
      </c>
      <c r="E106" s="0" t="s">
        <v>305</v>
      </c>
      <c r="H106" s="0" t="s">
        <v>21</v>
      </c>
      <c r="I106" s="2" t="s">
        <v>22</v>
      </c>
      <c r="J106" s="2" t="s">
        <v>297</v>
      </c>
      <c r="K106" s="0" t="s">
        <v>298</v>
      </c>
      <c r="L106" s="0" t="s">
        <v>25</v>
      </c>
      <c r="M106" s="0" t="s">
        <v>299</v>
      </c>
      <c r="N106" s="0" t="s">
        <v>361</v>
      </c>
      <c r="O106" s="0" t="n">
        <v>1</v>
      </c>
      <c r="P106" s="0" t="s">
        <v>46</v>
      </c>
      <c r="Q106" s="0" t="s">
        <v>362</v>
      </c>
      <c r="R106" s="3"/>
      <c r="S106" s="2" t="s">
        <v>30</v>
      </c>
    </row>
    <row r="107" customFormat="false" ht="15" hidden="false" customHeight="false" outlineLevel="0" collapsed="false">
      <c r="A107" s="0" t="n">
        <v>106</v>
      </c>
      <c r="D107" s="0" t="s">
        <v>363</v>
      </c>
      <c r="E107" s="0" t="s">
        <v>113</v>
      </c>
      <c r="H107" s="0" t="s">
        <v>21</v>
      </c>
      <c r="I107" s="2" t="s">
        <v>22</v>
      </c>
      <c r="J107" s="2" t="s">
        <v>297</v>
      </c>
      <c r="K107" s="0" t="s">
        <v>298</v>
      </c>
      <c r="L107" s="0" t="s">
        <v>25</v>
      </c>
      <c r="M107" s="0" t="s">
        <v>299</v>
      </c>
      <c r="N107" s="0" t="s">
        <v>364</v>
      </c>
      <c r="O107" s="0" t="n">
        <v>1</v>
      </c>
      <c r="P107" s="0" t="s">
        <v>28</v>
      </c>
      <c r="Q107" s="0" t="s">
        <v>365</v>
      </c>
      <c r="R107" s="3"/>
      <c r="S107" s="2" t="s">
        <v>30</v>
      </c>
    </row>
    <row r="108" customFormat="false" ht="15" hidden="false" customHeight="false" outlineLevel="0" collapsed="false">
      <c r="A108" s="0" t="n">
        <v>107</v>
      </c>
      <c r="D108" s="0" t="s">
        <v>366</v>
      </c>
      <c r="E108" s="0" t="s">
        <v>309</v>
      </c>
      <c r="H108" s="0" t="s">
        <v>21</v>
      </c>
      <c r="I108" s="2" t="s">
        <v>22</v>
      </c>
      <c r="J108" s="2" t="s">
        <v>297</v>
      </c>
      <c r="K108" s="0" t="s">
        <v>298</v>
      </c>
      <c r="L108" s="0" t="s">
        <v>25</v>
      </c>
      <c r="M108" s="0" t="s">
        <v>299</v>
      </c>
      <c r="N108" s="0" t="s">
        <v>367</v>
      </c>
      <c r="O108" s="0" t="n">
        <v>1</v>
      </c>
      <c r="P108" s="0" t="s">
        <v>115</v>
      </c>
      <c r="Q108" s="0" t="s">
        <v>368</v>
      </c>
      <c r="R108" s="3"/>
      <c r="S108" s="2" t="s">
        <v>30</v>
      </c>
    </row>
    <row r="109" customFormat="false" ht="15" hidden="false" customHeight="false" outlineLevel="0" collapsed="false">
      <c r="A109" s="0" t="n">
        <v>108</v>
      </c>
      <c r="D109" s="0" t="s">
        <v>369</v>
      </c>
      <c r="E109" s="0" t="s">
        <v>113</v>
      </c>
      <c r="H109" s="0" t="s">
        <v>21</v>
      </c>
      <c r="I109" s="2" t="s">
        <v>22</v>
      </c>
      <c r="J109" s="2" t="s">
        <v>297</v>
      </c>
      <c r="K109" s="0" t="s">
        <v>298</v>
      </c>
      <c r="L109" s="0" t="s">
        <v>25</v>
      </c>
      <c r="M109" s="0" t="s">
        <v>299</v>
      </c>
      <c r="N109" s="0" t="s">
        <v>370</v>
      </c>
      <c r="O109" s="0" t="n">
        <v>1</v>
      </c>
      <c r="P109" s="0" t="s">
        <v>33</v>
      </c>
      <c r="R109" s="3"/>
      <c r="S109" s="2" t="s">
        <v>30</v>
      </c>
    </row>
    <row r="110" customFormat="false" ht="15" hidden="false" customHeight="false" outlineLevel="0" collapsed="false">
      <c r="A110" s="0" t="n">
        <v>109</v>
      </c>
      <c r="D110" s="0" t="s">
        <v>371</v>
      </c>
      <c r="E110" s="0" t="s">
        <v>309</v>
      </c>
      <c r="H110" s="0" t="s">
        <v>21</v>
      </c>
      <c r="I110" s="2" t="s">
        <v>22</v>
      </c>
      <c r="J110" s="2" t="s">
        <v>297</v>
      </c>
      <c r="K110" s="0" t="s">
        <v>298</v>
      </c>
      <c r="L110" s="0" t="s">
        <v>25</v>
      </c>
      <c r="M110" s="0" t="s">
        <v>299</v>
      </c>
      <c r="N110" s="0" t="s">
        <v>372</v>
      </c>
      <c r="O110" s="0" t="n">
        <v>1</v>
      </c>
      <c r="P110" s="0" t="s">
        <v>33</v>
      </c>
      <c r="Q110" s="0" t="s">
        <v>373</v>
      </c>
      <c r="R110" s="3"/>
      <c r="S110" s="2" t="s">
        <v>30</v>
      </c>
    </row>
    <row r="111" customFormat="false" ht="15" hidden="false" customHeight="false" outlineLevel="0" collapsed="false">
      <c r="A111" s="0" t="n">
        <v>110</v>
      </c>
      <c r="D111" s="0" t="s">
        <v>374</v>
      </c>
      <c r="E111" s="0" t="s">
        <v>113</v>
      </c>
      <c r="H111" s="0" t="s">
        <v>21</v>
      </c>
      <c r="I111" s="2" t="s">
        <v>22</v>
      </c>
      <c r="J111" s="2" t="s">
        <v>297</v>
      </c>
      <c r="K111" s="0" t="s">
        <v>298</v>
      </c>
      <c r="L111" s="0" t="s">
        <v>25</v>
      </c>
      <c r="M111" s="0" t="s">
        <v>299</v>
      </c>
      <c r="N111" s="0" t="s">
        <v>375</v>
      </c>
      <c r="O111" s="0" t="n">
        <v>1</v>
      </c>
      <c r="P111" s="0" t="s">
        <v>33</v>
      </c>
      <c r="Q111" s="0" t="s">
        <v>376</v>
      </c>
      <c r="R111" s="3"/>
      <c r="S111" s="2" t="s">
        <v>30</v>
      </c>
    </row>
    <row r="112" customFormat="false" ht="15" hidden="false" customHeight="false" outlineLevel="0" collapsed="false">
      <c r="A112" s="0" t="n">
        <v>111</v>
      </c>
      <c r="D112" s="0" t="s">
        <v>377</v>
      </c>
      <c r="E112" s="0" t="s">
        <v>20</v>
      </c>
      <c r="H112" s="0" t="s">
        <v>21</v>
      </c>
      <c r="I112" s="2" t="s">
        <v>22</v>
      </c>
      <c r="J112" s="2" t="s">
        <v>297</v>
      </c>
      <c r="K112" s="0" t="s">
        <v>378</v>
      </c>
      <c r="L112" s="0" t="s">
        <v>25</v>
      </c>
      <c r="M112" s="0" t="s">
        <v>379</v>
      </c>
      <c r="N112" s="0" t="s">
        <v>380</v>
      </c>
      <c r="O112" s="0" t="n">
        <v>1</v>
      </c>
      <c r="P112" s="0" t="s">
        <v>115</v>
      </c>
      <c r="Q112" s="0" t="s">
        <v>381</v>
      </c>
      <c r="R112" s="3"/>
      <c r="S112" s="2" t="s">
        <v>30</v>
      </c>
    </row>
    <row r="113" customFormat="false" ht="15" hidden="false" customHeight="false" outlineLevel="0" collapsed="false">
      <c r="A113" s="0" t="n">
        <v>112</v>
      </c>
      <c r="D113" s="0" t="s">
        <v>382</v>
      </c>
      <c r="E113" s="0" t="s">
        <v>20</v>
      </c>
      <c r="H113" s="0" t="s">
        <v>21</v>
      </c>
      <c r="I113" s="2" t="s">
        <v>22</v>
      </c>
      <c r="J113" s="2" t="s">
        <v>297</v>
      </c>
      <c r="K113" s="0" t="s">
        <v>378</v>
      </c>
      <c r="L113" s="0" t="s">
        <v>25</v>
      </c>
      <c r="M113" s="0" t="s">
        <v>379</v>
      </c>
      <c r="N113" s="0" t="s">
        <v>383</v>
      </c>
      <c r="O113" s="0" t="n">
        <v>1</v>
      </c>
      <c r="P113" s="0" t="s">
        <v>183</v>
      </c>
      <c r="Q113" s="0" t="s">
        <v>384</v>
      </c>
      <c r="R113" s="3"/>
      <c r="S113" s="2" t="s">
        <v>30</v>
      </c>
    </row>
    <row r="114" customFormat="false" ht="15" hidden="false" customHeight="false" outlineLevel="0" collapsed="false">
      <c r="A114" s="0" t="n">
        <v>113</v>
      </c>
      <c r="D114" s="0" t="s">
        <v>385</v>
      </c>
      <c r="E114" s="0" t="s">
        <v>20</v>
      </c>
      <c r="H114" s="0" t="s">
        <v>21</v>
      </c>
      <c r="I114" s="2" t="s">
        <v>22</v>
      </c>
      <c r="J114" s="2" t="s">
        <v>297</v>
      </c>
      <c r="K114" s="0" t="s">
        <v>378</v>
      </c>
      <c r="L114" s="0" t="s">
        <v>25</v>
      </c>
      <c r="M114" s="0" t="s">
        <v>379</v>
      </c>
      <c r="N114" s="0" t="s">
        <v>386</v>
      </c>
      <c r="O114" s="0" t="n">
        <v>1</v>
      </c>
      <c r="P114" s="0" t="s">
        <v>72</v>
      </c>
      <c r="Q114" s="0" t="s">
        <v>387</v>
      </c>
      <c r="R114" s="3"/>
      <c r="S114" s="2" t="s">
        <v>30</v>
      </c>
    </row>
    <row r="115" customFormat="false" ht="15" hidden="false" customHeight="false" outlineLevel="0" collapsed="false">
      <c r="A115" s="0" t="n">
        <v>114</v>
      </c>
      <c r="D115" s="0" t="s">
        <v>388</v>
      </c>
      <c r="E115" s="0" t="s">
        <v>20</v>
      </c>
      <c r="H115" s="0" t="s">
        <v>21</v>
      </c>
      <c r="I115" s="2" t="s">
        <v>22</v>
      </c>
      <c r="J115" s="2" t="s">
        <v>297</v>
      </c>
      <c r="K115" s="0" t="s">
        <v>378</v>
      </c>
      <c r="L115" s="0" t="s">
        <v>25</v>
      </c>
      <c r="M115" s="0" t="s">
        <v>379</v>
      </c>
      <c r="N115" s="0" t="s">
        <v>389</v>
      </c>
      <c r="O115" s="0" t="n">
        <v>1</v>
      </c>
      <c r="P115" s="0" t="s">
        <v>46</v>
      </c>
      <c r="Q115" s="0" t="s">
        <v>390</v>
      </c>
      <c r="R115" s="3"/>
      <c r="S115" s="2" t="s">
        <v>30</v>
      </c>
    </row>
    <row r="116" customFormat="false" ht="15" hidden="false" customHeight="false" outlineLevel="0" collapsed="false">
      <c r="A116" s="0" t="n">
        <v>115</v>
      </c>
      <c r="D116" s="0" t="s">
        <v>391</v>
      </c>
      <c r="E116" s="0" t="s">
        <v>20</v>
      </c>
      <c r="H116" s="0" t="s">
        <v>21</v>
      </c>
      <c r="I116" s="2" t="s">
        <v>22</v>
      </c>
      <c r="J116" s="2" t="s">
        <v>297</v>
      </c>
      <c r="K116" s="0" t="s">
        <v>378</v>
      </c>
      <c r="L116" s="0" t="s">
        <v>25</v>
      </c>
      <c r="M116" s="0" t="s">
        <v>379</v>
      </c>
      <c r="N116" s="0" t="s">
        <v>152</v>
      </c>
      <c r="O116" s="0" t="n">
        <v>1</v>
      </c>
      <c r="P116" s="0" t="s">
        <v>46</v>
      </c>
      <c r="Q116" s="0" t="s">
        <v>392</v>
      </c>
      <c r="R116" s="3"/>
      <c r="S116" s="2" t="s">
        <v>30</v>
      </c>
    </row>
    <row r="117" customFormat="false" ht="15" hidden="false" customHeight="false" outlineLevel="0" collapsed="false">
      <c r="A117" s="0" t="n">
        <v>116</v>
      </c>
      <c r="D117" s="0" t="s">
        <v>393</v>
      </c>
      <c r="E117" s="0" t="s">
        <v>20</v>
      </c>
      <c r="H117" s="0" t="s">
        <v>21</v>
      </c>
      <c r="I117" s="2" t="s">
        <v>22</v>
      </c>
      <c r="J117" s="2" t="s">
        <v>297</v>
      </c>
      <c r="K117" s="0" t="s">
        <v>378</v>
      </c>
      <c r="L117" s="0" t="s">
        <v>25</v>
      </c>
      <c r="M117" s="0" t="s">
        <v>379</v>
      </c>
      <c r="N117" s="0" t="s">
        <v>394</v>
      </c>
      <c r="O117" s="0" t="n">
        <v>1</v>
      </c>
      <c r="P117" s="0" t="s">
        <v>46</v>
      </c>
      <c r="Q117" s="0" t="s">
        <v>395</v>
      </c>
      <c r="R117" s="3"/>
      <c r="S117" s="2" t="s">
        <v>30</v>
      </c>
    </row>
    <row r="118" customFormat="false" ht="15" hidden="false" customHeight="false" outlineLevel="0" collapsed="false">
      <c r="A118" s="0" t="n">
        <v>117</v>
      </c>
      <c r="D118" s="0" t="s">
        <v>396</v>
      </c>
      <c r="E118" s="0" t="s">
        <v>20</v>
      </c>
      <c r="H118" s="0" t="s">
        <v>21</v>
      </c>
      <c r="I118" s="2" t="s">
        <v>22</v>
      </c>
      <c r="J118" s="2" t="s">
        <v>297</v>
      </c>
      <c r="K118" s="0" t="s">
        <v>378</v>
      </c>
      <c r="L118" s="0" t="s">
        <v>25</v>
      </c>
      <c r="M118" s="0" t="s">
        <v>379</v>
      </c>
      <c r="N118" s="0" t="s">
        <v>397</v>
      </c>
      <c r="O118" s="0" t="n">
        <v>1</v>
      </c>
      <c r="P118" s="0" t="s">
        <v>46</v>
      </c>
      <c r="Q118" s="0" t="s">
        <v>398</v>
      </c>
      <c r="R118" s="3"/>
      <c r="S118" s="2" t="s">
        <v>30</v>
      </c>
    </row>
    <row r="119" customFormat="false" ht="15" hidden="false" customHeight="false" outlineLevel="0" collapsed="false">
      <c r="A119" s="0" t="n">
        <v>118</v>
      </c>
      <c r="D119" s="0" t="s">
        <v>399</v>
      </c>
      <c r="E119" s="0" t="s">
        <v>20</v>
      </c>
      <c r="H119" s="0" t="s">
        <v>21</v>
      </c>
      <c r="I119" s="2" t="s">
        <v>22</v>
      </c>
      <c r="J119" s="2" t="s">
        <v>297</v>
      </c>
      <c r="K119" s="0" t="s">
        <v>378</v>
      </c>
      <c r="L119" s="0" t="s">
        <v>25</v>
      </c>
      <c r="M119" s="0" t="s">
        <v>379</v>
      </c>
      <c r="N119" s="0" t="s">
        <v>400</v>
      </c>
      <c r="O119" s="0" t="n">
        <v>1</v>
      </c>
      <c r="R119" s="3"/>
      <c r="S119" s="2" t="s">
        <v>30</v>
      </c>
    </row>
    <row r="120" customFormat="false" ht="15" hidden="false" customHeight="false" outlineLevel="0" collapsed="false">
      <c r="A120" s="0" t="n">
        <v>119</v>
      </c>
      <c r="D120" s="0" t="s">
        <v>401</v>
      </c>
      <c r="E120" s="0" t="s">
        <v>20</v>
      </c>
      <c r="H120" s="0" t="s">
        <v>21</v>
      </c>
      <c r="I120" s="2" t="s">
        <v>22</v>
      </c>
      <c r="J120" s="2" t="s">
        <v>297</v>
      </c>
      <c r="K120" s="0" t="s">
        <v>378</v>
      </c>
      <c r="L120" s="0" t="s">
        <v>25</v>
      </c>
      <c r="M120" s="0" t="s">
        <v>379</v>
      </c>
      <c r="N120" s="0" t="s">
        <v>58</v>
      </c>
      <c r="O120" s="0" t="n">
        <v>1</v>
      </c>
      <c r="P120" s="0" t="s">
        <v>46</v>
      </c>
      <c r="Q120" s="0" t="s">
        <v>402</v>
      </c>
      <c r="R120" s="3"/>
      <c r="S120" s="2" t="s">
        <v>30</v>
      </c>
    </row>
    <row r="121" customFormat="false" ht="15" hidden="false" customHeight="false" outlineLevel="0" collapsed="false">
      <c r="A121" s="0" t="n">
        <v>120</v>
      </c>
      <c r="D121" s="0" t="s">
        <v>403</v>
      </c>
      <c r="E121" s="0" t="s">
        <v>20</v>
      </c>
      <c r="H121" s="0" t="s">
        <v>21</v>
      </c>
      <c r="I121" s="2" t="s">
        <v>22</v>
      </c>
      <c r="J121" s="2" t="s">
        <v>297</v>
      </c>
      <c r="K121" s="0" t="s">
        <v>378</v>
      </c>
      <c r="L121" s="0" t="s">
        <v>25</v>
      </c>
      <c r="M121" s="0" t="s">
        <v>379</v>
      </c>
      <c r="N121" s="0" t="s">
        <v>404</v>
      </c>
      <c r="O121" s="0" t="n">
        <v>1</v>
      </c>
      <c r="P121" s="0" t="s">
        <v>46</v>
      </c>
      <c r="Q121" s="0" t="s">
        <v>405</v>
      </c>
      <c r="R121" s="3"/>
      <c r="S121" s="2" t="s">
        <v>30</v>
      </c>
    </row>
    <row r="122" customFormat="false" ht="15" hidden="false" customHeight="false" outlineLevel="0" collapsed="false">
      <c r="A122" s="0" t="n">
        <v>121</v>
      </c>
      <c r="D122" s="0" t="s">
        <v>406</v>
      </c>
      <c r="E122" s="0" t="s">
        <v>407</v>
      </c>
      <c r="H122" s="0" t="s">
        <v>21</v>
      </c>
      <c r="I122" s="2" t="s">
        <v>22</v>
      </c>
      <c r="J122" s="2" t="s">
        <v>297</v>
      </c>
      <c r="K122" s="0" t="s">
        <v>378</v>
      </c>
      <c r="L122" s="0" t="s">
        <v>25</v>
      </c>
      <c r="M122" s="0" t="s">
        <v>379</v>
      </c>
      <c r="N122" s="0" t="s">
        <v>408</v>
      </c>
      <c r="O122" s="0" t="n">
        <v>1</v>
      </c>
      <c r="P122" s="0" t="s">
        <v>46</v>
      </c>
      <c r="Q122" s="0" t="s">
        <v>409</v>
      </c>
      <c r="R122" s="3"/>
      <c r="S122" s="2" t="s">
        <v>30</v>
      </c>
    </row>
    <row r="123" customFormat="false" ht="15" hidden="false" customHeight="false" outlineLevel="0" collapsed="false">
      <c r="A123" s="0" t="n">
        <v>122</v>
      </c>
      <c r="D123" s="0" t="s">
        <v>410</v>
      </c>
      <c r="E123" s="0" t="s">
        <v>113</v>
      </c>
      <c r="H123" s="0" t="s">
        <v>21</v>
      </c>
      <c r="I123" s="2" t="s">
        <v>22</v>
      </c>
      <c r="J123" s="2" t="s">
        <v>297</v>
      </c>
      <c r="K123" s="0" t="s">
        <v>378</v>
      </c>
      <c r="L123" s="0" t="s">
        <v>25</v>
      </c>
      <c r="M123" s="0" t="s">
        <v>379</v>
      </c>
      <c r="N123" s="0" t="s">
        <v>411</v>
      </c>
      <c r="O123" s="0" t="n">
        <v>1</v>
      </c>
      <c r="P123" s="0" t="s">
        <v>46</v>
      </c>
      <c r="Q123" s="0" t="s">
        <v>412</v>
      </c>
      <c r="R123" s="3"/>
      <c r="S123" s="2" t="s">
        <v>30</v>
      </c>
    </row>
    <row r="124" customFormat="false" ht="15" hidden="false" customHeight="false" outlineLevel="0" collapsed="false">
      <c r="A124" s="0" t="n">
        <v>123</v>
      </c>
      <c r="D124" s="0" t="s">
        <v>413</v>
      </c>
      <c r="E124" s="0" t="s">
        <v>113</v>
      </c>
      <c r="H124" s="0" t="s">
        <v>21</v>
      </c>
      <c r="I124" s="2" t="s">
        <v>22</v>
      </c>
      <c r="J124" s="2" t="s">
        <v>297</v>
      </c>
      <c r="K124" s="0" t="s">
        <v>378</v>
      </c>
      <c r="L124" s="0" t="s">
        <v>25</v>
      </c>
      <c r="M124" s="0" t="s">
        <v>379</v>
      </c>
      <c r="N124" s="0" t="s">
        <v>414</v>
      </c>
      <c r="O124" s="0" t="n">
        <v>1</v>
      </c>
      <c r="P124" s="0" t="s">
        <v>46</v>
      </c>
      <c r="Q124" s="0" t="s">
        <v>415</v>
      </c>
      <c r="R124" s="3"/>
      <c r="S124" s="2" t="s">
        <v>30</v>
      </c>
    </row>
    <row r="125" customFormat="false" ht="15" hidden="false" customHeight="false" outlineLevel="0" collapsed="false">
      <c r="A125" s="0" t="n">
        <v>124</v>
      </c>
      <c r="D125" s="0" t="s">
        <v>416</v>
      </c>
      <c r="E125" s="0" t="s">
        <v>313</v>
      </c>
      <c r="H125" s="0" t="s">
        <v>21</v>
      </c>
      <c r="I125" s="2" t="s">
        <v>22</v>
      </c>
      <c r="J125" s="2" t="s">
        <v>297</v>
      </c>
      <c r="K125" s="0" t="s">
        <v>378</v>
      </c>
      <c r="L125" s="0" t="s">
        <v>25</v>
      </c>
      <c r="M125" s="0" t="s">
        <v>379</v>
      </c>
      <c r="N125" s="0" t="s">
        <v>417</v>
      </c>
      <c r="O125" s="0" t="n">
        <v>1</v>
      </c>
      <c r="P125" s="0" t="s">
        <v>46</v>
      </c>
      <c r="Q125" s="0" t="s">
        <v>418</v>
      </c>
      <c r="R125" s="3"/>
      <c r="S125" s="2" t="s">
        <v>30</v>
      </c>
    </row>
    <row r="126" customFormat="false" ht="15" hidden="false" customHeight="false" outlineLevel="0" collapsed="false">
      <c r="A126" s="0" t="n">
        <v>125</v>
      </c>
      <c r="D126" s="0" t="s">
        <v>419</v>
      </c>
      <c r="E126" s="0" t="s">
        <v>313</v>
      </c>
      <c r="H126" s="0" t="s">
        <v>21</v>
      </c>
      <c r="I126" s="2" t="s">
        <v>22</v>
      </c>
      <c r="J126" s="2" t="s">
        <v>297</v>
      </c>
      <c r="K126" s="0" t="s">
        <v>378</v>
      </c>
      <c r="L126" s="0" t="s">
        <v>25</v>
      </c>
      <c r="M126" s="0" t="s">
        <v>379</v>
      </c>
      <c r="N126" s="0" t="s">
        <v>417</v>
      </c>
      <c r="O126" s="0" t="n">
        <v>1</v>
      </c>
      <c r="P126" s="0" t="s">
        <v>46</v>
      </c>
      <c r="Q126" s="0" t="s">
        <v>420</v>
      </c>
      <c r="R126" s="3"/>
      <c r="S126" s="2" t="s">
        <v>30</v>
      </c>
    </row>
    <row r="127" customFormat="false" ht="15" hidden="false" customHeight="false" outlineLevel="0" collapsed="false">
      <c r="A127" s="0" t="n">
        <v>126</v>
      </c>
      <c r="D127" s="0" t="s">
        <v>421</v>
      </c>
      <c r="E127" s="0" t="s">
        <v>350</v>
      </c>
      <c r="H127" s="0" t="s">
        <v>21</v>
      </c>
      <c r="I127" s="2" t="s">
        <v>22</v>
      </c>
      <c r="J127" s="2" t="s">
        <v>297</v>
      </c>
      <c r="K127" s="0" t="s">
        <v>378</v>
      </c>
      <c r="L127" s="0" t="s">
        <v>25</v>
      </c>
      <c r="M127" s="0" t="s">
        <v>379</v>
      </c>
      <c r="N127" s="0" t="s">
        <v>422</v>
      </c>
      <c r="O127" s="0" t="n">
        <v>1</v>
      </c>
      <c r="P127" s="0" t="s">
        <v>46</v>
      </c>
      <c r="Q127" s="0" t="s">
        <v>423</v>
      </c>
      <c r="R127" s="3"/>
      <c r="S127" s="2" t="s">
        <v>30</v>
      </c>
    </row>
    <row r="128" customFormat="false" ht="15" hidden="false" customHeight="false" outlineLevel="0" collapsed="false">
      <c r="A128" s="0" t="n">
        <v>127</v>
      </c>
      <c r="D128" s="0" t="s">
        <v>424</v>
      </c>
      <c r="E128" s="0" t="s">
        <v>407</v>
      </c>
      <c r="H128" s="0" t="s">
        <v>21</v>
      </c>
      <c r="I128" s="2" t="s">
        <v>22</v>
      </c>
      <c r="J128" s="2" t="s">
        <v>297</v>
      </c>
      <c r="K128" s="0" t="s">
        <v>378</v>
      </c>
      <c r="L128" s="0" t="s">
        <v>25</v>
      </c>
      <c r="M128" s="0" t="s">
        <v>379</v>
      </c>
      <c r="N128" s="0" t="s">
        <v>425</v>
      </c>
      <c r="O128" s="0" t="n">
        <v>1</v>
      </c>
      <c r="P128" s="0" t="s">
        <v>46</v>
      </c>
      <c r="Q128" s="0" t="s">
        <v>426</v>
      </c>
      <c r="R128" s="3"/>
      <c r="S128" s="2" t="s">
        <v>30</v>
      </c>
    </row>
    <row r="129" customFormat="false" ht="15" hidden="false" customHeight="false" outlineLevel="0" collapsed="false">
      <c r="A129" s="0" t="n">
        <v>128</v>
      </c>
      <c r="D129" s="0" t="s">
        <v>427</v>
      </c>
      <c r="E129" s="0" t="s">
        <v>216</v>
      </c>
      <c r="H129" s="0" t="s">
        <v>21</v>
      </c>
      <c r="I129" s="2" t="s">
        <v>22</v>
      </c>
      <c r="J129" s="2" t="s">
        <v>297</v>
      </c>
      <c r="K129" s="0" t="s">
        <v>378</v>
      </c>
      <c r="L129" s="0" t="s">
        <v>25</v>
      </c>
      <c r="M129" s="0" t="s">
        <v>379</v>
      </c>
      <c r="N129" s="0" t="s">
        <v>428</v>
      </c>
      <c r="O129" s="0" t="n">
        <v>1</v>
      </c>
      <c r="P129" s="0" t="s">
        <v>46</v>
      </c>
      <c r="Q129" s="0" t="s">
        <v>429</v>
      </c>
      <c r="R129" s="3"/>
      <c r="S129" s="2" t="s">
        <v>30</v>
      </c>
    </row>
    <row r="130" customFormat="false" ht="15" hidden="false" customHeight="false" outlineLevel="0" collapsed="false">
      <c r="A130" s="0" t="n">
        <v>129</v>
      </c>
      <c r="D130" s="0" t="s">
        <v>430</v>
      </c>
      <c r="E130" s="0" t="s">
        <v>113</v>
      </c>
      <c r="H130" s="0" t="s">
        <v>21</v>
      </c>
      <c r="I130" s="2" t="s">
        <v>22</v>
      </c>
      <c r="J130" s="2" t="s">
        <v>297</v>
      </c>
      <c r="K130" s="0" t="s">
        <v>378</v>
      </c>
      <c r="L130" s="0" t="s">
        <v>25</v>
      </c>
      <c r="M130" s="0" t="s">
        <v>379</v>
      </c>
      <c r="N130" s="0" t="s">
        <v>431</v>
      </c>
      <c r="O130" s="0" t="n">
        <v>1</v>
      </c>
      <c r="P130" s="0" t="s">
        <v>46</v>
      </c>
      <c r="Q130" s="0" t="s">
        <v>432</v>
      </c>
      <c r="R130" s="3"/>
      <c r="S130" s="2" t="s">
        <v>30</v>
      </c>
    </row>
    <row r="131" customFormat="false" ht="15" hidden="false" customHeight="false" outlineLevel="0" collapsed="false">
      <c r="A131" s="0" t="n">
        <v>130</v>
      </c>
      <c r="D131" s="0" t="s">
        <v>433</v>
      </c>
      <c r="E131" s="0" t="s">
        <v>113</v>
      </c>
      <c r="H131" s="0" t="s">
        <v>21</v>
      </c>
      <c r="I131" s="2" t="s">
        <v>22</v>
      </c>
      <c r="J131" s="2" t="s">
        <v>297</v>
      </c>
      <c r="K131" s="0" t="s">
        <v>378</v>
      </c>
      <c r="L131" s="0" t="s">
        <v>25</v>
      </c>
      <c r="M131" s="0" t="s">
        <v>379</v>
      </c>
      <c r="N131" s="0" t="s">
        <v>434</v>
      </c>
      <c r="O131" s="0" t="n">
        <v>1</v>
      </c>
      <c r="P131" s="0" t="s">
        <v>46</v>
      </c>
      <c r="Q131" s="0" t="s">
        <v>435</v>
      </c>
      <c r="R131" s="3"/>
      <c r="S131" s="2" t="s">
        <v>30</v>
      </c>
    </row>
    <row r="132" customFormat="false" ht="15" hidden="false" customHeight="false" outlineLevel="0" collapsed="false">
      <c r="A132" s="0" t="n">
        <v>131</v>
      </c>
      <c r="D132" s="0" t="s">
        <v>436</v>
      </c>
      <c r="E132" s="0" t="s">
        <v>20</v>
      </c>
      <c r="H132" s="0" t="s">
        <v>21</v>
      </c>
      <c r="I132" s="2" t="s">
        <v>22</v>
      </c>
      <c r="J132" s="2" t="s">
        <v>297</v>
      </c>
      <c r="K132" s="0" t="s">
        <v>437</v>
      </c>
      <c r="L132" s="0" t="s">
        <v>25</v>
      </c>
      <c r="M132" s="0" t="s">
        <v>438</v>
      </c>
      <c r="N132" s="0" t="s">
        <v>439</v>
      </c>
      <c r="O132" s="0" t="n">
        <v>1</v>
      </c>
      <c r="P132" s="0" t="s">
        <v>183</v>
      </c>
      <c r="Q132" s="0" t="s">
        <v>440</v>
      </c>
      <c r="R132" s="3"/>
      <c r="S132" s="2" t="s">
        <v>30</v>
      </c>
    </row>
    <row r="133" customFormat="false" ht="15" hidden="false" customHeight="false" outlineLevel="0" collapsed="false">
      <c r="A133" s="0" t="n">
        <v>132</v>
      </c>
      <c r="D133" s="0" t="s">
        <v>441</v>
      </c>
      <c r="E133" s="0" t="s">
        <v>20</v>
      </c>
      <c r="H133" s="0" t="s">
        <v>21</v>
      </c>
      <c r="I133" s="2" t="s">
        <v>22</v>
      </c>
      <c r="J133" s="2" t="s">
        <v>297</v>
      </c>
      <c r="K133" s="0" t="s">
        <v>437</v>
      </c>
      <c r="L133" s="0" t="s">
        <v>25</v>
      </c>
      <c r="M133" s="0" t="s">
        <v>438</v>
      </c>
      <c r="N133" s="0" t="s">
        <v>442</v>
      </c>
      <c r="O133" s="0" t="n">
        <v>1</v>
      </c>
      <c r="P133" s="0" t="s">
        <v>115</v>
      </c>
      <c r="Q133" s="0" t="s">
        <v>443</v>
      </c>
      <c r="R133" s="3"/>
      <c r="S133" s="2" t="s">
        <v>30</v>
      </c>
    </row>
    <row r="134" customFormat="false" ht="15" hidden="false" customHeight="false" outlineLevel="0" collapsed="false">
      <c r="A134" s="0" t="n">
        <v>133</v>
      </c>
      <c r="D134" s="0" t="s">
        <v>444</v>
      </c>
      <c r="E134" s="0" t="s">
        <v>20</v>
      </c>
      <c r="H134" s="0" t="s">
        <v>21</v>
      </c>
      <c r="I134" s="2" t="s">
        <v>22</v>
      </c>
      <c r="J134" s="2" t="s">
        <v>297</v>
      </c>
      <c r="K134" s="0" t="s">
        <v>437</v>
      </c>
      <c r="L134" s="0" t="s">
        <v>25</v>
      </c>
      <c r="M134" s="0" t="s">
        <v>438</v>
      </c>
      <c r="N134" s="0" t="s">
        <v>187</v>
      </c>
      <c r="O134" s="0" t="n">
        <v>1</v>
      </c>
      <c r="P134" s="0" t="s">
        <v>46</v>
      </c>
      <c r="Q134" s="0" t="s">
        <v>445</v>
      </c>
      <c r="R134" s="3"/>
      <c r="S134" s="2" t="s">
        <v>30</v>
      </c>
    </row>
    <row r="135" customFormat="false" ht="15" hidden="false" customHeight="false" outlineLevel="0" collapsed="false">
      <c r="A135" s="0" t="n">
        <v>134</v>
      </c>
      <c r="D135" s="0" t="s">
        <v>446</v>
      </c>
      <c r="E135" s="0" t="s">
        <v>20</v>
      </c>
      <c r="H135" s="0" t="s">
        <v>21</v>
      </c>
      <c r="I135" s="2" t="s">
        <v>22</v>
      </c>
      <c r="J135" s="2" t="s">
        <v>297</v>
      </c>
      <c r="K135" s="0" t="s">
        <v>437</v>
      </c>
      <c r="L135" s="0" t="s">
        <v>25</v>
      </c>
      <c r="M135" s="0" t="s">
        <v>438</v>
      </c>
      <c r="N135" s="0" t="s">
        <v>447</v>
      </c>
      <c r="O135" s="0" t="n">
        <v>1</v>
      </c>
      <c r="P135" s="0" t="s">
        <v>183</v>
      </c>
      <c r="R135" s="3"/>
      <c r="S135" s="2" t="s">
        <v>30</v>
      </c>
    </row>
    <row r="136" customFormat="false" ht="15" hidden="false" customHeight="false" outlineLevel="0" collapsed="false">
      <c r="A136" s="0" t="n">
        <v>135</v>
      </c>
      <c r="D136" s="0" t="s">
        <v>448</v>
      </c>
      <c r="E136" s="0" t="s">
        <v>20</v>
      </c>
      <c r="H136" s="0" t="s">
        <v>21</v>
      </c>
      <c r="I136" s="2" t="s">
        <v>22</v>
      </c>
      <c r="J136" s="2" t="s">
        <v>297</v>
      </c>
      <c r="K136" s="0" t="s">
        <v>437</v>
      </c>
      <c r="L136" s="0" t="s">
        <v>114</v>
      </c>
      <c r="M136" s="0" t="s">
        <v>438</v>
      </c>
      <c r="O136" s="0" t="n">
        <v>0</v>
      </c>
      <c r="P136" s="0" t="s">
        <v>46</v>
      </c>
      <c r="Q136" s="0" t="s">
        <v>449</v>
      </c>
      <c r="R136" s="3"/>
      <c r="S136" s="2" t="s">
        <v>30</v>
      </c>
    </row>
    <row r="137" customFormat="false" ht="15" hidden="false" customHeight="false" outlineLevel="0" collapsed="false">
      <c r="A137" s="0" t="n">
        <v>136</v>
      </c>
      <c r="D137" s="0" t="s">
        <v>450</v>
      </c>
      <c r="E137" s="0" t="s">
        <v>20</v>
      </c>
      <c r="H137" s="0" t="s">
        <v>21</v>
      </c>
      <c r="I137" s="2" t="s">
        <v>22</v>
      </c>
      <c r="J137" s="2" t="s">
        <v>297</v>
      </c>
      <c r="K137" s="0" t="s">
        <v>437</v>
      </c>
      <c r="L137" s="0" t="s">
        <v>25</v>
      </c>
      <c r="M137" s="0" t="s">
        <v>438</v>
      </c>
      <c r="N137" s="0" t="s">
        <v>451</v>
      </c>
      <c r="O137" s="0" t="n">
        <v>1</v>
      </c>
      <c r="P137" s="0" t="s">
        <v>72</v>
      </c>
      <c r="Q137" s="0" t="s">
        <v>452</v>
      </c>
      <c r="R137" s="3"/>
      <c r="S137" s="2" t="s">
        <v>30</v>
      </c>
    </row>
    <row r="138" customFormat="false" ht="15" hidden="false" customHeight="false" outlineLevel="0" collapsed="false">
      <c r="A138" s="0" t="n">
        <v>137</v>
      </c>
      <c r="D138" s="0" t="s">
        <v>453</v>
      </c>
      <c r="E138" s="0" t="s">
        <v>20</v>
      </c>
      <c r="H138" s="0" t="s">
        <v>21</v>
      </c>
      <c r="I138" s="2" t="s">
        <v>22</v>
      </c>
      <c r="J138" s="2" t="s">
        <v>297</v>
      </c>
      <c r="K138" s="0" t="s">
        <v>437</v>
      </c>
      <c r="L138" s="0" t="s">
        <v>25</v>
      </c>
      <c r="M138" s="0" t="s">
        <v>438</v>
      </c>
      <c r="N138" s="0" t="s">
        <v>454</v>
      </c>
      <c r="O138" s="0" t="n">
        <v>1</v>
      </c>
      <c r="P138" s="0" t="s">
        <v>183</v>
      </c>
      <c r="Q138" s="0" t="s">
        <v>455</v>
      </c>
      <c r="R138" s="3"/>
      <c r="S138" s="2" t="s">
        <v>30</v>
      </c>
    </row>
    <row r="139" customFormat="false" ht="15" hidden="false" customHeight="false" outlineLevel="0" collapsed="false">
      <c r="A139" s="0" t="n">
        <v>138</v>
      </c>
      <c r="D139" s="0" t="s">
        <v>456</v>
      </c>
      <c r="E139" s="0" t="s">
        <v>20</v>
      </c>
      <c r="H139" s="0" t="s">
        <v>21</v>
      </c>
      <c r="I139" s="2" t="s">
        <v>22</v>
      </c>
      <c r="J139" s="2" t="s">
        <v>297</v>
      </c>
      <c r="K139" s="0" t="s">
        <v>437</v>
      </c>
      <c r="L139" s="0" t="s">
        <v>457</v>
      </c>
      <c r="M139" s="0" t="s">
        <v>438</v>
      </c>
      <c r="N139" s="0" t="s">
        <v>458</v>
      </c>
      <c r="O139" s="0" t="n">
        <v>1</v>
      </c>
      <c r="R139" s="3"/>
      <c r="S139" s="2" t="s">
        <v>459</v>
      </c>
    </row>
    <row r="140" customFormat="false" ht="15" hidden="false" customHeight="false" outlineLevel="0" collapsed="false">
      <c r="A140" s="0" t="n">
        <v>139</v>
      </c>
      <c r="D140" s="0" t="s">
        <v>460</v>
      </c>
      <c r="E140" s="0" t="s">
        <v>113</v>
      </c>
      <c r="H140" s="0" t="s">
        <v>21</v>
      </c>
      <c r="I140" s="2" t="s">
        <v>22</v>
      </c>
      <c r="J140" s="2" t="s">
        <v>297</v>
      </c>
      <c r="K140" s="0" t="s">
        <v>437</v>
      </c>
      <c r="L140" s="0" t="s">
        <v>25</v>
      </c>
      <c r="M140" s="0" t="s">
        <v>438</v>
      </c>
      <c r="N140" s="0" t="s">
        <v>461</v>
      </c>
      <c r="O140" s="0" t="n">
        <v>1</v>
      </c>
      <c r="P140" s="0" t="s">
        <v>46</v>
      </c>
      <c r="Q140" s="0" t="s">
        <v>462</v>
      </c>
      <c r="R140" s="3"/>
      <c r="S140" s="2" t="s">
        <v>30</v>
      </c>
    </row>
    <row r="141" customFormat="false" ht="15" hidden="false" customHeight="false" outlineLevel="0" collapsed="false">
      <c r="A141" s="0" t="n">
        <v>140</v>
      </c>
      <c r="D141" s="0" t="s">
        <v>463</v>
      </c>
      <c r="E141" s="0" t="s">
        <v>342</v>
      </c>
      <c r="H141" s="0" t="s">
        <v>21</v>
      </c>
      <c r="I141" s="2" t="s">
        <v>22</v>
      </c>
      <c r="J141" s="2" t="s">
        <v>297</v>
      </c>
      <c r="K141" s="0" t="s">
        <v>437</v>
      </c>
      <c r="L141" s="0" t="s">
        <v>25</v>
      </c>
      <c r="M141" s="0" t="s">
        <v>438</v>
      </c>
      <c r="N141" s="0" t="s">
        <v>167</v>
      </c>
      <c r="O141" s="0" t="n">
        <v>1</v>
      </c>
      <c r="P141" s="0" t="s">
        <v>72</v>
      </c>
      <c r="Q141" s="0" t="s">
        <v>464</v>
      </c>
      <c r="R141" s="3"/>
      <c r="S141" s="2" t="s">
        <v>30</v>
      </c>
    </row>
    <row r="142" customFormat="false" ht="15" hidden="false" customHeight="false" outlineLevel="0" collapsed="false">
      <c r="A142" s="0" t="n">
        <v>141</v>
      </c>
      <c r="D142" s="0" t="s">
        <v>465</v>
      </c>
      <c r="E142" s="0" t="s">
        <v>342</v>
      </c>
      <c r="H142" s="0" t="s">
        <v>21</v>
      </c>
      <c r="I142" s="2" t="s">
        <v>22</v>
      </c>
      <c r="J142" s="2" t="s">
        <v>297</v>
      </c>
      <c r="K142" s="0" t="s">
        <v>437</v>
      </c>
      <c r="L142" s="0" t="s">
        <v>25</v>
      </c>
      <c r="M142" s="0" t="s">
        <v>438</v>
      </c>
      <c r="N142" s="0" t="s">
        <v>167</v>
      </c>
      <c r="O142" s="0" t="n">
        <v>1</v>
      </c>
      <c r="P142" s="0" t="s">
        <v>72</v>
      </c>
      <c r="Q142" s="0" t="s">
        <v>466</v>
      </c>
      <c r="R142" s="3"/>
      <c r="S142" s="2" t="s">
        <v>30</v>
      </c>
    </row>
    <row r="143" customFormat="false" ht="15" hidden="false" customHeight="false" outlineLevel="0" collapsed="false">
      <c r="A143" s="0" t="n">
        <v>142</v>
      </c>
      <c r="D143" s="0" t="s">
        <v>467</v>
      </c>
      <c r="E143" s="0" t="s">
        <v>20</v>
      </c>
      <c r="H143" s="0" t="s">
        <v>21</v>
      </c>
      <c r="I143" s="2" t="s">
        <v>22</v>
      </c>
      <c r="J143" s="2" t="s">
        <v>297</v>
      </c>
      <c r="K143" s="0" t="s">
        <v>468</v>
      </c>
      <c r="L143" s="0" t="s">
        <v>25</v>
      </c>
      <c r="M143" s="0" t="s">
        <v>469</v>
      </c>
      <c r="N143" s="0" t="s">
        <v>470</v>
      </c>
      <c r="O143" s="0" t="n">
        <v>1</v>
      </c>
      <c r="P143" s="0" t="s">
        <v>72</v>
      </c>
      <c r="Q143" s="0" t="s">
        <v>471</v>
      </c>
      <c r="R143" s="3"/>
      <c r="S143" s="2" t="s">
        <v>30</v>
      </c>
    </row>
    <row r="144" customFormat="false" ht="15" hidden="false" customHeight="false" outlineLevel="0" collapsed="false">
      <c r="A144" s="0" t="n">
        <v>143</v>
      </c>
      <c r="D144" s="0" t="s">
        <v>472</v>
      </c>
      <c r="E144" s="0" t="s">
        <v>20</v>
      </c>
      <c r="H144" s="0" t="s">
        <v>21</v>
      </c>
      <c r="I144" s="2" t="s">
        <v>22</v>
      </c>
      <c r="J144" s="2" t="s">
        <v>297</v>
      </c>
      <c r="K144" s="0" t="s">
        <v>468</v>
      </c>
      <c r="L144" s="0" t="s">
        <v>25</v>
      </c>
      <c r="M144" s="0" t="s">
        <v>469</v>
      </c>
      <c r="N144" s="0" t="s">
        <v>473</v>
      </c>
      <c r="O144" s="0" t="n">
        <v>1</v>
      </c>
      <c r="P144" s="0" t="s">
        <v>72</v>
      </c>
      <c r="Q144" s="0" t="s">
        <v>474</v>
      </c>
      <c r="R144" s="3"/>
      <c r="S144" s="2" t="s">
        <v>30</v>
      </c>
    </row>
    <row r="145" customFormat="false" ht="15" hidden="false" customHeight="false" outlineLevel="0" collapsed="false">
      <c r="A145" s="0" t="n">
        <v>144</v>
      </c>
      <c r="D145" s="0" t="s">
        <v>475</v>
      </c>
      <c r="E145" s="0" t="s">
        <v>20</v>
      </c>
      <c r="H145" s="0" t="s">
        <v>21</v>
      </c>
      <c r="I145" s="2" t="s">
        <v>22</v>
      </c>
      <c r="J145" s="2" t="s">
        <v>297</v>
      </c>
      <c r="K145" s="0" t="s">
        <v>468</v>
      </c>
      <c r="L145" s="0" t="s">
        <v>25</v>
      </c>
      <c r="M145" s="0" t="s">
        <v>469</v>
      </c>
      <c r="N145" s="0" t="s">
        <v>476</v>
      </c>
      <c r="O145" s="0" t="n">
        <v>1</v>
      </c>
      <c r="P145" s="0" t="s">
        <v>72</v>
      </c>
      <c r="Q145" s="0" t="s">
        <v>477</v>
      </c>
      <c r="R145" s="3"/>
      <c r="S145" s="2" t="s">
        <v>30</v>
      </c>
    </row>
    <row r="146" customFormat="false" ht="15" hidden="false" customHeight="false" outlineLevel="0" collapsed="false">
      <c r="A146" s="0" t="n">
        <v>145</v>
      </c>
      <c r="D146" s="0" t="s">
        <v>478</v>
      </c>
      <c r="E146" s="0" t="s">
        <v>20</v>
      </c>
      <c r="H146" s="0" t="s">
        <v>21</v>
      </c>
      <c r="I146" s="2" t="s">
        <v>22</v>
      </c>
      <c r="J146" s="2" t="s">
        <v>297</v>
      </c>
      <c r="K146" s="0" t="s">
        <v>479</v>
      </c>
      <c r="L146" s="0" t="s">
        <v>25</v>
      </c>
      <c r="M146" s="0" t="s">
        <v>480</v>
      </c>
      <c r="N146" s="0" t="s">
        <v>481</v>
      </c>
      <c r="O146" s="0" t="n">
        <v>1</v>
      </c>
      <c r="P146" s="0" t="s">
        <v>72</v>
      </c>
      <c r="Q146" s="0" t="s">
        <v>482</v>
      </c>
      <c r="R146" s="3"/>
      <c r="S146" s="2" t="s">
        <v>30</v>
      </c>
    </row>
    <row r="147" customFormat="false" ht="15" hidden="false" customHeight="false" outlineLevel="0" collapsed="false">
      <c r="A147" s="0" t="n">
        <v>146</v>
      </c>
      <c r="D147" s="0" t="s">
        <v>483</v>
      </c>
      <c r="E147" s="0" t="s">
        <v>20</v>
      </c>
      <c r="H147" s="0" t="s">
        <v>21</v>
      </c>
      <c r="I147" s="2" t="s">
        <v>22</v>
      </c>
      <c r="J147" s="2" t="s">
        <v>297</v>
      </c>
      <c r="K147" s="0" t="s">
        <v>479</v>
      </c>
      <c r="L147" s="0" t="s">
        <v>25</v>
      </c>
      <c r="M147" s="0" t="s">
        <v>480</v>
      </c>
      <c r="N147" s="0" t="s">
        <v>79</v>
      </c>
      <c r="O147" s="0" t="n">
        <v>1</v>
      </c>
      <c r="P147" s="0" t="s">
        <v>46</v>
      </c>
      <c r="R147" s="3"/>
      <c r="S147" s="2" t="s">
        <v>30</v>
      </c>
    </row>
    <row r="148" customFormat="false" ht="15" hidden="false" customHeight="false" outlineLevel="0" collapsed="false">
      <c r="A148" s="0" t="n">
        <v>147</v>
      </c>
      <c r="D148" s="0" t="s">
        <v>484</v>
      </c>
      <c r="E148" s="0" t="s">
        <v>20</v>
      </c>
      <c r="H148" s="0" t="s">
        <v>21</v>
      </c>
      <c r="I148" s="2" t="s">
        <v>22</v>
      </c>
      <c r="J148" s="2" t="s">
        <v>297</v>
      </c>
      <c r="K148" s="0" t="s">
        <v>479</v>
      </c>
      <c r="L148" s="0" t="s">
        <v>485</v>
      </c>
      <c r="M148" s="0" t="s">
        <v>480</v>
      </c>
      <c r="N148" s="0" t="s">
        <v>486</v>
      </c>
      <c r="O148" s="0" t="n">
        <v>1</v>
      </c>
      <c r="P148" s="0" t="s">
        <v>487</v>
      </c>
      <c r="Q148" s="0" t="s">
        <v>488</v>
      </c>
      <c r="R148" s="3"/>
      <c r="S148" s="2" t="s">
        <v>30</v>
      </c>
    </row>
    <row r="149" customFormat="false" ht="15" hidden="false" customHeight="false" outlineLevel="0" collapsed="false">
      <c r="A149" s="0" t="n">
        <v>148</v>
      </c>
      <c r="D149" s="0" t="s">
        <v>489</v>
      </c>
      <c r="E149" s="0" t="s">
        <v>20</v>
      </c>
      <c r="H149" s="0" t="s">
        <v>21</v>
      </c>
      <c r="I149" s="2" t="s">
        <v>22</v>
      </c>
      <c r="J149" s="2" t="s">
        <v>297</v>
      </c>
      <c r="K149" s="0" t="s">
        <v>479</v>
      </c>
      <c r="L149" s="0" t="s">
        <v>25</v>
      </c>
      <c r="M149" s="0" t="s">
        <v>480</v>
      </c>
      <c r="N149" s="0" t="s">
        <v>490</v>
      </c>
      <c r="O149" s="0" t="n">
        <v>1</v>
      </c>
      <c r="P149" s="0" t="s">
        <v>33</v>
      </c>
      <c r="Q149" s="0" t="s">
        <v>491</v>
      </c>
      <c r="R149" s="3"/>
      <c r="S149" s="2" t="s">
        <v>30</v>
      </c>
    </row>
    <row r="150" customFormat="false" ht="15" hidden="false" customHeight="false" outlineLevel="0" collapsed="false">
      <c r="A150" s="0" t="n">
        <v>149</v>
      </c>
      <c r="D150" s="0" t="s">
        <v>492</v>
      </c>
      <c r="E150" s="0" t="s">
        <v>20</v>
      </c>
      <c r="H150" s="0" t="s">
        <v>21</v>
      </c>
      <c r="I150" s="2" t="s">
        <v>22</v>
      </c>
      <c r="J150" s="2" t="s">
        <v>297</v>
      </c>
      <c r="K150" s="0" t="s">
        <v>479</v>
      </c>
      <c r="L150" s="0" t="s">
        <v>25</v>
      </c>
      <c r="M150" s="0" t="s">
        <v>480</v>
      </c>
      <c r="N150" s="0" t="s">
        <v>493</v>
      </c>
      <c r="O150" s="0" t="n">
        <v>1</v>
      </c>
      <c r="P150" s="0" t="s">
        <v>46</v>
      </c>
      <c r="Q150" s="0" t="s">
        <v>494</v>
      </c>
      <c r="R150" s="3"/>
      <c r="S150" s="2" t="s">
        <v>30</v>
      </c>
    </row>
    <row r="151" customFormat="false" ht="15" hidden="false" customHeight="false" outlineLevel="0" collapsed="false">
      <c r="A151" s="0" t="n">
        <v>150</v>
      </c>
      <c r="D151" s="0" t="s">
        <v>495</v>
      </c>
      <c r="E151" s="0" t="s">
        <v>20</v>
      </c>
      <c r="H151" s="0" t="s">
        <v>21</v>
      </c>
      <c r="I151" s="2" t="s">
        <v>22</v>
      </c>
      <c r="J151" s="2" t="s">
        <v>297</v>
      </c>
      <c r="K151" s="0" t="s">
        <v>479</v>
      </c>
      <c r="L151" s="0" t="s">
        <v>25</v>
      </c>
      <c r="M151" s="0" t="s">
        <v>480</v>
      </c>
      <c r="N151" s="0" t="s">
        <v>79</v>
      </c>
      <c r="O151" s="0" t="n">
        <v>1</v>
      </c>
      <c r="P151" s="0" t="s">
        <v>46</v>
      </c>
      <c r="R151" s="3"/>
      <c r="S151" s="2" t="s">
        <v>30</v>
      </c>
    </row>
    <row r="152" customFormat="false" ht="15" hidden="false" customHeight="false" outlineLevel="0" collapsed="false">
      <c r="A152" s="0" t="n">
        <v>151</v>
      </c>
      <c r="D152" s="0" t="s">
        <v>496</v>
      </c>
      <c r="E152" s="0" t="s">
        <v>20</v>
      </c>
      <c r="H152" s="0" t="s">
        <v>21</v>
      </c>
      <c r="I152" s="2" t="s">
        <v>22</v>
      </c>
      <c r="J152" s="2" t="s">
        <v>297</v>
      </c>
      <c r="K152" s="0" t="s">
        <v>479</v>
      </c>
      <c r="L152" s="0" t="s">
        <v>25</v>
      </c>
      <c r="M152" s="0" t="s">
        <v>480</v>
      </c>
      <c r="N152" s="0" t="s">
        <v>79</v>
      </c>
      <c r="O152" s="0" t="n">
        <v>1</v>
      </c>
      <c r="P152" s="0" t="s">
        <v>46</v>
      </c>
      <c r="R152" s="3"/>
      <c r="S152" s="2" t="s">
        <v>30</v>
      </c>
    </row>
    <row r="153" customFormat="false" ht="15" hidden="false" customHeight="false" outlineLevel="0" collapsed="false">
      <c r="A153" s="0" t="n">
        <v>152</v>
      </c>
      <c r="D153" s="0" t="s">
        <v>497</v>
      </c>
      <c r="E153" s="0" t="s">
        <v>20</v>
      </c>
      <c r="H153" s="0" t="s">
        <v>21</v>
      </c>
      <c r="I153" s="2" t="s">
        <v>22</v>
      </c>
      <c r="J153" s="2" t="s">
        <v>297</v>
      </c>
      <c r="K153" s="0" t="s">
        <v>479</v>
      </c>
      <c r="L153" s="0" t="s">
        <v>25</v>
      </c>
      <c r="M153" s="0" t="s">
        <v>480</v>
      </c>
      <c r="N153" s="0" t="s">
        <v>79</v>
      </c>
      <c r="O153" s="0" t="n">
        <v>1</v>
      </c>
      <c r="P153" s="0" t="s">
        <v>46</v>
      </c>
      <c r="R153" s="3"/>
      <c r="S153" s="2" t="s">
        <v>30</v>
      </c>
    </row>
    <row r="154" customFormat="false" ht="15" hidden="false" customHeight="false" outlineLevel="0" collapsed="false">
      <c r="A154" s="0" t="n">
        <v>153</v>
      </c>
      <c r="D154" s="0" t="s">
        <v>498</v>
      </c>
      <c r="E154" s="0" t="s">
        <v>20</v>
      </c>
      <c r="H154" s="0" t="s">
        <v>21</v>
      </c>
      <c r="I154" s="2" t="s">
        <v>22</v>
      </c>
      <c r="J154" s="2" t="s">
        <v>297</v>
      </c>
      <c r="K154" s="0" t="s">
        <v>479</v>
      </c>
      <c r="L154" s="0" t="s">
        <v>499</v>
      </c>
      <c r="M154" s="0" t="s">
        <v>480</v>
      </c>
      <c r="N154" s="0" t="s">
        <v>500</v>
      </c>
      <c r="O154" s="0" t="n">
        <v>2</v>
      </c>
      <c r="P154" s="0" t="s">
        <v>501</v>
      </c>
      <c r="Q154" s="0" t="s">
        <v>502</v>
      </c>
      <c r="R154" s="3"/>
      <c r="S154" s="2" t="s">
        <v>30</v>
      </c>
    </row>
    <row r="155" customFormat="false" ht="15" hidden="false" customHeight="false" outlineLevel="0" collapsed="false">
      <c r="A155" s="0" t="n">
        <v>154</v>
      </c>
      <c r="D155" s="0" t="s">
        <v>503</v>
      </c>
      <c r="E155" s="0" t="s">
        <v>20</v>
      </c>
      <c r="H155" s="0" t="s">
        <v>21</v>
      </c>
      <c r="I155" s="2" t="s">
        <v>22</v>
      </c>
      <c r="J155" s="2" t="s">
        <v>297</v>
      </c>
      <c r="K155" s="0" t="s">
        <v>479</v>
      </c>
      <c r="L155" s="0" t="s">
        <v>25</v>
      </c>
      <c r="M155" s="0" t="s">
        <v>480</v>
      </c>
      <c r="N155" s="0" t="s">
        <v>504</v>
      </c>
      <c r="O155" s="0" t="n">
        <v>1</v>
      </c>
      <c r="R155" s="3"/>
      <c r="S155" s="2" t="s">
        <v>30</v>
      </c>
    </row>
    <row r="156" customFormat="false" ht="15" hidden="false" customHeight="false" outlineLevel="0" collapsed="false">
      <c r="A156" s="0" t="n">
        <v>155</v>
      </c>
      <c r="D156" s="0" t="s">
        <v>505</v>
      </c>
      <c r="E156" s="0" t="s">
        <v>20</v>
      </c>
      <c r="H156" s="0" t="s">
        <v>21</v>
      </c>
      <c r="I156" s="2" t="s">
        <v>22</v>
      </c>
      <c r="J156" s="2" t="s">
        <v>297</v>
      </c>
      <c r="K156" s="0" t="s">
        <v>479</v>
      </c>
      <c r="L156" s="0" t="s">
        <v>25</v>
      </c>
      <c r="M156" s="0" t="s">
        <v>480</v>
      </c>
      <c r="N156" s="0" t="s">
        <v>79</v>
      </c>
      <c r="O156" s="0" t="n">
        <v>1</v>
      </c>
      <c r="P156" s="0" t="s">
        <v>46</v>
      </c>
      <c r="R156" s="3"/>
      <c r="S156" s="2" t="s">
        <v>30</v>
      </c>
    </row>
    <row r="157" customFormat="false" ht="15" hidden="false" customHeight="false" outlineLevel="0" collapsed="false">
      <c r="A157" s="0" t="n">
        <v>156</v>
      </c>
      <c r="D157" s="0" t="s">
        <v>506</v>
      </c>
      <c r="E157" s="0" t="s">
        <v>20</v>
      </c>
      <c r="H157" s="0" t="s">
        <v>21</v>
      </c>
      <c r="I157" s="2" t="s">
        <v>22</v>
      </c>
      <c r="J157" s="2" t="s">
        <v>297</v>
      </c>
      <c r="K157" s="0" t="s">
        <v>479</v>
      </c>
      <c r="L157" s="0" t="s">
        <v>507</v>
      </c>
      <c r="M157" s="0" t="s">
        <v>480</v>
      </c>
      <c r="N157" s="0" t="s">
        <v>508</v>
      </c>
      <c r="O157" s="0" t="n">
        <v>1</v>
      </c>
      <c r="P157" s="0" t="s">
        <v>509</v>
      </c>
      <c r="Q157" s="0" t="s">
        <v>510</v>
      </c>
      <c r="R157" s="3"/>
      <c r="S157" s="2" t="s">
        <v>30</v>
      </c>
    </row>
    <row r="158" customFormat="false" ht="15" hidden="false" customHeight="false" outlineLevel="0" collapsed="false">
      <c r="A158" s="0" t="n">
        <v>157</v>
      </c>
      <c r="D158" s="0" t="s">
        <v>511</v>
      </c>
      <c r="E158" s="0" t="s">
        <v>20</v>
      </c>
      <c r="H158" s="0" t="s">
        <v>21</v>
      </c>
      <c r="I158" s="2" t="s">
        <v>22</v>
      </c>
      <c r="J158" s="2" t="s">
        <v>297</v>
      </c>
      <c r="K158" s="0" t="s">
        <v>479</v>
      </c>
      <c r="L158" s="0" t="s">
        <v>25</v>
      </c>
      <c r="M158" s="0" t="s">
        <v>480</v>
      </c>
      <c r="N158" s="0" t="s">
        <v>512</v>
      </c>
      <c r="O158" s="0" t="n">
        <v>1</v>
      </c>
      <c r="P158" s="0" t="s">
        <v>72</v>
      </c>
      <c r="Q158" s="0" t="s">
        <v>513</v>
      </c>
      <c r="R158" s="3"/>
      <c r="S158" s="2" t="s">
        <v>30</v>
      </c>
    </row>
    <row r="159" customFormat="false" ht="15" hidden="false" customHeight="false" outlineLevel="0" collapsed="false">
      <c r="A159" s="0" t="n">
        <v>158</v>
      </c>
      <c r="D159" s="0" t="s">
        <v>514</v>
      </c>
      <c r="E159" s="0" t="s">
        <v>407</v>
      </c>
      <c r="H159" s="0" t="s">
        <v>21</v>
      </c>
      <c r="I159" s="2" t="s">
        <v>22</v>
      </c>
      <c r="J159" s="2" t="s">
        <v>297</v>
      </c>
      <c r="K159" s="0" t="s">
        <v>479</v>
      </c>
      <c r="L159" s="0" t="s">
        <v>25</v>
      </c>
      <c r="M159" s="0" t="s">
        <v>480</v>
      </c>
      <c r="N159" s="0" t="s">
        <v>515</v>
      </c>
      <c r="O159" s="0" t="n">
        <v>1</v>
      </c>
      <c r="P159" s="0" t="s">
        <v>46</v>
      </c>
      <c r="Q159" s="0" t="s">
        <v>516</v>
      </c>
      <c r="R159" s="3"/>
      <c r="S159" s="2" t="s">
        <v>30</v>
      </c>
    </row>
    <row r="160" customFormat="false" ht="15" hidden="false" customHeight="false" outlineLevel="0" collapsed="false">
      <c r="A160" s="0" t="n">
        <v>159</v>
      </c>
      <c r="D160" s="0" t="s">
        <v>517</v>
      </c>
      <c r="E160" s="0" t="s">
        <v>113</v>
      </c>
      <c r="H160" s="0" t="s">
        <v>21</v>
      </c>
      <c r="I160" s="2" t="s">
        <v>22</v>
      </c>
      <c r="J160" s="2" t="s">
        <v>297</v>
      </c>
      <c r="K160" s="0" t="s">
        <v>479</v>
      </c>
      <c r="L160" s="0" t="s">
        <v>25</v>
      </c>
      <c r="M160" s="0" t="s">
        <v>480</v>
      </c>
      <c r="N160" s="0" t="s">
        <v>518</v>
      </c>
      <c r="O160" s="0" t="n">
        <v>1</v>
      </c>
      <c r="P160" s="0" t="s">
        <v>72</v>
      </c>
      <c r="Q160" s="0" t="s">
        <v>519</v>
      </c>
      <c r="R160" s="3"/>
      <c r="S160" s="2" t="s">
        <v>30</v>
      </c>
    </row>
    <row r="161" customFormat="false" ht="15" hidden="false" customHeight="false" outlineLevel="0" collapsed="false">
      <c r="A161" s="0" t="n">
        <v>160</v>
      </c>
      <c r="D161" s="0" t="s">
        <v>520</v>
      </c>
      <c r="E161" s="0" t="s">
        <v>521</v>
      </c>
      <c r="H161" s="0" t="s">
        <v>21</v>
      </c>
      <c r="I161" s="2" t="s">
        <v>22</v>
      </c>
      <c r="J161" s="2" t="s">
        <v>297</v>
      </c>
      <c r="K161" s="0" t="s">
        <v>479</v>
      </c>
      <c r="L161" s="0" t="s">
        <v>25</v>
      </c>
      <c r="M161" s="0" t="s">
        <v>480</v>
      </c>
      <c r="N161" s="0" t="s">
        <v>522</v>
      </c>
      <c r="O161" s="0" t="n">
        <v>1</v>
      </c>
      <c r="P161" s="0" t="s">
        <v>46</v>
      </c>
      <c r="Q161" s="0" t="s">
        <v>523</v>
      </c>
      <c r="R161" s="3"/>
      <c r="S161" s="2" t="s">
        <v>30</v>
      </c>
    </row>
    <row r="162" customFormat="false" ht="15" hidden="false" customHeight="false" outlineLevel="0" collapsed="false">
      <c r="A162" s="0" t="n">
        <v>161</v>
      </c>
      <c r="D162" s="0" t="s">
        <v>524</v>
      </c>
      <c r="E162" s="0" t="s">
        <v>521</v>
      </c>
      <c r="H162" s="0" t="s">
        <v>21</v>
      </c>
      <c r="I162" s="2" t="s">
        <v>22</v>
      </c>
      <c r="J162" s="2" t="s">
        <v>297</v>
      </c>
      <c r="K162" s="0" t="s">
        <v>479</v>
      </c>
      <c r="L162" s="0" t="s">
        <v>25</v>
      </c>
      <c r="M162" s="0" t="s">
        <v>480</v>
      </c>
      <c r="N162" s="0" t="s">
        <v>525</v>
      </c>
      <c r="O162" s="0" t="n">
        <v>1</v>
      </c>
      <c r="P162" s="0" t="s">
        <v>46</v>
      </c>
      <c r="Q162" s="0" t="s">
        <v>526</v>
      </c>
      <c r="R162" s="3"/>
      <c r="S162" s="2" t="s">
        <v>30</v>
      </c>
    </row>
    <row r="163" customFormat="false" ht="15" hidden="false" customHeight="false" outlineLevel="0" collapsed="false">
      <c r="A163" s="0" t="n">
        <v>162</v>
      </c>
      <c r="D163" s="0" t="s">
        <v>527</v>
      </c>
      <c r="E163" s="0" t="s">
        <v>20</v>
      </c>
      <c r="H163" s="0" t="s">
        <v>21</v>
      </c>
      <c r="I163" s="2" t="s">
        <v>22</v>
      </c>
      <c r="J163" s="2" t="s">
        <v>297</v>
      </c>
      <c r="K163" s="0" t="s">
        <v>528</v>
      </c>
      <c r="L163" s="0" t="s">
        <v>25</v>
      </c>
      <c r="M163" s="0" t="s">
        <v>529</v>
      </c>
      <c r="N163" s="0" t="s">
        <v>187</v>
      </c>
      <c r="O163" s="0" t="n">
        <v>1</v>
      </c>
      <c r="P163" s="0" t="s">
        <v>139</v>
      </c>
      <c r="Q163" s="0" t="s">
        <v>530</v>
      </c>
      <c r="R163" s="3"/>
      <c r="S163" s="2" t="s">
        <v>30</v>
      </c>
    </row>
    <row r="164" customFormat="false" ht="15" hidden="false" customHeight="false" outlineLevel="0" collapsed="false">
      <c r="A164" s="0" t="n">
        <v>163</v>
      </c>
      <c r="D164" s="0" t="s">
        <v>531</v>
      </c>
      <c r="E164" s="0" t="s">
        <v>20</v>
      </c>
      <c r="H164" s="0" t="s">
        <v>21</v>
      </c>
      <c r="I164" s="2" t="s">
        <v>22</v>
      </c>
      <c r="J164" s="2" t="s">
        <v>297</v>
      </c>
      <c r="K164" s="0" t="s">
        <v>528</v>
      </c>
      <c r="L164" s="0" t="s">
        <v>25</v>
      </c>
      <c r="M164" s="0" t="s">
        <v>529</v>
      </c>
      <c r="N164" s="0" t="s">
        <v>532</v>
      </c>
      <c r="O164" s="0" t="n">
        <v>1</v>
      </c>
      <c r="P164" s="0" t="s">
        <v>139</v>
      </c>
      <c r="R164" s="3"/>
      <c r="S164" s="2" t="s">
        <v>30</v>
      </c>
    </row>
    <row r="165" customFormat="false" ht="15" hidden="false" customHeight="false" outlineLevel="0" collapsed="false">
      <c r="A165" s="0" t="n">
        <v>164</v>
      </c>
      <c r="D165" s="0" t="s">
        <v>533</v>
      </c>
      <c r="E165" s="0" t="s">
        <v>20</v>
      </c>
      <c r="H165" s="0" t="s">
        <v>21</v>
      </c>
      <c r="I165" s="2" t="s">
        <v>22</v>
      </c>
      <c r="J165" s="2" t="s">
        <v>297</v>
      </c>
      <c r="K165" s="0" t="s">
        <v>528</v>
      </c>
      <c r="L165" s="0" t="s">
        <v>534</v>
      </c>
      <c r="M165" s="0" t="s">
        <v>529</v>
      </c>
      <c r="N165" s="0" t="s">
        <v>187</v>
      </c>
      <c r="O165" s="0" t="n">
        <v>1</v>
      </c>
      <c r="P165" s="0" t="s">
        <v>72</v>
      </c>
      <c r="Q165" s="0" t="s">
        <v>530</v>
      </c>
      <c r="R165" s="3"/>
      <c r="S165" s="2" t="s">
        <v>535</v>
      </c>
    </row>
    <row r="166" customFormat="false" ht="15" hidden="false" customHeight="false" outlineLevel="0" collapsed="false">
      <c r="A166" s="0" t="n">
        <v>165</v>
      </c>
      <c r="D166" s="0" t="s">
        <v>536</v>
      </c>
      <c r="E166" s="0" t="s">
        <v>20</v>
      </c>
      <c r="H166" s="0" t="s">
        <v>21</v>
      </c>
      <c r="I166" s="2" t="s">
        <v>22</v>
      </c>
      <c r="J166" s="2" t="s">
        <v>297</v>
      </c>
      <c r="K166" s="0" t="s">
        <v>528</v>
      </c>
      <c r="L166" s="0" t="s">
        <v>25</v>
      </c>
      <c r="M166" s="0" t="s">
        <v>529</v>
      </c>
      <c r="N166" s="0" t="s">
        <v>213</v>
      </c>
      <c r="O166" s="0" t="n">
        <v>1</v>
      </c>
      <c r="P166" s="0" t="s">
        <v>72</v>
      </c>
      <c r="Q166" s="0" t="s">
        <v>537</v>
      </c>
      <c r="R166" s="3"/>
      <c r="S166" s="2" t="s">
        <v>30</v>
      </c>
    </row>
    <row r="167" customFormat="false" ht="15" hidden="false" customHeight="false" outlineLevel="0" collapsed="false">
      <c r="A167" s="0" t="n">
        <v>166</v>
      </c>
      <c r="D167" s="0" t="s">
        <v>538</v>
      </c>
      <c r="E167" s="0" t="s">
        <v>20</v>
      </c>
      <c r="H167" s="0" t="s">
        <v>21</v>
      </c>
      <c r="I167" s="2" t="s">
        <v>22</v>
      </c>
      <c r="J167" s="2" t="s">
        <v>297</v>
      </c>
      <c r="K167" s="0" t="s">
        <v>528</v>
      </c>
      <c r="L167" s="0" t="s">
        <v>25</v>
      </c>
      <c r="M167" s="0" t="s">
        <v>529</v>
      </c>
      <c r="N167" s="0" t="s">
        <v>539</v>
      </c>
      <c r="O167" s="0" t="n">
        <v>1</v>
      </c>
      <c r="P167" s="0" t="s">
        <v>33</v>
      </c>
      <c r="Q167" s="0" t="s">
        <v>540</v>
      </c>
      <c r="R167" s="3"/>
      <c r="S167" s="2" t="s">
        <v>30</v>
      </c>
    </row>
    <row r="168" customFormat="false" ht="15" hidden="false" customHeight="false" outlineLevel="0" collapsed="false">
      <c r="A168" s="0" t="n">
        <v>167</v>
      </c>
      <c r="D168" s="0" t="s">
        <v>541</v>
      </c>
      <c r="E168" s="0" t="s">
        <v>20</v>
      </c>
      <c r="H168" s="0" t="s">
        <v>21</v>
      </c>
      <c r="I168" s="2" t="s">
        <v>22</v>
      </c>
      <c r="J168" s="2" t="s">
        <v>297</v>
      </c>
      <c r="K168" s="0" t="s">
        <v>528</v>
      </c>
      <c r="L168" s="0" t="s">
        <v>25</v>
      </c>
      <c r="M168" s="0" t="s">
        <v>529</v>
      </c>
      <c r="N168" s="0" t="s">
        <v>542</v>
      </c>
      <c r="O168" s="0" t="n">
        <v>1</v>
      </c>
      <c r="P168" s="0" t="s">
        <v>72</v>
      </c>
      <c r="Q168" s="0" t="s">
        <v>543</v>
      </c>
      <c r="R168" s="3"/>
      <c r="S168" s="2" t="s">
        <v>30</v>
      </c>
    </row>
    <row r="169" customFormat="false" ht="15" hidden="false" customHeight="false" outlineLevel="0" collapsed="false">
      <c r="A169" s="0" t="n">
        <v>168</v>
      </c>
      <c r="D169" s="0" t="s">
        <v>544</v>
      </c>
      <c r="E169" s="0" t="s">
        <v>20</v>
      </c>
      <c r="H169" s="0" t="s">
        <v>21</v>
      </c>
      <c r="I169" s="2" t="s">
        <v>22</v>
      </c>
      <c r="J169" s="2" t="s">
        <v>297</v>
      </c>
      <c r="K169" s="0" t="s">
        <v>528</v>
      </c>
      <c r="L169" s="0" t="s">
        <v>25</v>
      </c>
      <c r="M169" s="0" t="s">
        <v>529</v>
      </c>
      <c r="N169" s="0" t="s">
        <v>545</v>
      </c>
      <c r="O169" s="0" t="n">
        <v>1</v>
      </c>
      <c r="P169" s="0" t="s">
        <v>72</v>
      </c>
      <c r="Q169" s="0" t="s">
        <v>546</v>
      </c>
      <c r="R169" s="3"/>
      <c r="S169" s="2" t="s">
        <v>30</v>
      </c>
    </row>
    <row r="170" customFormat="false" ht="15" hidden="false" customHeight="false" outlineLevel="0" collapsed="false">
      <c r="A170" s="0" t="n">
        <v>169</v>
      </c>
      <c r="D170" s="0" t="s">
        <v>547</v>
      </c>
      <c r="E170" s="0" t="s">
        <v>20</v>
      </c>
      <c r="H170" s="0" t="s">
        <v>21</v>
      </c>
      <c r="I170" s="2" t="s">
        <v>22</v>
      </c>
      <c r="J170" s="2" t="s">
        <v>297</v>
      </c>
      <c r="K170" s="0" t="s">
        <v>528</v>
      </c>
      <c r="L170" s="0" t="s">
        <v>25</v>
      </c>
      <c r="M170" s="0" t="s">
        <v>529</v>
      </c>
      <c r="N170" s="0" t="s">
        <v>548</v>
      </c>
      <c r="O170" s="0" t="n">
        <v>1</v>
      </c>
      <c r="P170" s="0" t="s">
        <v>72</v>
      </c>
      <c r="Q170" s="0" t="s">
        <v>549</v>
      </c>
      <c r="R170" s="3"/>
      <c r="S170" s="2" t="s">
        <v>30</v>
      </c>
    </row>
    <row r="171" customFormat="false" ht="15" hidden="false" customHeight="false" outlineLevel="0" collapsed="false">
      <c r="A171" s="0" t="n">
        <v>170</v>
      </c>
      <c r="D171" s="0" t="s">
        <v>550</v>
      </c>
      <c r="E171" s="0" t="s">
        <v>20</v>
      </c>
      <c r="H171" s="0" t="s">
        <v>21</v>
      </c>
      <c r="I171" s="2" t="s">
        <v>22</v>
      </c>
      <c r="J171" s="2" t="s">
        <v>297</v>
      </c>
      <c r="K171" s="0" t="s">
        <v>528</v>
      </c>
      <c r="L171" s="0" t="s">
        <v>25</v>
      </c>
      <c r="M171" s="0" t="s">
        <v>529</v>
      </c>
      <c r="N171" s="0" t="s">
        <v>551</v>
      </c>
      <c r="O171" s="0" t="n">
        <v>1</v>
      </c>
      <c r="P171" s="0" t="s">
        <v>72</v>
      </c>
      <c r="R171" s="3"/>
      <c r="S171" s="2" t="s">
        <v>30</v>
      </c>
    </row>
    <row r="172" customFormat="false" ht="15" hidden="false" customHeight="false" outlineLevel="0" collapsed="false">
      <c r="A172" s="0" t="n">
        <v>171</v>
      </c>
      <c r="D172" s="0" t="s">
        <v>552</v>
      </c>
      <c r="E172" s="0" t="s">
        <v>20</v>
      </c>
      <c r="H172" s="0" t="s">
        <v>21</v>
      </c>
      <c r="I172" s="2" t="s">
        <v>22</v>
      </c>
      <c r="J172" s="2" t="s">
        <v>297</v>
      </c>
      <c r="K172" s="0" t="s">
        <v>528</v>
      </c>
      <c r="L172" s="0" t="s">
        <v>25</v>
      </c>
      <c r="M172" s="0" t="s">
        <v>529</v>
      </c>
      <c r="N172" s="0" t="s">
        <v>553</v>
      </c>
      <c r="O172" s="0" t="n">
        <v>1</v>
      </c>
      <c r="P172" s="0" t="s">
        <v>72</v>
      </c>
      <c r="R172" s="3"/>
      <c r="S172" s="2" t="s">
        <v>30</v>
      </c>
    </row>
    <row r="173" customFormat="false" ht="15" hidden="false" customHeight="false" outlineLevel="0" collapsed="false">
      <c r="A173" s="0" t="n">
        <v>172</v>
      </c>
      <c r="D173" s="0" t="s">
        <v>554</v>
      </c>
      <c r="E173" s="0" t="s">
        <v>20</v>
      </c>
      <c r="H173" s="0" t="s">
        <v>21</v>
      </c>
      <c r="I173" s="2" t="s">
        <v>22</v>
      </c>
      <c r="J173" s="2" t="s">
        <v>297</v>
      </c>
      <c r="K173" s="0" t="s">
        <v>528</v>
      </c>
      <c r="L173" s="0" t="s">
        <v>25</v>
      </c>
      <c r="M173" s="0" t="s">
        <v>529</v>
      </c>
      <c r="N173" s="0" t="s">
        <v>551</v>
      </c>
      <c r="O173" s="0" t="n">
        <v>1</v>
      </c>
      <c r="P173" s="0" t="s">
        <v>72</v>
      </c>
      <c r="Q173" s="0" t="s">
        <v>555</v>
      </c>
      <c r="R173" s="3"/>
      <c r="S173" s="2" t="s">
        <v>30</v>
      </c>
    </row>
    <row r="174" customFormat="false" ht="15" hidden="false" customHeight="false" outlineLevel="0" collapsed="false">
      <c r="A174" s="0" t="n">
        <v>173</v>
      </c>
      <c r="D174" s="0" t="s">
        <v>556</v>
      </c>
      <c r="E174" s="0" t="s">
        <v>104</v>
      </c>
      <c r="H174" s="0" t="s">
        <v>21</v>
      </c>
      <c r="I174" s="2" t="s">
        <v>22</v>
      </c>
      <c r="J174" s="2" t="s">
        <v>297</v>
      </c>
      <c r="K174" s="0" t="s">
        <v>528</v>
      </c>
      <c r="L174" s="0" t="s">
        <v>25</v>
      </c>
      <c r="M174" s="0" t="s">
        <v>529</v>
      </c>
      <c r="N174" s="0" t="s">
        <v>105</v>
      </c>
      <c r="O174" s="0" t="n">
        <v>1</v>
      </c>
      <c r="P174" s="0" t="s">
        <v>46</v>
      </c>
      <c r="Q174" s="0" t="s">
        <v>557</v>
      </c>
      <c r="R174" s="3"/>
      <c r="S174" s="2" t="s">
        <v>30</v>
      </c>
    </row>
    <row r="175" customFormat="false" ht="15" hidden="false" customHeight="false" outlineLevel="0" collapsed="false">
      <c r="A175" s="0" t="n">
        <v>174</v>
      </c>
      <c r="D175" s="0" t="s">
        <v>558</v>
      </c>
      <c r="E175" s="0" t="s">
        <v>305</v>
      </c>
      <c r="H175" s="0" t="s">
        <v>21</v>
      </c>
      <c r="I175" s="2" t="s">
        <v>22</v>
      </c>
      <c r="J175" s="2" t="s">
        <v>297</v>
      </c>
      <c r="K175" s="0" t="s">
        <v>528</v>
      </c>
      <c r="L175" s="0" t="s">
        <v>559</v>
      </c>
      <c r="M175" s="0" t="s">
        <v>529</v>
      </c>
      <c r="N175" s="0" t="s">
        <v>306</v>
      </c>
      <c r="O175" s="0" t="n">
        <v>1</v>
      </c>
      <c r="P175" s="0" t="s">
        <v>33</v>
      </c>
      <c r="Q175" s="0" t="s">
        <v>560</v>
      </c>
      <c r="R175" s="3"/>
      <c r="S175" s="2" t="s">
        <v>561</v>
      </c>
    </row>
    <row r="176" customFormat="false" ht="15" hidden="false" customHeight="false" outlineLevel="0" collapsed="false">
      <c r="A176" s="0" t="n">
        <v>175</v>
      </c>
      <c r="D176" s="0" t="s">
        <v>562</v>
      </c>
      <c r="E176" s="0" t="s">
        <v>313</v>
      </c>
      <c r="H176" s="0" t="s">
        <v>21</v>
      </c>
      <c r="I176" s="2" t="s">
        <v>22</v>
      </c>
      <c r="J176" s="2" t="s">
        <v>297</v>
      </c>
      <c r="K176" s="0" t="s">
        <v>528</v>
      </c>
      <c r="L176" s="0" t="s">
        <v>25</v>
      </c>
      <c r="M176" s="0" t="s">
        <v>529</v>
      </c>
      <c r="N176" s="0" t="s">
        <v>417</v>
      </c>
      <c r="O176" s="0" t="n">
        <v>1</v>
      </c>
      <c r="R176" s="3"/>
      <c r="S176" s="2" t="s">
        <v>30</v>
      </c>
    </row>
    <row r="177" customFormat="false" ht="15" hidden="false" customHeight="false" outlineLevel="0" collapsed="false">
      <c r="A177" s="0" t="n">
        <v>176</v>
      </c>
      <c r="D177" s="0" t="s">
        <v>563</v>
      </c>
      <c r="E177" s="0" t="s">
        <v>305</v>
      </c>
      <c r="H177" s="0" t="s">
        <v>21</v>
      </c>
      <c r="I177" s="2" t="s">
        <v>22</v>
      </c>
      <c r="J177" s="2" t="s">
        <v>297</v>
      </c>
      <c r="K177" s="0" t="s">
        <v>528</v>
      </c>
      <c r="L177" s="0" t="s">
        <v>25</v>
      </c>
      <c r="M177" s="0" t="s">
        <v>529</v>
      </c>
      <c r="N177" s="0" t="s">
        <v>361</v>
      </c>
      <c r="O177" s="0" t="n">
        <v>1</v>
      </c>
      <c r="P177" s="0" t="s">
        <v>72</v>
      </c>
      <c r="Q177" s="0" t="s">
        <v>564</v>
      </c>
      <c r="R177" s="3"/>
      <c r="S177" s="2" t="s">
        <v>30</v>
      </c>
    </row>
    <row r="178" customFormat="false" ht="15" hidden="false" customHeight="false" outlineLevel="0" collapsed="false">
      <c r="A178" s="0" t="n">
        <v>177</v>
      </c>
      <c r="D178" s="0" t="s">
        <v>565</v>
      </c>
      <c r="E178" s="0" t="s">
        <v>186</v>
      </c>
      <c r="H178" s="0" t="s">
        <v>21</v>
      </c>
      <c r="I178" s="2" t="s">
        <v>22</v>
      </c>
      <c r="J178" s="2" t="s">
        <v>297</v>
      </c>
      <c r="K178" s="0" t="s">
        <v>528</v>
      </c>
      <c r="L178" s="0" t="s">
        <v>566</v>
      </c>
      <c r="M178" s="0" t="s">
        <v>529</v>
      </c>
      <c r="N178" s="0" t="s">
        <v>187</v>
      </c>
      <c r="O178" s="0" t="n">
        <v>1</v>
      </c>
      <c r="P178" s="0" t="s">
        <v>72</v>
      </c>
      <c r="Q178" s="0" t="s">
        <v>567</v>
      </c>
      <c r="R178" s="3"/>
      <c r="S178" s="2" t="s">
        <v>568</v>
      </c>
    </row>
    <row r="179" customFormat="false" ht="15" hidden="false" customHeight="false" outlineLevel="0" collapsed="false">
      <c r="A179" s="0" t="n">
        <v>178</v>
      </c>
      <c r="D179" s="0" t="s">
        <v>569</v>
      </c>
      <c r="E179" s="0" t="s">
        <v>257</v>
      </c>
      <c r="H179" s="0" t="s">
        <v>21</v>
      </c>
      <c r="I179" s="2" t="s">
        <v>22</v>
      </c>
      <c r="J179" s="2" t="s">
        <v>297</v>
      </c>
      <c r="K179" s="0" t="s">
        <v>528</v>
      </c>
      <c r="L179" s="0" t="s">
        <v>25</v>
      </c>
      <c r="M179" s="0" t="s">
        <v>529</v>
      </c>
      <c r="N179" s="0" t="s">
        <v>548</v>
      </c>
      <c r="O179" s="0" t="n">
        <v>1</v>
      </c>
      <c r="P179" s="0" t="s">
        <v>72</v>
      </c>
      <c r="Q179" s="0" t="s">
        <v>570</v>
      </c>
      <c r="R179" s="3"/>
      <c r="S179" s="2" t="s">
        <v>30</v>
      </c>
    </row>
    <row r="180" customFormat="false" ht="15" hidden="false" customHeight="false" outlineLevel="0" collapsed="false">
      <c r="A180" s="0" t="n">
        <v>179</v>
      </c>
      <c r="D180" s="0" t="s">
        <v>571</v>
      </c>
      <c r="E180" s="0" t="s">
        <v>313</v>
      </c>
      <c r="H180" s="0" t="s">
        <v>21</v>
      </c>
      <c r="I180" s="2" t="s">
        <v>22</v>
      </c>
      <c r="J180" s="2" t="s">
        <v>297</v>
      </c>
      <c r="K180" s="0" t="s">
        <v>528</v>
      </c>
      <c r="L180" s="0" t="s">
        <v>25</v>
      </c>
      <c r="M180" s="0" t="s">
        <v>529</v>
      </c>
      <c r="N180" s="0" t="s">
        <v>417</v>
      </c>
      <c r="O180" s="0" t="n">
        <v>1</v>
      </c>
      <c r="P180" s="0" t="s">
        <v>294</v>
      </c>
      <c r="Q180" s="0" t="s">
        <v>572</v>
      </c>
      <c r="R180" s="3"/>
      <c r="S180" s="2" t="s">
        <v>30</v>
      </c>
    </row>
    <row r="181" customFormat="false" ht="15" hidden="false" customHeight="false" outlineLevel="0" collapsed="false">
      <c r="A181" s="0" t="n">
        <v>180</v>
      </c>
      <c r="D181" s="0" t="s">
        <v>573</v>
      </c>
      <c r="E181" s="0" t="s">
        <v>521</v>
      </c>
      <c r="H181" s="0" t="s">
        <v>21</v>
      </c>
      <c r="I181" s="2" t="s">
        <v>22</v>
      </c>
      <c r="J181" s="2" t="s">
        <v>297</v>
      </c>
      <c r="K181" s="0" t="s">
        <v>528</v>
      </c>
      <c r="L181" s="0" t="s">
        <v>25</v>
      </c>
      <c r="M181" s="0" t="s">
        <v>529</v>
      </c>
      <c r="N181" s="0" t="s">
        <v>574</v>
      </c>
      <c r="O181" s="0" t="n">
        <v>1</v>
      </c>
      <c r="P181" s="0" t="s">
        <v>72</v>
      </c>
      <c r="Q181" s="0" t="s">
        <v>575</v>
      </c>
      <c r="R181" s="3"/>
      <c r="S181" s="2" t="s">
        <v>30</v>
      </c>
    </row>
    <row r="182" customFormat="false" ht="15" hidden="false" customHeight="false" outlineLevel="0" collapsed="false">
      <c r="A182" s="0" t="n">
        <v>181</v>
      </c>
      <c r="D182" s="0" t="s">
        <v>576</v>
      </c>
      <c r="E182" s="0" t="s">
        <v>200</v>
      </c>
      <c r="H182" s="0" t="s">
        <v>21</v>
      </c>
      <c r="I182" s="2" t="s">
        <v>22</v>
      </c>
      <c r="J182" s="2" t="s">
        <v>297</v>
      </c>
      <c r="K182" s="0" t="s">
        <v>528</v>
      </c>
      <c r="L182" s="0" t="s">
        <v>25</v>
      </c>
      <c r="M182" s="0" t="s">
        <v>529</v>
      </c>
      <c r="N182" s="0" t="s">
        <v>577</v>
      </c>
      <c r="O182" s="0" t="n">
        <v>1</v>
      </c>
      <c r="P182" s="0" t="s">
        <v>72</v>
      </c>
      <c r="Q182" s="0" t="s">
        <v>578</v>
      </c>
      <c r="R182" s="3"/>
      <c r="S182" s="2" t="s">
        <v>30</v>
      </c>
    </row>
    <row r="183" customFormat="false" ht="15" hidden="false" customHeight="false" outlineLevel="0" collapsed="false">
      <c r="A183" s="0" t="n">
        <v>182</v>
      </c>
      <c r="D183" s="0" t="s">
        <v>579</v>
      </c>
      <c r="E183" s="0" t="s">
        <v>580</v>
      </c>
      <c r="H183" s="0" t="s">
        <v>21</v>
      </c>
      <c r="I183" s="2" t="s">
        <v>22</v>
      </c>
      <c r="J183" s="2" t="s">
        <v>297</v>
      </c>
      <c r="K183" s="0" t="s">
        <v>528</v>
      </c>
      <c r="L183" s="0" t="s">
        <v>25</v>
      </c>
      <c r="M183" s="0" t="s">
        <v>529</v>
      </c>
      <c r="N183" s="0" t="s">
        <v>581</v>
      </c>
      <c r="O183" s="0" t="n">
        <v>1</v>
      </c>
      <c r="P183" s="0" t="s">
        <v>72</v>
      </c>
      <c r="Q183" s="0" t="s">
        <v>582</v>
      </c>
      <c r="R183" s="3"/>
      <c r="S183" s="2" t="s">
        <v>30</v>
      </c>
    </row>
    <row r="184" customFormat="false" ht="15" hidden="false" customHeight="false" outlineLevel="0" collapsed="false">
      <c r="A184" s="0" t="n">
        <v>183</v>
      </c>
      <c r="D184" s="0" t="s">
        <v>583</v>
      </c>
      <c r="E184" s="0" t="s">
        <v>108</v>
      </c>
      <c r="H184" s="0" t="s">
        <v>21</v>
      </c>
      <c r="I184" s="2" t="s">
        <v>22</v>
      </c>
      <c r="J184" s="2" t="s">
        <v>297</v>
      </c>
      <c r="K184" s="0" t="s">
        <v>528</v>
      </c>
      <c r="L184" s="0" t="s">
        <v>25</v>
      </c>
      <c r="M184" s="0" t="s">
        <v>529</v>
      </c>
      <c r="N184" s="0" t="s">
        <v>584</v>
      </c>
      <c r="O184" s="0" t="n">
        <v>1</v>
      </c>
      <c r="P184" s="0" t="s">
        <v>72</v>
      </c>
      <c r="Q184" s="0" t="s">
        <v>585</v>
      </c>
      <c r="R184" s="3"/>
      <c r="S184" s="2" t="s">
        <v>30</v>
      </c>
    </row>
    <row r="185" customFormat="false" ht="15" hidden="false" customHeight="false" outlineLevel="0" collapsed="false">
      <c r="A185" s="0" t="n">
        <v>184</v>
      </c>
      <c r="D185" s="0" t="s">
        <v>586</v>
      </c>
      <c r="E185" s="0" t="s">
        <v>309</v>
      </c>
      <c r="H185" s="0" t="s">
        <v>21</v>
      </c>
      <c r="I185" s="2" t="s">
        <v>22</v>
      </c>
      <c r="J185" s="2" t="s">
        <v>297</v>
      </c>
      <c r="K185" s="0" t="s">
        <v>528</v>
      </c>
      <c r="L185" s="0" t="s">
        <v>25</v>
      </c>
      <c r="M185" s="0" t="s">
        <v>529</v>
      </c>
      <c r="N185" s="0" t="s">
        <v>367</v>
      </c>
      <c r="O185" s="0" t="n">
        <v>1</v>
      </c>
      <c r="P185" s="0" t="s">
        <v>294</v>
      </c>
      <c r="Q185" s="0" t="s">
        <v>587</v>
      </c>
      <c r="R185" s="3"/>
      <c r="S185" s="2" t="s">
        <v>30</v>
      </c>
    </row>
    <row r="186" customFormat="false" ht="15" hidden="false" customHeight="false" outlineLevel="0" collapsed="false">
      <c r="A186" s="0" t="n">
        <v>185</v>
      </c>
      <c r="D186" s="0" t="s">
        <v>588</v>
      </c>
      <c r="E186" s="0" t="s">
        <v>108</v>
      </c>
      <c r="H186" s="0" t="s">
        <v>21</v>
      </c>
      <c r="I186" s="2" t="s">
        <v>22</v>
      </c>
      <c r="J186" s="2" t="s">
        <v>297</v>
      </c>
      <c r="K186" s="0" t="s">
        <v>528</v>
      </c>
      <c r="L186" s="0" t="s">
        <v>25</v>
      </c>
      <c r="M186" s="0" t="s">
        <v>529</v>
      </c>
      <c r="N186" s="0" t="s">
        <v>589</v>
      </c>
      <c r="O186" s="0" t="n">
        <v>1</v>
      </c>
      <c r="P186" s="0" t="s">
        <v>72</v>
      </c>
      <c r="Q186" s="0" t="s">
        <v>590</v>
      </c>
      <c r="R186" s="3"/>
      <c r="S186" s="2" t="s">
        <v>30</v>
      </c>
    </row>
    <row r="187" customFormat="false" ht="15" hidden="false" customHeight="false" outlineLevel="0" collapsed="false">
      <c r="A187" s="0" t="n">
        <v>186</v>
      </c>
      <c r="D187" s="0" t="s">
        <v>591</v>
      </c>
      <c r="E187" s="0" t="s">
        <v>350</v>
      </c>
      <c r="H187" s="0" t="s">
        <v>21</v>
      </c>
      <c r="I187" s="2" t="s">
        <v>22</v>
      </c>
      <c r="J187" s="2" t="s">
        <v>297</v>
      </c>
      <c r="K187" s="0" t="s">
        <v>528</v>
      </c>
      <c r="L187" s="0" t="s">
        <v>25</v>
      </c>
      <c r="M187" s="0" t="s">
        <v>529</v>
      </c>
      <c r="N187" s="0" t="s">
        <v>592</v>
      </c>
      <c r="O187" s="0" t="n">
        <v>1</v>
      </c>
      <c r="P187" s="0" t="s">
        <v>72</v>
      </c>
      <c r="Q187" s="0" t="s">
        <v>593</v>
      </c>
      <c r="R187" s="3"/>
      <c r="S187" s="2" t="s">
        <v>30</v>
      </c>
    </row>
    <row r="188" customFormat="false" ht="15" hidden="false" customHeight="false" outlineLevel="0" collapsed="false">
      <c r="A188" s="0" t="n">
        <v>187</v>
      </c>
      <c r="D188" s="0" t="s">
        <v>594</v>
      </c>
      <c r="E188" s="0" t="s">
        <v>521</v>
      </c>
      <c r="H188" s="0" t="s">
        <v>21</v>
      </c>
      <c r="I188" s="2" t="s">
        <v>22</v>
      </c>
      <c r="J188" s="2" t="s">
        <v>297</v>
      </c>
      <c r="K188" s="0" t="s">
        <v>528</v>
      </c>
      <c r="L188" s="0" t="s">
        <v>25</v>
      </c>
      <c r="M188" s="0" t="s">
        <v>529</v>
      </c>
      <c r="N188" s="0" t="s">
        <v>595</v>
      </c>
      <c r="O188" s="0" t="n">
        <v>1</v>
      </c>
      <c r="P188" s="0" t="s">
        <v>72</v>
      </c>
      <c r="Q188" s="0" t="s">
        <v>596</v>
      </c>
      <c r="R188" s="3"/>
      <c r="S188" s="2" t="s">
        <v>30</v>
      </c>
    </row>
    <row r="189" customFormat="false" ht="15" hidden="false" customHeight="false" outlineLevel="0" collapsed="false">
      <c r="A189" s="0" t="n">
        <v>188</v>
      </c>
      <c r="D189" s="0" t="s">
        <v>597</v>
      </c>
      <c r="E189" s="0" t="s">
        <v>108</v>
      </c>
      <c r="H189" s="0" t="s">
        <v>21</v>
      </c>
      <c r="I189" s="2" t="s">
        <v>22</v>
      </c>
      <c r="J189" s="2" t="s">
        <v>297</v>
      </c>
      <c r="K189" s="0" t="s">
        <v>528</v>
      </c>
      <c r="L189" s="0" t="s">
        <v>25</v>
      </c>
      <c r="M189" s="0" t="s">
        <v>529</v>
      </c>
      <c r="N189" s="0" t="s">
        <v>598</v>
      </c>
      <c r="O189" s="0" t="n">
        <v>1</v>
      </c>
      <c r="P189" s="0" t="s">
        <v>599</v>
      </c>
      <c r="Q189" s="0" t="s">
        <v>600</v>
      </c>
      <c r="R189" s="3"/>
      <c r="S189" s="2" t="s">
        <v>30</v>
      </c>
    </row>
    <row r="190" customFormat="false" ht="15" hidden="false" customHeight="false" outlineLevel="0" collapsed="false">
      <c r="A190" s="0" t="n">
        <v>189</v>
      </c>
      <c r="D190" s="0" t="s">
        <v>601</v>
      </c>
      <c r="E190" s="0" t="s">
        <v>113</v>
      </c>
      <c r="H190" s="0" t="s">
        <v>21</v>
      </c>
      <c r="I190" s="2" t="s">
        <v>22</v>
      </c>
      <c r="J190" s="2" t="s">
        <v>297</v>
      </c>
      <c r="K190" s="0" t="s">
        <v>528</v>
      </c>
      <c r="L190" s="0" t="s">
        <v>602</v>
      </c>
      <c r="M190" s="0" t="s">
        <v>529</v>
      </c>
      <c r="N190" s="0" t="s">
        <v>603</v>
      </c>
      <c r="O190" s="0" t="n">
        <v>1</v>
      </c>
      <c r="P190" s="0" t="s">
        <v>72</v>
      </c>
      <c r="Q190" s="0" t="s">
        <v>604</v>
      </c>
      <c r="R190" s="3"/>
      <c r="S190" s="2" t="s">
        <v>605</v>
      </c>
    </row>
    <row r="191" customFormat="false" ht="15" hidden="false" customHeight="false" outlineLevel="0" collapsed="false">
      <c r="A191" s="0" t="n">
        <v>190</v>
      </c>
      <c r="D191" s="0" t="s">
        <v>606</v>
      </c>
      <c r="E191" s="0" t="s">
        <v>342</v>
      </c>
      <c r="H191" s="0" t="s">
        <v>21</v>
      </c>
      <c r="I191" s="2" t="s">
        <v>22</v>
      </c>
      <c r="J191" s="2" t="s">
        <v>297</v>
      </c>
      <c r="K191" s="0" t="s">
        <v>528</v>
      </c>
      <c r="L191" s="0" t="s">
        <v>25</v>
      </c>
      <c r="M191" s="0" t="s">
        <v>529</v>
      </c>
      <c r="N191" s="0" t="s">
        <v>167</v>
      </c>
      <c r="O191" s="0" t="n">
        <v>1</v>
      </c>
      <c r="P191" s="0" t="s">
        <v>72</v>
      </c>
      <c r="Q191" s="0" t="s">
        <v>607</v>
      </c>
      <c r="R191" s="3"/>
      <c r="S191" s="2" t="s">
        <v>30</v>
      </c>
    </row>
    <row r="192" customFormat="false" ht="15" hidden="false" customHeight="false" outlineLevel="0" collapsed="false">
      <c r="A192" s="0" t="n">
        <v>191</v>
      </c>
      <c r="D192" s="0" t="s">
        <v>608</v>
      </c>
      <c r="E192" s="0" t="s">
        <v>104</v>
      </c>
      <c r="H192" s="0" t="s">
        <v>21</v>
      </c>
      <c r="I192" s="2" t="s">
        <v>22</v>
      </c>
      <c r="J192" s="2" t="s">
        <v>297</v>
      </c>
      <c r="K192" s="0" t="s">
        <v>528</v>
      </c>
      <c r="L192" s="0" t="s">
        <v>25</v>
      </c>
      <c r="M192" s="0" t="s">
        <v>529</v>
      </c>
      <c r="N192" s="0" t="s">
        <v>105</v>
      </c>
      <c r="O192" s="0" t="n">
        <v>1</v>
      </c>
      <c r="P192" s="0" t="s">
        <v>72</v>
      </c>
      <c r="Q192" s="0" t="s">
        <v>609</v>
      </c>
      <c r="R192" s="3"/>
      <c r="S192" s="2" t="s">
        <v>30</v>
      </c>
    </row>
    <row r="193" customFormat="false" ht="15" hidden="false" customHeight="false" outlineLevel="0" collapsed="false">
      <c r="A193" s="0" t="n">
        <v>192</v>
      </c>
      <c r="D193" s="0" t="s">
        <v>610</v>
      </c>
      <c r="E193" s="0" t="s">
        <v>611</v>
      </c>
      <c r="H193" s="0" t="s">
        <v>21</v>
      </c>
      <c r="I193" s="2" t="s">
        <v>22</v>
      </c>
      <c r="J193" s="2" t="s">
        <v>297</v>
      </c>
      <c r="K193" s="0" t="s">
        <v>528</v>
      </c>
      <c r="L193" s="0" t="s">
        <v>25</v>
      </c>
      <c r="M193" s="0" t="s">
        <v>529</v>
      </c>
      <c r="N193" s="0" t="s">
        <v>612</v>
      </c>
      <c r="O193" s="0" t="n">
        <v>1</v>
      </c>
      <c r="P193" s="0" t="s">
        <v>72</v>
      </c>
      <c r="Q193" s="0" t="s">
        <v>613</v>
      </c>
      <c r="R193" s="3"/>
      <c r="S193" s="2" t="s">
        <v>30</v>
      </c>
    </row>
    <row r="194" customFormat="false" ht="15" hidden="false" customHeight="false" outlineLevel="0" collapsed="false">
      <c r="A194" s="0" t="n">
        <v>193</v>
      </c>
      <c r="D194" s="0" t="s">
        <v>614</v>
      </c>
      <c r="E194" s="0" t="s">
        <v>615</v>
      </c>
      <c r="H194" s="0" t="s">
        <v>21</v>
      </c>
      <c r="I194" s="2" t="s">
        <v>22</v>
      </c>
      <c r="J194" s="2" t="s">
        <v>297</v>
      </c>
      <c r="K194" s="0" t="s">
        <v>528</v>
      </c>
      <c r="L194" s="0" t="s">
        <v>616</v>
      </c>
      <c r="M194" s="0" t="s">
        <v>529</v>
      </c>
      <c r="N194" s="0" t="s">
        <v>617</v>
      </c>
      <c r="O194" s="0" t="n">
        <v>1</v>
      </c>
      <c r="P194" s="0" t="s">
        <v>72</v>
      </c>
      <c r="Q194" s="0" t="s">
        <v>618</v>
      </c>
      <c r="R194" s="3"/>
      <c r="S194" s="2" t="s">
        <v>619</v>
      </c>
    </row>
    <row r="195" customFormat="false" ht="15" hidden="false" customHeight="false" outlineLevel="0" collapsed="false">
      <c r="A195" s="0" t="n">
        <v>194</v>
      </c>
      <c r="D195" s="0" t="s">
        <v>620</v>
      </c>
      <c r="E195" s="0" t="s">
        <v>108</v>
      </c>
      <c r="H195" s="0" t="s">
        <v>21</v>
      </c>
      <c r="I195" s="2" t="s">
        <v>22</v>
      </c>
      <c r="J195" s="2" t="s">
        <v>297</v>
      </c>
      <c r="K195" s="0" t="s">
        <v>528</v>
      </c>
      <c r="L195" s="0" t="s">
        <v>25</v>
      </c>
      <c r="M195" s="0" t="s">
        <v>529</v>
      </c>
      <c r="N195" s="0" t="s">
        <v>237</v>
      </c>
      <c r="O195" s="0" t="n">
        <v>1</v>
      </c>
      <c r="P195" s="0" t="s">
        <v>294</v>
      </c>
      <c r="Q195" s="0" t="s">
        <v>621</v>
      </c>
      <c r="R195" s="3"/>
      <c r="S195" s="2" t="s">
        <v>30</v>
      </c>
    </row>
    <row r="196" customFormat="false" ht="15" hidden="false" customHeight="false" outlineLevel="0" collapsed="false">
      <c r="A196" s="0" t="n">
        <v>195</v>
      </c>
      <c r="D196" s="0" t="s">
        <v>622</v>
      </c>
      <c r="E196" s="0" t="s">
        <v>313</v>
      </c>
      <c r="H196" s="0" t="s">
        <v>21</v>
      </c>
      <c r="I196" s="2" t="s">
        <v>22</v>
      </c>
      <c r="J196" s="2" t="s">
        <v>297</v>
      </c>
      <c r="K196" s="0" t="s">
        <v>528</v>
      </c>
      <c r="L196" s="0" t="s">
        <v>25</v>
      </c>
      <c r="M196" s="0" t="s">
        <v>529</v>
      </c>
      <c r="N196" s="0" t="s">
        <v>417</v>
      </c>
      <c r="O196" s="0" t="n">
        <v>1</v>
      </c>
      <c r="P196" s="0" t="s">
        <v>294</v>
      </c>
      <c r="Q196" s="0" t="s">
        <v>623</v>
      </c>
      <c r="R196" s="3"/>
      <c r="S196" s="2" t="s">
        <v>30</v>
      </c>
    </row>
    <row r="197" customFormat="false" ht="15" hidden="false" customHeight="false" outlineLevel="0" collapsed="false">
      <c r="A197" s="0" t="n">
        <v>196</v>
      </c>
      <c r="D197" s="0" t="s">
        <v>624</v>
      </c>
      <c r="E197" s="0" t="s">
        <v>20</v>
      </c>
      <c r="H197" s="0" t="s">
        <v>21</v>
      </c>
      <c r="I197" s="2" t="s">
        <v>22</v>
      </c>
      <c r="J197" s="2" t="s">
        <v>625</v>
      </c>
      <c r="K197" s="0" t="s">
        <v>626</v>
      </c>
      <c r="L197" s="0" t="s">
        <v>25</v>
      </c>
      <c r="M197" s="0" t="s">
        <v>627</v>
      </c>
      <c r="N197" s="0" t="s">
        <v>628</v>
      </c>
      <c r="O197" s="0" t="n">
        <v>1</v>
      </c>
      <c r="P197" s="0" t="s">
        <v>115</v>
      </c>
      <c r="Q197" s="0" t="s">
        <v>629</v>
      </c>
      <c r="R197" s="3"/>
      <c r="S197" s="2" t="s">
        <v>30</v>
      </c>
    </row>
    <row r="198" customFormat="false" ht="15" hidden="false" customHeight="false" outlineLevel="0" collapsed="false">
      <c r="A198" s="0" t="n">
        <v>197</v>
      </c>
      <c r="D198" s="0" t="s">
        <v>630</v>
      </c>
      <c r="E198" s="0" t="s">
        <v>20</v>
      </c>
      <c r="H198" s="0" t="s">
        <v>21</v>
      </c>
      <c r="I198" s="2" t="s">
        <v>22</v>
      </c>
      <c r="J198" s="2" t="s">
        <v>625</v>
      </c>
      <c r="K198" s="0" t="s">
        <v>626</v>
      </c>
      <c r="L198" s="0" t="s">
        <v>25</v>
      </c>
      <c r="M198" s="0" t="s">
        <v>627</v>
      </c>
      <c r="N198" s="0" t="s">
        <v>631</v>
      </c>
      <c r="O198" s="0" t="n">
        <v>1</v>
      </c>
      <c r="P198" s="0" t="s">
        <v>46</v>
      </c>
      <c r="R198" s="3"/>
      <c r="S198" s="2" t="s">
        <v>30</v>
      </c>
    </row>
    <row r="199" customFormat="false" ht="15" hidden="false" customHeight="false" outlineLevel="0" collapsed="false">
      <c r="A199" s="0" t="n">
        <v>198</v>
      </c>
      <c r="D199" s="0" t="s">
        <v>632</v>
      </c>
      <c r="E199" s="0" t="s">
        <v>20</v>
      </c>
      <c r="H199" s="0" t="s">
        <v>21</v>
      </c>
      <c r="I199" s="2" t="s">
        <v>22</v>
      </c>
      <c r="J199" s="2" t="s">
        <v>625</v>
      </c>
      <c r="K199" s="0" t="s">
        <v>626</v>
      </c>
      <c r="L199" s="0" t="s">
        <v>25</v>
      </c>
      <c r="M199" s="0" t="s">
        <v>627</v>
      </c>
      <c r="N199" s="0" t="s">
        <v>633</v>
      </c>
      <c r="O199" s="0" t="n">
        <v>1</v>
      </c>
      <c r="P199" s="0" t="s">
        <v>46</v>
      </c>
      <c r="Q199" s="0" t="s">
        <v>634</v>
      </c>
      <c r="R199" s="3"/>
      <c r="S199" s="2" t="s">
        <v>30</v>
      </c>
    </row>
    <row r="200" customFormat="false" ht="15" hidden="false" customHeight="false" outlineLevel="0" collapsed="false">
      <c r="A200" s="0" t="n">
        <v>199</v>
      </c>
      <c r="D200" s="0" t="s">
        <v>635</v>
      </c>
      <c r="E200" s="0" t="s">
        <v>20</v>
      </c>
      <c r="H200" s="0" t="s">
        <v>21</v>
      </c>
      <c r="I200" s="2" t="s">
        <v>22</v>
      </c>
      <c r="J200" s="2" t="s">
        <v>625</v>
      </c>
      <c r="K200" s="0" t="s">
        <v>626</v>
      </c>
      <c r="L200" s="0" t="s">
        <v>25</v>
      </c>
      <c r="M200" s="0" t="s">
        <v>627</v>
      </c>
      <c r="N200" s="0" t="s">
        <v>636</v>
      </c>
      <c r="O200" s="0" t="n">
        <v>1</v>
      </c>
      <c r="P200" s="0" t="s">
        <v>72</v>
      </c>
      <c r="Q200" s="0" t="s">
        <v>637</v>
      </c>
      <c r="R200" s="3"/>
      <c r="S200" s="2" t="s">
        <v>30</v>
      </c>
    </row>
    <row r="201" customFormat="false" ht="15" hidden="false" customHeight="false" outlineLevel="0" collapsed="false">
      <c r="A201" s="0" t="n">
        <v>200</v>
      </c>
      <c r="D201" s="0" t="s">
        <v>638</v>
      </c>
      <c r="E201" s="0" t="s">
        <v>20</v>
      </c>
      <c r="H201" s="0" t="s">
        <v>21</v>
      </c>
      <c r="I201" s="2" t="s">
        <v>22</v>
      </c>
      <c r="J201" s="2" t="s">
        <v>625</v>
      </c>
      <c r="K201" s="0" t="s">
        <v>626</v>
      </c>
      <c r="L201" s="0" t="s">
        <v>25</v>
      </c>
      <c r="M201" s="0" t="s">
        <v>627</v>
      </c>
      <c r="N201" s="0" t="s">
        <v>639</v>
      </c>
      <c r="O201" s="0" t="n">
        <v>1</v>
      </c>
      <c r="P201" s="0" t="s">
        <v>46</v>
      </c>
      <c r="Q201" s="0" t="s">
        <v>640</v>
      </c>
      <c r="R201" s="3"/>
      <c r="S201" s="2" t="s">
        <v>30</v>
      </c>
    </row>
    <row r="202" customFormat="false" ht="15" hidden="false" customHeight="false" outlineLevel="0" collapsed="false">
      <c r="A202" s="0" t="n">
        <v>201</v>
      </c>
      <c r="D202" s="0" t="s">
        <v>641</v>
      </c>
      <c r="E202" s="0" t="s">
        <v>20</v>
      </c>
      <c r="H202" s="0" t="s">
        <v>21</v>
      </c>
      <c r="I202" s="2" t="s">
        <v>22</v>
      </c>
      <c r="J202" s="2" t="s">
        <v>625</v>
      </c>
      <c r="K202" s="0" t="s">
        <v>626</v>
      </c>
      <c r="L202" s="0" t="s">
        <v>25</v>
      </c>
      <c r="M202" s="0" t="s">
        <v>627</v>
      </c>
      <c r="N202" s="0" t="s">
        <v>642</v>
      </c>
      <c r="O202" s="0" t="n">
        <v>1</v>
      </c>
      <c r="P202" s="0" t="s">
        <v>294</v>
      </c>
      <c r="Q202" s="0" t="s">
        <v>643</v>
      </c>
      <c r="R202" s="3"/>
      <c r="S202" s="2" t="s">
        <v>30</v>
      </c>
    </row>
    <row r="203" customFormat="false" ht="15" hidden="false" customHeight="false" outlineLevel="0" collapsed="false">
      <c r="A203" s="0" t="n">
        <v>202</v>
      </c>
      <c r="D203" s="0" t="s">
        <v>644</v>
      </c>
      <c r="E203" s="0" t="s">
        <v>20</v>
      </c>
      <c r="H203" s="0" t="s">
        <v>21</v>
      </c>
      <c r="I203" s="2" t="s">
        <v>22</v>
      </c>
      <c r="J203" s="2" t="s">
        <v>625</v>
      </c>
      <c r="K203" s="0" t="s">
        <v>626</v>
      </c>
      <c r="L203" s="0" t="s">
        <v>25</v>
      </c>
      <c r="M203" s="0" t="s">
        <v>627</v>
      </c>
      <c r="N203" s="0" t="s">
        <v>645</v>
      </c>
      <c r="O203" s="0" t="n">
        <v>1</v>
      </c>
      <c r="P203" s="0" t="s">
        <v>46</v>
      </c>
      <c r="Q203" s="0" t="s">
        <v>646</v>
      </c>
      <c r="R203" s="3"/>
      <c r="S203" s="2" t="s">
        <v>30</v>
      </c>
    </row>
    <row r="204" customFormat="false" ht="15" hidden="false" customHeight="false" outlineLevel="0" collapsed="false">
      <c r="A204" s="0" t="n">
        <v>203</v>
      </c>
      <c r="D204" s="0" t="s">
        <v>647</v>
      </c>
      <c r="E204" s="0" t="s">
        <v>20</v>
      </c>
      <c r="H204" s="0" t="s">
        <v>21</v>
      </c>
      <c r="I204" s="2" t="s">
        <v>22</v>
      </c>
      <c r="J204" s="2" t="s">
        <v>625</v>
      </c>
      <c r="K204" s="0" t="s">
        <v>626</v>
      </c>
      <c r="L204" s="0" t="s">
        <v>25</v>
      </c>
      <c r="M204" s="0" t="s">
        <v>627</v>
      </c>
      <c r="N204" s="0" t="s">
        <v>648</v>
      </c>
      <c r="O204" s="0" t="n">
        <v>1</v>
      </c>
      <c r="P204" s="0" t="s">
        <v>294</v>
      </c>
      <c r="Q204" s="0" t="s">
        <v>649</v>
      </c>
      <c r="R204" s="3"/>
      <c r="S204" s="2" t="s">
        <v>30</v>
      </c>
    </row>
    <row r="205" customFormat="false" ht="15" hidden="false" customHeight="false" outlineLevel="0" collapsed="false">
      <c r="A205" s="0" t="n">
        <v>204</v>
      </c>
      <c r="D205" s="0" t="s">
        <v>650</v>
      </c>
      <c r="E205" s="0" t="s">
        <v>20</v>
      </c>
      <c r="H205" s="0" t="s">
        <v>21</v>
      </c>
      <c r="I205" s="2" t="s">
        <v>22</v>
      </c>
      <c r="J205" s="2" t="s">
        <v>625</v>
      </c>
      <c r="K205" s="0" t="s">
        <v>626</v>
      </c>
      <c r="L205" s="0" t="s">
        <v>651</v>
      </c>
      <c r="M205" s="0" t="s">
        <v>627</v>
      </c>
      <c r="N205" s="0" t="s">
        <v>652</v>
      </c>
      <c r="O205" s="0" t="n">
        <v>1</v>
      </c>
      <c r="P205" s="0" t="s">
        <v>72</v>
      </c>
      <c r="Q205" s="0" t="s">
        <v>653</v>
      </c>
      <c r="R205" s="3"/>
      <c r="S205" s="2" t="s">
        <v>654</v>
      </c>
    </row>
    <row r="206" customFormat="false" ht="15" hidden="false" customHeight="false" outlineLevel="0" collapsed="false">
      <c r="A206" s="0" t="n">
        <v>205</v>
      </c>
      <c r="D206" s="0" t="s">
        <v>655</v>
      </c>
      <c r="E206" s="0" t="s">
        <v>20</v>
      </c>
      <c r="H206" s="0" t="s">
        <v>21</v>
      </c>
      <c r="I206" s="2" t="s">
        <v>22</v>
      </c>
      <c r="J206" s="2" t="s">
        <v>625</v>
      </c>
      <c r="K206" s="0" t="s">
        <v>626</v>
      </c>
      <c r="L206" s="0" t="s">
        <v>25</v>
      </c>
      <c r="M206" s="0" t="s">
        <v>627</v>
      </c>
      <c r="N206" s="0" t="s">
        <v>631</v>
      </c>
      <c r="O206" s="0" t="n">
        <v>1</v>
      </c>
      <c r="P206" s="0" t="s">
        <v>46</v>
      </c>
      <c r="R206" s="3"/>
      <c r="S206" s="2" t="s">
        <v>30</v>
      </c>
    </row>
    <row r="207" customFormat="false" ht="15" hidden="false" customHeight="false" outlineLevel="0" collapsed="false">
      <c r="A207" s="0" t="n">
        <v>206</v>
      </c>
      <c r="D207" s="0" t="s">
        <v>656</v>
      </c>
      <c r="E207" s="0" t="s">
        <v>20</v>
      </c>
      <c r="H207" s="0" t="s">
        <v>21</v>
      </c>
      <c r="I207" s="2" t="s">
        <v>22</v>
      </c>
      <c r="J207" s="2" t="s">
        <v>625</v>
      </c>
      <c r="K207" s="0" t="s">
        <v>626</v>
      </c>
      <c r="L207" s="0" t="s">
        <v>25</v>
      </c>
      <c r="M207" s="0" t="s">
        <v>627</v>
      </c>
      <c r="N207" s="0" t="s">
        <v>64</v>
      </c>
      <c r="O207" s="0" t="n">
        <v>1</v>
      </c>
      <c r="P207" s="0" t="s">
        <v>72</v>
      </c>
      <c r="Q207" s="0" t="s">
        <v>657</v>
      </c>
      <c r="R207" s="3"/>
      <c r="S207" s="2" t="s">
        <v>30</v>
      </c>
    </row>
    <row r="208" customFormat="false" ht="15" hidden="false" customHeight="false" outlineLevel="0" collapsed="false">
      <c r="A208" s="0" t="n">
        <v>207</v>
      </c>
      <c r="D208" s="0" t="s">
        <v>658</v>
      </c>
      <c r="E208" s="0" t="s">
        <v>20</v>
      </c>
      <c r="H208" s="0" t="s">
        <v>21</v>
      </c>
      <c r="I208" s="2" t="s">
        <v>22</v>
      </c>
      <c r="J208" s="2" t="s">
        <v>625</v>
      </c>
      <c r="K208" s="0" t="s">
        <v>626</v>
      </c>
      <c r="L208" s="0" t="s">
        <v>25</v>
      </c>
      <c r="M208" s="0" t="s">
        <v>627</v>
      </c>
      <c r="N208" s="0" t="s">
        <v>636</v>
      </c>
      <c r="O208" s="0" t="n">
        <v>1</v>
      </c>
      <c r="P208" s="0" t="s">
        <v>72</v>
      </c>
      <c r="Q208" s="0" t="s">
        <v>659</v>
      </c>
      <c r="R208" s="3"/>
      <c r="S208" s="2" t="s">
        <v>30</v>
      </c>
    </row>
    <row r="209" customFormat="false" ht="15" hidden="false" customHeight="false" outlineLevel="0" collapsed="false">
      <c r="A209" s="0" t="n">
        <v>208</v>
      </c>
      <c r="D209" s="0" t="s">
        <v>660</v>
      </c>
      <c r="E209" s="0" t="s">
        <v>20</v>
      </c>
      <c r="H209" s="0" t="s">
        <v>21</v>
      </c>
      <c r="I209" s="2" t="s">
        <v>22</v>
      </c>
      <c r="J209" s="2" t="s">
        <v>625</v>
      </c>
      <c r="K209" s="0" t="s">
        <v>626</v>
      </c>
      <c r="L209" s="0" t="s">
        <v>25</v>
      </c>
      <c r="M209" s="0" t="s">
        <v>627</v>
      </c>
      <c r="N209" s="0" t="s">
        <v>661</v>
      </c>
      <c r="O209" s="0" t="n">
        <v>1</v>
      </c>
      <c r="P209" s="0" t="s">
        <v>72</v>
      </c>
      <c r="R209" s="3"/>
      <c r="S209" s="2" t="s">
        <v>30</v>
      </c>
    </row>
    <row r="210" customFormat="false" ht="15" hidden="false" customHeight="false" outlineLevel="0" collapsed="false">
      <c r="A210" s="0" t="n">
        <v>209</v>
      </c>
      <c r="D210" s="0" t="s">
        <v>662</v>
      </c>
      <c r="E210" s="0" t="s">
        <v>20</v>
      </c>
      <c r="H210" s="0" t="s">
        <v>21</v>
      </c>
      <c r="I210" s="2" t="s">
        <v>22</v>
      </c>
      <c r="J210" s="2" t="s">
        <v>625</v>
      </c>
      <c r="K210" s="0" t="s">
        <v>626</v>
      </c>
      <c r="L210" s="0" t="s">
        <v>25</v>
      </c>
      <c r="M210" s="0" t="s">
        <v>627</v>
      </c>
      <c r="N210" s="0" t="s">
        <v>663</v>
      </c>
      <c r="O210" s="0" t="n">
        <v>1</v>
      </c>
      <c r="P210" s="0" t="s">
        <v>115</v>
      </c>
      <c r="Q210" s="0" t="s">
        <v>664</v>
      </c>
      <c r="R210" s="3"/>
      <c r="S210" s="2" t="s">
        <v>30</v>
      </c>
    </row>
    <row r="211" customFormat="false" ht="15" hidden="false" customHeight="false" outlineLevel="0" collapsed="false">
      <c r="A211" s="0" t="n">
        <v>210</v>
      </c>
      <c r="D211" s="0" t="s">
        <v>665</v>
      </c>
      <c r="E211" s="0" t="s">
        <v>20</v>
      </c>
      <c r="H211" s="0" t="s">
        <v>21</v>
      </c>
      <c r="I211" s="2" t="s">
        <v>22</v>
      </c>
      <c r="J211" s="2" t="s">
        <v>625</v>
      </c>
      <c r="K211" s="0" t="s">
        <v>626</v>
      </c>
      <c r="L211" s="0" t="s">
        <v>25</v>
      </c>
      <c r="M211" s="0" t="s">
        <v>627</v>
      </c>
      <c r="N211" s="0" t="s">
        <v>666</v>
      </c>
      <c r="O211" s="0" t="n">
        <v>1</v>
      </c>
      <c r="P211" s="0" t="s">
        <v>46</v>
      </c>
      <c r="Q211" s="0" t="s">
        <v>667</v>
      </c>
      <c r="R211" s="3"/>
      <c r="S211" s="2" t="s">
        <v>30</v>
      </c>
    </row>
    <row r="212" customFormat="false" ht="15" hidden="false" customHeight="false" outlineLevel="0" collapsed="false">
      <c r="A212" s="0" t="n">
        <v>211</v>
      </c>
      <c r="D212" s="0" t="s">
        <v>668</v>
      </c>
      <c r="E212" s="0" t="s">
        <v>20</v>
      </c>
      <c r="H212" s="0" t="s">
        <v>21</v>
      </c>
      <c r="I212" s="2" t="s">
        <v>22</v>
      </c>
      <c r="J212" s="2" t="s">
        <v>625</v>
      </c>
      <c r="K212" s="0" t="s">
        <v>626</v>
      </c>
      <c r="L212" s="0" t="s">
        <v>25</v>
      </c>
      <c r="M212" s="0" t="s">
        <v>627</v>
      </c>
      <c r="N212" s="0" t="s">
        <v>636</v>
      </c>
      <c r="O212" s="0" t="n">
        <v>1</v>
      </c>
      <c r="P212" s="0" t="s">
        <v>72</v>
      </c>
      <c r="Q212" s="0" t="s">
        <v>669</v>
      </c>
      <c r="R212" s="3"/>
      <c r="S212" s="2" t="s">
        <v>30</v>
      </c>
    </row>
    <row r="213" customFormat="false" ht="15" hidden="false" customHeight="false" outlineLevel="0" collapsed="false">
      <c r="A213" s="0" t="n">
        <v>212</v>
      </c>
      <c r="D213" s="0" t="s">
        <v>670</v>
      </c>
      <c r="E213" s="0" t="s">
        <v>20</v>
      </c>
      <c r="H213" s="0" t="s">
        <v>21</v>
      </c>
      <c r="I213" s="2" t="s">
        <v>22</v>
      </c>
      <c r="J213" s="2" t="s">
        <v>625</v>
      </c>
      <c r="K213" s="0" t="s">
        <v>626</v>
      </c>
      <c r="L213" s="0" t="s">
        <v>25</v>
      </c>
      <c r="M213" s="0" t="s">
        <v>627</v>
      </c>
      <c r="N213" s="0" t="s">
        <v>671</v>
      </c>
      <c r="O213" s="0" t="n">
        <v>1</v>
      </c>
      <c r="P213" s="0" t="s">
        <v>72</v>
      </c>
      <c r="R213" s="3"/>
      <c r="S213" s="2" t="s">
        <v>30</v>
      </c>
    </row>
    <row r="214" customFormat="false" ht="15" hidden="false" customHeight="false" outlineLevel="0" collapsed="false">
      <c r="A214" s="0" t="n">
        <v>213</v>
      </c>
      <c r="D214" s="0" t="s">
        <v>672</v>
      </c>
      <c r="E214" s="0" t="s">
        <v>20</v>
      </c>
      <c r="H214" s="0" t="s">
        <v>21</v>
      </c>
      <c r="I214" s="2" t="s">
        <v>22</v>
      </c>
      <c r="J214" s="2" t="s">
        <v>625</v>
      </c>
      <c r="K214" s="0" t="s">
        <v>626</v>
      </c>
      <c r="L214" s="0" t="s">
        <v>25</v>
      </c>
      <c r="M214" s="0" t="s">
        <v>627</v>
      </c>
      <c r="N214" s="0" t="s">
        <v>673</v>
      </c>
      <c r="O214" s="0" t="n">
        <v>1</v>
      </c>
      <c r="P214" s="0" t="s">
        <v>33</v>
      </c>
      <c r="Q214" s="0" t="s">
        <v>674</v>
      </c>
      <c r="R214" s="3"/>
      <c r="S214" s="2" t="s">
        <v>30</v>
      </c>
    </row>
    <row r="215" customFormat="false" ht="15" hidden="false" customHeight="false" outlineLevel="0" collapsed="false">
      <c r="A215" s="0" t="n">
        <v>214</v>
      </c>
      <c r="D215" s="0" t="s">
        <v>675</v>
      </c>
      <c r="E215" s="0" t="s">
        <v>20</v>
      </c>
      <c r="H215" s="0" t="s">
        <v>21</v>
      </c>
      <c r="I215" s="2" t="s">
        <v>22</v>
      </c>
      <c r="J215" s="2" t="s">
        <v>625</v>
      </c>
      <c r="K215" s="0" t="s">
        <v>626</v>
      </c>
      <c r="L215" s="0" t="s">
        <v>25</v>
      </c>
      <c r="M215" s="0" t="s">
        <v>627</v>
      </c>
      <c r="N215" s="0" t="s">
        <v>442</v>
      </c>
      <c r="O215" s="0" t="n">
        <v>1</v>
      </c>
      <c r="P215" s="0" t="s">
        <v>33</v>
      </c>
      <c r="Q215" s="0" t="s">
        <v>676</v>
      </c>
      <c r="R215" s="3"/>
      <c r="S215" s="2" t="s">
        <v>30</v>
      </c>
    </row>
    <row r="216" customFormat="false" ht="15" hidden="false" customHeight="false" outlineLevel="0" collapsed="false">
      <c r="A216" s="0" t="n">
        <v>215</v>
      </c>
      <c r="D216" s="0" t="s">
        <v>677</v>
      </c>
      <c r="E216" s="0" t="s">
        <v>20</v>
      </c>
      <c r="H216" s="0" t="s">
        <v>21</v>
      </c>
      <c r="I216" s="2" t="s">
        <v>22</v>
      </c>
      <c r="J216" s="2" t="s">
        <v>625</v>
      </c>
      <c r="K216" s="0" t="s">
        <v>626</v>
      </c>
      <c r="L216" s="0" t="s">
        <v>25</v>
      </c>
      <c r="M216" s="0" t="s">
        <v>627</v>
      </c>
      <c r="N216" s="0" t="s">
        <v>678</v>
      </c>
      <c r="O216" s="0" t="n">
        <v>1</v>
      </c>
      <c r="P216" s="0" t="s">
        <v>46</v>
      </c>
      <c r="Q216" s="0" t="s">
        <v>679</v>
      </c>
      <c r="R216" s="3"/>
      <c r="S216" s="2" t="s">
        <v>30</v>
      </c>
    </row>
    <row r="217" customFormat="false" ht="15" hidden="false" customHeight="false" outlineLevel="0" collapsed="false">
      <c r="A217" s="0" t="n">
        <v>216</v>
      </c>
      <c r="D217" s="0" t="s">
        <v>680</v>
      </c>
      <c r="E217" s="0" t="s">
        <v>20</v>
      </c>
      <c r="H217" s="0" t="s">
        <v>21</v>
      </c>
      <c r="I217" s="2" t="s">
        <v>22</v>
      </c>
      <c r="J217" s="2" t="s">
        <v>625</v>
      </c>
      <c r="K217" s="0" t="s">
        <v>626</v>
      </c>
      <c r="L217" s="0" t="s">
        <v>25</v>
      </c>
      <c r="M217" s="0" t="s">
        <v>627</v>
      </c>
      <c r="N217" s="0" t="s">
        <v>681</v>
      </c>
      <c r="O217" s="0" t="n">
        <v>1</v>
      </c>
      <c r="P217" s="0" t="s">
        <v>46</v>
      </c>
      <c r="Q217" s="0" t="s">
        <v>682</v>
      </c>
      <c r="R217" s="3"/>
      <c r="S217" s="2" t="s">
        <v>30</v>
      </c>
    </row>
    <row r="218" customFormat="false" ht="15" hidden="false" customHeight="false" outlineLevel="0" collapsed="false">
      <c r="A218" s="0" t="n">
        <v>217</v>
      </c>
      <c r="D218" s="0" t="s">
        <v>683</v>
      </c>
      <c r="E218" s="0" t="s">
        <v>20</v>
      </c>
      <c r="H218" s="0" t="s">
        <v>21</v>
      </c>
      <c r="I218" s="2" t="s">
        <v>22</v>
      </c>
      <c r="J218" s="2" t="s">
        <v>625</v>
      </c>
      <c r="K218" s="0" t="s">
        <v>626</v>
      </c>
      <c r="L218" s="0" t="s">
        <v>25</v>
      </c>
      <c r="M218" s="0" t="s">
        <v>627</v>
      </c>
      <c r="N218" s="0" t="s">
        <v>684</v>
      </c>
      <c r="O218" s="0" t="n">
        <v>1</v>
      </c>
      <c r="P218" s="0" t="s">
        <v>33</v>
      </c>
      <c r="Q218" s="0" t="s">
        <v>685</v>
      </c>
      <c r="R218" s="3"/>
      <c r="S218" s="2" t="s">
        <v>30</v>
      </c>
    </row>
    <row r="219" customFormat="false" ht="15" hidden="false" customHeight="false" outlineLevel="0" collapsed="false">
      <c r="A219" s="0" t="n">
        <v>218</v>
      </c>
      <c r="D219" s="0" t="s">
        <v>686</v>
      </c>
      <c r="E219" s="0" t="s">
        <v>20</v>
      </c>
      <c r="H219" s="0" t="s">
        <v>21</v>
      </c>
      <c r="I219" s="2" t="s">
        <v>22</v>
      </c>
      <c r="J219" s="2" t="s">
        <v>625</v>
      </c>
      <c r="K219" s="0" t="s">
        <v>626</v>
      </c>
      <c r="L219" s="0" t="s">
        <v>25</v>
      </c>
      <c r="M219" s="0" t="s">
        <v>627</v>
      </c>
      <c r="N219" s="0" t="s">
        <v>687</v>
      </c>
      <c r="O219" s="0" t="n">
        <v>1</v>
      </c>
      <c r="P219" s="0" t="s">
        <v>46</v>
      </c>
      <c r="Q219" s="0" t="s">
        <v>688</v>
      </c>
      <c r="R219" s="3"/>
      <c r="S219" s="2" t="s">
        <v>30</v>
      </c>
    </row>
    <row r="220" customFormat="false" ht="15" hidden="false" customHeight="false" outlineLevel="0" collapsed="false">
      <c r="A220" s="0" t="n">
        <v>219</v>
      </c>
      <c r="D220" s="0" t="s">
        <v>689</v>
      </c>
      <c r="E220" s="0" t="s">
        <v>20</v>
      </c>
      <c r="H220" s="0" t="s">
        <v>21</v>
      </c>
      <c r="I220" s="2" t="s">
        <v>22</v>
      </c>
      <c r="J220" s="2" t="s">
        <v>625</v>
      </c>
      <c r="K220" s="0" t="s">
        <v>626</v>
      </c>
      <c r="L220" s="0" t="s">
        <v>25</v>
      </c>
      <c r="M220" s="0" t="s">
        <v>627</v>
      </c>
      <c r="N220" s="0" t="s">
        <v>690</v>
      </c>
      <c r="O220" s="0" t="n">
        <v>1</v>
      </c>
      <c r="P220" s="0" t="s">
        <v>46</v>
      </c>
      <c r="Q220" s="0" t="s">
        <v>691</v>
      </c>
      <c r="R220" s="3"/>
      <c r="S220" s="2" t="s">
        <v>30</v>
      </c>
    </row>
    <row r="221" customFormat="false" ht="15" hidden="false" customHeight="false" outlineLevel="0" collapsed="false">
      <c r="A221" s="0" t="n">
        <v>220</v>
      </c>
      <c r="D221" s="0" t="s">
        <v>692</v>
      </c>
      <c r="E221" s="0" t="s">
        <v>20</v>
      </c>
      <c r="H221" s="0" t="s">
        <v>21</v>
      </c>
      <c r="I221" s="2" t="s">
        <v>22</v>
      </c>
      <c r="J221" s="2" t="s">
        <v>625</v>
      </c>
      <c r="K221" s="0" t="s">
        <v>626</v>
      </c>
      <c r="L221" s="0" t="s">
        <v>25</v>
      </c>
      <c r="M221" s="0" t="s">
        <v>627</v>
      </c>
      <c r="N221" s="0" t="s">
        <v>636</v>
      </c>
      <c r="O221" s="0" t="n">
        <v>1</v>
      </c>
      <c r="P221" s="0" t="s">
        <v>72</v>
      </c>
      <c r="Q221" s="0" t="s">
        <v>693</v>
      </c>
      <c r="R221" s="3"/>
      <c r="S221" s="2" t="s">
        <v>30</v>
      </c>
    </row>
    <row r="222" customFormat="false" ht="15" hidden="false" customHeight="false" outlineLevel="0" collapsed="false">
      <c r="A222" s="0" t="n">
        <v>221</v>
      </c>
      <c r="D222" s="0" t="s">
        <v>694</v>
      </c>
      <c r="E222" s="0" t="s">
        <v>20</v>
      </c>
      <c r="H222" s="0" t="s">
        <v>21</v>
      </c>
      <c r="I222" s="2" t="s">
        <v>22</v>
      </c>
      <c r="J222" s="2" t="s">
        <v>625</v>
      </c>
      <c r="K222" s="0" t="s">
        <v>626</v>
      </c>
      <c r="L222" s="0" t="s">
        <v>25</v>
      </c>
      <c r="M222" s="0" t="s">
        <v>627</v>
      </c>
      <c r="N222" s="0" t="s">
        <v>648</v>
      </c>
      <c r="O222" s="0" t="n">
        <v>1</v>
      </c>
      <c r="P222" s="0" t="s">
        <v>33</v>
      </c>
      <c r="Q222" s="0" t="s">
        <v>695</v>
      </c>
      <c r="R222" s="3"/>
      <c r="S222" s="2" t="s">
        <v>30</v>
      </c>
    </row>
    <row r="223" customFormat="false" ht="15" hidden="false" customHeight="false" outlineLevel="0" collapsed="false">
      <c r="A223" s="0" t="n">
        <v>222</v>
      </c>
      <c r="D223" s="0" t="s">
        <v>696</v>
      </c>
      <c r="E223" s="0" t="s">
        <v>20</v>
      </c>
      <c r="H223" s="0" t="s">
        <v>21</v>
      </c>
      <c r="I223" s="2" t="s">
        <v>22</v>
      </c>
      <c r="J223" s="2" t="s">
        <v>625</v>
      </c>
      <c r="K223" s="0" t="s">
        <v>626</v>
      </c>
      <c r="L223" s="0" t="s">
        <v>25</v>
      </c>
      <c r="M223" s="0" t="s">
        <v>627</v>
      </c>
      <c r="N223" s="0" t="s">
        <v>697</v>
      </c>
      <c r="O223" s="0" t="n">
        <v>1</v>
      </c>
      <c r="P223" s="0" t="s">
        <v>46</v>
      </c>
      <c r="Q223" s="0" t="s">
        <v>698</v>
      </c>
      <c r="R223" s="3"/>
      <c r="S223" s="2" t="s">
        <v>30</v>
      </c>
    </row>
    <row r="224" customFormat="false" ht="15" hidden="false" customHeight="false" outlineLevel="0" collapsed="false">
      <c r="A224" s="0" t="n">
        <v>223</v>
      </c>
      <c r="D224" s="0" t="s">
        <v>699</v>
      </c>
      <c r="E224" s="0" t="s">
        <v>20</v>
      </c>
      <c r="H224" s="0" t="s">
        <v>21</v>
      </c>
      <c r="I224" s="2" t="s">
        <v>22</v>
      </c>
      <c r="J224" s="2" t="s">
        <v>625</v>
      </c>
      <c r="K224" s="0" t="s">
        <v>626</v>
      </c>
      <c r="L224" s="0" t="s">
        <v>25</v>
      </c>
      <c r="M224" s="0" t="s">
        <v>627</v>
      </c>
      <c r="N224" s="0" t="s">
        <v>213</v>
      </c>
      <c r="O224" s="0" t="n">
        <v>1</v>
      </c>
      <c r="P224" s="0" t="s">
        <v>139</v>
      </c>
      <c r="Q224" s="0" t="s">
        <v>537</v>
      </c>
      <c r="R224" s="3"/>
      <c r="S224" s="2" t="s">
        <v>30</v>
      </c>
    </row>
    <row r="225" customFormat="false" ht="15" hidden="false" customHeight="false" outlineLevel="0" collapsed="false">
      <c r="A225" s="0" t="n">
        <v>224</v>
      </c>
      <c r="D225" s="0" t="s">
        <v>700</v>
      </c>
      <c r="E225" s="0" t="s">
        <v>20</v>
      </c>
      <c r="H225" s="0" t="s">
        <v>21</v>
      </c>
      <c r="I225" s="2" t="s">
        <v>22</v>
      </c>
      <c r="J225" s="2" t="s">
        <v>625</v>
      </c>
      <c r="K225" s="0" t="s">
        <v>626</v>
      </c>
      <c r="L225" s="0" t="s">
        <v>114</v>
      </c>
      <c r="M225" s="0" t="s">
        <v>627</v>
      </c>
      <c r="O225" s="0" t="n">
        <v>0</v>
      </c>
      <c r="P225" s="0" t="s">
        <v>72</v>
      </c>
      <c r="Q225" s="0" t="s">
        <v>701</v>
      </c>
      <c r="R225" s="3"/>
      <c r="S225" s="2" t="s">
        <v>30</v>
      </c>
    </row>
    <row r="226" customFormat="false" ht="15" hidden="false" customHeight="false" outlineLevel="0" collapsed="false">
      <c r="A226" s="0" t="n">
        <v>225</v>
      </c>
      <c r="D226" s="0" t="s">
        <v>702</v>
      </c>
      <c r="E226" s="0" t="s">
        <v>20</v>
      </c>
      <c r="H226" s="0" t="s">
        <v>21</v>
      </c>
      <c r="I226" s="2" t="s">
        <v>22</v>
      </c>
      <c r="J226" s="2" t="s">
        <v>625</v>
      </c>
      <c r="K226" s="0" t="s">
        <v>626</v>
      </c>
      <c r="L226" s="0" t="s">
        <v>25</v>
      </c>
      <c r="M226" s="0" t="s">
        <v>627</v>
      </c>
      <c r="N226" s="0" t="s">
        <v>91</v>
      </c>
      <c r="O226" s="0" t="n">
        <v>1</v>
      </c>
      <c r="P226" s="0" t="s">
        <v>33</v>
      </c>
      <c r="Q226" s="0" t="s">
        <v>703</v>
      </c>
      <c r="R226" s="3"/>
      <c r="S226" s="2" t="s">
        <v>30</v>
      </c>
    </row>
    <row r="227" customFormat="false" ht="15" hidden="false" customHeight="false" outlineLevel="0" collapsed="false">
      <c r="A227" s="0" t="n">
        <v>226</v>
      </c>
      <c r="D227" s="0" t="s">
        <v>704</v>
      </c>
      <c r="E227" s="0" t="s">
        <v>104</v>
      </c>
      <c r="H227" s="0" t="s">
        <v>21</v>
      </c>
      <c r="I227" s="2" t="s">
        <v>22</v>
      </c>
      <c r="J227" s="2" t="s">
        <v>625</v>
      </c>
      <c r="K227" s="0" t="s">
        <v>626</v>
      </c>
      <c r="L227" s="0" t="s">
        <v>25</v>
      </c>
      <c r="M227" s="0" t="s">
        <v>627</v>
      </c>
      <c r="N227" s="0" t="s">
        <v>105</v>
      </c>
      <c r="O227" s="0" t="n">
        <v>1</v>
      </c>
      <c r="P227" s="0" t="s">
        <v>46</v>
      </c>
      <c r="Q227" s="0" t="s">
        <v>705</v>
      </c>
      <c r="R227" s="3"/>
      <c r="S227" s="2" t="s">
        <v>30</v>
      </c>
    </row>
    <row r="228" customFormat="false" ht="15" hidden="false" customHeight="false" outlineLevel="0" collapsed="false">
      <c r="A228" s="0" t="n">
        <v>227</v>
      </c>
      <c r="D228" s="0" t="s">
        <v>706</v>
      </c>
      <c r="E228" s="0" t="s">
        <v>104</v>
      </c>
      <c r="H228" s="0" t="s">
        <v>21</v>
      </c>
      <c r="I228" s="2" t="s">
        <v>22</v>
      </c>
      <c r="J228" s="2" t="s">
        <v>625</v>
      </c>
      <c r="K228" s="0" t="s">
        <v>626</v>
      </c>
      <c r="L228" s="0" t="s">
        <v>25</v>
      </c>
      <c r="M228" s="0" t="s">
        <v>627</v>
      </c>
      <c r="N228" s="0" t="s">
        <v>105</v>
      </c>
      <c r="O228" s="0" t="n">
        <v>1</v>
      </c>
      <c r="P228" s="0" t="s">
        <v>46</v>
      </c>
      <c r="Q228" s="0" t="s">
        <v>707</v>
      </c>
      <c r="R228" s="3"/>
      <c r="S228" s="2" t="s">
        <v>30</v>
      </c>
    </row>
    <row r="229" customFormat="false" ht="15" hidden="false" customHeight="false" outlineLevel="0" collapsed="false">
      <c r="A229" s="0" t="n">
        <v>228</v>
      </c>
      <c r="D229" s="0" t="s">
        <v>708</v>
      </c>
      <c r="E229" s="0" t="s">
        <v>104</v>
      </c>
      <c r="H229" s="0" t="s">
        <v>21</v>
      </c>
      <c r="I229" s="2" t="s">
        <v>22</v>
      </c>
      <c r="J229" s="2" t="s">
        <v>625</v>
      </c>
      <c r="K229" s="0" t="s">
        <v>626</v>
      </c>
      <c r="L229" s="0" t="s">
        <v>25</v>
      </c>
      <c r="M229" s="0" t="s">
        <v>627</v>
      </c>
      <c r="N229" s="0" t="s">
        <v>105</v>
      </c>
      <c r="O229" s="0" t="n">
        <v>1</v>
      </c>
      <c r="P229" s="0" t="s">
        <v>46</v>
      </c>
      <c r="Q229" s="0" t="s">
        <v>709</v>
      </c>
      <c r="R229" s="3"/>
      <c r="S229" s="2" t="s">
        <v>30</v>
      </c>
    </row>
    <row r="230" customFormat="false" ht="15" hidden="false" customHeight="false" outlineLevel="0" collapsed="false">
      <c r="A230" s="0" t="n">
        <v>229</v>
      </c>
      <c r="D230" s="0" t="s">
        <v>710</v>
      </c>
      <c r="E230" s="0" t="s">
        <v>113</v>
      </c>
      <c r="H230" s="0" t="s">
        <v>21</v>
      </c>
      <c r="I230" s="2" t="s">
        <v>22</v>
      </c>
      <c r="J230" s="2" t="s">
        <v>625</v>
      </c>
      <c r="K230" s="0" t="s">
        <v>626</v>
      </c>
      <c r="L230" s="0" t="s">
        <v>25</v>
      </c>
      <c r="M230" s="0" t="s">
        <v>627</v>
      </c>
      <c r="N230" s="0" t="s">
        <v>711</v>
      </c>
      <c r="O230" s="0" t="n">
        <v>1</v>
      </c>
      <c r="P230" s="0" t="s">
        <v>28</v>
      </c>
      <c r="Q230" s="0" t="s">
        <v>712</v>
      </c>
      <c r="R230" s="3"/>
      <c r="S230" s="2" t="s">
        <v>30</v>
      </c>
    </row>
    <row r="231" customFormat="false" ht="15" hidden="false" customHeight="false" outlineLevel="0" collapsed="false">
      <c r="A231" s="0" t="n">
        <v>230</v>
      </c>
      <c r="D231" s="0" t="s">
        <v>713</v>
      </c>
      <c r="E231" s="0" t="s">
        <v>313</v>
      </c>
      <c r="H231" s="0" t="s">
        <v>21</v>
      </c>
      <c r="I231" s="2" t="s">
        <v>22</v>
      </c>
      <c r="J231" s="2" t="s">
        <v>625</v>
      </c>
      <c r="K231" s="0" t="s">
        <v>626</v>
      </c>
      <c r="L231" s="0" t="s">
        <v>25</v>
      </c>
      <c r="M231" s="0" t="s">
        <v>627</v>
      </c>
      <c r="N231" s="0" t="s">
        <v>314</v>
      </c>
      <c r="O231" s="0" t="n">
        <v>1</v>
      </c>
      <c r="P231" s="0" t="s">
        <v>115</v>
      </c>
      <c r="Q231" s="0" t="s">
        <v>714</v>
      </c>
      <c r="R231" s="3"/>
      <c r="S231" s="2" t="s">
        <v>30</v>
      </c>
    </row>
    <row r="232" customFormat="false" ht="15" hidden="false" customHeight="false" outlineLevel="0" collapsed="false">
      <c r="A232" s="0" t="n">
        <v>231</v>
      </c>
      <c r="D232" s="0" t="s">
        <v>715</v>
      </c>
      <c r="E232" s="0" t="s">
        <v>615</v>
      </c>
      <c r="H232" s="0" t="s">
        <v>21</v>
      </c>
      <c r="I232" s="2" t="s">
        <v>22</v>
      </c>
      <c r="J232" s="2" t="s">
        <v>625</v>
      </c>
      <c r="K232" s="0" t="s">
        <v>626</v>
      </c>
      <c r="L232" s="0" t="s">
        <v>25</v>
      </c>
      <c r="M232" s="0" t="s">
        <v>627</v>
      </c>
      <c r="N232" s="0" t="s">
        <v>716</v>
      </c>
      <c r="O232" s="0" t="n">
        <v>1</v>
      </c>
      <c r="P232" s="0" t="s">
        <v>33</v>
      </c>
      <c r="Q232" s="0" t="s">
        <v>717</v>
      </c>
      <c r="R232" s="3"/>
      <c r="S232" s="2" t="s">
        <v>30</v>
      </c>
    </row>
    <row r="233" customFormat="false" ht="15" hidden="false" customHeight="false" outlineLevel="0" collapsed="false">
      <c r="A233" s="0" t="n">
        <v>232</v>
      </c>
      <c r="D233" s="0" t="s">
        <v>718</v>
      </c>
      <c r="E233" s="0" t="s">
        <v>113</v>
      </c>
      <c r="H233" s="0" t="s">
        <v>21</v>
      </c>
      <c r="I233" s="2" t="s">
        <v>22</v>
      </c>
      <c r="J233" s="2" t="s">
        <v>625</v>
      </c>
      <c r="K233" s="0" t="s">
        <v>626</v>
      </c>
      <c r="L233" s="0" t="s">
        <v>25</v>
      </c>
      <c r="M233" s="0" t="s">
        <v>627</v>
      </c>
      <c r="N233" s="0" t="s">
        <v>719</v>
      </c>
      <c r="O233" s="0" t="n">
        <v>1</v>
      </c>
      <c r="P233" s="0" t="s">
        <v>33</v>
      </c>
      <c r="Q233" s="0" t="s">
        <v>720</v>
      </c>
      <c r="R233" s="3"/>
      <c r="S233" s="2" t="s">
        <v>30</v>
      </c>
    </row>
    <row r="234" customFormat="false" ht="15" hidden="false" customHeight="false" outlineLevel="0" collapsed="false">
      <c r="A234" s="0" t="n">
        <v>233</v>
      </c>
      <c r="D234" s="0" t="s">
        <v>721</v>
      </c>
      <c r="E234" s="0" t="s">
        <v>342</v>
      </c>
      <c r="H234" s="0" t="s">
        <v>21</v>
      </c>
      <c r="I234" s="2" t="s">
        <v>22</v>
      </c>
      <c r="J234" s="2" t="s">
        <v>625</v>
      </c>
      <c r="K234" s="0" t="s">
        <v>626</v>
      </c>
      <c r="L234" s="0" t="s">
        <v>25</v>
      </c>
      <c r="M234" s="0" t="s">
        <v>627</v>
      </c>
      <c r="N234" s="0" t="s">
        <v>167</v>
      </c>
      <c r="O234" s="0" t="n">
        <v>1</v>
      </c>
      <c r="P234" s="0" t="s">
        <v>121</v>
      </c>
      <c r="Q234" s="0" t="s">
        <v>722</v>
      </c>
      <c r="R234" s="3"/>
      <c r="S234" s="2" t="s">
        <v>30</v>
      </c>
    </row>
    <row r="235" customFormat="false" ht="15" hidden="false" customHeight="false" outlineLevel="0" collapsed="false">
      <c r="A235" s="0" t="n">
        <v>234</v>
      </c>
      <c r="D235" s="0" t="s">
        <v>723</v>
      </c>
      <c r="E235" s="0" t="s">
        <v>113</v>
      </c>
      <c r="H235" s="0" t="s">
        <v>21</v>
      </c>
      <c r="I235" s="2" t="s">
        <v>22</v>
      </c>
      <c r="J235" s="2" t="s">
        <v>625</v>
      </c>
      <c r="K235" s="0" t="s">
        <v>626</v>
      </c>
      <c r="L235" s="0" t="s">
        <v>25</v>
      </c>
      <c r="M235" s="0" t="s">
        <v>627</v>
      </c>
      <c r="N235" s="0" t="s">
        <v>724</v>
      </c>
      <c r="O235" s="0" t="n">
        <v>1</v>
      </c>
      <c r="P235" s="0" t="s">
        <v>46</v>
      </c>
      <c r="Q235" s="0" t="s">
        <v>725</v>
      </c>
      <c r="R235" s="3"/>
      <c r="S235" s="2" t="s">
        <v>30</v>
      </c>
    </row>
    <row r="236" customFormat="false" ht="15" hidden="false" customHeight="false" outlineLevel="0" collapsed="false">
      <c r="A236" s="0" t="n">
        <v>235</v>
      </c>
      <c r="D236" s="0" t="s">
        <v>726</v>
      </c>
      <c r="E236" s="0" t="s">
        <v>305</v>
      </c>
      <c r="H236" s="0" t="s">
        <v>21</v>
      </c>
      <c r="I236" s="2" t="s">
        <v>22</v>
      </c>
      <c r="J236" s="2" t="s">
        <v>625</v>
      </c>
      <c r="K236" s="0" t="s">
        <v>626</v>
      </c>
      <c r="L236" s="0" t="s">
        <v>25</v>
      </c>
      <c r="M236" s="0" t="s">
        <v>627</v>
      </c>
      <c r="N236" s="0" t="s">
        <v>361</v>
      </c>
      <c r="O236" s="0" t="n">
        <v>1</v>
      </c>
      <c r="P236" s="0" t="s">
        <v>33</v>
      </c>
      <c r="Q236" s="0" t="s">
        <v>727</v>
      </c>
      <c r="R236" s="3"/>
      <c r="S236" s="2" t="s">
        <v>30</v>
      </c>
    </row>
    <row r="237" customFormat="false" ht="15" hidden="false" customHeight="false" outlineLevel="0" collapsed="false">
      <c r="A237" s="0" t="n">
        <v>236</v>
      </c>
      <c r="D237" s="0" t="s">
        <v>728</v>
      </c>
      <c r="E237" s="0" t="s">
        <v>113</v>
      </c>
      <c r="H237" s="0" t="s">
        <v>21</v>
      </c>
      <c r="I237" s="2" t="s">
        <v>22</v>
      </c>
      <c r="J237" s="2" t="s">
        <v>625</v>
      </c>
      <c r="K237" s="0" t="s">
        <v>626</v>
      </c>
      <c r="L237" s="0" t="s">
        <v>25</v>
      </c>
      <c r="M237" s="0" t="s">
        <v>627</v>
      </c>
      <c r="N237" s="0" t="s">
        <v>729</v>
      </c>
      <c r="O237" s="0" t="n">
        <v>1</v>
      </c>
      <c r="P237" s="0" t="s">
        <v>46</v>
      </c>
      <c r="Q237" s="0" t="s">
        <v>730</v>
      </c>
      <c r="R237" s="3"/>
      <c r="S237" s="2" t="s">
        <v>30</v>
      </c>
    </row>
    <row r="238" customFormat="false" ht="15" hidden="false" customHeight="false" outlineLevel="0" collapsed="false">
      <c r="A238" s="0" t="n">
        <v>237</v>
      </c>
      <c r="D238" s="0" t="s">
        <v>731</v>
      </c>
      <c r="E238" s="0" t="s">
        <v>108</v>
      </c>
      <c r="H238" s="0" t="s">
        <v>21</v>
      </c>
      <c r="I238" s="2" t="s">
        <v>22</v>
      </c>
      <c r="J238" s="2" t="s">
        <v>625</v>
      </c>
      <c r="K238" s="0" t="s">
        <v>626</v>
      </c>
      <c r="L238" s="0" t="s">
        <v>25</v>
      </c>
      <c r="M238" s="0" t="s">
        <v>627</v>
      </c>
      <c r="N238" s="0" t="s">
        <v>237</v>
      </c>
      <c r="O238" s="0" t="n">
        <v>1</v>
      </c>
      <c r="P238" s="0" t="s">
        <v>46</v>
      </c>
      <c r="Q238" s="0" t="s">
        <v>732</v>
      </c>
      <c r="R238" s="3"/>
      <c r="S238" s="2" t="s">
        <v>30</v>
      </c>
    </row>
    <row r="239" customFormat="false" ht="15" hidden="false" customHeight="false" outlineLevel="0" collapsed="false">
      <c r="A239" s="0" t="n">
        <v>238</v>
      </c>
      <c r="D239" s="0" t="s">
        <v>733</v>
      </c>
      <c r="E239" s="0" t="s">
        <v>305</v>
      </c>
      <c r="H239" s="0" t="s">
        <v>21</v>
      </c>
      <c r="I239" s="2" t="s">
        <v>22</v>
      </c>
      <c r="J239" s="2" t="s">
        <v>625</v>
      </c>
      <c r="K239" s="0" t="s">
        <v>626</v>
      </c>
      <c r="L239" s="0" t="s">
        <v>25</v>
      </c>
      <c r="M239" s="0" t="s">
        <v>627</v>
      </c>
      <c r="N239" s="0" t="s">
        <v>361</v>
      </c>
      <c r="O239" s="0" t="n">
        <v>1</v>
      </c>
      <c r="P239" s="0" t="s">
        <v>33</v>
      </c>
      <c r="Q239" s="0" t="s">
        <v>734</v>
      </c>
      <c r="R239" s="3"/>
      <c r="S239" s="2" t="s">
        <v>30</v>
      </c>
    </row>
    <row r="240" customFormat="false" ht="15" hidden="false" customHeight="false" outlineLevel="0" collapsed="false">
      <c r="A240" s="0" t="n">
        <v>239</v>
      </c>
      <c r="D240" s="0" t="s">
        <v>735</v>
      </c>
      <c r="E240" s="0" t="s">
        <v>736</v>
      </c>
      <c r="H240" s="0" t="s">
        <v>21</v>
      </c>
      <c r="I240" s="2" t="s">
        <v>22</v>
      </c>
      <c r="J240" s="2" t="s">
        <v>625</v>
      </c>
      <c r="K240" s="0" t="s">
        <v>626</v>
      </c>
      <c r="L240" s="0" t="s">
        <v>25</v>
      </c>
      <c r="M240" s="0" t="s">
        <v>627</v>
      </c>
      <c r="N240" s="0" t="s">
        <v>690</v>
      </c>
      <c r="O240" s="0" t="n">
        <v>1</v>
      </c>
      <c r="P240" s="0" t="s">
        <v>46</v>
      </c>
      <c r="Q240" s="0" t="s">
        <v>737</v>
      </c>
      <c r="R240" s="3"/>
      <c r="S240" s="2" t="s">
        <v>30</v>
      </c>
    </row>
    <row r="241" customFormat="false" ht="15" hidden="false" customHeight="false" outlineLevel="0" collapsed="false">
      <c r="A241" s="0" t="n">
        <v>240</v>
      </c>
      <c r="D241" s="0" t="s">
        <v>738</v>
      </c>
      <c r="E241" s="0" t="s">
        <v>104</v>
      </c>
      <c r="H241" s="0" t="s">
        <v>21</v>
      </c>
      <c r="I241" s="2" t="s">
        <v>22</v>
      </c>
      <c r="J241" s="2" t="s">
        <v>625</v>
      </c>
      <c r="K241" s="0" t="s">
        <v>626</v>
      </c>
      <c r="L241" s="0" t="s">
        <v>25</v>
      </c>
      <c r="M241" s="0" t="s">
        <v>627</v>
      </c>
      <c r="N241" s="0" t="s">
        <v>105</v>
      </c>
      <c r="O241" s="0" t="n">
        <v>1</v>
      </c>
      <c r="P241" s="0" t="s">
        <v>46</v>
      </c>
      <c r="Q241" s="0" t="s">
        <v>739</v>
      </c>
      <c r="R241" s="3"/>
      <c r="S241" s="2" t="s">
        <v>30</v>
      </c>
    </row>
    <row r="242" customFormat="false" ht="15" hidden="false" customHeight="false" outlineLevel="0" collapsed="false">
      <c r="A242" s="0" t="n">
        <v>241</v>
      </c>
      <c r="D242" s="0" t="s">
        <v>740</v>
      </c>
      <c r="E242" s="0" t="s">
        <v>113</v>
      </c>
      <c r="H242" s="0" t="s">
        <v>21</v>
      </c>
      <c r="I242" s="2" t="s">
        <v>22</v>
      </c>
      <c r="J242" s="2" t="s">
        <v>625</v>
      </c>
      <c r="K242" s="0" t="s">
        <v>626</v>
      </c>
      <c r="L242" s="0" t="s">
        <v>25</v>
      </c>
      <c r="M242" s="0" t="s">
        <v>627</v>
      </c>
      <c r="N242" s="0" t="s">
        <v>631</v>
      </c>
      <c r="O242" s="0" t="n">
        <v>1</v>
      </c>
      <c r="P242" s="0" t="s">
        <v>46</v>
      </c>
      <c r="Q242" s="0" t="s">
        <v>741</v>
      </c>
      <c r="R242" s="3"/>
      <c r="S242" s="2" t="s">
        <v>30</v>
      </c>
    </row>
    <row r="243" customFormat="false" ht="15" hidden="false" customHeight="false" outlineLevel="0" collapsed="false">
      <c r="A243" s="0" t="n">
        <v>242</v>
      </c>
      <c r="D243" s="0" t="s">
        <v>742</v>
      </c>
      <c r="E243" s="0" t="s">
        <v>521</v>
      </c>
      <c r="H243" s="0" t="s">
        <v>21</v>
      </c>
      <c r="I243" s="2" t="s">
        <v>22</v>
      </c>
      <c r="J243" s="2" t="s">
        <v>625</v>
      </c>
      <c r="K243" s="0" t="s">
        <v>626</v>
      </c>
      <c r="L243" s="0" t="s">
        <v>25</v>
      </c>
      <c r="M243" s="0" t="s">
        <v>627</v>
      </c>
      <c r="N243" s="0" t="s">
        <v>743</v>
      </c>
      <c r="O243" s="0" t="n">
        <v>1</v>
      </c>
      <c r="P243" s="0" t="s">
        <v>46</v>
      </c>
      <c r="Q243" s="0" t="s">
        <v>744</v>
      </c>
      <c r="R243" s="3"/>
      <c r="S243" s="2" t="s">
        <v>30</v>
      </c>
    </row>
    <row r="244" customFormat="false" ht="15" hidden="false" customHeight="false" outlineLevel="0" collapsed="false">
      <c r="A244" s="0" t="n">
        <v>243</v>
      </c>
      <c r="D244" s="0" t="s">
        <v>745</v>
      </c>
      <c r="E244" s="0" t="s">
        <v>521</v>
      </c>
      <c r="H244" s="0" t="s">
        <v>21</v>
      </c>
      <c r="I244" s="2" t="s">
        <v>22</v>
      </c>
      <c r="J244" s="2" t="s">
        <v>625</v>
      </c>
      <c r="K244" s="0" t="s">
        <v>626</v>
      </c>
      <c r="L244" s="0" t="s">
        <v>25</v>
      </c>
      <c r="M244" s="0" t="s">
        <v>627</v>
      </c>
      <c r="N244" s="0" t="s">
        <v>746</v>
      </c>
      <c r="O244" s="0" t="n">
        <v>1</v>
      </c>
      <c r="P244" s="0" t="s">
        <v>46</v>
      </c>
      <c r="Q244" s="0" t="s">
        <v>747</v>
      </c>
      <c r="R244" s="3"/>
      <c r="S244" s="2" t="s">
        <v>30</v>
      </c>
    </row>
    <row r="245" customFormat="false" ht="15" hidden="false" customHeight="false" outlineLevel="0" collapsed="false">
      <c r="A245" s="0" t="n">
        <v>244</v>
      </c>
      <c r="D245" s="0" t="s">
        <v>748</v>
      </c>
      <c r="E245" s="0" t="s">
        <v>342</v>
      </c>
      <c r="H245" s="0" t="s">
        <v>21</v>
      </c>
      <c r="I245" s="2" t="s">
        <v>22</v>
      </c>
      <c r="J245" s="2" t="s">
        <v>625</v>
      </c>
      <c r="K245" s="0" t="s">
        <v>626</v>
      </c>
      <c r="L245" s="0" t="s">
        <v>25</v>
      </c>
      <c r="M245" s="0" t="s">
        <v>627</v>
      </c>
      <c r="N245" s="0" t="s">
        <v>167</v>
      </c>
      <c r="O245" s="0" t="n">
        <v>1</v>
      </c>
      <c r="P245" s="0" t="s">
        <v>121</v>
      </c>
      <c r="Q245" s="0" t="s">
        <v>749</v>
      </c>
      <c r="R245" s="3"/>
      <c r="S245" s="2" t="s">
        <v>30</v>
      </c>
    </row>
    <row r="246" customFormat="false" ht="15" hidden="false" customHeight="false" outlineLevel="0" collapsed="false">
      <c r="A246" s="0" t="n">
        <v>245</v>
      </c>
      <c r="D246" s="0" t="s">
        <v>750</v>
      </c>
      <c r="E246" s="0" t="s">
        <v>113</v>
      </c>
      <c r="H246" s="0" t="s">
        <v>21</v>
      </c>
      <c r="I246" s="2" t="s">
        <v>22</v>
      </c>
      <c r="J246" s="2" t="s">
        <v>625</v>
      </c>
      <c r="K246" s="0" t="s">
        <v>626</v>
      </c>
      <c r="L246" s="0" t="s">
        <v>25</v>
      </c>
      <c r="M246" s="0" t="s">
        <v>627</v>
      </c>
      <c r="N246" s="0" t="s">
        <v>751</v>
      </c>
      <c r="O246" s="0" t="n">
        <v>1</v>
      </c>
      <c r="P246" s="0" t="s">
        <v>28</v>
      </c>
      <c r="Q246" s="0" t="s">
        <v>752</v>
      </c>
      <c r="R246" s="3"/>
      <c r="S246" s="2" t="s">
        <v>30</v>
      </c>
    </row>
    <row r="247" customFormat="false" ht="15" hidden="false" customHeight="false" outlineLevel="0" collapsed="false">
      <c r="A247" s="0" t="n">
        <v>246</v>
      </c>
      <c r="D247" s="0" t="s">
        <v>753</v>
      </c>
      <c r="E247" s="0" t="s">
        <v>113</v>
      </c>
      <c r="H247" s="0" t="s">
        <v>21</v>
      </c>
      <c r="I247" s="2" t="s">
        <v>22</v>
      </c>
      <c r="J247" s="2" t="s">
        <v>625</v>
      </c>
      <c r="K247" s="0" t="s">
        <v>626</v>
      </c>
      <c r="L247" s="0" t="s">
        <v>25</v>
      </c>
      <c r="M247" s="0" t="s">
        <v>627</v>
      </c>
      <c r="N247" s="0" t="s">
        <v>754</v>
      </c>
      <c r="O247" s="0" t="n">
        <v>1</v>
      </c>
      <c r="P247" s="0" t="s">
        <v>28</v>
      </c>
      <c r="Q247" s="0" t="s">
        <v>755</v>
      </c>
      <c r="R247" s="3"/>
      <c r="S247" s="2" t="s">
        <v>30</v>
      </c>
    </row>
    <row r="248" customFormat="false" ht="15" hidden="false" customHeight="false" outlineLevel="0" collapsed="false">
      <c r="A248" s="0" t="n">
        <v>247</v>
      </c>
      <c r="D248" s="0" t="s">
        <v>756</v>
      </c>
      <c r="E248" s="0" t="s">
        <v>313</v>
      </c>
      <c r="H248" s="0" t="s">
        <v>21</v>
      </c>
      <c r="I248" s="2" t="s">
        <v>22</v>
      </c>
      <c r="J248" s="2" t="s">
        <v>625</v>
      </c>
      <c r="K248" s="0" t="s">
        <v>626</v>
      </c>
      <c r="L248" s="0" t="s">
        <v>25</v>
      </c>
      <c r="M248" s="0" t="s">
        <v>627</v>
      </c>
      <c r="N248" s="0" t="s">
        <v>757</v>
      </c>
      <c r="O248" s="0" t="n">
        <v>1</v>
      </c>
      <c r="P248" s="0" t="s">
        <v>28</v>
      </c>
      <c r="Q248" s="0" t="s">
        <v>758</v>
      </c>
      <c r="R248" s="3"/>
      <c r="S248" s="2" t="s">
        <v>30</v>
      </c>
    </row>
    <row r="249" customFormat="false" ht="15" hidden="false" customHeight="false" outlineLevel="0" collapsed="false">
      <c r="A249" s="0" t="n">
        <v>248</v>
      </c>
      <c r="D249" s="0" t="s">
        <v>759</v>
      </c>
      <c r="E249" s="0" t="s">
        <v>309</v>
      </c>
      <c r="H249" s="0" t="s">
        <v>21</v>
      </c>
      <c r="I249" s="2" t="s">
        <v>22</v>
      </c>
      <c r="J249" s="2" t="s">
        <v>625</v>
      </c>
      <c r="K249" s="0" t="s">
        <v>626</v>
      </c>
      <c r="L249" s="0" t="s">
        <v>25</v>
      </c>
      <c r="M249" s="0" t="s">
        <v>627</v>
      </c>
      <c r="N249" s="0" t="s">
        <v>367</v>
      </c>
      <c r="O249" s="0" t="n">
        <v>1</v>
      </c>
      <c r="P249" s="0" t="s">
        <v>46</v>
      </c>
      <c r="Q249" s="0" t="s">
        <v>760</v>
      </c>
      <c r="R249" s="3"/>
      <c r="S249" s="2" t="s">
        <v>30</v>
      </c>
    </row>
    <row r="250" customFormat="false" ht="15" hidden="false" customHeight="false" outlineLevel="0" collapsed="false">
      <c r="A250" s="0" t="n">
        <v>249</v>
      </c>
      <c r="D250" s="0" t="s">
        <v>761</v>
      </c>
      <c r="E250" s="0" t="s">
        <v>186</v>
      </c>
      <c r="H250" s="0" t="s">
        <v>21</v>
      </c>
      <c r="I250" s="2" t="s">
        <v>22</v>
      </c>
      <c r="J250" s="2" t="s">
        <v>625</v>
      </c>
      <c r="K250" s="0" t="s">
        <v>626</v>
      </c>
      <c r="L250" s="0" t="s">
        <v>25</v>
      </c>
      <c r="M250" s="0" t="s">
        <v>627</v>
      </c>
      <c r="N250" s="0" t="s">
        <v>187</v>
      </c>
      <c r="O250" s="0" t="n">
        <v>1</v>
      </c>
      <c r="P250" s="0" t="s">
        <v>46</v>
      </c>
      <c r="Q250" s="0" t="s">
        <v>762</v>
      </c>
      <c r="R250" s="3"/>
      <c r="S250" s="2" t="s">
        <v>30</v>
      </c>
    </row>
    <row r="251" customFormat="false" ht="15" hidden="false" customHeight="false" outlineLevel="0" collapsed="false">
      <c r="A251" s="0" t="n">
        <v>250</v>
      </c>
      <c r="D251" s="0" t="s">
        <v>763</v>
      </c>
      <c r="E251" s="0" t="s">
        <v>186</v>
      </c>
      <c r="H251" s="0" t="s">
        <v>21</v>
      </c>
      <c r="I251" s="2" t="s">
        <v>22</v>
      </c>
      <c r="J251" s="2" t="s">
        <v>625</v>
      </c>
      <c r="K251" s="0" t="s">
        <v>626</v>
      </c>
      <c r="L251" s="0" t="s">
        <v>25</v>
      </c>
      <c r="M251" s="0" t="s">
        <v>627</v>
      </c>
      <c r="N251" s="0" t="s">
        <v>187</v>
      </c>
      <c r="O251" s="0" t="n">
        <v>1</v>
      </c>
      <c r="P251" s="0" t="s">
        <v>33</v>
      </c>
      <c r="Q251" s="0" t="s">
        <v>764</v>
      </c>
      <c r="R251" s="3"/>
      <c r="S251" s="2" t="s">
        <v>30</v>
      </c>
    </row>
    <row r="252" customFormat="false" ht="15" hidden="false" customHeight="false" outlineLevel="0" collapsed="false">
      <c r="A252" s="0" t="n">
        <v>251</v>
      </c>
      <c r="D252" s="0" t="s">
        <v>765</v>
      </c>
      <c r="E252" s="0" t="s">
        <v>113</v>
      </c>
      <c r="H252" s="0" t="s">
        <v>21</v>
      </c>
      <c r="I252" s="2" t="s">
        <v>22</v>
      </c>
      <c r="J252" s="2" t="s">
        <v>625</v>
      </c>
      <c r="K252" s="0" t="s">
        <v>626</v>
      </c>
      <c r="L252" s="0" t="s">
        <v>25</v>
      </c>
      <c r="M252" s="0" t="s">
        <v>627</v>
      </c>
      <c r="N252" s="0" t="s">
        <v>766</v>
      </c>
      <c r="O252" s="0" t="n">
        <v>1</v>
      </c>
      <c r="P252" s="0" t="s">
        <v>46</v>
      </c>
      <c r="Q252" s="0" t="s">
        <v>767</v>
      </c>
      <c r="R252" s="3"/>
      <c r="S252" s="2" t="s">
        <v>30</v>
      </c>
    </row>
    <row r="253" customFormat="false" ht="15" hidden="false" customHeight="false" outlineLevel="0" collapsed="false">
      <c r="A253" s="0" t="n">
        <v>252</v>
      </c>
      <c r="D253" s="0" t="s">
        <v>768</v>
      </c>
      <c r="E253" s="0" t="s">
        <v>113</v>
      </c>
      <c r="H253" s="0" t="s">
        <v>21</v>
      </c>
      <c r="I253" s="2" t="s">
        <v>22</v>
      </c>
      <c r="J253" s="2" t="s">
        <v>625</v>
      </c>
      <c r="K253" s="0" t="s">
        <v>626</v>
      </c>
      <c r="L253" s="0" t="s">
        <v>25</v>
      </c>
      <c r="M253" s="0" t="s">
        <v>627</v>
      </c>
      <c r="N253" s="0" t="s">
        <v>631</v>
      </c>
      <c r="O253" s="0" t="n">
        <v>1</v>
      </c>
      <c r="P253" s="0" t="s">
        <v>46</v>
      </c>
      <c r="Q253" s="0" t="s">
        <v>769</v>
      </c>
      <c r="R253" s="3"/>
      <c r="S253" s="2" t="s">
        <v>30</v>
      </c>
    </row>
    <row r="254" customFormat="false" ht="15" hidden="false" customHeight="false" outlineLevel="0" collapsed="false">
      <c r="A254" s="0" t="n">
        <v>253</v>
      </c>
      <c r="D254" s="0" t="s">
        <v>770</v>
      </c>
      <c r="E254" s="0" t="s">
        <v>113</v>
      </c>
      <c r="H254" s="0" t="s">
        <v>21</v>
      </c>
      <c r="I254" s="2" t="s">
        <v>22</v>
      </c>
      <c r="J254" s="2" t="s">
        <v>625</v>
      </c>
      <c r="K254" s="0" t="s">
        <v>626</v>
      </c>
      <c r="L254" s="0" t="s">
        <v>25</v>
      </c>
      <c r="M254" s="0" t="s">
        <v>627</v>
      </c>
      <c r="N254" s="0" t="s">
        <v>771</v>
      </c>
      <c r="O254" s="0" t="n">
        <v>1</v>
      </c>
      <c r="P254" s="0" t="s">
        <v>33</v>
      </c>
      <c r="Q254" s="0" t="s">
        <v>772</v>
      </c>
      <c r="R254" s="3"/>
      <c r="S254" s="2" t="s">
        <v>30</v>
      </c>
    </row>
    <row r="255" customFormat="false" ht="15" hidden="false" customHeight="false" outlineLevel="0" collapsed="false">
      <c r="A255" s="0" t="n">
        <v>254</v>
      </c>
      <c r="D255" s="0" t="s">
        <v>773</v>
      </c>
      <c r="E255" s="0" t="s">
        <v>342</v>
      </c>
      <c r="H255" s="0" t="s">
        <v>21</v>
      </c>
      <c r="I255" s="2" t="s">
        <v>22</v>
      </c>
      <c r="J255" s="2" t="s">
        <v>625</v>
      </c>
      <c r="K255" s="0" t="s">
        <v>626</v>
      </c>
      <c r="L255" s="0" t="s">
        <v>25</v>
      </c>
      <c r="M255" s="0" t="s">
        <v>627</v>
      </c>
      <c r="N255" s="0" t="s">
        <v>167</v>
      </c>
      <c r="O255" s="0" t="n">
        <v>1</v>
      </c>
      <c r="P255" s="0" t="s">
        <v>46</v>
      </c>
      <c r="Q255" s="0" t="s">
        <v>774</v>
      </c>
      <c r="R255" s="3"/>
      <c r="S255" s="2" t="s">
        <v>30</v>
      </c>
    </row>
    <row r="256" customFormat="false" ht="15" hidden="false" customHeight="false" outlineLevel="0" collapsed="false">
      <c r="A256" s="0" t="n">
        <v>255</v>
      </c>
      <c r="D256" s="0" t="s">
        <v>775</v>
      </c>
      <c r="E256" s="0" t="s">
        <v>342</v>
      </c>
      <c r="H256" s="0" t="s">
        <v>21</v>
      </c>
      <c r="I256" s="2" t="s">
        <v>22</v>
      </c>
      <c r="J256" s="2" t="s">
        <v>625</v>
      </c>
      <c r="K256" s="0" t="s">
        <v>626</v>
      </c>
      <c r="L256" s="0" t="s">
        <v>25</v>
      </c>
      <c r="M256" s="0" t="s">
        <v>627</v>
      </c>
      <c r="N256" s="0" t="s">
        <v>167</v>
      </c>
      <c r="O256" s="0" t="n">
        <v>1</v>
      </c>
      <c r="P256" s="0" t="s">
        <v>72</v>
      </c>
      <c r="R256" s="3"/>
      <c r="S256" s="2" t="s">
        <v>30</v>
      </c>
    </row>
    <row r="257" customFormat="false" ht="15" hidden="false" customHeight="false" outlineLevel="0" collapsed="false">
      <c r="A257" s="0" t="n">
        <v>256</v>
      </c>
      <c r="D257" s="0" t="s">
        <v>776</v>
      </c>
      <c r="E257" s="0" t="s">
        <v>342</v>
      </c>
      <c r="H257" s="0" t="s">
        <v>21</v>
      </c>
      <c r="I257" s="2" t="s">
        <v>22</v>
      </c>
      <c r="J257" s="2" t="s">
        <v>625</v>
      </c>
      <c r="K257" s="0" t="s">
        <v>626</v>
      </c>
      <c r="L257" s="0" t="s">
        <v>25</v>
      </c>
      <c r="M257" s="0" t="s">
        <v>627</v>
      </c>
      <c r="N257" s="0" t="s">
        <v>167</v>
      </c>
      <c r="O257" s="0" t="n">
        <v>1</v>
      </c>
      <c r="P257" s="0" t="s">
        <v>72</v>
      </c>
      <c r="Q257" s="0" t="s">
        <v>777</v>
      </c>
      <c r="R257" s="3"/>
      <c r="S257" s="2" t="s">
        <v>30</v>
      </c>
    </row>
    <row r="258" customFormat="false" ht="15" hidden="false" customHeight="false" outlineLevel="0" collapsed="false">
      <c r="A258" s="0" t="n">
        <v>257</v>
      </c>
      <c r="D258" s="0" t="s">
        <v>778</v>
      </c>
      <c r="E258" s="0" t="s">
        <v>736</v>
      </c>
      <c r="H258" s="0" t="s">
        <v>21</v>
      </c>
      <c r="I258" s="2" t="s">
        <v>22</v>
      </c>
      <c r="J258" s="2" t="s">
        <v>625</v>
      </c>
      <c r="K258" s="0" t="s">
        <v>626</v>
      </c>
      <c r="L258" s="0" t="s">
        <v>25</v>
      </c>
      <c r="M258" s="0" t="s">
        <v>627</v>
      </c>
      <c r="N258" s="0" t="s">
        <v>779</v>
      </c>
      <c r="O258" s="0" t="n">
        <v>1</v>
      </c>
      <c r="P258" s="0" t="s">
        <v>72</v>
      </c>
      <c r="Q258" s="0" t="s">
        <v>780</v>
      </c>
      <c r="R258" s="3"/>
      <c r="S258" s="2" t="s">
        <v>30</v>
      </c>
    </row>
    <row r="259" customFormat="false" ht="15" hidden="false" customHeight="false" outlineLevel="0" collapsed="false">
      <c r="A259" s="0" t="n">
        <v>258</v>
      </c>
      <c r="D259" s="0" t="s">
        <v>781</v>
      </c>
      <c r="E259" s="0" t="s">
        <v>108</v>
      </c>
      <c r="H259" s="0" t="s">
        <v>21</v>
      </c>
      <c r="I259" s="2" t="s">
        <v>22</v>
      </c>
      <c r="J259" s="2" t="s">
        <v>625</v>
      </c>
      <c r="K259" s="0" t="s">
        <v>626</v>
      </c>
      <c r="L259" s="0" t="s">
        <v>25</v>
      </c>
      <c r="M259" s="0" t="s">
        <v>627</v>
      </c>
      <c r="N259" s="0" t="s">
        <v>237</v>
      </c>
      <c r="O259" s="0" t="n">
        <v>1</v>
      </c>
      <c r="P259" s="0" t="s">
        <v>46</v>
      </c>
      <c r="Q259" s="0" t="s">
        <v>782</v>
      </c>
      <c r="R259" s="3"/>
      <c r="S259" s="2" t="s">
        <v>30</v>
      </c>
    </row>
    <row r="260" customFormat="false" ht="15" hidden="false" customHeight="false" outlineLevel="0" collapsed="false">
      <c r="A260" s="0" t="n">
        <v>259</v>
      </c>
      <c r="D260" s="0" t="s">
        <v>783</v>
      </c>
      <c r="E260" s="0" t="s">
        <v>313</v>
      </c>
      <c r="H260" s="0" t="s">
        <v>21</v>
      </c>
      <c r="I260" s="2" t="s">
        <v>22</v>
      </c>
      <c r="J260" s="2" t="s">
        <v>625</v>
      </c>
      <c r="K260" s="0" t="s">
        <v>626</v>
      </c>
      <c r="L260" s="0" t="s">
        <v>25</v>
      </c>
      <c r="M260" s="0" t="s">
        <v>627</v>
      </c>
      <c r="N260" s="0" t="s">
        <v>417</v>
      </c>
      <c r="O260" s="0" t="n">
        <v>1</v>
      </c>
      <c r="P260" s="0" t="s">
        <v>33</v>
      </c>
      <c r="Q260" s="0" t="s">
        <v>784</v>
      </c>
      <c r="R260" s="3"/>
      <c r="S260" s="2" t="s">
        <v>30</v>
      </c>
    </row>
    <row r="261" customFormat="false" ht="15" hidden="false" customHeight="false" outlineLevel="0" collapsed="false">
      <c r="A261" s="0" t="n">
        <v>260</v>
      </c>
      <c r="D261" s="0" t="s">
        <v>785</v>
      </c>
      <c r="E261" s="0" t="s">
        <v>615</v>
      </c>
      <c r="H261" s="0" t="s">
        <v>21</v>
      </c>
      <c r="I261" s="2" t="s">
        <v>22</v>
      </c>
      <c r="J261" s="2" t="s">
        <v>625</v>
      </c>
      <c r="K261" s="0" t="s">
        <v>626</v>
      </c>
      <c r="L261" s="0" t="s">
        <v>25</v>
      </c>
      <c r="M261" s="0" t="s">
        <v>627</v>
      </c>
      <c r="N261" s="0" t="s">
        <v>786</v>
      </c>
      <c r="O261" s="0" t="n">
        <v>1</v>
      </c>
      <c r="P261" s="0" t="s">
        <v>33</v>
      </c>
      <c r="Q261" s="0" t="s">
        <v>787</v>
      </c>
      <c r="R261" s="3"/>
      <c r="S261" s="2" t="s">
        <v>30</v>
      </c>
    </row>
    <row r="262" customFormat="false" ht="15" hidden="false" customHeight="false" outlineLevel="0" collapsed="false">
      <c r="A262" s="0" t="n">
        <v>261</v>
      </c>
      <c r="D262" s="0" t="s">
        <v>788</v>
      </c>
      <c r="E262" s="0" t="s">
        <v>789</v>
      </c>
      <c r="H262" s="0" t="s">
        <v>21</v>
      </c>
      <c r="I262" s="2" t="s">
        <v>22</v>
      </c>
      <c r="J262" s="2" t="s">
        <v>625</v>
      </c>
      <c r="K262" s="0" t="s">
        <v>626</v>
      </c>
      <c r="L262" s="0" t="s">
        <v>25</v>
      </c>
      <c r="M262" s="0" t="s">
        <v>627</v>
      </c>
      <c r="N262" s="0" t="s">
        <v>790</v>
      </c>
      <c r="O262" s="0" t="n">
        <v>1</v>
      </c>
      <c r="P262" s="0" t="s">
        <v>139</v>
      </c>
      <c r="Q262" s="0" t="s">
        <v>791</v>
      </c>
      <c r="R262" s="3"/>
      <c r="S262" s="2" t="s">
        <v>30</v>
      </c>
    </row>
    <row r="263" customFormat="false" ht="15" hidden="false" customHeight="false" outlineLevel="0" collapsed="false">
      <c r="A263" s="0" t="n">
        <v>262</v>
      </c>
      <c r="D263" s="0" t="s">
        <v>792</v>
      </c>
      <c r="E263" s="0" t="s">
        <v>789</v>
      </c>
      <c r="H263" s="0" t="s">
        <v>21</v>
      </c>
      <c r="I263" s="2" t="s">
        <v>22</v>
      </c>
      <c r="J263" s="2" t="s">
        <v>625</v>
      </c>
      <c r="K263" s="0" t="s">
        <v>626</v>
      </c>
      <c r="L263" s="0" t="s">
        <v>25</v>
      </c>
      <c r="M263" s="0" t="s">
        <v>627</v>
      </c>
      <c r="N263" s="0" t="s">
        <v>793</v>
      </c>
      <c r="O263" s="0" t="n">
        <v>1</v>
      </c>
      <c r="P263" s="0" t="s">
        <v>139</v>
      </c>
      <c r="Q263" s="0" t="s">
        <v>794</v>
      </c>
      <c r="R263" s="3"/>
      <c r="S263" s="2" t="s">
        <v>30</v>
      </c>
    </row>
    <row r="264" customFormat="false" ht="15" hidden="false" customHeight="false" outlineLevel="0" collapsed="false">
      <c r="A264" s="0" t="n">
        <v>263</v>
      </c>
      <c r="D264" s="0" t="s">
        <v>795</v>
      </c>
      <c r="E264" s="0" t="s">
        <v>615</v>
      </c>
      <c r="H264" s="0" t="s">
        <v>21</v>
      </c>
      <c r="I264" s="2" t="s">
        <v>22</v>
      </c>
      <c r="J264" s="2" t="s">
        <v>625</v>
      </c>
      <c r="K264" s="0" t="s">
        <v>626</v>
      </c>
      <c r="L264" s="0" t="s">
        <v>25</v>
      </c>
      <c r="M264" s="0" t="s">
        <v>627</v>
      </c>
      <c r="N264" s="0" t="s">
        <v>796</v>
      </c>
      <c r="O264" s="0" t="n">
        <v>1</v>
      </c>
      <c r="P264" s="0" t="s">
        <v>33</v>
      </c>
      <c r="Q264" s="0" t="s">
        <v>797</v>
      </c>
      <c r="R264" s="3"/>
      <c r="S264" s="2" t="s">
        <v>30</v>
      </c>
    </row>
    <row r="265" customFormat="false" ht="15" hidden="false" customHeight="false" outlineLevel="0" collapsed="false">
      <c r="A265" s="0" t="n">
        <v>264</v>
      </c>
      <c r="D265" s="0" t="s">
        <v>798</v>
      </c>
      <c r="E265" s="0" t="s">
        <v>113</v>
      </c>
      <c r="H265" s="0" t="s">
        <v>21</v>
      </c>
      <c r="I265" s="2" t="s">
        <v>22</v>
      </c>
      <c r="J265" s="2" t="s">
        <v>625</v>
      </c>
      <c r="K265" s="0" t="s">
        <v>626</v>
      </c>
      <c r="L265" s="0" t="s">
        <v>25</v>
      </c>
      <c r="M265" s="0" t="s">
        <v>627</v>
      </c>
      <c r="N265" s="0" t="s">
        <v>799</v>
      </c>
      <c r="O265" s="0" t="n">
        <v>1</v>
      </c>
      <c r="P265" s="0" t="s">
        <v>46</v>
      </c>
      <c r="Q265" s="0" t="s">
        <v>800</v>
      </c>
      <c r="R265" s="3"/>
      <c r="S265" s="2" t="s">
        <v>30</v>
      </c>
    </row>
    <row r="266" customFormat="false" ht="15" hidden="false" customHeight="false" outlineLevel="0" collapsed="false">
      <c r="A266" s="0" t="n">
        <v>265</v>
      </c>
      <c r="D266" s="0" t="s">
        <v>801</v>
      </c>
      <c r="E266" s="0" t="s">
        <v>104</v>
      </c>
      <c r="H266" s="0" t="s">
        <v>21</v>
      </c>
      <c r="I266" s="2" t="s">
        <v>22</v>
      </c>
      <c r="J266" s="2" t="s">
        <v>625</v>
      </c>
      <c r="K266" s="0" t="s">
        <v>626</v>
      </c>
      <c r="L266" s="0" t="s">
        <v>25</v>
      </c>
      <c r="M266" s="0" t="s">
        <v>627</v>
      </c>
      <c r="N266" s="0" t="s">
        <v>105</v>
      </c>
      <c r="O266" s="0" t="n">
        <v>1</v>
      </c>
      <c r="P266" s="0" t="s">
        <v>46</v>
      </c>
      <c r="Q266" s="0" t="s">
        <v>802</v>
      </c>
      <c r="R266" s="3"/>
      <c r="S266" s="2" t="s">
        <v>30</v>
      </c>
    </row>
    <row r="267" customFormat="false" ht="15" hidden="false" customHeight="false" outlineLevel="0" collapsed="false">
      <c r="A267" s="0" t="n">
        <v>266</v>
      </c>
      <c r="D267" s="0" t="s">
        <v>803</v>
      </c>
      <c r="E267" s="0" t="s">
        <v>104</v>
      </c>
      <c r="H267" s="0" t="s">
        <v>21</v>
      </c>
      <c r="I267" s="2" t="s">
        <v>22</v>
      </c>
      <c r="J267" s="2" t="s">
        <v>625</v>
      </c>
      <c r="K267" s="0" t="s">
        <v>626</v>
      </c>
      <c r="L267" s="0" t="s">
        <v>25</v>
      </c>
      <c r="M267" s="0" t="s">
        <v>627</v>
      </c>
      <c r="N267" s="0" t="s">
        <v>690</v>
      </c>
      <c r="O267" s="0" t="n">
        <v>1</v>
      </c>
      <c r="P267" s="0" t="s">
        <v>46</v>
      </c>
      <c r="Q267" s="0" t="s">
        <v>804</v>
      </c>
      <c r="R267" s="3"/>
      <c r="S267" s="2" t="s">
        <v>30</v>
      </c>
    </row>
    <row r="268" customFormat="false" ht="15" hidden="false" customHeight="false" outlineLevel="0" collapsed="false">
      <c r="A268" s="0" t="n">
        <v>267</v>
      </c>
      <c r="D268" s="0" t="s">
        <v>805</v>
      </c>
      <c r="E268" s="0" t="s">
        <v>113</v>
      </c>
      <c r="H268" s="0" t="s">
        <v>21</v>
      </c>
      <c r="I268" s="2" t="s">
        <v>22</v>
      </c>
      <c r="J268" s="2" t="s">
        <v>625</v>
      </c>
      <c r="K268" s="0" t="s">
        <v>626</v>
      </c>
      <c r="L268" s="0" t="s">
        <v>25</v>
      </c>
      <c r="M268" s="0" t="s">
        <v>627</v>
      </c>
      <c r="N268" s="0" t="s">
        <v>806</v>
      </c>
      <c r="O268" s="0" t="n">
        <v>1</v>
      </c>
      <c r="P268" s="0" t="s">
        <v>33</v>
      </c>
      <c r="Q268" s="0" t="s">
        <v>807</v>
      </c>
      <c r="R268" s="3"/>
      <c r="S268" s="2" t="s">
        <v>30</v>
      </c>
    </row>
    <row r="269" customFormat="false" ht="15" hidden="false" customHeight="false" outlineLevel="0" collapsed="false">
      <c r="A269" s="0" t="n">
        <v>268</v>
      </c>
      <c r="D269" s="0" t="s">
        <v>808</v>
      </c>
      <c r="E269" s="0" t="s">
        <v>313</v>
      </c>
      <c r="H269" s="0" t="s">
        <v>21</v>
      </c>
      <c r="I269" s="2" t="s">
        <v>22</v>
      </c>
      <c r="J269" s="2" t="s">
        <v>625</v>
      </c>
      <c r="K269" s="0" t="s">
        <v>626</v>
      </c>
      <c r="L269" s="0" t="s">
        <v>25</v>
      </c>
      <c r="M269" s="0" t="s">
        <v>627</v>
      </c>
      <c r="N269" s="0" t="s">
        <v>417</v>
      </c>
      <c r="O269" s="0" t="n">
        <v>1</v>
      </c>
      <c r="P269" s="0" t="s">
        <v>294</v>
      </c>
      <c r="Q269" s="0" t="s">
        <v>809</v>
      </c>
      <c r="R269" s="3"/>
      <c r="S269" s="2" t="s">
        <v>30</v>
      </c>
    </row>
    <row r="270" customFormat="false" ht="15" hidden="false" customHeight="false" outlineLevel="0" collapsed="false">
      <c r="A270" s="0" t="n">
        <v>269</v>
      </c>
      <c r="D270" s="0" t="s">
        <v>810</v>
      </c>
      <c r="E270" s="0" t="s">
        <v>113</v>
      </c>
      <c r="H270" s="0" t="s">
        <v>21</v>
      </c>
      <c r="I270" s="2" t="s">
        <v>22</v>
      </c>
      <c r="J270" s="2" t="s">
        <v>625</v>
      </c>
      <c r="K270" s="0" t="s">
        <v>626</v>
      </c>
      <c r="L270" s="0" t="s">
        <v>25</v>
      </c>
      <c r="M270" s="0" t="s">
        <v>627</v>
      </c>
      <c r="N270" s="0" t="s">
        <v>811</v>
      </c>
      <c r="O270" s="0" t="n">
        <v>1</v>
      </c>
      <c r="P270" s="0" t="s">
        <v>33</v>
      </c>
      <c r="Q270" s="0" t="s">
        <v>812</v>
      </c>
      <c r="R270" s="3"/>
      <c r="S270" s="2" t="s">
        <v>30</v>
      </c>
    </row>
    <row r="271" customFormat="false" ht="15" hidden="false" customHeight="false" outlineLevel="0" collapsed="false">
      <c r="A271" s="0" t="n">
        <v>270</v>
      </c>
      <c r="D271" s="0" t="s">
        <v>813</v>
      </c>
      <c r="E271" s="0" t="s">
        <v>113</v>
      </c>
      <c r="H271" s="0" t="s">
        <v>21</v>
      </c>
      <c r="I271" s="2" t="s">
        <v>22</v>
      </c>
      <c r="J271" s="2" t="s">
        <v>625</v>
      </c>
      <c r="K271" s="0" t="s">
        <v>626</v>
      </c>
      <c r="L271" s="0" t="s">
        <v>25</v>
      </c>
      <c r="M271" s="0" t="s">
        <v>627</v>
      </c>
      <c r="N271" s="0" t="s">
        <v>814</v>
      </c>
      <c r="O271" s="0" t="n">
        <v>1</v>
      </c>
      <c r="P271" s="0" t="s">
        <v>46</v>
      </c>
      <c r="Q271" s="0" t="s">
        <v>815</v>
      </c>
      <c r="R271" s="3"/>
      <c r="S271" s="2" t="s">
        <v>30</v>
      </c>
    </row>
    <row r="272" customFormat="false" ht="15" hidden="false" customHeight="false" outlineLevel="0" collapsed="false">
      <c r="A272" s="0" t="n">
        <v>271</v>
      </c>
      <c r="D272" s="0" t="s">
        <v>816</v>
      </c>
      <c r="E272" s="0" t="s">
        <v>611</v>
      </c>
      <c r="H272" s="0" t="s">
        <v>21</v>
      </c>
      <c r="I272" s="2" t="s">
        <v>22</v>
      </c>
      <c r="J272" s="2" t="s">
        <v>625</v>
      </c>
      <c r="K272" s="0" t="s">
        <v>626</v>
      </c>
      <c r="L272" s="0" t="s">
        <v>25</v>
      </c>
      <c r="M272" s="0" t="s">
        <v>627</v>
      </c>
      <c r="N272" s="0" t="s">
        <v>612</v>
      </c>
      <c r="O272" s="0" t="n">
        <v>1</v>
      </c>
      <c r="P272" s="0" t="s">
        <v>46</v>
      </c>
      <c r="Q272" s="0" t="s">
        <v>817</v>
      </c>
      <c r="R272" s="3"/>
      <c r="S272" s="2" t="s">
        <v>30</v>
      </c>
    </row>
    <row r="273" customFormat="false" ht="15" hidden="false" customHeight="false" outlineLevel="0" collapsed="false">
      <c r="A273" s="0" t="n">
        <v>272</v>
      </c>
      <c r="D273" s="0" t="s">
        <v>818</v>
      </c>
      <c r="E273" s="0" t="s">
        <v>113</v>
      </c>
      <c r="H273" s="0" t="s">
        <v>21</v>
      </c>
      <c r="I273" s="2" t="s">
        <v>22</v>
      </c>
      <c r="J273" s="2" t="s">
        <v>625</v>
      </c>
      <c r="K273" s="0" t="s">
        <v>626</v>
      </c>
      <c r="L273" s="0" t="s">
        <v>25</v>
      </c>
      <c r="M273" s="0" t="s">
        <v>627</v>
      </c>
      <c r="N273" s="0" t="s">
        <v>819</v>
      </c>
      <c r="O273" s="0" t="n">
        <v>1</v>
      </c>
      <c r="P273" s="0" t="s">
        <v>28</v>
      </c>
      <c r="Q273" s="0" t="s">
        <v>820</v>
      </c>
      <c r="R273" s="3"/>
      <c r="S273" s="2" t="s">
        <v>30</v>
      </c>
    </row>
    <row r="274" customFormat="false" ht="15" hidden="false" customHeight="false" outlineLevel="0" collapsed="false">
      <c r="A274" s="0" t="n">
        <v>273</v>
      </c>
      <c r="D274" s="0" t="s">
        <v>821</v>
      </c>
      <c r="E274" s="0" t="s">
        <v>108</v>
      </c>
      <c r="H274" s="0" t="s">
        <v>21</v>
      </c>
      <c r="I274" s="2" t="s">
        <v>22</v>
      </c>
      <c r="J274" s="2" t="s">
        <v>625</v>
      </c>
      <c r="K274" s="0" t="s">
        <v>626</v>
      </c>
      <c r="L274" s="0" t="s">
        <v>25</v>
      </c>
      <c r="M274" s="0" t="s">
        <v>627</v>
      </c>
      <c r="N274" s="0" t="s">
        <v>237</v>
      </c>
      <c r="O274" s="0" t="n">
        <v>1</v>
      </c>
      <c r="P274" s="0" t="s">
        <v>46</v>
      </c>
      <c r="Q274" s="0" t="s">
        <v>822</v>
      </c>
      <c r="R274" s="3"/>
      <c r="S274" s="2" t="s">
        <v>30</v>
      </c>
    </row>
    <row r="275" customFormat="false" ht="15" hidden="false" customHeight="false" outlineLevel="0" collapsed="false">
      <c r="A275" s="0" t="n">
        <v>274</v>
      </c>
      <c r="D275" s="0" t="s">
        <v>823</v>
      </c>
      <c r="E275" s="0" t="s">
        <v>615</v>
      </c>
      <c r="H275" s="0" t="s">
        <v>21</v>
      </c>
      <c r="I275" s="2" t="s">
        <v>22</v>
      </c>
      <c r="J275" s="2" t="s">
        <v>625</v>
      </c>
      <c r="K275" s="0" t="s">
        <v>626</v>
      </c>
      <c r="L275" s="0" t="s">
        <v>25</v>
      </c>
      <c r="M275" s="0" t="s">
        <v>627</v>
      </c>
      <c r="N275" s="0" t="s">
        <v>824</v>
      </c>
      <c r="O275" s="0" t="n">
        <v>1</v>
      </c>
      <c r="P275" s="0" t="s">
        <v>33</v>
      </c>
      <c r="Q275" s="0" t="s">
        <v>825</v>
      </c>
      <c r="R275" s="3"/>
      <c r="S275" s="2" t="s">
        <v>30</v>
      </c>
    </row>
    <row r="276" customFormat="false" ht="15" hidden="false" customHeight="false" outlineLevel="0" collapsed="false">
      <c r="A276" s="0" t="n">
        <v>275</v>
      </c>
      <c r="D276" s="0" t="s">
        <v>826</v>
      </c>
      <c r="E276" s="0" t="s">
        <v>113</v>
      </c>
      <c r="H276" s="0" t="s">
        <v>21</v>
      </c>
      <c r="I276" s="2" t="s">
        <v>22</v>
      </c>
      <c r="J276" s="2" t="s">
        <v>625</v>
      </c>
      <c r="K276" s="0" t="s">
        <v>626</v>
      </c>
      <c r="L276" s="0" t="s">
        <v>25</v>
      </c>
      <c r="M276" s="0" t="s">
        <v>627</v>
      </c>
      <c r="N276" s="0" t="s">
        <v>631</v>
      </c>
      <c r="O276" s="0" t="n">
        <v>1</v>
      </c>
      <c r="P276" s="0" t="s">
        <v>46</v>
      </c>
      <c r="R276" s="3"/>
      <c r="S276" s="2" t="s">
        <v>30</v>
      </c>
    </row>
    <row r="277" customFormat="false" ht="15" hidden="false" customHeight="false" outlineLevel="0" collapsed="false">
      <c r="A277" s="0" t="n">
        <v>276</v>
      </c>
      <c r="D277" s="0" t="s">
        <v>827</v>
      </c>
      <c r="E277" s="0" t="s">
        <v>342</v>
      </c>
      <c r="H277" s="0" t="s">
        <v>21</v>
      </c>
      <c r="I277" s="2" t="s">
        <v>22</v>
      </c>
      <c r="J277" s="2" t="s">
        <v>625</v>
      </c>
      <c r="K277" s="0" t="s">
        <v>626</v>
      </c>
      <c r="L277" s="0" t="s">
        <v>25</v>
      </c>
      <c r="M277" s="0" t="s">
        <v>627</v>
      </c>
      <c r="N277" s="0" t="s">
        <v>167</v>
      </c>
      <c r="O277" s="0" t="n">
        <v>1</v>
      </c>
      <c r="P277" s="0" t="s">
        <v>72</v>
      </c>
      <c r="Q277" s="0" t="s">
        <v>828</v>
      </c>
      <c r="R277" s="3"/>
      <c r="S277" s="2" t="s">
        <v>30</v>
      </c>
    </row>
    <row r="278" customFormat="false" ht="15" hidden="false" customHeight="false" outlineLevel="0" collapsed="false">
      <c r="A278" s="0" t="n">
        <v>277</v>
      </c>
      <c r="D278" s="0" t="s">
        <v>829</v>
      </c>
      <c r="E278" s="0" t="s">
        <v>113</v>
      </c>
      <c r="H278" s="0" t="s">
        <v>21</v>
      </c>
      <c r="I278" s="2" t="s">
        <v>22</v>
      </c>
      <c r="J278" s="2" t="s">
        <v>625</v>
      </c>
      <c r="K278" s="0" t="s">
        <v>626</v>
      </c>
      <c r="L278" s="0" t="s">
        <v>25</v>
      </c>
      <c r="M278" s="0" t="s">
        <v>627</v>
      </c>
      <c r="N278" s="0" t="s">
        <v>82</v>
      </c>
      <c r="O278" s="0" t="n">
        <v>1</v>
      </c>
      <c r="P278" s="0" t="s">
        <v>46</v>
      </c>
      <c r="R278" s="3"/>
      <c r="S278" s="2" t="s">
        <v>30</v>
      </c>
    </row>
    <row r="279" customFormat="false" ht="15" hidden="false" customHeight="false" outlineLevel="0" collapsed="false">
      <c r="A279" s="0" t="n">
        <v>278</v>
      </c>
      <c r="D279" s="0" t="s">
        <v>830</v>
      </c>
      <c r="E279" s="0" t="s">
        <v>313</v>
      </c>
      <c r="H279" s="0" t="s">
        <v>21</v>
      </c>
      <c r="I279" s="2" t="s">
        <v>22</v>
      </c>
      <c r="J279" s="2" t="s">
        <v>625</v>
      </c>
      <c r="K279" s="0" t="s">
        <v>626</v>
      </c>
      <c r="L279" s="0" t="s">
        <v>25</v>
      </c>
      <c r="M279" s="0" t="s">
        <v>627</v>
      </c>
      <c r="N279" s="0" t="s">
        <v>831</v>
      </c>
      <c r="O279" s="0" t="n">
        <v>1</v>
      </c>
      <c r="P279" s="0" t="s">
        <v>46</v>
      </c>
      <c r="Q279" s="0" t="s">
        <v>832</v>
      </c>
      <c r="R279" s="3"/>
      <c r="S279" s="2" t="s">
        <v>30</v>
      </c>
    </row>
    <row r="280" customFormat="false" ht="15" hidden="false" customHeight="false" outlineLevel="0" collapsed="false">
      <c r="A280" s="0" t="n">
        <v>279</v>
      </c>
      <c r="D280" s="0" t="s">
        <v>833</v>
      </c>
      <c r="E280" s="0" t="s">
        <v>113</v>
      </c>
      <c r="H280" s="0" t="s">
        <v>21</v>
      </c>
      <c r="I280" s="2" t="s">
        <v>22</v>
      </c>
      <c r="J280" s="2" t="s">
        <v>625</v>
      </c>
      <c r="K280" s="0" t="s">
        <v>626</v>
      </c>
      <c r="L280" s="0" t="s">
        <v>25</v>
      </c>
      <c r="M280" s="0" t="s">
        <v>627</v>
      </c>
      <c r="N280" s="0" t="s">
        <v>834</v>
      </c>
      <c r="O280" s="0" t="n">
        <v>1</v>
      </c>
      <c r="P280" s="0" t="s">
        <v>28</v>
      </c>
      <c r="Q280" s="0" t="s">
        <v>835</v>
      </c>
      <c r="R280" s="3"/>
      <c r="S280" s="2" t="s">
        <v>30</v>
      </c>
    </row>
    <row r="281" customFormat="false" ht="15" hidden="false" customHeight="false" outlineLevel="0" collapsed="false">
      <c r="A281" s="0" t="n">
        <v>280</v>
      </c>
      <c r="D281" s="0" t="s">
        <v>836</v>
      </c>
      <c r="E281" s="0" t="s">
        <v>113</v>
      </c>
      <c r="H281" s="0" t="s">
        <v>21</v>
      </c>
      <c r="I281" s="2" t="s">
        <v>22</v>
      </c>
      <c r="J281" s="2" t="s">
        <v>625</v>
      </c>
      <c r="K281" s="0" t="s">
        <v>626</v>
      </c>
      <c r="L281" s="0" t="s">
        <v>25</v>
      </c>
      <c r="M281" s="0" t="s">
        <v>627</v>
      </c>
      <c r="N281" s="0" t="s">
        <v>837</v>
      </c>
      <c r="O281" s="0" t="n">
        <v>1</v>
      </c>
      <c r="P281" s="0" t="s">
        <v>33</v>
      </c>
      <c r="Q281" s="0" t="s">
        <v>838</v>
      </c>
      <c r="R281" s="3"/>
      <c r="S281" s="2" t="s">
        <v>30</v>
      </c>
    </row>
    <row r="282" customFormat="false" ht="15" hidden="false" customHeight="false" outlineLevel="0" collapsed="false">
      <c r="A282" s="0" t="n">
        <v>281</v>
      </c>
      <c r="D282" s="0" t="s">
        <v>839</v>
      </c>
      <c r="E282" s="0" t="s">
        <v>200</v>
      </c>
      <c r="H282" s="0" t="s">
        <v>21</v>
      </c>
      <c r="I282" s="2" t="s">
        <v>22</v>
      </c>
      <c r="J282" s="2" t="s">
        <v>625</v>
      </c>
      <c r="K282" s="0" t="s">
        <v>626</v>
      </c>
      <c r="L282" s="0" t="s">
        <v>25</v>
      </c>
      <c r="M282" s="0" t="s">
        <v>627</v>
      </c>
      <c r="N282" s="0" t="s">
        <v>577</v>
      </c>
      <c r="O282" s="0" t="n">
        <v>1</v>
      </c>
      <c r="P282" s="0" t="s">
        <v>46</v>
      </c>
      <c r="Q282" s="0" t="s">
        <v>840</v>
      </c>
      <c r="R282" s="3"/>
      <c r="S282" s="2" t="s">
        <v>30</v>
      </c>
    </row>
    <row r="283" customFormat="false" ht="15" hidden="false" customHeight="false" outlineLevel="0" collapsed="false">
      <c r="A283" s="0" t="n">
        <v>282</v>
      </c>
      <c r="D283" s="0" t="s">
        <v>841</v>
      </c>
      <c r="E283" s="0" t="s">
        <v>842</v>
      </c>
      <c r="H283" s="0" t="s">
        <v>21</v>
      </c>
      <c r="I283" s="2" t="s">
        <v>22</v>
      </c>
      <c r="J283" s="2" t="s">
        <v>625</v>
      </c>
      <c r="K283" s="0" t="s">
        <v>626</v>
      </c>
      <c r="L283" s="0" t="s">
        <v>25</v>
      </c>
      <c r="M283" s="0" t="s">
        <v>627</v>
      </c>
      <c r="N283" s="0" t="s">
        <v>843</v>
      </c>
      <c r="O283" s="0" t="n">
        <v>1</v>
      </c>
      <c r="P283" s="0" t="s">
        <v>46</v>
      </c>
      <c r="Q283" s="0" t="s">
        <v>844</v>
      </c>
      <c r="R283" s="3"/>
      <c r="S283" s="2" t="s">
        <v>30</v>
      </c>
    </row>
    <row r="284" customFormat="false" ht="15" hidden="false" customHeight="false" outlineLevel="0" collapsed="false">
      <c r="A284" s="0" t="n">
        <v>283</v>
      </c>
      <c r="D284" s="0" t="s">
        <v>845</v>
      </c>
      <c r="E284" s="0" t="s">
        <v>350</v>
      </c>
      <c r="H284" s="0" t="s">
        <v>21</v>
      </c>
      <c r="I284" s="2" t="s">
        <v>22</v>
      </c>
      <c r="J284" s="2" t="s">
        <v>625</v>
      </c>
      <c r="K284" s="0" t="s">
        <v>626</v>
      </c>
      <c r="L284" s="0" t="s">
        <v>25</v>
      </c>
      <c r="M284" s="0" t="s">
        <v>627</v>
      </c>
      <c r="N284" s="0" t="s">
        <v>846</v>
      </c>
      <c r="O284" s="0" t="n">
        <v>1</v>
      </c>
      <c r="P284" s="0" t="s">
        <v>139</v>
      </c>
      <c r="Q284" s="0" t="s">
        <v>847</v>
      </c>
      <c r="R284" s="3"/>
      <c r="S284" s="2" t="s">
        <v>30</v>
      </c>
    </row>
    <row r="285" customFormat="false" ht="15" hidden="false" customHeight="false" outlineLevel="0" collapsed="false">
      <c r="A285" s="0" t="n">
        <v>284</v>
      </c>
      <c r="D285" s="0" t="s">
        <v>848</v>
      </c>
      <c r="E285" s="0" t="s">
        <v>611</v>
      </c>
      <c r="H285" s="0" t="s">
        <v>21</v>
      </c>
      <c r="I285" s="2" t="s">
        <v>22</v>
      </c>
      <c r="J285" s="2" t="s">
        <v>625</v>
      </c>
      <c r="K285" s="0" t="s">
        <v>626</v>
      </c>
      <c r="L285" s="0" t="s">
        <v>25</v>
      </c>
      <c r="M285" s="0" t="s">
        <v>627</v>
      </c>
      <c r="N285" s="0" t="s">
        <v>849</v>
      </c>
      <c r="O285" s="0" t="n">
        <v>1</v>
      </c>
      <c r="P285" s="0" t="s">
        <v>46</v>
      </c>
      <c r="Q285" s="0" t="s">
        <v>850</v>
      </c>
      <c r="R285" s="3"/>
      <c r="S285" s="2" t="s">
        <v>30</v>
      </c>
    </row>
    <row r="286" customFormat="false" ht="15" hidden="false" customHeight="false" outlineLevel="0" collapsed="false">
      <c r="A286" s="0" t="n">
        <v>285</v>
      </c>
      <c r="D286" s="0" t="s">
        <v>851</v>
      </c>
      <c r="E286" s="0" t="s">
        <v>342</v>
      </c>
      <c r="H286" s="0" t="s">
        <v>21</v>
      </c>
      <c r="I286" s="2" t="s">
        <v>22</v>
      </c>
      <c r="J286" s="2" t="s">
        <v>625</v>
      </c>
      <c r="K286" s="0" t="s">
        <v>626</v>
      </c>
      <c r="L286" s="0" t="s">
        <v>25</v>
      </c>
      <c r="M286" s="0" t="s">
        <v>627</v>
      </c>
      <c r="N286" s="0" t="s">
        <v>167</v>
      </c>
      <c r="O286" s="0" t="n">
        <v>1</v>
      </c>
      <c r="P286" s="0" t="s">
        <v>121</v>
      </c>
      <c r="Q286" s="0" t="s">
        <v>852</v>
      </c>
      <c r="R286" s="3"/>
      <c r="S286" s="2" t="s">
        <v>30</v>
      </c>
    </row>
    <row r="287" customFormat="false" ht="15" hidden="false" customHeight="false" outlineLevel="0" collapsed="false">
      <c r="A287" s="0" t="n">
        <v>286</v>
      </c>
      <c r="D287" s="0" t="s">
        <v>853</v>
      </c>
      <c r="E287" s="0" t="s">
        <v>313</v>
      </c>
      <c r="H287" s="0" t="s">
        <v>21</v>
      </c>
      <c r="I287" s="2" t="s">
        <v>22</v>
      </c>
      <c r="J287" s="2" t="s">
        <v>625</v>
      </c>
      <c r="K287" s="0" t="s">
        <v>626</v>
      </c>
      <c r="L287" s="0" t="s">
        <v>25</v>
      </c>
      <c r="M287" s="0" t="s">
        <v>627</v>
      </c>
      <c r="N287" s="0" t="s">
        <v>314</v>
      </c>
      <c r="O287" s="0" t="n">
        <v>1</v>
      </c>
      <c r="P287" s="0" t="s">
        <v>115</v>
      </c>
      <c r="Q287" s="0" t="s">
        <v>714</v>
      </c>
      <c r="R287" s="3"/>
      <c r="S287" s="2" t="s">
        <v>30</v>
      </c>
    </row>
    <row r="288" customFormat="false" ht="15" hidden="false" customHeight="false" outlineLevel="0" collapsed="false">
      <c r="A288" s="0" t="n">
        <v>287</v>
      </c>
      <c r="D288" s="0" t="s">
        <v>854</v>
      </c>
      <c r="E288" s="0" t="s">
        <v>108</v>
      </c>
      <c r="H288" s="0" t="s">
        <v>21</v>
      </c>
      <c r="I288" s="2" t="s">
        <v>22</v>
      </c>
      <c r="J288" s="2" t="s">
        <v>625</v>
      </c>
      <c r="K288" s="0" t="s">
        <v>626</v>
      </c>
      <c r="L288" s="0" t="s">
        <v>25</v>
      </c>
      <c r="M288" s="0" t="s">
        <v>627</v>
      </c>
      <c r="N288" s="0" t="s">
        <v>237</v>
      </c>
      <c r="O288" s="0" t="n">
        <v>1</v>
      </c>
      <c r="P288" s="0" t="s">
        <v>46</v>
      </c>
      <c r="Q288" s="0" t="s">
        <v>855</v>
      </c>
      <c r="R288" s="3"/>
      <c r="S288" s="2" t="s">
        <v>30</v>
      </c>
    </row>
    <row r="289" customFormat="false" ht="15" hidden="false" customHeight="false" outlineLevel="0" collapsed="false">
      <c r="A289" s="0" t="n">
        <v>288</v>
      </c>
      <c r="D289" s="0" t="s">
        <v>856</v>
      </c>
      <c r="E289" s="0" t="s">
        <v>342</v>
      </c>
      <c r="H289" s="0" t="s">
        <v>21</v>
      </c>
      <c r="I289" s="2" t="s">
        <v>22</v>
      </c>
      <c r="J289" s="2" t="s">
        <v>625</v>
      </c>
      <c r="K289" s="0" t="s">
        <v>626</v>
      </c>
      <c r="L289" s="0" t="s">
        <v>25</v>
      </c>
      <c r="M289" s="0" t="s">
        <v>627</v>
      </c>
      <c r="N289" s="0" t="s">
        <v>167</v>
      </c>
      <c r="O289" s="0" t="n">
        <v>1</v>
      </c>
      <c r="P289" s="0" t="s">
        <v>72</v>
      </c>
      <c r="Q289" s="0" t="s">
        <v>857</v>
      </c>
      <c r="R289" s="3"/>
      <c r="S289" s="2" t="s">
        <v>30</v>
      </c>
    </row>
    <row r="290" customFormat="false" ht="15" hidden="false" customHeight="false" outlineLevel="0" collapsed="false">
      <c r="A290" s="0" t="n">
        <v>289</v>
      </c>
      <c r="D290" s="0" t="s">
        <v>858</v>
      </c>
      <c r="E290" s="0" t="s">
        <v>108</v>
      </c>
      <c r="H290" s="0" t="s">
        <v>21</v>
      </c>
      <c r="I290" s="2" t="s">
        <v>22</v>
      </c>
      <c r="J290" s="2" t="s">
        <v>625</v>
      </c>
      <c r="K290" s="0" t="s">
        <v>626</v>
      </c>
      <c r="L290" s="0" t="s">
        <v>25</v>
      </c>
      <c r="M290" s="0" t="s">
        <v>627</v>
      </c>
      <c r="N290" s="0" t="s">
        <v>237</v>
      </c>
      <c r="O290" s="0" t="n">
        <v>1</v>
      </c>
      <c r="P290" s="0" t="s">
        <v>33</v>
      </c>
      <c r="Q290" s="0" t="s">
        <v>859</v>
      </c>
      <c r="R290" s="3"/>
      <c r="S290" s="2" t="s">
        <v>30</v>
      </c>
    </row>
    <row r="291" customFormat="false" ht="15" hidden="false" customHeight="false" outlineLevel="0" collapsed="false">
      <c r="A291" s="0" t="n">
        <v>290</v>
      </c>
      <c r="D291" s="0" t="s">
        <v>860</v>
      </c>
      <c r="E291" s="0" t="s">
        <v>313</v>
      </c>
      <c r="H291" s="0" t="s">
        <v>21</v>
      </c>
      <c r="I291" s="2" t="s">
        <v>22</v>
      </c>
      <c r="J291" s="2" t="s">
        <v>625</v>
      </c>
      <c r="K291" s="0" t="s">
        <v>626</v>
      </c>
      <c r="L291" s="0" t="s">
        <v>25</v>
      </c>
      <c r="M291" s="0" t="s">
        <v>627</v>
      </c>
      <c r="N291" s="0" t="s">
        <v>417</v>
      </c>
      <c r="O291" s="0" t="n">
        <v>1</v>
      </c>
      <c r="P291" s="0" t="s">
        <v>183</v>
      </c>
      <c r="Q291" s="0" t="s">
        <v>861</v>
      </c>
      <c r="R291" s="3"/>
      <c r="S291" s="2" t="s">
        <v>30</v>
      </c>
    </row>
    <row r="292" customFormat="false" ht="15" hidden="false" customHeight="false" outlineLevel="0" collapsed="false">
      <c r="A292" s="0" t="n">
        <v>291</v>
      </c>
      <c r="D292" s="0" t="s">
        <v>862</v>
      </c>
      <c r="E292" s="0" t="s">
        <v>611</v>
      </c>
      <c r="H292" s="0" t="s">
        <v>21</v>
      </c>
      <c r="I292" s="2" t="s">
        <v>22</v>
      </c>
      <c r="J292" s="2" t="s">
        <v>625</v>
      </c>
      <c r="K292" s="0" t="s">
        <v>626</v>
      </c>
      <c r="L292" s="0" t="s">
        <v>25</v>
      </c>
      <c r="M292" s="0" t="s">
        <v>627</v>
      </c>
      <c r="N292" s="0" t="s">
        <v>863</v>
      </c>
      <c r="O292" s="0" t="n">
        <v>1</v>
      </c>
      <c r="P292" s="0" t="s">
        <v>46</v>
      </c>
      <c r="Q292" s="0" t="s">
        <v>864</v>
      </c>
      <c r="R292" s="3"/>
      <c r="S292" s="2" t="s">
        <v>30</v>
      </c>
    </row>
    <row r="293" customFormat="false" ht="15" hidden="false" customHeight="false" outlineLevel="0" collapsed="false">
      <c r="A293" s="0" t="n">
        <v>292</v>
      </c>
      <c r="D293" s="0" t="s">
        <v>865</v>
      </c>
      <c r="E293" s="0" t="s">
        <v>615</v>
      </c>
      <c r="H293" s="0" t="s">
        <v>21</v>
      </c>
      <c r="I293" s="2" t="s">
        <v>22</v>
      </c>
      <c r="J293" s="2" t="s">
        <v>625</v>
      </c>
      <c r="K293" s="0" t="s">
        <v>626</v>
      </c>
      <c r="L293" s="0" t="s">
        <v>25</v>
      </c>
      <c r="M293" s="0" t="s">
        <v>627</v>
      </c>
      <c r="N293" s="0" t="s">
        <v>617</v>
      </c>
      <c r="O293" s="0" t="n">
        <v>1</v>
      </c>
      <c r="P293" s="0" t="s">
        <v>46</v>
      </c>
      <c r="Q293" s="0" t="s">
        <v>866</v>
      </c>
      <c r="R293" s="3"/>
      <c r="S293" s="2" t="s">
        <v>30</v>
      </c>
    </row>
    <row r="294" customFormat="false" ht="15" hidden="false" customHeight="false" outlineLevel="0" collapsed="false">
      <c r="A294" s="0" t="n">
        <v>293</v>
      </c>
      <c r="D294" s="0" t="s">
        <v>867</v>
      </c>
      <c r="E294" s="0" t="s">
        <v>407</v>
      </c>
      <c r="H294" s="0" t="s">
        <v>21</v>
      </c>
      <c r="I294" s="2" t="s">
        <v>22</v>
      </c>
      <c r="J294" s="2" t="s">
        <v>625</v>
      </c>
      <c r="K294" s="0" t="s">
        <v>626</v>
      </c>
      <c r="L294" s="0" t="s">
        <v>25</v>
      </c>
      <c r="M294" s="0" t="s">
        <v>627</v>
      </c>
      <c r="N294" s="0" t="s">
        <v>868</v>
      </c>
      <c r="O294" s="0" t="n">
        <v>1</v>
      </c>
      <c r="P294" s="0" t="s">
        <v>72</v>
      </c>
      <c r="Q294" s="0" t="s">
        <v>869</v>
      </c>
      <c r="R294" s="3"/>
      <c r="S294" s="2" t="s">
        <v>30</v>
      </c>
    </row>
    <row r="295" customFormat="false" ht="15" hidden="false" customHeight="false" outlineLevel="0" collapsed="false">
      <c r="A295" s="0" t="n">
        <v>294</v>
      </c>
      <c r="D295" s="0" t="s">
        <v>870</v>
      </c>
      <c r="E295" s="0" t="s">
        <v>611</v>
      </c>
      <c r="H295" s="0" t="s">
        <v>21</v>
      </c>
      <c r="I295" s="2" t="s">
        <v>22</v>
      </c>
      <c r="J295" s="2" t="s">
        <v>625</v>
      </c>
      <c r="K295" s="0" t="s">
        <v>626</v>
      </c>
      <c r="L295" s="0" t="s">
        <v>25</v>
      </c>
      <c r="M295" s="0" t="s">
        <v>627</v>
      </c>
      <c r="N295" s="0" t="s">
        <v>612</v>
      </c>
      <c r="O295" s="0" t="n">
        <v>1</v>
      </c>
      <c r="P295" s="0" t="s">
        <v>46</v>
      </c>
      <c r="Q295" s="0" t="s">
        <v>871</v>
      </c>
      <c r="R295" s="3"/>
      <c r="S295" s="2" t="s">
        <v>30</v>
      </c>
    </row>
    <row r="296" customFormat="false" ht="15" hidden="false" customHeight="false" outlineLevel="0" collapsed="false">
      <c r="A296" s="0" t="n">
        <v>295</v>
      </c>
      <c r="D296" s="0" t="s">
        <v>872</v>
      </c>
      <c r="E296" s="0" t="s">
        <v>615</v>
      </c>
      <c r="H296" s="0" t="s">
        <v>21</v>
      </c>
      <c r="I296" s="2" t="s">
        <v>22</v>
      </c>
      <c r="J296" s="2" t="s">
        <v>625</v>
      </c>
      <c r="K296" s="0" t="s">
        <v>626</v>
      </c>
      <c r="L296" s="0" t="s">
        <v>25</v>
      </c>
      <c r="M296" s="0" t="s">
        <v>627</v>
      </c>
      <c r="N296" s="0" t="s">
        <v>617</v>
      </c>
      <c r="O296" s="0" t="n">
        <v>1</v>
      </c>
      <c r="P296" s="0" t="s">
        <v>33</v>
      </c>
      <c r="Q296" s="0" t="s">
        <v>873</v>
      </c>
      <c r="R296" s="3"/>
      <c r="S296" s="2" t="s">
        <v>30</v>
      </c>
    </row>
    <row r="297" customFormat="false" ht="15" hidden="false" customHeight="false" outlineLevel="0" collapsed="false">
      <c r="A297" s="0" t="n">
        <v>296</v>
      </c>
      <c r="D297" s="0" t="s">
        <v>874</v>
      </c>
      <c r="E297" s="0" t="s">
        <v>104</v>
      </c>
      <c r="H297" s="0" t="s">
        <v>21</v>
      </c>
      <c r="I297" s="2" t="s">
        <v>22</v>
      </c>
      <c r="J297" s="2" t="s">
        <v>625</v>
      </c>
      <c r="K297" s="0" t="s">
        <v>626</v>
      </c>
      <c r="L297" s="0" t="s">
        <v>25</v>
      </c>
      <c r="M297" s="0" t="s">
        <v>627</v>
      </c>
      <c r="N297" s="0" t="s">
        <v>105</v>
      </c>
      <c r="O297" s="0" t="n">
        <v>1</v>
      </c>
      <c r="P297" s="0" t="s">
        <v>46</v>
      </c>
      <c r="Q297" s="0" t="s">
        <v>875</v>
      </c>
      <c r="R297" s="3"/>
      <c r="S297" s="2" t="s">
        <v>30</v>
      </c>
    </row>
    <row r="298" customFormat="false" ht="15" hidden="false" customHeight="false" outlineLevel="0" collapsed="false">
      <c r="A298" s="0" t="n">
        <v>297</v>
      </c>
      <c r="D298" s="0" t="s">
        <v>876</v>
      </c>
      <c r="E298" s="0" t="s">
        <v>877</v>
      </c>
      <c r="H298" s="0" t="s">
        <v>21</v>
      </c>
      <c r="I298" s="2" t="s">
        <v>22</v>
      </c>
      <c r="J298" s="2" t="s">
        <v>625</v>
      </c>
      <c r="K298" s="0" t="s">
        <v>626</v>
      </c>
      <c r="L298" s="0" t="s">
        <v>25</v>
      </c>
      <c r="M298" s="0" t="s">
        <v>627</v>
      </c>
      <c r="N298" s="0" t="s">
        <v>878</v>
      </c>
      <c r="O298" s="0" t="n">
        <v>1</v>
      </c>
      <c r="P298" s="0" t="s">
        <v>46</v>
      </c>
      <c r="Q298" s="0" t="s">
        <v>879</v>
      </c>
      <c r="R298" s="3"/>
      <c r="S298" s="2" t="s">
        <v>30</v>
      </c>
    </row>
    <row r="299" customFormat="false" ht="15" hidden="false" customHeight="false" outlineLevel="0" collapsed="false">
      <c r="A299" s="0" t="n">
        <v>298</v>
      </c>
      <c r="D299" s="0" t="s">
        <v>880</v>
      </c>
      <c r="E299" s="0" t="s">
        <v>108</v>
      </c>
      <c r="H299" s="0" t="s">
        <v>21</v>
      </c>
      <c r="I299" s="2" t="s">
        <v>22</v>
      </c>
      <c r="J299" s="2" t="s">
        <v>625</v>
      </c>
      <c r="K299" s="0" t="s">
        <v>626</v>
      </c>
      <c r="L299" s="0" t="s">
        <v>25</v>
      </c>
      <c r="M299" s="0" t="s">
        <v>627</v>
      </c>
      <c r="N299" s="0" t="s">
        <v>881</v>
      </c>
      <c r="O299" s="0" t="n">
        <v>1</v>
      </c>
      <c r="P299" s="0" t="s">
        <v>46</v>
      </c>
      <c r="Q299" s="0" t="s">
        <v>882</v>
      </c>
      <c r="R299" s="3"/>
      <c r="S299" s="2" t="s">
        <v>30</v>
      </c>
    </row>
    <row r="300" customFormat="false" ht="15" hidden="false" customHeight="false" outlineLevel="0" collapsed="false">
      <c r="A300" s="0" t="n">
        <v>299</v>
      </c>
      <c r="D300" s="0" t="s">
        <v>883</v>
      </c>
      <c r="E300" s="0" t="s">
        <v>113</v>
      </c>
      <c r="H300" s="0" t="s">
        <v>21</v>
      </c>
      <c r="I300" s="2" t="s">
        <v>22</v>
      </c>
      <c r="J300" s="2" t="s">
        <v>625</v>
      </c>
      <c r="K300" s="0" t="s">
        <v>626</v>
      </c>
      <c r="L300" s="0" t="s">
        <v>25</v>
      </c>
      <c r="M300" s="0" t="s">
        <v>627</v>
      </c>
      <c r="N300" s="0" t="s">
        <v>884</v>
      </c>
      <c r="O300" s="0" t="n">
        <v>1</v>
      </c>
      <c r="P300" s="0" t="s">
        <v>28</v>
      </c>
      <c r="Q300" s="0" t="s">
        <v>885</v>
      </c>
      <c r="R300" s="3"/>
      <c r="S300" s="2" t="s">
        <v>30</v>
      </c>
    </row>
    <row r="301" customFormat="false" ht="15" hidden="false" customHeight="false" outlineLevel="0" collapsed="false">
      <c r="A301" s="0" t="n">
        <v>300</v>
      </c>
      <c r="D301" s="0" t="s">
        <v>886</v>
      </c>
      <c r="E301" s="0" t="s">
        <v>342</v>
      </c>
      <c r="H301" s="0" t="s">
        <v>21</v>
      </c>
      <c r="I301" s="2" t="s">
        <v>22</v>
      </c>
      <c r="J301" s="2" t="s">
        <v>625</v>
      </c>
      <c r="K301" s="0" t="s">
        <v>626</v>
      </c>
      <c r="L301" s="0" t="s">
        <v>25</v>
      </c>
      <c r="M301" s="0" t="s">
        <v>627</v>
      </c>
      <c r="N301" s="0" t="s">
        <v>167</v>
      </c>
      <c r="O301" s="0" t="n">
        <v>1</v>
      </c>
      <c r="P301" s="0" t="s">
        <v>139</v>
      </c>
      <c r="Q301" s="0" t="s">
        <v>887</v>
      </c>
      <c r="R301" s="3"/>
      <c r="S301" s="2" t="s">
        <v>30</v>
      </c>
    </row>
    <row r="302" customFormat="false" ht="15" hidden="false" customHeight="false" outlineLevel="0" collapsed="false">
      <c r="A302" s="0" t="n">
        <v>301</v>
      </c>
      <c r="D302" s="0" t="s">
        <v>888</v>
      </c>
      <c r="E302" s="0" t="s">
        <v>200</v>
      </c>
      <c r="H302" s="0" t="s">
        <v>21</v>
      </c>
      <c r="I302" s="2" t="s">
        <v>22</v>
      </c>
      <c r="J302" s="2" t="s">
        <v>625</v>
      </c>
      <c r="K302" s="0" t="s">
        <v>626</v>
      </c>
      <c r="L302" s="0" t="s">
        <v>25</v>
      </c>
      <c r="M302" s="0" t="s">
        <v>627</v>
      </c>
      <c r="N302" s="0" t="s">
        <v>889</v>
      </c>
      <c r="O302" s="0" t="n">
        <v>1</v>
      </c>
      <c r="P302" s="0" t="s">
        <v>33</v>
      </c>
      <c r="Q302" s="0" t="s">
        <v>890</v>
      </c>
      <c r="R302" s="3"/>
      <c r="S302" s="2" t="s">
        <v>30</v>
      </c>
    </row>
    <row r="303" customFormat="false" ht="15" hidden="false" customHeight="false" outlineLevel="0" collapsed="false">
      <c r="A303" s="0" t="n">
        <v>302</v>
      </c>
      <c r="D303" s="0" t="s">
        <v>891</v>
      </c>
      <c r="E303" s="0" t="s">
        <v>257</v>
      </c>
      <c r="H303" s="0" t="s">
        <v>21</v>
      </c>
      <c r="I303" s="2" t="s">
        <v>22</v>
      </c>
      <c r="J303" s="2" t="s">
        <v>625</v>
      </c>
      <c r="K303" s="0" t="s">
        <v>626</v>
      </c>
      <c r="L303" s="0" t="s">
        <v>25</v>
      </c>
      <c r="M303" s="0" t="s">
        <v>627</v>
      </c>
      <c r="N303" s="0" t="s">
        <v>892</v>
      </c>
      <c r="O303" s="0" t="n">
        <v>1</v>
      </c>
      <c r="P303" s="0" t="s">
        <v>46</v>
      </c>
      <c r="Q303" s="0" t="s">
        <v>893</v>
      </c>
      <c r="R303" s="3"/>
      <c r="S303" s="2" t="s">
        <v>30</v>
      </c>
    </row>
    <row r="304" customFormat="false" ht="15" hidden="false" customHeight="false" outlineLevel="0" collapsed="false">
      <c r="A304" s="0" t="n">
        <v>303</v>
      </c>
      <c r="D304" s="0" t="s">
        <v>894</v>
      </c>
      <c r="E304" s="0" t="s">
        <v>113</v>
      </c>
      <c r="H304" s="0" t="s">
        <v>21</v>
      </c>
      <c r="I304" s="2" t="s">
        <v>22</v>
      </c>
      <c r="J304" s="2" t="s">
        <v>625</v>
      </c>
      <c r="K304" s="0" t="s">
        <v>626</v>
      </c>
      <c r="L304" s="0" t="s">
        <v>25</v>
      </c>
      <c r="M304" s="0" t="s">
        <v>627</v>
      </c>
      <c r="N304" s="0" t="s">
        <v>895</v>
      </c>
      <c r="O304" s="0" t="n">
        <v>1</v>
      </c>
      <c r="P304" s="0" t="s">
        <v>28</v>
      </c>
      <c r="Q304" s="0" t="s">
        <v>896</v>
      </c>
      <c r="R304" s="3"/>
      <c r="S304" s="2" t="s">
        <v>30</v>
      </c>
    </row>
    <row r="305" customFormat="false" ht="15" hidden="false" customHeight="false" outlineLevel="0" collapsed="false">
      <c r="A305" s="0" t="n">
        <v>304</v>
      </c>
      <c r="D305" s="0" t="s">
        <v>897</v>
      </c>
      <c r="E305" s="0" t="s">
        <v>305</v>
      </c>
      <c r="H305" s="0" t="s">
        <v>21</v>
      </c>
      <c r="I305" s="2" t="s">
        <v>22</v>
      </c>
      <c r="J305" s="2" t="s">
        <v>625</v>
      </c>
      <c r="K305" s="0" t="s">
        <v>626</v>
      </c>
      <c r="L305" s="0" t="s">
        <v>25</v>
      </c>
      <c r="M305" s="0" t="s">
        <v>627</v>
      </c>
      <c r="N305" s="0" t="s">
        <v>361</v>
      </c>
      <c r="O305" s="0" t="n">
        <v>1</v>
      </c>
      <c r="P305" s="0" t="s">
        <v>46</v>
      </c>
      <c r="Q305" s="0" t="s">
        <v>898</v>
      </c>
      <c r="R305" s="3"/>
      <c r="S305" s="2" t="s">
        <v>30</v>
      </c>
    </row>
    <row r="306" customFormat="false" ht="15" hidden="false" customHeight="false" outlineLevel="0" collapsed="false">
      <c r="A306" s="0" t="n">
        <v>305</v>
      </c>
      <c r="D306" s="0" t="s">
        <v>899</v>
      </c>
      <c r="E306" s="0" t="s">
        <v>108</v>
      </c>
      <c r="H306" s="0" t="s">
        <v>21</v>
      </c>
      <c r="I306" s="2" t="s">
        <v>22</v>
      </c>
      <c r="J306" s="2" t="s">
        <v>625</v>
      </c>
      <c r="K306" s="0" t="s">
        <v>626</v>
      </c>
      <c r="L306" s="0" t="s">
        <v>25</v>
      </c>
      <c r="M306" s="0" t="s">
        <v>627</v>
      </c>
      <c r="N306" s="0" t="s">
        <v>389</v>
      </c>
      <c r="O306" s="0" t="n">
        <v>1</v>
      </c>
      <c r="P306" s="0" t="s">
        <v>46</v>
      </c>
      <c r="Q306" s="0" t="s">
        <v>900</v>
      </c>
      <c r="R306" s="3"/>
      <c r="S306" s="2" t="s">
        <v>30</v>
      </c>
    </row>
    <row r="307" customFormat="false" ht="15" hidden="false" customHeight="false" outlineLevel="0" collapsed="false">
      <c r="A307" s="0" t="n">
        <v>306</v>
      </c>
      <c r="D307" s="0" t="s">
        <v>901</v>
      </c>
      <c r="E307" s="0" t="s">
        <v>342</v>
      </c>
      <c r="H307" s="0" t="s">
        <v>21</v>
      </c>
      <c r="I307" s="2" t="s">
        <v>22</v>
      </c>
      <c r="J307" s="2" t="s">
        <v>625</v>
      </c>
      <c r="K307" s="0" t="s">
        <v>626</v>
      </c>
      <c r="L307" s="0" t="s">
        <v>25</v>
      </c>
      <c r="M307" s="0" t="s">
        <v>627</v>
      </c>
      <c r="N307" s="0" t="s">
        <v>167</v>
      </c>
      <c r="O307" s="0" t="n">
        <v>1</v>
      </c>
      <c r="P307" s="0" t="s">
        <v>72</v>
      </c>
      <c r="Q307" s="0" t="s">
        <v>902</v>
      </c>
      <c r="R307" s="3"/>
      <c r="S307" s="2" t="s">
        <v>30</v>
      </c>
    </row>
    <row r="308" customFormat="false" ht="15" hidden="false" customHeight="false" outlineLevel="0" collapsed="false">
      <c r="A308" s="0" t="n">
        <v>307</v>
      </c>
      <c r="D308" s="0" t="s">
        <v>903</v>
      </c>
      <c r="E308" s="0" t="s">
        <v>108</v>
      </c>
      <c r="H308" s="0" t="s">
        <v>21</v>
      </c>
      <c r="I308" s="2" t="s">
        <v>22</v>
      </c>
      <c r="J308" s="2" t="s">
        <v>625</v>
      </c>
      <c r="K308" s="0" t="s">
        <v>626</v>
      </c>
      <c r="L308" s="0" t="s">
        <v>25</v>
      </c>
      <c r="M308" s="0" t="s">
        <v>627</v>
      </c>
      <c r="N308" s="0" t="s">
        <v>237</v>
      </c>
      <c r="O308" s="0" t="n">
        <v>1</v>
      </c>
      <c r="P308" s="0" t="s">
        <v>46</v>
      </c>
      <c r="Q308" s="0" t="s">
        <v>904</v>
      </c>
      <c r="R308" s="3"/>
      <c r="S308" s="2" t="s">
        <v>30</v>
      </c>
    </row>
    <row r="309" customFormat="false" ht="15" hidden="false" customHeight="false" outlineLevel="0" collapsed="false">
      <c r="A309" s="0" t="n">
        <v>308</v>
      </c>
      <c r="D309" s="0" t="s">
        <v>905</v>
      </c>
      <c r="E309" s="0" t="s">
        <v>342</v>
      </c>
      <c r="H309" s="0" t="s">
        <v>21</v>
      </c>
      <c r="I309" s="2" t="s">
        <v>22</v>
      </c>
      <c r="J309" s="2" t="s">
        <v>625</v>
      </c>
      <c r="K309" s="0" t="s">
        <v>626</v>
      </c>
      <c r="L309" s="0" t="s">
        <v>25</v>
      </c>
      <c r="M309" s="0" t="s">
        <v>627</v>
      </c>
      <c r="N309" s="0" t="s">
        <v>167</v>
      </c>
      <c r="O309" s="0" t="n">
        <v>1</v>
      </c>
      <c r="P309" s="0" t="s">
        <v>139</v>
      </c>
      <c r="Q309" s="0" t="s">
        <v>906</v>
      </c>
      <c r="R309" s="3"/>
      <c r="S309" s="2" t="s">
        <v>30</v>
      </c>
    </row>
    <row r="310" customFormat="false" ht="15" hidden="false" customHeight="false" outlineLevel="0" collapsed="false">
      <c r="A310" s="0" t="n">
        <v>309</v>
      </c>
      <c r="D310" s="0" t="s">
        <v>907</v>
      </c>
      <c r="E310" s="0" t="s">
        <v>342</v>
      </c>
      <c r="H310" s="0" t="s">
        <v>21</v>
      </c>
      <c r="I310" s="2" t="s">
        <v>22</v>
      </c>
      <c r="J310" s="2" t="s">
        <v>625</v>
      </c>
      <c r="K310" s="0" t="s">
        <v>626</v>
      </c>
      <c r="L310" s="0" t="s">
        <v>25</v>
      </c>
      <c r="M310" s="0" t="s">
        <v>627</v>
      </c>
      <c r="N310" s="0" t="s">
        <v>908</v>
      </c>
      <c r="O310" s="0" t="n">
        <v>1</v>
      </c>
      <c r="P310" s="0" t="s">
        <v>46</v>
      </c>
      <c r="Q310" s="0" t="s">
        <v>909</v>
      </c>
      <c r="R310" s="3"/>
      <c r="S310" s="2" t="s">
        <v>30</v>
      </c>
    </row>
    <row r="311" customFormat="false" ht="15" hidden="false" customHeight="false" outlineLevel="0" collapsed="false">
      <c r="A311" s="0" t="n">
        <v>310</v>
      </c>
      <c r="D311" s="0" t="s">
        <v>910</v>
      </c>
      <c r="E311" s="0" t="s">
        <v>342</v>
      </c>
      <c r="H311" s="0" t="s">
        <v>21</v>
      </c>
      <c r="I311" s="2" t="s">
        <v>22</v>
      </c>
      <c r="J311" s="2" t="s">
        <v>625</v>
      </c>
      <c r="K311" s="0" t="s">
        <v>626</v>
      </c>
      <c r="L311" s="0" t="s">
        <v>25</v>
      </c>
      <c r="M311" s="0" t="s">
        <v>627</v>
      </c>
      <c r="N311" s="0" t="s">
        <v>908</v>
      </c>
      <c r="O311" s="0" t="n">
        <v>1</v>
      </c>
      <c r="P311" s="0" t="s">
        <v>46</v>
      </c>
      <c r="Q311" s="0" t="s">
        <v>911</v>
      </c>
      <c r="R311" s="3"/>
      <c r="S311" s="2" t="s">
        <v>30</v>
      </c>
    </row>
    <row r="312" customFormat="false" ht="15" hidden="false" customHeight="false" outlineLevel="0" collapsed="false">
      <c r="A312" s="0" t="n">
        <v>311</v>
      </c>
      <c r="D312" s="0" t="s">
        <v>912</v>
      </c>
      <c r="E312" s="0" t="s">
        <v>342</v>
      </c>
      <c r="H312" s="0" t="s">
        <v>21</v>
      </c>
      <c r="I312" s="2" t="s">
        <v>22</v>
      </c>
      <c r="J312" s="2" t="s">
        <v>625</v>
      </c>
      <c r="K312" s="0" t="s">
        <v>626</v>
      </c>
      <c r="L312" s="0" t="s">
        <v>25</v>
      </c>
      <c r="M312" s="0" t="s">
        <v>627</v>
      </c>
      <c r="N312" s="0" t="s">
        <v>908</v>
      </c>
      <c r="O312" s="0" t="n">
        <v>1</v>
      </c>
      <c r="P312" s="0" t="s">
        <v>46</v>
      </c>
      <c r="Q312" s="0" t="s">
        <v>913</v>
      </c>
      <c r="R312" s="3"/>
      <c r="S312" s="2" t="s">
        <v>30</v>
      </c>
    </row>
    <row r="313" customFormat="false" ht="15" hidden="false" customHeight="false" outlineLevel="0" collapsed="false">
      <c r="A313" s="0" t="n">
        <v>312</v>
      </c>
      <c r="D313" s="0" t="s">
        <v>914</v>
      </c>
      <c r="E313" s="0" t="s">
        <v>521</v>
      </c>
      <c r="H313" s="0" t="s">
        <v>21</v>
      </c>
      <c r="I313" s="2" t="s">
        <v>22</v>
      </c>
      <c r="J313" s="2" t="s">
        <v>625</v>
      </c>
      <c r="K313" s="0" t="s">
        <v>626</v>
      </c>
      <c r="L313" s="0" t="s">
        <v>25</v>
      </c>
      <c r="M313" s="0" t="s">
        <v>627</v>
      </c>
      <c r="N313" s="0" t="s">
        <v>915</v>
      </c>
      <c r="O313" s="0" t="n">
        <v>1</v>
      </c>
      <c r="P313" s="0" t="s">
        <v>46</v>
      </c>
      <c r="Q313" s="0" t="s">
        <v>916</v>
      </c>
      <c r="R313" s="3"/>
      <c r="S313" s="2" t="s">
        <v>30</v>
      </c>
    </row>
    <row r="314" customFormat="false" ht="15" hidden="false" customHeight="false" outlineLevel="0" collapsed="false">
      <c r="A314" s="0" t="n">
        <v>313</v>
      </c>
      <c r="D314" s="0" t="s">
        <v>917</v>
      </c>
      <c r="E314" s="0" t="s">
        <v>113</v>
      </c>
      <c r="H314" s="0" t="s">
        <v>21</v>
      </c>
      <c r="I314" s="2" t="s">
        <v>22</v>
      </c>
      <c r="J314" s="2" t="s">
        <v>625</v>
      </c>
      <c r="K314" s="0" t="s">
        <v>626</v>
      </c>
      <c r="L314" s="0" t="s">
        <v>25</v>
      </c>
      <c r="M314" s="0" t="s">
        <v>627</v>
      </c>
      <c r="N314" s="0" t="s">
        <v>918</v>
      </c>
      <c r="O314" s="0" t="n">
        <v>1</v>
      </c>
      <c r="P314" s="0" t="s">
        <v>28</v>
      </c>
      <c r="Q314" s="0" t="s">
        <v>919</v>
      </c>
      <c r="R314" s="3"/>
      <c r="S314" s="2" t="s">
        <v>30</v>
      </c>
    </row>
    <row r="315" customFormat="false" ht="15" hidden="false" customHeight="false" outlineLevel="0" collapsed="false">
      <c r="A315" s="0" t="n">
        <v>314</v>
      </c>
      <c r="D315" s="0" t="s">
        <v>920</v>
      </c>
      <c r="E315" s="0" t="s">
        <v>305</v>
      </c>
      <c r="H315" s="0" t="s">
        <v>21</v>
      </c>
      <c r="I315" s="2" t="s">
        <v>22</v>
      </c>
      <c r="J315" s="2" t="s">
        <v>625</v>
      </c>
      <c r="K315" s="0" t="s">
        <v>626</v>
      </c>
      <c r="L315" s="0" t="s">
        <v>25</v>
      </c>
      <c r="M315" s="0" t="s">
        <v>627</v>
      </c>
      <c r="N315" s="0" t="s">
        <v>361</v>
      </c>
      <c r="O315" s="0" t="n">
        <v>1</v>
      </c>
      <c r="P315" s="0" t="s">
        <v>46</v>
      </c>
      <c r="Q315" s="0" t="s">
        <v>921</v>
      </c>
      <c r="R315" s="3"/>
      <c r="S315" s="2" t="s">
        <v>30</v>
      </c>
    </row>
    <row r="316" customFormat="false" ht="15" hidden="false" customHeight="false" outlineLevel="0" collapsed="false">
      <c r="A316" s="0" t="n">
        <v>315</v>
      </c>
      <c r="D316" s="0" t="s">
        <v>922</v>
      </c>
      <c r="E316" s="0" t="s">
        <v>200</v>
      </c>
      <c r="H316" s="0" t="s">
        <v>21</v>
      </c>
      <c r="I316" s="2" t="s">
        <v>22</v>
      </c>
      <c r="J316" s="2" t="s">
        <v>625</v>
      </c>
      <c r="K316" s="0" t="s">
        <v>626</v>
      </c>
      <c r="L316" s="0" t="s">
        <v>25</v>
      </c>
      <c r="M316" s="0" t="s">
        <v>627</v>
      </c>
      <c r="N316" s="0" t="s">
        <v>923</v>
      </c>
      <c r="O316" s="0" t="n">
        <v>1</v>
      </c>
      <c r="P316" s="0" t="s">
        <v>33</v>
      </c>
      <c r="Q316" s="0" t="s">
        <v>924</v>
      </c>
      <c r="R316" s="3"/>
      <c r="S316" s="2" t="s">
        <v>30</v>
      </c>
    </row>
    <row r="317" customFormat="false" ht="15" hidden="false" customHeight="false" outlineLevel="0" collapsed="false">
      <c r="A317" s="0" t="n">
        <v>316</v>
      </c>
      <c r="D317" s="0" t="s">
        <v>925</v>
      </c>
      <c r="E317" s="0" t="s">
        <v>108</v>
      </c>
      <c r="H317" s="0" t="s">
        <v>21</v>
      </c>
      <c r="I317" s="2" t="s">
        <v>22</v>
      </c>
      <c r="J317" s="2" t="s">
        <v>625</v>
      </c>
      <c r="K317" s="0" t="s">
        <v>626</v>
      </c>
      <c r="L317" s="0" t="s">
        <v>25</v>
      </c>
      <c r="M317" s="0" t="s">
        <v>627</v>
      </c>
      <c r="N317" s="0" t="s">
        <v>237</v>
      </c>
      <c r="O317" s="0" t="n">
        <v>1</v>
      </c>
      <c r="P317" s="0" t="s">
        <v>139</v>
      </c>
      <c r="Q317" s="0" t="s">
        <v>926</v>
      </c>
      <c r="R317" s="3"/>
      <c r="S317" s="2" t="s">
        <v>30</v>
      </c>
    </row>
    <row r="318" customFormat="false" ht="15" hidden="false" customHeight="false" outlineLevel="0" collapsed="false">
      <c r="A318" s="0" t="n">
        <v>317</v>
      </c>
      <c r="D318" s="0" t="s">
        <v>927</v>
      </c>
      <c r="E318" s="0" t="s">
        <v>313</v>
      </c>
      <c r="H318" s="0" t="s">
        <v>21</v>
      </c>
      <c r="I318" s="2" t="s">
        <v>22</v>
      </c>
      <c r="J318" s="2" t="s">
        <v>625</v>
      </c>
      <c r="K318" s="0" t="s">
        <v>626</v>
      </c>
      <c r="L318" s="0" t="s">
        <v>25</v>
      </c>
      <c r="M318" s="0" t="s">
        <v>627</v>
      </c>
      <c r="N318" s="0" t="s">
        <v>417</v>
      </c>
      <c r="O318" s="0" t="n">
        <v>1</v>
      </c>
      <c r="P318" s="0" t="s">
        <v>294</v>
      </c>
      <c r="Q318" s="0" t="s">
        <v>928</v>
      </c>
      <c r="R318" s="3"/>
      <c r="S318" s="2" t="s">
        <v>30</v>
      </c>
    </row>
    <row r="319" customFormat="false" ht="15" hidden="false" customHeight="false" outlineLevel="0" collapsed="false">
      <c r="A319" s="0" t="n">
        <v>318</v>
      </c>
      <c r="D319" s="0" t="s">
        <v>929</v>
      </c>
      <c r="E319" s="0" t="s">
        <v>342</v>
      </c>
      <c r="H319" s="0" t="s">
        <v>21</v>
      </c>
      <c r="I319" s="2" t="s">
        <v>22</v>
      </c>
      <c r="J319" s="2" t="s">
        <v>625</v>
      </c>
      <c r="K319" s="0" t="s">
        <v>626</v>
      </c>
      <c r="L319" s="0" t="s">
        <v>25</v>
      </c>
      <c r="M319" s="0" t="s">
        <v>627</v>
      </c>
      <c r="N319" s="0" t="s">
        <v>167</v>
      </c>
      <c r="O319" s="0" t="n">
        <v>1</v>
      </c>
      <c r="P319" s="0" t="s">
        <v>46</v>
      </c>
      <c r="Q319" s="0" t="s">
        <v>930</v>
      </c>
      <c r="R319" s="3"/>
      <c r="S319" s="2" t="s">
        <v>30</v>
      </c>
    </row>
    <row r="320" customFormat="false" ht="15" hidden="false" customHeight="false" outlineLevel="0" collapsed="false">
      <c r="A320" s="0" t="n">
        <v>319</v>
      </c>
      <c r="D320" s="0" t="s">
        <v>931</v>
      </c>
      <c r="E320" s="0" t="s">
        <v>104</v>
      </c>
      <c r="H320" s="0" t="s">
        <v>21</v>
      </c>
      <c r="I320" s="2" t="s">
        <v>22</v>
      </c>
      <c r="J320" s="2" t="s">
        <v>625</v>
      </c>
      <c r="K320" s="0" t="s">
        <v>626</v>
      </c>
      <c r="L320" s="0" t="s">
        <v>25</v>
      </c>
      <c r="M320" s="0" t="s">
        <v>627</v>
      </c>
      <c r="N320" s="0" t="s">
        <v>105</v>
      </c>
      <c r="O320" s="0" t="n">
        <v>1</v>
      </c>
      <c r="P320" s="0" t="s">
        <v>46</v>
      </c>
      <c r="Q320" s="0" t="s">
        <v>932</v>
      </c>
      <c r="R320" s="3"/>
      <c r="S320" s="2" t="s">
        <v>30</v>
      </c>
    </row>
    <row r="321" customFormat="false" ht="15" hidden="false" customHeight="false" outlineLevel="0" collapsed="false">
      <c r="A321" s="0" t="n">
        <v>320</v>
      </c>
      <c r="D321" s="0" t="s">
        <v>933</v>
      </c>
      <c r="E321" s="0" t="s">
        <v>104</v>
      </c>
      <c r="H321" s="0" t="s">
        <v>21</v>
      </c>
      <c r="I321" s="2" t="s">
        <v>22</v>
      </c>
      <c r="J321" s="2" t="s">
        <v>625</v>
      </c>
      <c r="K321" s="0" t="s">
        <v>626</v>
      </c>
      <c r="L321" s="0" t="s">
        <v>25</v>
      </c>
      <c r="M321" s="0" t="s">
        <v>627</v>
      </c>
      <c r="N321" s="0" t="s">
        <v>105</v>
      </c>
      <c r="O321" s="0" t="n">
        <v>1</v>
      </c>
      <c r="P321" s="0" t="s">
        <v>33</v>
      </c>
      <c r="Q321" s="0" t="s">
        <v>934</v>
      </c>
      <c r="R321" s="3"/>
      <c r="S321" s="2" t="s">
        <v>30</v>
      </c>
    </row>
    <row r="322" customFormat="false" ht="15" hidden="false" customHeight="false" outlineLevel="0" collapsed="false">
      <c r="A322" s="0" t="n">
        <v>321</v>
      </c>
      <c r="D322" s="0" t="s">
        <v>935</v>
      </c>
      <c r="E322" s="0" t="s">
        <v>108</v>
      </c>
      <c r="H322" s="0" t="s">
        <v>21</v>
      </c>
      <c r="I322" s="2" t="s">
        <v>22</v>
      </c>
      <c r="J322" s="2" t="s">
        <v>625</v>
      </c>
      <c r="K322" s="0" t="s">
        <v>626</v>
      </c>
      <c r="L322" s="0" t="s">
        <v>25</v>
      </c>
      <c r="M322" s="0" t="s">
        <v>627</v>
      </c>
      <c r="N322" s="0" t="s">
        <v>269</v>
      </c>
      <c r="O322" s="0" t="n">
        <v>1</v>
      </c>
      <c r="P322" s="0" t="s">
        <v>33</v>
      </c>
      <c r="Q322" s="0" t="s">
        <v>936</v>
      </c>
      <c r="R322" s="3"/>
      <c r="S322" s="2" t="s">
        <v>30</v>
      </c>
    </row>
    <row r="323" customFormat="false" ht="15" hidden="false" customHeight="false" outlineLevel="0" collapsed="false">
      <c r="A323" s="0" t="n">
        <v>322</v>
      </c>
      <c r="D323" s="0" t="s">
        <v>937</v>
      </c>
      <c r="E323" s="0" t="s">
        <v>104</v>
      </c>
      <c r="H323" s="0" t="s">
        <v>21</v>
      </c>
      <c r="I323" s="2" t="s">
        <v>22</v>
      </c>
      <c r="J323" s="2" t="s">
        <v>625</v>
      </c>
      <c r="K323" s="0" t="s">
        <v>626</v>
      </c>
      <c r="L323" s="0" t="s">
        <v>25</v>
      </c>
      <c r="M323" s="0" t="s">
        <v>627</v>
      </c>
      <c r="N323" s="0" t="s">
        <v>105</v>
      </c>
      <c r="O323" s="0" t="n">
        <v>1</v>
      </c>
      <c r="P323" s="0" t="s">
        <v>46</v>
      </c>
      <c r="Q323" s="0" t="s">
        <v>938</v>
      </c>
      <c r="R323" s="3"/>
      <c r="S323" s="2" t="s">
        <v>30</v>
      </c>
    </row>
    <row r="324" customFormat="false" ht="15" hidden="false" customHeight="false" outlineLevel="0" collapsed="false">
      <c r="A324" s="0" t="n">
        <v>323</v>
      </c>
      <c r="D324" s="0" t="s">
        <v>939</v>
      </c>
      <c r="E324" s="0" t="s">
        <v>257</v>
      </c>
      <c r="H324" s="0" t="s">
        <v>21</v>
      </c>
      <c r="I324" s="2" t="s">
        <v>22</v>
      </c>
      <c r="J324" s="2" t="s">
        <v>625</v>
      </c>
      <c r="K324" s="0" t="s">
        <v>626</v>
      </c>
      <c r="L324" s="0" t="s">
        <v>25</v>
      </c>
      <c r="M324" s="0" t="s">
        <v>627</v>
      </c>
      <c r="N324" s="0" t="s">
        <v>940</v>
      </c>
      <c r="O324" s="0" t="n">
        <v>1</v>
      </c>
      <c r="P324" s="0" t="s">
        <v>28</v>
      </c>
      <c r="Q324" s="0" t="s">
        <v>941</v>
      </c>
      <c r="R324" s="3"/>
      <c r="S324" s="2" t="s">
        <v>30</v>
      </c>
    </row>
    <row r="325" customFormat="false" ht="15" hidden="false" customHeight="false" outlineLevel="0" collapsed="false">
      <c r="A325" s="0" t="n">
        <v>324</v>
      </c>
      <c r="D325" s="0" t="s">
        <v>942</v>
      </c>
      <c r="E325" s="0" t="s">
        <v>108</v>
      </c>
      <c r="H325" s="0" t="s">
        <v>21</v>
      </c>
      <c r="I325" s="2" t="s">
        <v>22</v>
      </c>
      <c r="J325" s="2" t="s">
        <v>625</v>
      </c>
      <c r="K325" s="0" t="s">
        <v>626</v>
      </c>
      <c r="L325" s="0" t="s">
        <v>25</v>
      </c>
      <c r="M325" s="0" t="s">
        <v>627</v>
      </c>
      <c r="N325" s="0" t="s">
        <v>943</v>
      </c>
      <c r="O325" s="0" t="n">
        <v>1</v>
      </c>
      <c r="P325" s="0" t="s">
        <v>46</v>
      </c>
      <c r="Q325" s="0" t="s">
        <v>944</v>
      </c>
      <c r="R325" s="3"/>
      <c r="S325" s="2" t="s">
        <v>30</v>
      </c>
    </row>
    <row r="326" customFormat="false" ht="15" hidden="false" customHeight="false" outlineLevel="0" collapsed="false">
      <c r="A326" s="0" t="n">
        <v>325</v>
      </c>
      <c r="D326" s="0" t="s">
        <v>945</v>
      </c>
      <c r="E326" s="0" t="s">
        <v>104</v>
      </c>
      <c r="H326" s="0" t="s">
        <v>21</v>
      </c>
      <c r="I326" s="2" t="s">
        <v>22</v>
      </c>
      <c r="J326" s="2" t="s">
        <v>625</v>
      </c>
      <c r="K326" s="0" t="s">
        <v>626</v>
      </c>
      <c r="L326" s="0" t="s">
        <v>25</v>
      </c>
      <c r="M326" s="0" t="s">
        <v>627</v>
      </c>
      <c r="N326" s="0" t="s">
        <v>105</v>
      </c>
      <c r="O326" s="0" t="n">
        <v>1</v>
      </c>
      <c r="P326" s="0" t="s">
        <v>46</v>
      </c>
      <c r="Q326" s="0" t="s">
        <v>946</v>
      </c>
      <c r="R326" s="3"/>
      <c r="S326" s="2" t="s">
        <v>30</v>
      </c>
    </row>
    <row r="327" customFormat="false" ht="15" hidden="false" customHeight="false" outlineLevel="0" collapsed="false">
      <c r="A327" s="0" t="n">
        <v>326</v>
      </c>
      <c r="D327" s="0" t="s">
        <v>947</v>
      </c>
      <c r="E327" s="0" t="s">
        <v>342</v>
      </c>
      <c r="H327" s="0" t="s">
        <v>21</v>
      </c>
      <c r="I327" s="2" t="s">
        <v>22</v>
      </c>
      <c r="J327" s="2" t="s">
        <v>625</v>
      </c>
      <c r="K327" s="0" t="s">
        <v>626</v>
      </c>
      <c r="L327" s="0" t="s">
        <v>25</v>
      </c>
      <c r="M327" s="0" t="s">
        <v>627</v>
      </c>
      <c r="N327" s="0" t="s">
        <v>167</v>
      </c>
      <c r="O327" s="0" t="n">
        <v>1</v>
      </c>
      <c r="P327" s="0" t="s">
        <v>139</v>
      </c>
      <c r="Q327" s="0" t="s">
        <v>948</v>
      </c>
      <c r="R327" s="3"/>
      <c r="S327" s="2" t="s">
        <v>30</v>
      </c>
    </row>
    <row r="328" customFormat="false" ht="15" hidden="false" customHeight="false" outlineLevel="0" collapsed="false">
      <c r="A328" s="0" t="n">
        <v>327</v>
      </c>
      <c r="D328" s="0" t="s">
        <v>949</v>
      </c>
      <c r="E328" s="0" t="s">
        <v>108</v>
      </c>
      <c r="H328" s="0" t="s">
        <v>21</v>
      </c>
      <c r="I328" s="2" t="s">
        <v>22</v>
      </c>
      <c r="J328" s="2" t="s">
        <v>625</v>
      </c>
      <c r="K328" s="0" t="s">
        <v>626</v>
      </c>
      <c r="L328" s="0" t="s">
        <v>25</v>
      </c>
      <c r="M328" s="0" t="s">
        <v>627</v>
      </c>
      <c r="N328" s="0" t="s">
        <v>237</v>
      </c>
      <c r="O328" s="0" t="n">
        <v>1</v>
      </c>
      <c r="P328" s="0" t="s">
        <v>46</v>
      </c>
      <c r="Q328" s="0" t="s">
        <v>950</v>
      </c>
      <c r="R328" s="3"/>
      <c r="S328" s="2" t="s">
        <v>30</v>
      </c>
    </row>
    <row r="329" customFormat="false" ht="15" hidden="false" customHeight="false" outlineLevel="0" collapsed="false">
      <c r="A329" s="0" t="n">
        <v>328</v>
      </c>
      <c r="D329" s="0" t="s">
        <v>951</v>
      </c>
      <c r="E329" s="0" t="s">
        <v>113</v>
      </c>
      <c r="H329" s="0" t="s">
        <v>21</v>
      </c>
      <c r="I329" s="2" t="s">
        <v>22</v>
      </c>
      <c r="J329" s="2" t="s">
        <v>625</v>
      </c>
      <c r="K329" s="0" t="s">
        <v>626</v>
      </c>
      <c r="L329" s="0" t="s">
        <v>25</v>
      </c>
      <c r="M329" s="0" t="s">
        <v>627</v>
      </c>
      <c r="N329" s="0" t="s">
        <v>952</v>
      </c>
      <c r="O329" s="0" t="n">
        <v>1</v>
      </c>
      <c r="P329" s="0" t="s">
        <v>28</v>
      </c>
      <c r="Q329" s="0" t="s">
        <v>953</v>
      </c>
      <c r="R329" s="3"/>
      <c r="S329" s="2" t="s">
        <v>30</v>
      </c>
    </row>
    <row r="330" customFormat="false" ht="15" hidden="false" customHeight="false" outlineLevel="0" collapsed="false">
      <c r="A330" s="0" t="n">
        <v>329</v>
      </c>
      <c r="D330" s="0" t="s">
        <v>954</v>
      </c>
      <c r="E330" s="0" t="s">
        <v>842</v>
      </c>
      <c r="H330" s="0" t="s">
        <v>21</v>
      </c>
      <c r="I330" s="2" t="s">
        <v>22</v>
      </c>
      <c r="J330" s="2" t="s">
        <v>625</v>
      </c>
      <c r="K330" s="0" t="s">
        <v>626</v>
      </c>
      <c r="L330" s="0" t="s">
        <v>25</v>
      </c>
      <c r="M330" s="0" t="s">
        <v>627</v>
      </c>
      <c r="N330" s="0" t="s">
        <v>955</v>
      </c>
      <c r="O330" s="0" t="n">
        <v>1</v>
      </c>
      <c r="P330" s="0" t="s">
        <v>46</v>
      </c>
      <c r="Q330" s="0" t="s">
        <v>956</v>
      </c>
      <c r="R330" s="3"/>
      <c r="S330" s="2" t="s">
        <v>30</v>
      </c>
    </row>
    <row r="331" customFormat="false" ht="15" hidden="false" customHeight="false" outlineLevel="0" collapsed="false">
      <c r="A331" s="0" t="n">
        <v>330</v>
      </c>
      <c r="D331" s="0" t="s">
        <v>957</v>
      </c>
      <c r="E331" s="0" t="s">
        <v>615</v>
      </c>
      <c r="H331" s="0" t="s">
        <v>21</v>
      </c>
      <c r="I331" s="2" t="s">
        <v>22</v>
      </c>
      <c r="J331" s="2" t="s">
        <v>625</v>
      </c>
      <c r="K331" s="0" t="s">
        <v>626</v>
      </c>
      <c r="L331" s="0" t="s">
        <v>25</v>
      </c>
      <c r="M331" s="0" t="s">
        <v>627</v>
      </c>
      <c r="N331" s="0" t="s">
        <v>958</v>
      </c>
      <c r="O331" s="0" t="n">
        <v>1</v>
      </c>
      <c r="P331" s="0" t="s">
        <v>33</v>
      </c>
      <c r="Q331" s="0" t="s">
        <v>959</v>
      </c>
      <c r="R331" s="3"/>
      <c r="S331" s="2" t="s">
        <v>30</v>
      </c>
    </row>
    <row r="332" customFormat="false" ht="15" hidden="false" customHeight="false" outlineLevel="0" collapsed="false">
      <c r="A332" s="0" t="n">
        <v>331</v>
      </c>
      <c r="D332" s="0" t="s">
        <v>960</v>
      </c>
      <c r="E332" s="0" t="s">
        <v>342</v>
      </c>
      <c r="H332" s="0" t="s">
        <v>21</v>
      </c>
      <c r="I332" s="2" t="s">
        <v>22</v>
      </c>
      <c r="J332" s="2" t="s">
        <v>625</v>
      </c>
      <c r="K332" s="0" t="s">
        <v>626</v>
      </c>
      <c r="L332" s="0" t="s">
        <v>25</v>
      </c>
      <c r="M332" s="0" t="s">
        <v>627</v>
      </c>
      <c r="N332" s="0" t="s">
        <v>167</v>
      </c>
      <c r="O332" s="0" t="n">
        <v>1</v>
      </c>
      <c r="P332" s="0" t="s">
        <v>121</v>
      </c>
      <c r="Q332" s="0" t="s">
        <v>961</v>
      </c>
      <c r="R332" s="3"/>
      <c r="S332" s="2" t="s">
        <v>30</v>
      </c>
    </row>
    <row r="333" customFormat="false" ht="15" hidden="false" customHeight="false" outlineLevel="0" collapsed="false">
      <c r="A333" s="0" t="n">
        <v>332</v>
      </c>
      <c r="D333" s="0" t="s">
        <v>962</v>
      </c>
      <c r="E333" s="0" t="s">
        <v>113</v>
      </c>
      <c r="H333" s="0" t="s">
        <v>21</v>
      </c>
      <c r="I333" s="2" t="s">
        <v>22</v>
      </c>
      <c r="J333" s="2" t="s">
        <v>625</v>
      </c>
      <c r="K333" s="0" t="s">
        <v>626</v>
      </c>
      <c r="L333" s="0" t="s">
        <v>25</v>
      </c>
      <c r="M333" s="0" t="s">
        <v>627</v>
      </c>
      <c r="N333" s="0" t="s">
        <v>963</v>
      </c>
      <c r="O333" s="0" t="n">
        <v>1</v>
      </c>
      <c r="P333" s="0" t="s">
        <v>33</v>
      </c>
      <c r="Q333" s="0" t="s">
        <v>964</v>
      </c>
      <c r="R333" s="3"/>
      <c r="S333" s="2" t="s">
        <v>30</v>
      </c>
    </row>
    <row r="334" customFormat="false" ht="15" hidden="false" customHeight="false" outlineLevel="0" collapsed="false">
      <c r="A334" s="0" t="n">
        <v>333</v>
      </c>
      <c r="D334" s="0" t="s">
        <v>965</v>
      </c>
      <c r="E334" s="0" t="s">
        <v>113</v>
      </c>
      <c r="H334" s="0" t="s">
        <v>21</v>
      </c>
      <c r="I334" s="2" t="s">
        <v>22</v>
      </c>
      <c r="J334" s="2" t="s">
        <v>625</v>
      </c>
      <c r="K334" s="0" t="s">
        <v>626</v>
      </c>
      <c r="L334" s="0" t="s">
        <v>25</v>
      </c>
      <c r="M334" s="0" t="s">
        <v>627</v>
      </c>
      <c r="N334" s="0" t="s">
        <v>966</v>
      </c>
      <c r="O334" s="0" t="n">
        <v>1</v>
      </c>
      <c r="P334" s="0" t="s">
        <v>33</v>
      </c>
      <c r="Q334" s="0" t="s">
        <v>967</v>
      </c>
      <c r="R334" s="3"/>
      <c r="S334" s="2" t="s">
        <v>30</v>
      </c>
    </row>
    <row r="335" customFormat="false" ht="15" hidden="false" customHeight="false" outlineLevel="0" collapsed="false">
      <c r="A335" s="0" t="n">
        <v>334</v>
      </c>
      <c r="D335" s="0" t="s">
        <v>968</v>
      </c>
      <c r="E335" s="0" t="s">
        <v>113</v>
      </c>
      <c r="H335" s="0" t="s">
        <v>21</v>
      </c>
      <c r="I335" s="2" t="s">
        <v>22</v>
      </c>
      <c r="J335" s="2" t="s">
        <v>625</v>
      </c>
      <c r="K335" s="0" t="s">
        <v>626</v>
      </c>
      <c r="L335" s="0" t="s">
        <v>25</v>
      </c>
      <c r="M335" s="0" t="s">
        <v>627</v>
      </c>
      <c r="N335" s="0" t="s">
        <v>751</v>
      </c>
      <c r="O335" s="0" t="n">
        <v>1</v>
      </c>
      <c r="P335" s="0" t="s">
        <v>28</v>
      </c>
      <c r="Q335" s="0" t="s">
        <v>969</v>
      </c>
      <c r="R335" s="3"/>
      <c r="S335" s="2" t="s">
        <v>30</v>
      </c>
    </row>
    <row r="336" customFormat="false" ht="15" hidden="false" customHeight="false" outlineLevel="0" collapsed="false">
      <c r="A336" s="0" t="n">
        <v>335</v>
      </c>
      <c r="D336" s="0" t="s">
        <v>970</v>
      </c>
      <c r="E336" s="0" t="s">
        <v>309</v>
      </c>
      <c r="H336" s="0" t="s">
        <v>21</v>
      </c>
      <c r="I336" s="2" t="s">
        <v>22</v>
      </c>
      <c r="J336" s="2" t="s">
        <v>625</v>
      </c>
      <c r="K336" s="0" t="s">
        <v>626</v>
      </c>
      <c r="L336" s="0" t="s">
        <v>25</v>
      </c>
      <c r="M336" s="0" t="s">
        <v>627</v>
      </c>
      <c r="N336" s="0" t="s">
        <v>367</v>
      </c>
      <c r="O336" s="0" t="n">
        <v>1</v>
      </c>
      <c r="P336" s="0" t="s">
        <v>33</v>
      </c>
      <c r="Q336" s="0" t="s">
        <v>971</v>
      </c>
      <c r="R336" s="3"/>
      <c r="S336" s="2" t="s">
        <v>30</v>
      </c>
    </row>
    <row r="337" customFormat="false" ht="15" hidden="false" customHeight="false" outlineLevel="0" collapsed="false">
      <c r="A337" s="0" t="n">
        <v>336</v>
      </c>
      <c r="D337" s="0" t="s">
        <v>972</v>
      </c>
      <c r="E337" s="0" t="s">
        <v>309</v>
      </c>
      <c r="H337" s="0" t="s">
        <v>21</v>
      </c>
      <c r="I337" s="2" t="s">
        <v>22</v>
      </c>
      <c r="J337" s="2" t="s">
        <v>625</v>
      </c>
      <c r="K337" s="0" t="s">
        <v>626</v>
      </c>
      <c r="L337" s="0" t="s">
        <v>25</v>
      </c>
      <c r="M337" s="0" t="s">
        <v>627</v>
      </c>
      <c r="N337" s="0" t="s">
        <v>367</v>
      </c>
      <c r="O337" s="0" t="n">
        <v>1</v>
      </c>
      <c r="P337" s="0" t="s">
        <v>46</v>
      </c>
      <c r="Q337" s="0" t="s">
        <v>973</v>
      </c>
      <c r="R337" s="3"/>
      <c r="S337" s="2" t="s">
        <v>30</v>
      </c>
    </row>
    <row r="338" customFormat="false" ht="15" hidden="false" customHeight="false" outlineLevel="0" collapsed="false">
      <c r="A338" s="0" t="n">
        <v>337</v>
      </c>
      <c r="D338" s="0" t="s">
        <v>974</v>
      </c>
      <c r="E338" s="0" t="s">
        <v>342</v>
      </c>
      <c r="H338" s="0" t="s">
        <v>21</v>
      </c>
      <c r="I338" s="2" t="s">
        <v>22</v>
      </c>
      <c r="J338" s="2" t="s">
        <v>625</v>
      </c>
      <c r="K338" s="0" t="s">
        <v>626</v>
      </c>
      <c r="L338" s="0" t="s">
        <v>25</v>
      </c>
      <c r="M338" s="0" t="s">
        <v>627</v>
      </c>
      <c r="N338" s="0" t="s">
        <v>167</v>
      </c>
      <c r="O338" s="0" t="n">
        <v>1</v>
      </c>
      <c r="P338" s="0" t="s">
        <v>46</v>
      </c>
      <c r="Q338" s="0" t="s">
        <v>975</v>
      </c>
      <c r="R338" s="3"/>
      <c r="S338" s="2" t="s">
        <v>30</v>
      </c>
    </row>
    <row r="339" customFormat="false" ht="15" hidden="false" customHeight="false" outlineLevel="0" collapsed="false">
      <c r="A339" s="0" t="n">
        <v>338</v>
      </c>
      <c r="D339" s="0" t="s">
        <v>976</v>
      </c>
      <c r="E339" s="0" t="s">
        <v>309</v>
      </c>
      <c r="H339" s="0" t="s">
        <v>21</v>
      </c>
      <c r="I339" s="2" t="s">
        <v>22</v>
      </c>
      <c r="J339" s="2" t="s">
        <v>625</v>
      </c>
      <c r="K339" s="0" t="s">
        <v>626</v>
      </c>
      <c r="L339" s="0" t="s">
        <v>25</v>
      </c>
      <c r="M339" s="0" t="s">
        <v>627</v>
      </c>
      <c r="N339" s="0" t="s">
        <v>367</v>
      </c>
      <c r="O339" s="0" t="n">
        <v>1</v>
      </c>
      <c r="P339" s="0" t="s">
        <v>46</v>
      </c>
      <c r="Q339" s="0" t="s">
        <v>977</v>
      </c>
      <c r="R339" s="3"/>
      <c r="S339" s="2" t="s">
        <v>30</v>
      </c>
    </row>
    <row r="340" customFormat="false" ht="15" hidden="false" customHeight="false" outlineLevel="0" collapsed="false">
      <c r="A340" s="0" t="n">
        <v>339</v>
      </c>
      <c r="D340" s="0" t="s">
        <v>978</v>
      </c>
      <c r="E340" s="0" t="s">
        <v>113</v>
      </c>
      <c r="H340" s="0" t="s">
        <v>21</v>
      </c>
      <c r="I340" s="2" t="s">
        <v>22</v>
      </c>
      <c r="J340" s="2" t="s">
        <v>625</v>
      </c>
      <c r="K340" s="0" t="s">
        <v>626</v>
      </c>
      <c r="L340" s="0" t="s">
        <v>25</v>
      </c>
      <c r="M340" s="0" t="s">
        <v>627</v>
      </c>
      <c r="N340" s="0" t="s">
        <v>979</v>
      </c>
      <c r="O340" s="0" t="n">
        <v>1</v>
      </c>
      <c r="P340" s="0" t="s">
        <v>46</v>
      </c>
      <c r="Q340" s="0" t="s">
        <v>980</v>
      </c>
      <c r="R340" s="3"/>
      <c r="S340" s="2" t="s">
        <v>30</v>
      </c>
    </row>
    <row r="341" customFormat="false" ht="15" hidden="false" customHeight="false" outlineLevel="0" collapsed="false">
      <c r="A341" s="0" t="n">
        <v>340</v>
      </c>
      <c r="D341" s="0" t="s">
        <v>981</v>
      </c>
      <c r="E341" s="0" t="s">
        <v>309</v>
      </c>
      <c r="H341" s="0" t="s">
        <v>21</v>
      </c>
      <c r="I341" s="2" t="s">
        <v>22</v>
      </c>
      <c r="J341" s="2" t="s">
        <v>625</v>
      </c>
      <c r="K341" s="0" t="s">
        <v>626</v>
      </c>
      <c r="L341" s="0" t="s">
        <v>25</v>
      </c>
      <c r="M341" s="0" t="s">
        <v>627</v>
      </c>
      <c r="N341" s="0" t="s">
        <v>367</v>
      </c>
      <c r="O341" s="0" t="n">
        <v>1</v>
      </c>
      <c r="P341" s="0" t="s">
        <v>46</v>
      </c>
      <c r="Q341" s="0" t="s">
        <v>982</v>
      </c>
      <c r="R341" s="3"/>
      <c r="S341" s="2" t="s">
        <v>30</v>
      </c>
    </row>
    <row r="342" customFormat="false" ht="15" hidden="false" customHeight="false" outlineLevel="0" collapsed="false">
      <c r="A342" s="0" t="n">
        <v>341</v>
      </c>
      <c r="D342" s="0" t="s">
        <v>983</v>
      </c>
      <c r="E342" s="0" t="s">
        <v>342</v>
      </c>
      <c r="H342" s="0" t="s">
        <v>21</v>
      </c>
      <c r="I342" s="2" t="s">
        <v>22</v>
      </c>
      <c r="J342" s="2" t="s">
        <v>625</v>
      </c>
      <c r="K342" s="0" t="s">
        <v>626</v>
      </c>
      <c r="L342" s="0" t="s">
        <v>25</v>
      </c>
      <c r="M342" s="0" t="s">
        <v>627</v>
      </c>
      <c r="N342" s="0" t="s">
        <v>167</v>
      </c>
      <c r="O342" s="0" t="n">
        <v>1</v>
      </c>
      <c r="P342" s="0" t="s">
        <v>46</v>
      </c>
      <c r="Q342" s="0" t="s">
        <v>984</v>
      </c>
      <c r="R342" s="3"/>
      <c r="S342" s="2" t="s">
        <v>30</v>
      </c>
    </row>
    <row r="343" customFormat="false" ht="15" hidden="false" customHeight="false" outlineLevel="0" collapsed="false">
      <c r="A343" s="0" t="n">
        <v>342</v>
      </c>
      <c r="D343" s="0" t="s">
        <v>985</v>
      </c>
      <c r="E343" s="0" t="s">
        <v>104</v>
      </c>
      <c r="H343" s="0" t="s">
        <v>21</v>
      </c>
      <c r="I343" s="2" t="s">
        <v>22</v>
      </c>
      <c r="J343" s="2" t="s">
        <v>625</v>
      </c>
      <c r="K343" s="0" t="s">
        <v>626</v>
      </c>
      <c r="L343" s="0" t="s">
        <v>25</v>
      </c>
      <c r="M343" s="0" t="s">
        <v>627</v>
      </c>
      <c r="N343" s="0" t="s">
        <v>105</v>
      </c>
      <c r="O343" s="0" t="n">
        <v>1</v>
      </c>
      <c r="P343" s="0" t="s">
        <v>46</v>
      </c>
      <c r="Q343" s="0" t="s">
        <v>986</v>
      </c>
      <c r="R343" s="3"/>
      <c r="S343" s="2" t="s">
        <v>30</v>
      </c>
    </row>
    <row r="344" customFormat="false" ht="15" hidden="false" customHeight="false" outlineLevel="0" collapsed="false">
      <c r="A344" s="0" t="n">
        <v>343</v>
      </c>
      <c r="D344" s="0" t="s">
        <v>987</v>
      </c>
      <c r="E344" s="0" t="s">
        <v>113</v>
      </c>
      <c r="H344" s="0" t="s">
        <v>21</v>
      </c>
      <c r="I344" s="2" t="s">
        <v>22</v>
      </c>
      <c r="J344" s="2" t="s">
        <v>625</v>
      </c>
      <c r="K344" s="0" t="s">
        <v>626</v>
      </c>
      <c r="L344" s="0" t="s">
        <v>25</v>
      </c>
      <c r="M344" s="0" t="s">
        <v>627</v>
      </c>
      <c r="N344" s="0" t="s">
        <v>988</v>
      </c>
      <c r="O344" s="0" t="n">
        <v>1</v>
      </c>
      <c r="P344" s="0" t="s">
        <v>28</v>
      </c>
      <c r="Q344" s="0" t="s">
        <v>989</v>
      </c>
      <c r="R344" s="3"/>
      <c r="S344" s="2" t="s">
        <v>30</v>
      </c>
    </row>
    <row r="345" customFormat="false" ht="15" hidden="false" customHeight="false" outlineLevel="0" collapsed="false">
      <c r="A345" s="0" t="n">
        <v>344</v>
      </c>
      <c r="D345" s="0" t="s">
        <v>990</v>
      </c>
      <c r="E345" s="0" t="s">
        <v>615</v>
      </c>
      <c r="H345" s="0" t="s">
        <v>21</v>
      </c>
      <c r="I345" s="2" t="s">
        <v>22</v>
      </c>
      <c r="J345" s="2" t="s">
        <v>625</v>
      </c>
      <c r="K345" s="0" t="s">
        <v>626</v>
      </c>
      <c r="L345" s="0" t="s">
        <v>25</v>
      </c>
      <c r="M345" s="0" t="s">
        <v>627</v>
      </c>
      <c r="N345" s="0" t="s">
        <v>617</v>
      </c>
      <c r="O345" s="0" t="n">
        <v>1</v>
      </c>
      <c r="P345" s="0" t="s">
        <v>46</v>
      </c>
      <c r="Q345" s="0" t="s">
        <v>991</v>
      </c>
      <c r="R345" s="3"/>
      <c r="S345" s="2" t="s">
        <v>30</v>
      </c>
    </row>
    <row r="346" customFormat="false" ht="15" hidden="false" customHeight="false" outlineLevel="0" collapsed="false">
      <c r="A346" s="0" t="n">
        <v>345</v>
      </c>
      <c r="D346" s="0" t="s">
        <v>992</v>
      </c>
      <c r="E346" s="0" t="s">
        <v>309</v>
      </c>
      <c r="H346" s="0" t="s">
        <v>21</v>
      </c>
      <c r="I346" s="2" t="s">
        <v>22</v>
      </c>
      <c r="J346" s="2" t="s">
        <v>625</v>
      </c>
      <c r="K346" s="0" t="s">
        <v>626</v>
      </c>
      <c r="L346" s="0" t="s">
        <v>25</v>
      </c>
      <c r="M346" s="0" t="s">
        <v>627</v>
      </c>
      <c r="N346" s="0" t="s">
        <v>993</v>
      </c>
      <c r="O346" s="0" t="n">
        <v>1</v>
      </c>
      <c r="P346" s="0" t="s">
        <v>46</v>
      </c>
      <c r="Q346" s="0" t="s">
        <v>994</v>
      </c>
      <c r="R346" s="3"/>
      <c r="S346" s="2" t="s">
        <v>30</v>
      </c>
    </row>
    <row r="347" customFormat="false" ht="15" hidden="false" customHeight="false" outlineLevel="0" collapsed="false">
      <c r="A347" s="0" t="n">
        <v>346</v>
      </c>
      <c r="D347" s="0" t="s">
        <v>995</v>
      </c>
      <c r="E347" s="0" t="s">
        <v>313</v>
      </c>
      <c r="H347" s="0" t="s">
        <v>21</v>
      </c>
      <c r="I347" s="2" t="s">
        <v>22</v>
      </c>
      <c r="J347" s="2" t="s">
        <v>625</v>
      </c>
      <c r="K347" s="0" t="s">
        <v>626</v>
      </c>
      <c r="L347" s="0" t="s">
        <v>25</v>
      </c>
      <c r="M347" s="0" t="s">
        <v>627</v>
      </c>
      <c r="N347" s="0" t="s">
        <v>314</v>
      </c>
      <c r="O347" s="0" t="n">
        <v>1</v>
      </c>
      <c r="P347" s="0" t="s">
        <v>46</v>
      </c>
      <c r="Q347" s="0" t="s">
        <v>996</v>
      </c>
      <c r="R347" s="3"/>
      <c r="S347" s="2" t="s">
        <v>30</v>
      </c>
    </row>
    <row r="348" customFormat="false" ht="15" hidden="false" customHeight="false" outlineLevel="0" collapsed="false">
      <c r="A348" s="0" t="n">
        <v>347</v>
      </c>
      <c r="D348" s="0" t="s">
        <v>997</v>
      </c>
      <c r="E348" s="0" t="s">
        <v>611</v>
      </c>
      <c r="H348" s="0" t="s">
        <v>21</v>
      </c>
      <c r="I348" s="2" t="s">
        <v>22</v>
      </c>
      <c r="J348" s="2" t="s">
        <v>625</v>
      </c>
      <c r="K348" s="0" t="s">
        <v>626</v>
      </c>
      <c r="L348" s="0" t="s">
        <v>25</v>
      </c>
      <c r="M348" s="0" t="s">
        <v>627</v>
      </c>
      <c r="N348" s="0" t="s">
        <v>612</v>
      </c>
      <c r="O348" s="0" t="n">
        <v>1</v>
      </c>
      <c r="P348" s="0" t="s">
        <v>46</v>
      </c>
      <c r="Q348" s="0" t="s">
        <v>998</v>
      </c>
      <c r="R348" s="3"/>
      <c r="S348" s="2" t="s">
        <v>30</v>
      </c>
    </row>
    <row r="349" customFormat="false" ht="15" hidden="false" customHeight="false" outlineLevel="0" collapsed="false">
      <c r="A349" s="0" t="n">
        <v>348</v>
      </c>
      <c r="D349" s="0" t="s">
        <v>999</v>
      </c>
      <c r="E349" s="0" t="s">
        <v>113</v>
      </c>
      <c r="H349" s="0" t="s">
        <v>21</v>
      </c>
      <c r="I349" s="2" t="s">
        <v>22</v>
      </c>
      <c r="J349" s="2" t="s">
        <v>625</v>
      </c>
      <c r="K349" s="0" t="s">
        <v>626</v>
      </c>
      <c r="L349" s="0" t="s">
        <v>25</v>
      </c>
      <c r="M349" s="0" t="s">
        <v>627</v>
      </c>
      <c r="N349" s="0" t="s">
        <v>1000</v>
      </c>
      <c r="O349" s="0" t="n">
        <v>1</v>
      </c>
      <c r="P349" s="0" t="s">
        <v>46</v>
      </c>
      <c r="Q349" s="0" t="s">
        <v>1001</v>
      </c>
      <c r="R349" s="3"/>
      <c r="S349" s="2" t="s">
        <v>30</v>
      </c>
    </row>
    <row r="350" customFormat="false" ht="15" hidden="false" customHeight="false" outlineLevel="0" collapsed="false">
      <c r="A350" s="0" t="n">
        <v>349</v>
      </c>
      <c r="D350" s="0" t="s">
        <v>1002</v>
      </c>
      <c r="E350" s="0" t="s">
        <v>113</v>
      </c>
      <c r="H350" s="0" t="s">
        <v>21</v>
      </c>
      <c r="I350" s="2" t="s">
        <v>22</v>
      </c>
      <c r="J350" s="2" t="s">
        <v>625</v>
      </c>
      <c r="K350" s="0" t="s">
        <v>626</v>
      </c>
      <c r="L350" s="0" t="s">
        <v>25</v>
      </c>
      <c r="M350" s="0" t="s">
        <v>627</v>
      </c>
      <c r="N350" s="0" t="s">
        <v>1003</v>
      </c>
      <c r="O350" s="0" t="n">
        <v>1</v>
      </c>
      <c r="P350" s="0" t="s">
        <v>33</v>
      </c>
      <c r="Q350" s="0" t="s">
        <v>1004</v>
      </c>
      <c r="R350" s="3"/>
      <c r="S350" s="2" t="s">
        <v>30</v>
      </c>
    </row>
    <row r="351" customFormat="false" ht="15" hidden="false" customHeight="false" outlineLevel="0" collapsed="false">
      <c r="A351" s="0" t="n">
        <v>350</v>
      </c>
      <c r="D351" s="0" t="s">
        <v>1005</v>
      </c>
      <c r="E351" s="0" t="s">
        <v>1006</v>
      </c>
      <c r="H351" s="0" t="s">
        <v>21</v>
      </c>
      <c r="I351" s="2" t="s">
        <v>22</v>
      </c>
      <c r="J351" s="2" t="s">
        <v>625</v>
      </c>
      <c r="K351" s="0" t="s">
        <v>626</v>
      </c>
      <c r="L351" s="0" t="s">
        <v>25</v>
      </c>
      <c r="M351" s="0" t="s">
        <v>627</v>
      </c>
      <c r="N351" s="0" t="s">
        <v>1007</v>
      </c>
      <c r="O351" s="0" t="n">
        <v>1</v>
      </c>
      <c r="P351" s="0" t="s">
        <v>46</v>
      </c>
      <c r="Q351" s="0" t="s">
        <v>1008</v>
      </c>
      <c r="R351" s="3"/>
      <c r="S351" s="2" t="s">
        <v>30</v>
      </c>
    </row>
    <row r="352" customFormat="false" ht="15" hidden="false" customHeight="false" outlineLevel="0" collapsed="false">
      <c r="A352" s="0" t="n">
        <v>351</v>
      </c>
      <c r="D352" s="0" t="s">
        <v>1009</v>
      </c>
      <c r="E352" s="0" t="s">
        <v>736</v>
      </c>
      <c r="H352" s="0" t="s">
        <v>21</v>
      </c>
      <c r="I352" s="2" t="s">
        <v>22</v>
      </c>
      <c r="J352" s="2" t="s">
        <v>625</v>
      </c>
      <c r="K352" s="0" t="s">
        <v>626</v>
      </c>
      <c r="L352" s="0" t="s">
        <v>25</v>
      </c>
      <c r="M352" s="0" t="s">
        <v>627</v>
      </c>
      <c r="N352" s="0" t="s">
        <v>1010</v>
      </c>
      <c r="O352" s="0" t="n">
        <v>1</v>
      </c>
      <c r="P352" s="0" t="s">
        <v>72</v>
      </c>
      <c r="Q352" s="0" t="s">
        <v>1011</v>
      </c>
      <c r="R352" s="3"/>
      <c r="S352" s="2" t="s">
        <v>30</v>
      </c>
    </row>
    <row r="353" customFormat="false" ht="15" hidden="false" customHeight="false" outlineLevel="0" collapsed="false">
      <c r="A353" s="0" t="n">
        <v>352</v>
      </c>
      <c r="D353" s="0" t="s">
        <v>1012</v>
      </c>
      <c r="E353" s="0" t="s">
        <v>407</v>
      </c>
      <c r="H353" s="0" t="s">
        <v>21</v>
      </c>
      <c r="I353" s="2" t="s">
        <v>22</v>
      </c>
      <c r="J353" s="2" t="s">
        <v>625</v>
      </c>
      <c r="K353" s="0" t="s">
        <v>626</v>
      </c>
      <c r="L353" s="0" t="s">
        <v>25</v>
      </c>
      <c r="M353" s="0" t="s">
        <v>627</v>
      </c>
      <c r="N353" s="0" t="s">
        <v>631</v>
      </c>
      <c r="O353" s="0" t="n">
        <v>1</v>
      </c>
      <c r="P353" s="0" t="s">
        <v>46</v>
      </c>
      <c r="Q353" s="0" t="s">
        <v>1013</v>
      </c>
      <c r="R353" s="3"/>
      <c r="S353" s="2" t="s">
        <v>30</v>
      </c>
    </row>
    <row r="354" customFormat="false" ht="15" hidden="false" customHeight="false" outlineLevel="0" collapsed="false">
      <c r="A354" s="0" t="n">
        <v>353</v>
      </c>
      <c r="D354" s="0" t="s">
        <v>1014</v>
      </c>
      <c r="E354" s="0" t="s">
        <v>108</v>
      </c>
      <c r="H354" s="0" t="s">
        <v>21</v>
      </c>
      <c r="I354" s="2" t="s">
        <v>22</v>
      </c>
      <c r="J354" s="2" t="s">
        <v>625</v>
      </c>
      <c r="K354" s="0" t="s">
        <v>626</v>
      </c>
      <c r="L354" s="0" t="s">
        <v>25</v>
      </c>
      <c r="M354" s="0" t="s">
        <v>627</v>
      </c>
      <c r="N354" s="0" t="s">
        <v>1015</v>
      </c>
      <c r="O354" s="0" t="n">
        <v>1</v>
      </c>
      <c r="P354" s="0" t="s">
        <v>46</v>
      </c>
      <c r="Q354" s="0" t="s">
        <v>1016</v>
      </c>
      <c r="R354" s="3"/>
      <c r="S354" s="2" t="s">
        <v>30</v>
      </c>
    </row>
    <row r="355" customFormat="false" ht="15" hidden="false" customHeight="false" outlineLevel="0" collapsed="false">
      <c r="A355" s="0" t="n">
        <v>354</v>
      </c>
      <c r="D355" s="0" t="s">
        <v>1017</v>
      </c>
      <c r="E355" s="0" t="s">
        <v>1018</v>
      </c>
      <c r="H355" s="0" t="s">
        <v>21</v>
      </c>
      <c r="I355" s="2" t="s">
        <v>22</v>
      </c>
      <c r="J355" s="2" t="s">
        <v>625</v>
      </c>
      <c r="K355" s="0" t="s">
        <v>626</v>
      </c>
      <c r="L355" s="0" t="s">
        <v>25</v>
      </c>
      <c r="M355" s="0" t="s">
        <v>627</v>
      </c>
      <c r="N355" s="0" t="s">
        <v>645</v>
      </c>
      <c r="O355" s="0" t="n">
        <v>1</v>
      </c>
      <c r="P355" s="0" t="s">
        <v>46</v>
      </c>
      <c r="Q355" s="0" t="s">
        <v>1019</v>
      </c>
      <c r="R355" s="3"/>
      <c r="S355" s="2" t="s">
        <v>30</v>
      </c>
    </row>
    <row r="356" customFormat="false" ht="15" hidden="false" customHeight="false" outlineLevel="0" collapsed="false">
      <c r="A356" s="0" t="n">
        <v>355</v>
      </c>
      <c r="D356" s="0" t="s">
        <v>1020</v>
      </c>
      <c r="E356" s="0" t="s">
        <v>789</v>
      </c>
      <c r="H356" s="0" t="s">
        <v>21</v>
      </c>
      <c r="I356" s="2" t="s">
        <v>22</v>
      </c>
      <c r="J356" s="2" t="s">
        <v>625</v>
      </c>
      <c r="K356" s="0" t="s">
        <v>626</v>
      </c>
      <c r="L356" s="0" t="s">
        <v>25</v>
      </c>
      <c r="M356" s="0" t="s">
        <v>627</v>
      </c>
      <c r="N356" s="0" t="s">
        <v>1021</v>
      </c>
      <c r="O356" s="0" t="n">
        <v>1</v>
      </c>
      <c r="P356" s="0" t="s">
        <v>46</v>
      </c>
      <c r="Q356" s="0" t="s">
        <v>1022</v>
      </c>
      <c r="R356" s="3"/>
      <c r="S356" s="2" t="s">
        <v>30</v>
      </c>
    </row>
    <row r="357" customFormat="false" ht="15" hidden="false" customHeight="false" outlineLevel="0" collapsed="false">
      <c r="A357" s="0" t="n">
        <v>356</v>
      </c>
      <c r="D357" s="0" t="s">
        <v>1023</v>
      </c>
      <c r="E357" s="0" t="s">
        <v>789</v>
      </c>
      <c r="H357" s="0" t="s">
        <v>21</v>
      </c>
      <c r="I357" s="2" t="s">
        <v>22</v>
      </c>
      <c r="J357" s="2" t="s">
        <v>625</v>
      </c>
      <c r="K357" s="0" t="s">
        <v>626</v>
      </c>
      <c r="L357" s="0" t="s">
        <v>25</v>
      </c>
      <c r="M357" s="0" t="s">
        <v>627</v>
      </c>
      <c r="N357" s="0" t="s">
        <v>1024</v>
      </c>
      <c r="O357" s="0" t="n">
        <v>1</v>
      </c>
      <c r="P357" s="0" t="s">
        <v>46</v>
      </c>
      <c r="Q357" s="0" t="s">
        <v>1025</v>
      </c>
      <c r="R357" s="3"/>
      <c r="S357" s="2" t="s">
        <v>30</v>
      </c>
    </row>
    <row r="358" customFormat="false" ht="15" hidden="false" customHeight="false" outlineLevel="0" collapsed="false">
      <c r="A358" s="0" t="n">
        <v>357</v>
      </c>
      <c r="D358" s="0" t="s">
        <v>1026</v>
      </c>
      <c r="E358" s="0" t="s">
        <v>309</v>
      </c>
      <c r="H358" s="0" t="s">
        <v>21</v>
      </c>
      <c r="I358" s="2" t="s">
        <v>22</v>
      </c>
      <c r="J358" s="2" t="s">
        <v>625</v>
      </c>
      <c r="K358" s="0" t="s">
        <v>626</v>
      </c>
      <c r="L358" s="0" t="s">
        <v>25</v>
      </c>
      <c r="M358" s="0" t="s">
        <v>627</v>
      </c>
      <c r="N358" s="0" t="s">
        <v>367</v>
      </c>
      <c r="O358" s="0" t="n">
        <v>1</v>
      </c>
      <c r="P358" s="0" t="s">
        <v>33</v>
      </c>
      <c r="Q358" s="0" t="s">
        <v>1027</v>
      </c>
      <c r="R358" s="3"/>
      <c r="S358" s="2" t="s">
        <v>30</v>
      </c>
    </row>
    <row r="359" customFormat="false" ht="15" hidden="false" customHeight="false" outlineLevel="0" collapsed="false">
      <c r="A359" s="0" t="n">
        <v>358</v>
      </c>
      <c r="D359" s="0" t="s">
        <v>1028</v>
      </c>
      <c r="E359" s="0" t="s">
        <v>309</v>
      </c>
      <c r="H359" s="0" t="s">
        <v>21</v>
      </c>
      <c r="I359" s="2" t="s">
        <v>22</v>
      </c>
      <c r="J359" s="2" t="s">
        <v>625</v>
      </c>
      <c r="K359" s="0" t="s">
        <v>626</v>
      </c>
      <c r="L359" s="0" t="s">
        <v>25</v>
      </c>
      <c r="M359" s="0" t="s">
        <v>627</v>
      </c>
      <c r="N359" s="0" t="s">
        <v>988</v>
      </c>
      <c r="O359" s="0" t="n">
        <v>1</v>
      </c>
      <c r="P359" s="0" t="s">
        <v>28</v>
      </c>
      <c r="Q359" s="0" t="s">
        <v>1029</v>
      </c>
      <c r="R359" s="3"/>
      <c r="S359" s="2" t="s">
        <v>30</v>
      </c>
    </row>
    <row r="360" customFormat="false" ht="15" hidden="false" customHeight="false" outlineLevel="0" collapsed="false">
      <c r="A360" s="0" t="n">
        <v>359</v>
      </c>
      <c r="D360" s="0" t="s">
        <v>1030</v>
      </c>
      <c r="E360" s="0" t="s">
        <v>313</v>
      </c>
      <c r="H360" s="0" t="s">
        <v>21</v>
      </c>
      <c r="I360" s="2" t="s">
        <v>22</v>
      </c>
      <c r="J360" s="2" t="s">
        <v>625</v>
      </c>
      <c r="K360" s="0" t="s">
        <v>626</v>
      </c>
      <c r="L360" s="0" t="s">
        <v>25</v>
      </c>
      <c r="M360" s="0" t="s">
        <v>627</v>
      </c>
      <c r="N360" s="0" t="s">
        <v>314</v>
      </c>
      <c r="O360" s="0" t="n">
        <v>1</v>
      </c>
      <c r="P360" s="0" t="s">
        <v>33</v>
      </c>
      <c r="Q360" s="0" t="s">
        <v>1031</v>
      </c>
      <c r="R360" s="3"/>
      <c r="S360" s="2" t="s">
        <v>30</v>
      </c>
    </row>
    <row r="361" customFormat="false" ht="15" hidden="false" customHeight="false" outlineLevel="0" collapsed="false">
      <c r="A361" s="0" t="n">
        <v>360</v>
      </c>
      <c r="D361" s="0" t="s">
        <v>1032</v>
      </c>
      <c r="E361" s="0" t="s">
        <v>104</v>
      </c>
      <c r="H361" s="0" t="s">
        <v>21</v>
      </c>
      <c r="I361" s="2" t="s">
        <v>22</v>
      </c>
      <c r="J361" s="2" t="s">
        <v>625</v>
      </c>
      <c r="K361" s="0" t="s">
        <v>626</v>
      </c>
      <c r="L361" s="0" t="s">
        <v>25</v>
      </c>
      <c r="M361" s="0" t="s">
        <v>627</v>
      </c>
      <c r="N361" s="0" t="s">
        <v>105</v>
      </c>
      <c r="O361" s="0" t="n">
        <v>1</v>
      </c>
      <c r="P361" s="0" t="s">
        <v>46</v>
      </c>
      <c r="Q361" s="0" t="s">
        <v>1033</v>
      </c>
      <c r="R361" s="3"/>
      <c r="S361" s="2" t="s">
        <v>30</v>
      </c>
    </row>
    <row r="362" customFormat="false" ht="15" hidden="false" customHeight="false" outlineLevel="0" collapsed="false">
      <c r="A362" s="0" t="n">
        <v>361</v>
      </c>
      <c r="D362" s="0" t="s">
        <v>1034</v>
      </c>
      <c r="E362" s="0" t="s">
        <v>313</v>
      </c>
      <c r="H362" s="0" t="s">
        <v>21</v>
      </c>
      <c r="I362" s="2" t="s">
        <v>22</v>
      </c>
      <c r="J362" s="2" t="s">
        <v>625</v>
      </c>
      <c r="K362" s="0" t="s">
        <v>626</v>
      </c>
      <c r="L362" s="0" t="s">
        <v>25</v>
      </c>
      <c r="M362" s="0" t="s">
        <v>627</v>
      </c>
      <c r="N362" s="0" t="s">
        <v>417</v>
      </c>
      <c r="O362" s="0" t="n">
        <v>1</v>
      </c>
      <c r="Q362" s="0" t="s">
        <v>1035</v>
      </c>
      <c r="R362" s="3"/>
      <c r="S362" s="2" t="s">
        <v>30</v>
      </c>
    </row>
    <row r="363" customFormat="false" ht="15" hidden="false" customHeight="false" outlineLevel="0" collapsed="false">
      <c r="A363" s="0" t="n">
        <v>362</v>
      </c>
      <c r="D363" s="0" t="s">
        <v>1036</v>
      </c>
      <c r="E363" s="0" t="s">
        <v>212</v>
      </c>
      <c r="H363" s="0" t="s">
        <v>21</v>
      </c>
      <c r="I363" s="2" t="s">
        <v>22</v>
      </c>
      <c r="J363" s="2" t="s">
        <v>625</v>
      </c>
      <c r="K363" s="0" t="s">
        <v>626</v>
      </c>
      <c r="L363" s="0" t="s">
        <v>25</v>
      </c>
      <c r="M363" s="0" t="s">
        <v>627</v>
      </c>
      <c r="N363" s="0" t="s">
        <v>213</v>
      </c>
      <c r="O363" s="0" t="n">
        <v>1</v>
      </c>
      <c r="P363" s="0" t="s">
        <v>28</v>
      </c>
      <c r="Q363" s="0" t="s">
        <v>1037</v>
      </c>
      <c r="R363" s="3"/>
      <c r="S363" s="2" t="s">
        <v>30</v>
      </c>
    </row>
    <row r="364" customFormat="false" ht="15" hidden="false" customHeight="false" outlineLevel="0" collapsed="false">
      <c r="A364" s="0" t="n">
        <v>363</v>
      </c>
      <c r="D364" s="0" t="s">
        <v>1038</v>
      </c>
      <c r="E364" s="0" t="s">
        <v>313</v>
      </c>
      <c r="H364" s="0" t="s">
        <v>21</v>
      </c>
      <c r="I364" s="2" t="s">
        <v>22</v>
      </c>
      <c r="J364" s="2" t="s">
        <v>625</v>
      </c>
      <c r="K364" s="0" t="s">
        <v>626</v>
      </c>
      <c r="L364" s="0" t="s">
        <v>25</v>
      </c>
      <c r="M364" s="0" t="s">
        <v>627</v>
      </c>
      <c r="N364" s="0" t="s">
        <v>417</v>
      </c>
      <c r="O364" s="0" t="n">
        <v>1</v>
      </c>
      <c r="P364" s="0" t="s">
        <v>294</v>
      </c>
      <c r="Q364" s="0" t="s">
        <v>1039</v>
      </c>
      <c r="R364" s="3"/>
      <c r="S364" s="2" t="s">
        <v>30</v>
      </c>
    </row>
    <row r="365" customFormat="false" ht="15" hidden="false" customHeight="false" outlineLevel="0" collapsed="false">
      <c r="A365" s="0" t="n">
        <v>364</v>
      </c>
      <c r="D365" s="0" t="s">
        <v>1040</v>
      </c>
      <c r="E365" s="0" t="s">
        <v>113</v>
      </c>
      <c r="H365" s="0" t="s">
        <v>21</v>
      </c>
      <c r="I365" s="2" t="s">
        <v>22</v>
      </c>
      <c r="J365" s="2" t="s">
        <v>625</v>
      </c>
      <c r="K365" s="0" t="s">
        <v>626</v>
      </c>
      <c r="L365" s="0" t="s">
        <v>25</v>
      </c>
      <c r="M365" s="0" t="s">
        <v>627</v>
      </c>
      <c r="N365" s="0" t="s">
        <v>1041</v>
      </c>
      <c r="O365" s="0" t="n">
        <v>1</v>
      </c>
      <c r="P365" s="0" t="s">
        <v>46</v>
      </c>
      <c r="Q365" s="0" t="s">
        <v>1042</v>
      </c>
      <c r="R365" s="3"/>
      <c r="S365" s="2" t="s">
        <v>30</v>
      </c>
    </row>
    <row r="366" customFormat="false" ht="15" hidden="false" customHeight="false" outlineLevel="0" collapsed="false">
      <c r="A366" s="0" t="n">
        <v>365</v>
      </c>
      <c r="D366" s="0" t="s">
        <v>1043</v>
      </c>
      <c r="E366" s="0" t="s">
        <v>611</v>
      </c>
      <c r="H366" s="0" t="s">
        <v>21</v>
      </c>
      <c r="I366" s="2" t="s">
        <v>22</v>
      </c>
      <c r="J366" s="2" t="s">
        <v>625</v>
      </c>
      <c r="K366" s="0" t="s">
        <v>626</v>
      </c>
      <c r="L366" s="0" t="s">
        <v>25</v>
      </c>
      <c r="M366" s="0" t="s">
        <v>627</v>
      </c>
      <c r="N366" s="0" t="s">
        <v>612</v>
      </c>
      <c r="O366" s="0" t="n">
        <v>1</v>
      </c>
      <c r="P366" s="0" t="s">
        <v>46</v>
      </c>
      <c r="R366" s="3"/>
      <c r="S366" s="2" t="s">
        <v>30</v>
      </c>
    </row>
    <row r="367" customFormat="false" ht="15" hidden="false" customHeight="false" outlineLevel="0" collapsed="false">
      <c r="A367" s="0" t="n">
        <v>366</v>
      </c>
      <c r="D367" s="0" t="s">
        <v>1044</v>
      </c>
      <c r="E367" s="0" t="s">
        <v>342</v>
      </c>
      <c r="H367" s="0" t="s">
        <v>21</v>
      </c>
      <c r="I367" s="2" t="s">
        <v>22</v>
      </c>
      <c r="J367" s="2" t="s">
        <v>625</v>
      </c>
      <c r="K367" s="0" t="s">
        <v>626</v>
      </c>
      <c r="L367" s="0" t="s">
        <v>25</v>
      </c>
      <c r="M367" s="0" t="s">
        <v>627</v>
      </c>
      <c r="N367" s="0" t="s">
        <v>167</v>
      </c>
      <c r="O367" s="0" t="n">
        <v>1</v>
      </c>
      <c r="P367" s="0" t="s">
        <v>46</v>
      </c>
      <c r="Q367" s="0" t="s">
        <v>1045</v>
      </c>
      <c r="R367" s="3"/>
      <c r="S367" s="2" t="s">
        <v>30</v>
      </c>
    </row>
    <row r="368" customFormat="false" ht="15" hidden="false" customHeight="false" outlineLevel="0" collapsed="false">
      <c r="A368" s="0" t="n">
        <v>367</v>
      </c>
      <c r="D368" s="0" t="s">
        <v>1046</v>
      </c>
      <c r="E368" s="0" t="s">
        <v>580</v>
      </c>
      <c r="H368" s="0" t="s">
        <v>21</v>
      </c>
      <c r="I368" s="2" t="s">
        <v>22</v>
      </c>
      <c r="J368" s="2" t="s">
        <v>625</v>
      </c>
      <c r="K368" s="0" t="s">
        <v>626</v>
      </c>
      <c r="L368" s="0" t="s">
        <v>25</v>
      </c>
      <c r="M368" s="0" t="s">
        <v>627</v>
      </c>
      <c r="N368" s="0" t="s">
        <v>1047</v>
      </c>
      <c r="O368" s="0" t="n">
        <v>1</v>
      </c>
      <c r="P368" s="0" t="s">
        <v>72</v>
      </c>
      <c r="Q368" s="0" t="s">
        <v>1048</v>
      </c>
      <c r="R368" s="3"/>
      <c r="S368" s="2" t="s">
        <v>30</v>
      </c>
    </row>
    <row r="369" customFormat="false" ht="15" hidden="false" customHeight="false" outlineLevel="0" collapsed="false">
      <c r="A369" s="0" t="n">
        <v>368</v>
      </c>
      <c r="D369" s="0" t="s">
        <v>1049</v>
      </c>
      <c r="E369" s="0" t="s">
        <v>309</v>
      </c>
      <c r="H369" s="0" t="s">
        <v>21</v>
      </c>
      <c r="I369" s="2" t="s">
        <v>22</v>
      </c>
      <c r="J369" s="2" t="s">
        <v>625</v>
      </c>
      <c r="K369" s="0" t="s">
        <v>626</v>
      </c>
      <c r="L369" s="0" t="s">
        <v>25</v>
      </c>
      <c r="M369" s="0" t="s">
        <v>627</v>
      </c>
      <c r="N369" s="0" t="s">
        <v>367</v>
      </c>
      <c r="O369" s="0" t="n">
        <v>1</v>
      </c>
      <c r="P369" s="0" t="s">
        <v>46</v>
      </c>
      <c r="Q369" s="0" t="s">
        <v>1050</v>
      </c>
      <c r="R369" s="3"/>
      <c r="S369" s="2" t="s">
        <v>30</v>
      </c>
    </row>
    <row r="370" customFormat="false" ht="15" hidden="false" customHeight="false" outlineLevel="0" collapsed="false">
      <c r="A370" s="0" t="n">
        <v>369</v>
      </c>
      <c r="D370" s="0" t="s">
        <v>1051</v>
      </c>
      <c r="E370" s="0" t="s">
        <v>113</v>
      </c>
      <c r="H370" s="0" t="s">
        <v>21</v>
      </c>
      <c r="I370" s="2" t="s">
        <v>22</v>
      </c>
      <c r="J370" s="2" t="s">
        <v>625</v>
      </c>
      <c r="K370" s="0" t="s">
        <v>626</v>
      </c>
      <c r="L370" s="0" t="s">
        <v>25</v>
      </c>
      <c r="M370" s="0" t="s">
        <v>627</v>
      </c>
      <c r="N370" s="0" t="s">
        <v>1052</v>
      </c>
      <c r="O370" s="0" t="n">
        <v>1</v>
      </c>
      <c r="P370" s="0" t="s">
        <v>28</v>
      </c>
      <c r="Q370" s="0" t="s">
        <v>1053</v>
      </c>
      <c r="R370" s="3"/>
      <c r="S370" s="2" t="s">
        <v>30</v>
      </c>
    </row>
    <row r="371" customFormat="false" ht="15" hidden="false" customHeight="false" outlineLevel="0" collapsed="false">
      <c r="A371" s="0" t="n">
        <v>370</v>
      </c>
      <c r="D371" s="0" t="s">
        <v>1054</v>
      </c>
      <c r="E371" s="0" t="s">
        <v>113</v>
      </c>
      <c r="H371" s="0" t="s">
        <v>21</v>
      </c>
      <c r="I371" s="2" t="s">
        <v>22</v>
      </c>
      <c r="J371" s="2" t="s">
        <v>625</v>
      </c>
      <c r="K371" s="0" t="s">
        <v>626</v>
      </c>
      <c r="L371" s="0" t="s">
        <v>25</v>
      </c>
      <c r="M371" s="0" t="s">
        <v>627</v>
      </c>
      <c r="N371" s="0" t="s">
        <v>27</v>
      </c>
      <c r="O371" s="0" t="n">
        <v>1</v>
      </c>
      <c r="P371" s="0" t="s">
        <v>46</v>
      </c>
      <c r="Q371" s="0" t="s">
        <v>1055</v>
      </c>
      <c r="R371" s="3"/>
      <c r="S371" s="2" t="s">
        <v>30</v>
      </c>
    </row>
    <row r="372" customFormat="false" ht="15" hidden="false" customHeight="false" outlineLevel="0" collapsed="false">
      <c r="A372" s="0" t="n">
        <v>371</v>
      </c>
      <c r="D372" s="0" t="s">
        <v>1056</v>
      </c>
      <c r="E372" s="0" t="s">
        <v>1006</v>
      </c>
      <c r="H372" s="0" t="s">
        <v>21</v>
      </c>
      <c r="I372" s="2" t="s">
        <v>22</v>
      </c>
      <c r="J372" s="2" t="s">
        <v>625</v>
      </c>
      <c r="K372" s="0" t="s">
        <v>626</v>
      </c>
      <c r="L372" s="0" t="s">
        <v>25</v>
      </c>
      <c r="M372" s="0" t="s">
        <v>627</v>
      </c>
      <c r="N372" s="0" t="s">
        <v>1057</v>
      </c>
      <c r="O372" s="0" t="n">
        <v>1</v>
      </c>
      <c r="P372" s="0" t="s">
        <v>72</v>
      </c>
      <c r="Q372" s="0" t="s">
        <v>1058</v>
      </c>
      <c r="R372" s="3"/>
      <c r="S372" s="2" t="s">
        <v>30</v>
      </c>
    </row>
    <row r="373" customFormat="false" ht="15" hidden="false" customHeight="false" outlineLevel="0" collapsed="false">
      <c r="A373" s="0" t="n">
        <v>372</v>
      </c>
      <c r="D373" s="0" t="s">
        <v>1059</v>
      </c>
      <c r="E373" s="0" t="s">
        <v>313</v>
      </c>
      <c r="H373" s="0" t="s">
        <v>21</v>
      </c>
      <c r="I373" s="2" t="s">
        <v>22</v>
      </c>
      <c r="J373" s="2" t="s">
        <v>625</v>
      </c>
      <c r="K373" s="0" t="s">
        <v>626</v>
      </c>
      <c r="L373" s="0" t="s">
        <v>25</v>
      </c>
      <c r="M373" s="0" t="s">
        <v>627</v>
      </c>
      <c r="N373" s="0" t="s">
        <v>417</v>
      </c>
      <c r="O373" s="0" t="n">
        <v>1</v>
      </c>
      <c r="P373" s="0" t="s">
        <v>33</v>
      </c>
      <c r="Q373" s="0" t="s">
        <v>1060</v>
      </c>
      <c r="R373" s="3"/>
      <c r="S373" s="2" t="s">
        <v>30</v>
      </c>
    </row>
    <row r="374" customFormat="false" ht="15" hidden="false" customHeight="false" outlineLevel="0" collapsed="false">
      <c r="A374" s="0" t="n">
        <v>373</v>
      </c>
      <c r="D374" s="0" t="s">
        <v>1061</v>
      </c>
      <c r="E374" s="0" t="s">
        <v>113</v>
      </c>
      <c r="H374" s="0" t="s">
        <v>21</v>
      </c>
      <c r="I374" s="2" t="s">
        <v>22</v>
      </c>
      <c r="J374" s="2" t="s">
        <v>625</v>
      </c>
      <c r="K374" s="0" t="s">
        <v>626</v>
      </c>
      <c r="L374" s="0" t="s">
        <v>25</v>
      </c>
      <c r="M374" s="0" t="s">
        <v>627</v>
      </c>
      <c r="N374" s="0" t="s">
        <v>322</v>
      </c>
      <c r="O374" s="0" t="n">
        <v>1</v>
      </c>
      <c r="P374" s="0" t="s">
        <v>46</v>
      </c>
      <c r="Q374" s="0" t="s">
        <v>1062</v>
      </c>
      <c r="R374" s="3"/>
      <c r="S374" s="2" t="s">
        <v>30</v>
      </c>
    </row>
    <row r="375" customFormat="false" ht="15" hidden="false" customHeight="false" outlineLevel="0" collapsed="false">
      <c r="A375" s="0" t="n">
        <v>374</v>
      </c>
      <c r="D375" s="0" t="s">
        <v>1063</v>
      </c>
      <c r="E375" s="0" t="s">
        <v>615</v>
      </c>
      <c r="H375" s="0" t="s">
        <v>21</v>
      </c>
      <c r="I375" s="2" t="s">
        <v>22</v>
      </c>
      <c r="J375" s="2" t="s">
        <v>625</v>
      </c>
      <c r="K375" s="0" t="s">
        <v>626</v>
      </c>
      <c r="L375" s="0" t="s">
        <v>25</v>
      </c>
      <c r="M375" s="0" t="s">
        <v>627</v>
      </c>
      <c r="N375" s="0" t="s">
        <v>617</v>
      </c>
      <c r="O375" s="0" t="n">
        <v>1</v>
      </c>
      <c r="P375" s="0" t="s">
        <v>46</v>
      </c>
      <c r="Q375" s="0" t="s">
        <v>1064</v>
      </c>
      <c r="R375" s="3"/>
      <c r="S375" s="2" t="s">
        <v>30</v>
      </c>
    </row>
    <row r="376" customFormat="false" ht="15" hidden="false" customHeight="false" outlineLevel="0" collapsed="false">
      <c r="A376" s="0" t="n">
        <v>375</v>
      </c>
      <c r="D376" s="0" t="s">
        <v>1065</v>
      </c>
      <c r="E376" s="0" t="s">
        <v>104</v>
      </c>
      <c r="H376" s="0" t="s">
        <v>21</v>
      </c>
      <c r="I376" s="2" t="s">
        <v>22</v>
      </c>
      <c r="J376" s="2" t="s">
        <v>625</v>
      </c>
      <c r="K376" s="0" t="s">
        <v>626</v>
      </c>
      <c r="L376" s="0" t="s">
        <v>25</v>
      </c>
      <c r="M376" s="0" t="s">
        <v>627</v>
      </c>
      <c r="N376" s="0" t="s">
        <v>105</v>
      </c>
      <c r="O376" s="0" t="n">
        <v>1</v>
      </c>
      <c r="P376" s="0" t="s">
        <v>46</v>
      </c>
      <c r="Q376" s="0" t="s">
        <v>1066</v>
      </c>
      <c r="R376" s="3"/>
      <c r="S376" s="2" t="s">
        <v>30</v>
      </c>
    </row>
    <row r="377" customFormat="false" ht="15" hidden="false" customHeight="false" outlineLevel="0" collapsed="false">
      <c r="A377" s="0" t="n">
        <v>376</v>
      </c>
      <c r="D377" s="0" t="s">
        <v>1067</v>
      </c>
      <c r="E377" s="0" t="s">
        <v>113</v>
      </c>
      <c r="H377" s="0" t="s">
        <v>21</v>
      </c>
      <c r="I377" s="2" t="s">
        <v>22</v>
      </c>
      <c r="J377" s="2" t="s">
        <v>625</v>
      </c>
      <c r="K377" s="0" t="s">
        <v>626</v>
      </c>
      <c r="L377" s="0" t="s">
        <v>25</v>
      </c>
      <c r="M377" s="0" t="s">
        <v>627</v>
      </c>
      <c r="N377" s="0" t="s">
        <v>631</v>
      </c>
      <c r="O377" s="0" t="n">
        <v>1</v>
      </c>
      <c r="P377" s="0" t="s">
        <v>46</v>
      </c>
      <c r="Q377" s="0" t="s">
        <v>1068</v>
      </c>
      <c r="R377" s="3"/>
      <c r="S377" s="2" t="s">
        <v>30</v>
      </c>
    </row>
    <row r="378" customFormat="false" ht="15" hidden="false" customHeight="false" outlineLevel="0" collapsed="false">
      <c r="A378" s="0" t="n">
        <v>377</v>
      </c>
      <c r="D378" s="0" t="s">
        <v>1069</v>
      </c>
      <c r="E378" s="0" t="s">
        <v>257</v>
      </c>
      <c r="H378" s="0" t="s">
        <v>21</v>
      </c>
      <c r="I378" s="2" t="s">
        <v>22</v>
      </c>
      <c r="J378" s="2" t="s">
        <v>625</v>
      </c>
      <c r="K378" s="0" t="s">
        <v>626</v>
      </c>
      <c r="L378" s="0" t="s">
        <v>25</v>
      </c>
      <c r="M378" s="0" t="s">
        <v>627</v>
      </c>
      <c r="N378" s="0" t="s">
        <v>1070</v>
      </c>
      <c r="O378" s="0" t="n">
        <v>1</v>
      </c>
      <c r="P378" s="0" t="s">
        <v>28</v>
      </c>
      <c r="Q378" s="0" t="s">
        <v>1071</v>
      </c>
      <c r="R378" s="3"/>
      <c r="S378" s="2" t="s">
        <v>30</v>
      </c>
    </row>
    <row r="379" customFormat="false" ht="15" hidden="false" customHeight="false" outlineLevel="0" collapsed="false">
      <c r="A379" s="0" t="n">
        <v>378</v>
      </c>
      <c r="D379" s="0" t="s">
        <v>1072</v>
      </c>
      <c r="E379" s="0" t="s">
        <v>200</v>
      </c>
      <c r="H379" s="0" t="s">
        <v>21</v>
      </c>
      <c r="I379" s="2" t="s">
        <v>22</v>
      </c>
      <c r="J379" s="2" t="s">
        <v>625</v>
      </c>
      <c r="K379" s="0" t="s">
        <v>626</v>
      </c>
      <c r="L379" s="0" t="s">
        <v>25</v>
      </c>
      <c r="M379" s="0" t="s">
        <v>627</v>
      </c>
      <c r="N379" s="0" t="s">
        <v>1073</v>
      </c>
      <c r="O379" s="0" t="n">
        <v>1</v>
      </c>
      <c r="P379" s="0" t="s">
        <v>46</v>
      </c>
      <c r="Q379" s="0" t="s">
        <v>1074</v>
      </c>
      <c r="R379" s="3"/>
      <c r="S379" s="2" t="s">
        <v>30</v>
      </c>
    </row>
    <row r="380" customFormat="false" ht="15" hidden="false" customHeight="false" outlineLevel="0" collapsed="false">
      <c r="A380" s="0" t="n">
        <v>379</v>
      </c>
      <c r="D380" s="0" t="s">
        <v>1075</v>
      </c>
      <c r="E380" s="0" t="s">
        <v>186</v>
      </c>
      <c r="H380" s="0" t="s">
        <v>21</v>
      </c>
      <c r="I380" s="2" t="s">
        <v>22</v>
      </c>
      <c r="J380" s="2" t="s">
        <v>625</v>
      </c>
      <c r="K380" s="0" t="s">
        <v>626</v>
      </c>
      <c r="L380" s="0" t="s">
        <v>25</v>
      </c>
      <c r="M380" s="0" t="s">
        <v>627</v>
      </c>
      <c r="N380" s="0" t="s">
        <v>1076</v>
      </c>
      <c r="O380" s="0" t="n">
        <v>1</v>
      </c>
      <c r="P380" s="0" t="s">
        <v>46</v>
      </c>
      <c r="Q380" s="0" t="s">
        <v>1077</v>
      </c>
      <c r="R380" s="3"/>
      <c r="S380" s="2" t="s">
        <v>30</v>
      </c>
    </row>
    <row r="381" customFormat="false" ht="15" hidden="false" customHeight="false" outlineLevel="0" collapsed="false">
      <c r="A381" s="0" t="n">
        <v>380</v>
      </c>
      <c r="D381" s="0" t="s">
        <v>1078</v>
      </c>
      <c r="E381" s="0" t="s">
        <v>611</v>
      </c>
      <c r="H381" s="0" t="s">
        <v>21</v>
      </c>
      <c r="I381" s="2" t="s">
        <v>22</v>
      </c>
      <c r="J381" s="2" t="s">
        <v>625</v>
      </c>
      <c r="K381" s="0" t="s">
        <v>626</v>
      </c>
      <c r="L381" s="0" t="s">
        <v>25</v>
      </c>
      <c r="M381" s="0" t="s">
        <v>627</v>
      </c>
      <c r="N381" s="0" t="s">
        <v>612</v>
      </c>
      <c r="O381" s="0" t="n">
        <v>1</v>
      </c>
      <c r="P381" s="0" t="s">
        <v>46</v>
      </c>
      <c r="Q381" s="0" t="s">
        <v>1079</v>
      </c>
      <c r="R381" s="3"/>
      <c r="S381" s="2" t="s">
        <v>30</v>
      </c>
    </row>
    <row r="382" customFormat="false" ht="15" hidden="false" customHeight="false" outlineLevel="0" collapsed="false">
      <c r="A382" s="0" t="n">
        <v>381</v>
      </c>
      <c r="D382" s="0" t="s">
        <v>1080</v>
      </c>
      <c r="E382" s="0" t="s">
        <v>113</v>
      </c>
      <c r="H382" s="0" t="s">
        <v>21</v>
      </c>
      <c r="I382" s="2" t="s">
        <v>22</v>
      </c>
      <c r="J382" s="2" t="s">
        <v>625</v>
      </c>
      <c r="K382" s="0" t="s">
        <v>626</v>
      </c>
      <c r="L382" s="0" t="s">
        <v>25</v>
      </c>
      <c r="M382" s="0" t="s">
        <v>627</v>
      </c>
      <c r="N382" s="0" t="s">
        <v>322</v>
      </c>
      <c r="O382" s="0" t="n">
        <v>1</v>
      </c>
      <c r="P382" s="0" t="s">
        <v>46</v>
      </c>
      <c r="Q382" s="0" t="s">
        <v>1081</v>
      </c>
      <c r="R382" s="3"/>
      <c r="S382" s="2" t="s">
        <v>30</v>
      </c>
    </row>
    <row r="383" customFormat="false" ht="15" hidden="false" customHeight="false" outlineLevel="0" collapsed="false">
      <c r="A383" s="0" t="n">
        <v>382</v>
      </c>
      <c r="D383" s="0" t="s">
        <v>1082</v>
      </c>
      <c r="E383" s="0" t="s">
        <v>736</v>
      </c>
      <c r="H383" s="0" t="s">
        <v>21</v>
      </c>
      <c r="I383" s="2" t="s">
        <v>22</v>
      </c>
      <c r="J383" s="2" t="s">
        <v>625</v>
      </c>
      <c r="K383" s="0" t="s">
        <v>626</v>
      </c>
      <c r="L383" s="0" t="s">
        <v>25</v>
      </c>
      <c r="M383" s="0" t="s">
        <v>627</v>
      </c>
      <c r="N383" s="0" t="s">
        <v>779</v>
      </c>
      <c r="O383" s="0" t="n">
        <v>1</v>
      </c>
      <c r="P383" s="0" t="s">
        <v>28</v>
      </c>
      <c r="Q383" s="0" t="s">
        <v>1083</v>
      </c>
      <c r="R383" s="3"/>
      <c r="S383" s="2" t="s">
        <v>30</v>
      </c>
    </row>
    <row r="384" customFormat="false" ht="15" hidden="false" customHeight="false" outlineLevel="0" collapsed="false">
      <c r="A384" s="0" t="n">
        <v>383</v>
      </c>
      <c r="D384" s="0" t="s">
        <v>1084</v>
      </c>
      <c r="E384" s="0" t="s">
        <v>113</v>
      </c>
      <c r="H384" s="0" t="s">
        <v>21</v>
      </c>
      <c r="I384" s="2" t="s">
        <v>22</v>
      </c>
      <c r="J384" s="2" t="s">
        <v>625</v>
      </c>
      <c r="K384" s="0" t="s">
        <v>626</v>
      </c>
      <c r="L384" s="0" t="s">
        <v>25</v>
      </c>
      <c r="M384" s="0" t="s">
        <v>627</v>
      </c>
      <c r="N384" s="0" t="s">
        <v>1085</v>
      </c>
      <c r="O384" s="0" t="n">
        <v>1</v>
      </c>
      <c r="P384" s="0" t="s">
        <v>46</v>
      </c>
      <c r="Q384" s="0" t="s">
        <v>1086</v>
      </c>
      <c r="R384" s="3"/>
      <c r="S384" s="2" t="s">
        <v>30</v>
      </c>
    </row>
    <row r="385" customFormat="false" ht="15" hidden="false" customHeight="false" outlineLevel="0" collapsed="false">
      <c r="A385" s="0" t="n">
        <v>384</v>
      </c>
      <c r="D385" s="0" t="s">
        <v>1087</v>
      </c>
      <c r="E385" s="0" t="s">
        <v>1088</v>
      </c>
      <c r="H385" s="0" t="s">
        <v>21</v>
      </c>
      <c r="I385" s="2" t="s">
        <v>22</v>
      </c>
      <c r="J385" s="2" t="s">
        <v>625</v>
      </c>
      <c r="K385" s="0" t="s">
        <v>626</v>
      </c>
      <c r="L385" s="0" t="s">
        <v>25</v>
      </c>
      <c r="M385" s="0" t="s">
        <v>627</v>
      </c>
      <c r="N385" s="0" t="s">
        <v>1089</v>
      </c>
      <c r="O385" s="0" t="n">
        <v>1</v>
      </c>
      <c r="P385" s="0" t="s">
        <v>46</v>
      </c>
      <c r="Q385" s="0" t="s">
        <v>1090</v>
      </c>
      <c r="R385" s="3"/>
      <c r="S385" s="2" t="s">
        <v>30</v>
      </c>
    </row>
    <row r="386" customFormat="false" ht="15" hidden="false" customHeight="false" outlineLevel="0" collapsed="false">
      <c r="A386" s="0" t="n">
        <v>385</v>
      </c>
      <c r="D386" s="0" t="s">
        <v>1091</v>
      </c>
      <c r="E386" s="0" t="s">
        <v>104</v>
      </c>
      <c r="H386" s="0" t="s">
        <v>21</v>
      </c>
      <c r="I386" s="2" t="s">
        <v>22</v>
      </c>
      <c r="J386" s="2" t="s">
        <v>625</v>
      </c>
      <c r="K386" s="0" t="s">
        <v>626</v>
      </c>
      <c r="L386" s="0" t="s">
        <v>25</v>
      </c>
      <c r="M386" s="0" t="s">
        <v>627</v>
      </c>
      <c r="N386" s="0" t="s">
        <v>358</v>
      </c>
      <c r="O386" s="0" t="n">
        <v>1</v>
      </c>
      <c r="P386" s="0" t="s">
        <v>46</v>
      </c>
      <c r="Q386" s="0" t="s">
        <v>359</v>
      </c>
      <c r="R386" s="3"/>
      <c r="S386" s="2" t="s">
        <v>30</v>
      </c>
    </row>
    <row r="387" customFormat="false" ht="15" hidden="false" customHeight="false" outlineLevel="0" collapsed="false">
      <c r="A387" s="0" t="n">
        <v>386</v>
      </c>
      <c r="D387" s="0" t="s">
        <v>1092</v>
      </c>
      <c r="E387" s="0" t="s">
        <v>736</v>
      </c>
      <c r="H387" s="0" t="s">
        <v>21</v>
      </c>
      <c r="I387" s="2" t="s">
        <v>22</v>
      </c>
      <c r="J387" s="2" t="s">
        <v>625</v>
      </c>
      <c r="K387" s="0" t="s">
        <v>626</v>
      </c>
      <c r="L387" s="0" t="s">
        <v>25</v>
      </c>
      <c r="M387" s="0" t="s">
        <v>627</v>
      </c>
      <c r="N387" s="0" t="s">
        <v>358</v>
      </c>
      <c r="O387" s="0" t="n">
        <v>1</v>
      </c>
      <c r="P387" s="0" t="s">
        <v>294</v>
      </c>
      <c r="Q387" s="0" t="s">
        <v>1093</v>
      </c>
      <c r="R387" s="3"/>
      <c r="S387" s="2" t="s">
        <v>30</v>
      </c>
    </row>
    <row r="388" customFormat="false" ht="15" hidden="false" customHeight="false" outlineLevel="0" collapsed="false">
      <c r="A388" s="0" t="n">
        <v>387</v>
      </c>
      <c r="D388" s="0" t="s">
        <v>1094</v>
      </c>
      <c r="E388" s="0" t="s">
        <v>342</v>
      </c>
      <c r="H388" s="0" t="s">
        <v>21</v>
      </c>
      <c r="I388" s="2" t="s">
        <v>22</v>
      </c>
      <c r="J388" s="2" t="s">
        <v>625</v>
      </c>
      <c r="K388" s="0" t="s">
        <v>626</v>
      </c>
      <c r="L388" s="0" t="s">
        <v>25</v>
      </c>
      <c r="M388" s="0" t="s">
        <v>627</v>
      </c>
      <c r="N388" s="0" t="s">
        <v>167</v>
      </c>
      <c r="O388" s="0" t="n">
        <v>1</v>
      </c>
      <c r="P388" s="0" t="s">
        <v>121</v>
      </c>
      <c r="Q388" s="0" t="s">
        <v>1095</v>
      </c>
      <c r="R388" s="3"/>
      <c r="S388" s="2" t="s">
        <v>30</v>
      </c>
    </row>
    <row r="389" customFormat="false" ht="15" hidden="false" customHeight="false" outlineLevel="0" collapsed="false">
      <c r="A389" s="0" t="n">
        <v>388</v>
      </c>
      <c r="D389" s="0" t="s">
        <v>1096</v>
      </c>
      <c r="E389" s="0" t="s">
        <v>248</v>
      </c>
      <c r="H389" s="0" t="s">
        <v>21</v>
      </c>
      <c r="I389" s="2" t="s">
        <v>22</v>
      </c>
      <c r="J389" s="2" t="s">
        <v>625</v>
      </c>
      <c r="K389" s="0" t="s">
        <v>626</v>
      </c>
      <c r="L389" s="0" t="s">
        <v>25</v>
      </c>
      <c r="M389" s="0" t="s">
        <v>627</v>
      </c>
      <c r="N389" s="0" t="s">
        <v>249</v>
      </c>
      <c r="O389" s="0" t="n">
        <v>1</v>
      </c>
      <c r="P389" s="0" t="s">
        <v>46</v>
      </c>
      <c r="Q389" s="0" t="s">
        <v>1097</v>
      </c>
      <c r="R389" s="3"/>
      <c r="S389" s="2" t="s">
        <v>30</v>
      </c>
    </row>
    <row r="390" customFormat="false" ht="15" hidden="false" customHeight="false" outlineLevel="0" collapsed="false">
      <c r="A390" s="0" t="n">
        <v>389</v>
      </c>
      <c r="D390" s="0" t="s">
        <v>1098</v>
      </c>
      <c r="E390" s="0" t="s">
        <v>615</v>
      </c>
      <c r="H390" s="0" t="s">
        <v>21</v>
      </c>
      <c r="I390" s="2" t="s">
        <v>22</v>
      </c>
      <c r="J390" s="2" t="s">
        <v>625</v>
      </c>
      <c r="K390" s="0" t="s">
        <v>626</v>
      </c>
      <c r="L390" s="0" t="s">
        <v>25</v>
      </c>
      <c r="M390" s="0" t="s">
        <v>627</v>
      </c>
      <c r="N390" s="0" t="s">
        <v>617</v>
      </c>
      <c r="O390" s="0" t="n">
        <v>1</v>
      </c>
      <c r="P390" s="0" t="s">
        <v>33</v>
      </c>
      <c r="Q390" s="0" t="s">
        <v>1099</v>
      </c>
      <c r="R390" s="3"/>
      <c r="S390" s="2" t="s">
        <v>30</v>
      </c>
    </row>
    <row r="391" customFormat="false" ht="15" hidden="false" customHeight="false" outlineLevel="0" collapsed="false">
      <c r="A391" s="0" t="n">
        <v>390</v>
      </c>
      <c r="D391" s="0" t="s">
        <v>1100</v>
      </c>
      <c r="E391" s="0" t="s">
        <v>113</v>
      </c>
      <c r="H391" s="0" t="s">
        <v>21</v>
      </c>
      <c r="I391" s="2" t="s">
        <v>22</v>
      </c>
      <c r="J391" s="2" t="s">
        <v>625</v>
      </c>
      <c r="K391" s="0" t="s">
        <v>626</v>
      </c>
      <c r="L391" s="0" t="s">
        <v>25</v>
      </c>
      <c r="M391" s="0" t="s">
        <v>627</v>
      </c>
      <c r="N391" s="0" t="s">
        <v>1101</v>
      </c>
      <c r="O391" s="0" t="n">
        <v>1</v>
      </c>
      <c r="P391" s="0" t="s">
        <v>28</v>
      </c>
      <c r="Q391" s="0" t="s">
        <v>1102</v>
      </c>
      <c r="R391" s="3"/>
      <c r="S391" s="2" t="s">
        <v>30</v>
      </c>
    </row>
    <row r="392" customFormat="false" ht="15" hidden="false" customHeight="false" outlineLevel="0" collapsed="false">
      <c r="A392" s="0" t="n">
        <v>391</v>
      </c>
      <c r="D392" s="0" t="s">
        <v>1103</v>
      </c>
      <c r="E392" s="0" t="s">
        <v>1104</v>
      </c>
      <c r="H392" s="0" t="s">
        <v>21</v>
      </c>
      <c r="I392" s="2" t="s">
        <v>22</v>
      </c>
      <c r="J392" s="2" t="s">
        <v>625</v>
      </c>
      <c r="K392" s="0" t="s">
        <v>626</v>
      </c>
      <c r="L392" s="0" t="s">
        <v>25</v>
      </c>
      <c r="M392" s="0" t="s">
        <v>627</v>
      </c>
      <c r="N392" s="0" t="s">
        <v>1105</v>
      </c>
      <c r="O392" s="0" t="n">
        <v>1</v>
      </c>
      <c r="P392" s="0" t="s">
        <v>46</v>
      </c>
      <c r="Q392" s="0" t="s">
        <v>1106</v>
      </c>
      <c r="R392" s="3"/>
      <c r="S392" s="2" t="s">
        <v>30</v>
      </c>
    </row>
    <row r="393" customFormat="false" ht="15" hidden="false" customHeight="false" outlineLevel="0" collapsed="false">
      <c r="A393" s="0" t="n">
        <v>392</v>
      </c>
      <c r="D393" s="0" t="s">
        <v>1107</v>
      </c>
      <c r="E393" s="0" t="s">
        <v>108</v>
      </c>
      <c r="H393" s="0" t="s">
        <v>21</v>
      </c>
      <c r="I393" s="2" t="s">
        <v>22</v>
      </c>
      <c r="J393" s="2" t="s">
        <v>625</v>
      </c>
      <c r="K393" s="0" t="s">
        <v>626</v>
      </c>
      <c r="L393" s="0" t="s">
        <v>25</v>
      </c>
      <c r="M393" s="0" t="s">
        <v>627</v>
      </c>
      <c r="N393" s="0" t="s">
        <v>237</v>
      </c>
      <c r="O393" s="0" t="n">
        <v>1</v>
      </c>
      <c r="P393" s="0" t="s">
        <v>33</v>
      </c>
      <c r="Q393" s="0" t="s">
        <v>1108</v>
      </c>
      <c r="R393" s="3"/>
      <c r="S393" s="2" t="s">
        <v>30</v>
      </c>
    </row>
    <row r="394" customFormat="false" ht="15" hidden="false" customHeight="false" outlineLevel="0" collapsed="false">
      <c r="A394" s="0" t="n">
        <v>393</v>
      </c>
      <c r="D394" s="0" t="s">
        <v>1109</v>
      </c>
      <c r="E394" s="0" t="s">
        <v>877</v>
      </c>
      <c r="H394" s="0" t="s">
        <v>21</v>
      </c>
      <c r="I394" s="2" t="s">
        <v>22</v>
      </c>
      <c r="J394" s="2" t="s">
        <v>625</v>
      </c>
      <c r="K394" s="0" t="s">
        <v>626</v>
      </c>
      <c r="L394" s="0" t="s">
        <v>25</v>
      </c>
      <c r="M394" s="0" t="s">
        <v>627</v>
      </c>
      <c r="N394" s="0" t="s">
        <v>213</v>
      </c>
      <c r="O394" s="0" t="n">
        <v>1</v>
      </c>
      <c r="P394" s="0" t="s">
        <v>46</v>
      </c>
      <c r="Q394" s="0" t="s">
        <v>1110</v>
      </c>
      <c r="R394" s="3"/>
      <c r="S394" s="2" t="s">
        <v>30</v>
      </c>
    </row>
    <row r="395" customFormat="false" ht="15" hidden="false" customHeight="false" outlineLevel="0" collapsed="false">
      <c r="A395" s="0" t="n">
        <v>394</v>
      </c>
      <c r="D395" s="0" t="s">
        <v>1111</v>
      </c>
      <c r="E395" s="0" t="s">
        <v>113</v>
      </c>
      <c r="H395" s="0" t="s">
        <v>21</v>
      </c>
      <c r="I395" s="2" t="s">
        <v>22</v>
      </c>
      <c r="J395" s="2" t="s">
        <v>625</v>
      </c>
      <c r="K395" s="0" t="s">
        <v>626</v>
      </c>
      <c r="L395" s="0" t="s">
        <v>25</v>
      </c>
      <c r="M395" s="0" t="s">
        <v>627</v>
      </c>
      <c r="N395" s="0" t="s">
        <v>1112</v>
      </c>
      <c r="O395" s="0" t="n">
        <v>1</v>
      </c>
      <c r="P395" s="0" t="s">
        <v>28</v>
      </c>
      <c r="Q395" s="0" t="s">
        <v>1113</v>
      </c>
      <c r="R395" s="3"/>
      <c r="S395" s="2" t="s">
        <v>30</v>
      </c>
    </row>
    <row r="396" customFormat="false" ht="15" hidden="false" customHeight="false" outlineLevel="0" collapsed="false">
      <c r="A396" s="0" t="n">
        <v>395</v>
      </c>
      <c r="D396" s="0" t="s">
        <v>1114</v>
      </c>
      <c r="E396" s="0" t="s">
        <v>186</v>
      </c>
      <c r="H396" s="0" t="s">
        <v>21</v>
      </c>
      <c r="I396" s="2" t="s">
        <v>22</v>
      </c>
      <c r="J396" s="2" t="s">
        <v>625</v>
      </c>
      <c r="K396" s="0" t="s">
        <v>626</v>
      </c>
      <c r="L396" s="0" t="s">
        <v>25</v>
      </c>
      <c r="M396" s="0" t="s">
        <v>627</v>
      </c>
      <c r="N396" s="0" t="s">
        <v>187</v>
      </c>
      <c r="O396" s="0" t="n">
        <v>1</v>
      </c>
      <c r="P396" s="0" t="s">
        <v>139</v>
      </c>
      <c r="Q396" s="0" t="s">
        <v>1115</v>
      </c>
      <c r="R396" s="3"/>
      <c r="S396" s="2" t="s">
        <v>30</v>
      </c>
    </row>
    <row r="397" customFormat="false" ht="15" hidden="false" customHeight="false" outlineLevel="0" collapsed="false">
      <c r="A397" s="0" t="n">
        <v>396</v>
      </c>
      <c r="D397" s="0" t="s">
        <v>1116</v>
      </c>
      <c r="E397" s="0" t="s">
        <v>342</v>
      </c>
      <c r="H397" s="0" t="s">
        <v>21</v>
      </c>
      <c r="I397" s="2" t="s">
        <v>22</v>
      </c>
      <c r="J397" s="2" t="s">
        <v>625</v>
      </c>
      <c r="K397" s="0" t="s">
        <v>626</v>
      </c>
      <c r="L397" s="0" t="s">
        <v>25</v>
      </c>
      <c r="M397" s="0" t="s">
        <v>627</v>
      </c>
      <c r="N397" s="0" t="s">
        <v>1117</v>
      </c>
      <c r="O397" s="0" t="n">
        <v>1</v>
      </c>
      <c r="P397" s="0" t="s">
        <v>139</v>
      </c>
      <c r="Q397" s="0" t="s">
        <v>1118</v>
      </c>
      <c r="R397" s="3"/>
      <c r="S397" s="2" t="s">
        <v>30</v>
      </c>
    </row>
    <row r="398" customFormat="false" ht="15" hidden="false" customHeight="false" outlineLevel="0" collapsed="false">
      <c r="A398" s="0" t="n">
        <v>397</v>
      </c>
      <c r="D398" s="0" t="s">
        <v>1119</v>
      </c>
      <c r="E398" s="0" t="s">
        <v>313</v>
      </c>
      <c r="H398" s="0" t="s">
        <v>21</v>
      </c>
      <c r="I398" s="2" t="s">
        <v>22</v>
      </c>
      <c r="J398" s="2" t="s">
        <v>625</v>
      </c>
      <c r="K398" s="0" t="s">
        <v>626</v>
      </c>
      <c r="L398" s="0" t="s">
        <v>25</v>
      </c>
      <c r="M398" s="0" t="s">
        <v>627</v>
      </c>
      <c r="N398" s="0" t="s">
        <v>417</v>
      </c>
      <c r="O398" s="0" t="n">
        <v>1</v>
      </c>
      <c r="P398" s="0" t="s">
        <v>294</v>
      </c>
      <c r="Q398" s="0" t="s">
        <v>1120</v>
      </c>
      <c r="R398" s="3"/>
      <c r="S398" s="2" t="s">
        <v>30</v>
      </c>
    </row>
    <row r="399" customFormat="false" ht="15" hidden="false" customHeight="false" outlineLevel="0" collapsed="false">
      <c r="A399" s="0" t="n">
        <v>398</v>
      </c>
      <c r="D399" s="0" t="s">
        <v>1121</v>
      </c>
      <c r="E399" s="0" t="s">
        <v>1122</v>
      </c>
      <c r="H399" s="0" t="s">
        <v>21</v>
      </c>
      <c r="I399" s="2" t="s">
        <v>22</v>
      </c>
      <c r="J399" s="2" t="s">
        <v>625</v>
      </c>
      <c r="K399" s="0" t="s">
        <v>626</v>
      </c>
      <c r="L399" s="0" t="s">
        <v>25</v>
      </c>
      <c r="M399" s="0" t="s">
        <v>627</v>
      </c>
      <c r="N399" s="0" t="s">
        <v>1123</v>
      </c>
      <c r="O399" s="0" t="n">
        <v>1</v>
      </c>
      <c r="P399" s="0" t="s">
        <v>139</v>
      </c>
      <c r="Q399" s="0" t="s">
        <v>1124</v>
      </c>
      <c r="R399" s="3"/>
      <c r="S399" s="2" t="s">
        <v>30</v>
      </c>
    </row>
    <row r="400" customFormat="false" ht="15" hidden="false" customHeight="false" outlineLevel="0" collapsed="false">
      <c r="A400" s="0" t="n">
        <v>399</v>
      </c>
      <c r="D400" s="0" t="s">
        <v>1125</v>
      </c>
      <c r="E400" s="0" t="s">
        <v>789</v>
      </c>
      <c r="H400" s="0" t="s">
        <v>21</v>
      </c>
      <c r="I400" s="2" t="s">
        <v>22</v>
      </c>
      <c r="J400" s="2" t="s">
        <v>625</v>
      </c>
      <c r="K400" s="0" t="s">
        <v>626</v>
      </c>
      <c r="L400" s="0" t="s">
        <v>25</v>
      </c>
      <c r="M400" s="0" t="s">
        <v>627</v>
      </c>
      <c r="N400" s="0" t="s">
        <v>1126</v>
      </c>
      <c r="O400" s="0" t="n">
        <v>1</v>
      </c>
      <c r="P400" s="0" t="s">
        <v>294</v>
      </c>
      <c r="Q400" s="0" t="s">
        <v>1127</v>
      </c>
      <c r="R400" s="3"/>
      <c r="S400" s="2" t="s">
        <v>30</v>
      </c>
    </row>
    <row r="401" customFormat="false" ht="15" hidden="false" customHeight="false" outlineLevel="0" collapsed="false">
      <c r="A401" s="0" t="n">
        <v>400</v>
      </c>
      <c r="D401" s="0" t="s">
        <v>1128</v>
      </c>
      <c r="E401" s="0" t="s">
        <v>305</v>
      </c>
      <c r="H401" s="0" t="s">
        <v>21</v>
      </c>
      <c r="I401" s="2" t="s">
        <v>22</v>
      </c>
      <c r="J401" s="2" t="s">
        <v>625</v>
      </c>
      <c r="K401" s="0" t="s">
        <v>626</v>
      </c>
      <c r="L401" s="0" t="s">
        <v>25</v>
      </c>
      <c r="M401" s="0" t="s">
        <v>627</v>
      </c>
      <c r="N401" s="0" t="s">
        <v>306</v>
      </c>
      <c r="O401" s="0" t="n">
        <v>1</v>
      </c>
      <c r="P401" s="0" t="s">
        <v>46</v>
      </c>
      <c r="Q401" s="0" t="s">
        <v>1129</v>
      </c>
      <c r="R401" s="3"/>
      <c r="S401" s="2" t="s">
        <v>30</v>
      </c>
    </row>
    <row r="402" customFormat="false" ht="15" hidden="false" customHeight="false" outlineLevel="0" collapsed="false">
      <c r="A402" s="0" t="n">
        <v>401</v>
      </c>
      <c r="D402" s="0" t="s">
        <v>1130</v>
      </c>
      <c r="E402" s="0" t="s">
        <v>521</v>
      </c>
      <c r="H402" s="0" t="s">
        <v>21</v>
      </c>
      <c r="I402" s="2" t="s">
        <v>22</v>
      </c>
      <c r="J402" s="2" t="s">
        <v>625</v>
      </c>
      <c r="K402" s="0" t="s">
        <v>626</v>
      </c>
      <c r="L402" s="0" t="s">
        <v>25</v>
      </c>
      <c r="M402" s="0" t="s">
        <v>627</v>
      </c>
      <c r="N402" s="0" t="s">
        <v>1085</v>
      </c>
      <c r="O402" s="0" t="n">
        <v>1</v>
      </c>
      <c r="P402" s="0" t="s">
        <v>46</v>
      </c>
      <c r="Q402" s="0" t="s">
        <v>1131</v>
      </c>
      <c r="R402" s="3"/>
      <c r="S402" s="2" t="s">
        <v>30</v>
      </c>
    </row>
    <row r="403" customFormat="false" ht="15" hidden="false" customHeight="false" outlineLevel="0" collapsed="false">
      <c r="A403" s="0" t="n">
        <v>402</v>
      </c>
      <c r="D403" s="0" t="s">
        <v>1132</v>
      </c>
      <c r="E403" s="0" t="s">
        <v>313</v>
      </c>
      <c r="H403" s="0" t="s">
        <v>21</v>
      </c>
      <c r="I403" s="2" t="s">
        <v>22</v>
      </c>
      <c r="J403" s="2" t="s">
        <v>625</v>
      </c>
      <c r="K403" s="0" t="s">
        <v>626</v>
      </c>
      <c r="L403" s="0" t="s">
        <v>25</v>
      </c>
      <c r="M403" s="0" t="s">
        <v>627</v>
      </c>
      <c r="N403" s="0" t="s">
        <v>831</v>
      </c>
      <c r="O403" s="0" t="n">
        <v>1</v>
      </c>
      <c r="P403" s="0" t="s">
        <v>46</v>
      </c>
      <c r="Q403" s="0" t="s">
        <v>1133</v>
      </c>
      <c r="R403" s="3"/>
      <c r="S403" s="2" t="s">
        <v>30</v>
      </c>
    </row>
    <row r="404" customFormat="false" ht="15" hidden="false" customHeight="false" outlineLevel="0" collapsed="false">
      <c r="A404" s="0" t="n">
        <v>403</v>
      </c>
      <c r="D404" s="0" t="s">
        <v>1134</v>
      </c>
      <c r="E404" s="0" t="s">
        <v>313</v>
      </c>
      <c r="H404" s="0" t="s">
        <v>21</v>
      </c>
      <c r="I404" s="2" t="s">
        <v>22</v>
      </c>
      <c r="J404" s="2" t="s">
        <v>625</v>
      </c>
      <c r="K404" s="0" t="s">
        <v>626</v>
      </c>
      <c r="L404" s="0" t="s">
        <v>25</v>
      </c>
      <c r="M404" s="0" t="s">
        <v>627</v>
      </c>
      <c r="N404" s="0" t="s">
        <v>417</v>
      </c>
      <c r="O404" s="0" t="n">
        <v>1</v>
      </c>
      <c r="P404" s="0" t="s">
        <v>46</v>
      </c>
      <c r="Q404" s="0" t="s">
        <v>1135</v>
      </c>
      <c r="R404" s="3"/>
      <c r="S404" s="2" t="s">
        <v>30</v>
      </c>
    </row>
    <row r="405" customFormat="false" ht="15" hidden="false" customHeight="false" outlineLevel="0" collapsed="false">
      <c r="A405" s="0" t="n">
        <v>404</v>
      </c>
      <c r="D405" s="0" t="s">
        <v>1136</v>
      </c>
      <c r="E405" s="0" t="s">
        <v>313</v>
      </c>
      <c r="H405" s="0" t="s">
        <v>21</v>
      </c>
      <c r="I405" s="2" t="s">
        <v>22</v>
      </c>
      <c r="J405" s="2" t="s">
        <v>625</v>
      </c>
      <c r="K405" s="0" t="s">
        <v>626</v>
      </c>
      <c r="L405" s="0" t="s">
        <v>1137</v>
      </c>
      <c r="M405" s="0" t="s">
        <v>627</v>
      </c>
      <c r="N405" s="0" t="s">
        <v>1138</v>
      </c>
      <c r="O405" s="0" t="n">
        <v>2</v>
      </c>
      <c r="P405" s="0" t="s">
        <v>72</v>
      </c>
      <c r="Q405" s="0" t="s">
        <v>1139</v>
      </c>
      <c r="R405" s="3"/>
      <c r="S405" s="2" t="s">
        <v>30</v>
      </c>
    </row>
    <row r="406" customFormat="false" ht="15" hidden="false" customHeight="false" outlineLevel="0" collapsed="false">
      <c r="A406" s="0" t="n">
        <v>405</v>
      </c>
      <c r="D406" s="0" t="s">
        <v>1140</v>
      </c>
      <c r="E406" s="0" t="s">
        <v>104</v>
      </c>
      <c r="H406" s="0" t="s">
        <v>21</v>
      </c>
      <c r="I406" s="2" t="s">
        <v>22</v>
      </c>
      <c r="J406" s="2" t="s">
        <v>625</v>
      </c>
      <c r="K406" s="0" t="s">
        <v>626</v>
      </c>
      <c r="L406" s="0" t="s">
        <v>114</v>
      </c>
      <c r="M406" s="0" t="s">
        <v>627</v>
      </c>
      <c r="O406" s="0" t="n">
        <v>0</v>
      </c>
      <c r="P406" s="0" t="s">
        <v>33</v>
      </c>
      <c r="Q406" s="0" t="s">
        <v>1141</v>
      </c>
      <c r="R406" s="3"/>
      <c r="S406" s="2" t="s">
        <v>30</v>
      </c>
    </row>
    <row r="407" customFormat="false" ht="15" hidden="false" customHeight="false" outlineLevel="0" collapsed="false">
      <c r="A407" s="0" t="n">
        <v>406</v>
      </c>
      <c r="D407" s="0" t="s">
        <v>1142</v>
      </c>
      <c r="E407" s="0" t="s">
        <v>313</v>
      </c>
      <c r="H407" s="0" t="s">
        <v>21</v>
      </c>
      <c r="I407" s="2" t="s">
        <v>22</v>
      </c>
      <c r="J407" s="2" t="s">
        <v>625</v>
      </c>
      <c r="K407" s="0" t="s">
        <v>626</v>
      </c>
      <c r="L407" s="0" t="s">
        <v>25</v>
      </c>
      <c r="M407" s="0" t="s">
        <v>627</v>
      </c>
      <c r="N407" s="0" t="s">
        <v>417</v>
      </c>
      <c r="O407" s="0" t="n">
        <v>1</v>
      </c>
      <c r="P407" s="0" t="s">
        <v>294</v>
      </c>
      <c r="Q407" s="0" t="s">
        <v>1143</v>
      </c>
      <c r="R407" s="3"/>
      <c r="S407" s="2" t="s">
        <v>30</v>
      </c>
    </row>
    <row r="408" customFormat="false" ht="15" hidden="false" customHeight="false" outlineLevel="0" collapsed="false">
      <c r="A408" s="0" t="n">
        <v>407</v>
      </c>
      <c r="D408" s="0" t="s">
        <v>1144</v>
      </c>
      <c r="E408" s="0" t="s">
        <v>104</v>
      </c>
      <c r="H408" s="0" t="s">
        <v>21</v>
      </c>
      <c r="I408" s="2" t="s">
        <v>22</v>
      </c>
      <c r="J408" s="2" t="s">
        <v>625</v>
      </c>
      <c r="K408" s="0" t="s">
        <v>626</v>
      </c>
      <c r="L408" s="0" t="s">
        <v>25</v>
      </c>
      <c r="M408" s="0" t="s">
        <v>627</v>
      </c>
      <c r="N408" s="0" t="s">
        <v>105</v>
      </c>
      <c r="O408" s="0" t="n">
        <v>1</v>
      </c>
      <c r="P408" s="0" t="s">
        <v>46</v>
      </c>
      <c r="Q408" s="0" t="s">
        <v>1145</v>
      </c>
      <c r="R408" s="3"/>
      <c r="S408" s="2" t="s">
        <v>30</v>
      </c>
    </row>
    <row r="409" customFormat="false" ht="15" hidden="false" customHeight="false" outlineLevel="0" collapsed="false">
      <c r="A409" s="0" t="n">
        <v>408</v>
      </c>
      <c r="D409" s="0" t="s">
        <v>1146</v>
      </c>
      <c r="E409" s="0" t="s">
        <v>113</v>
      </c>
      <c r="H409" s="0" t="s">
        <v>21</v>
      </c>
      <c r="I409" s="2" t="s">
        <v>22</v>
      </c>
      <c r="J409" s="2" t="s">
        <v>625</v>
      </c>
      <c r="K409" s="0" t="s">
        <v>626</v>
      </c>
      <c r="L409" s="0" t="s">
        <v>25</v>
      </c>
      <c r="M409" s="0" t="s">
        <v>627</v>
      </c>
      <c r="N409" s="0" t="s">
        <v>1147</v>
      </c>
      <c r="O409" s="0" t="n">
        <v>1</v>
      </c>
      <c r="P409" s="0" t="s">
        <v>33</v>
      </c>
      <c r="Q409" s="0" t="s">
        <v>1148</v>
      </c>
      <c r="R409" s="3"/>
      <c r="S409" s="2" t="s">
        <v>30</v>
      </c>
    </row>
    <row r="410" customFormat="false" ht="15" hidden="false" customHeight="false" outlineLevel="0" collapsed="false">
      <c r="A410" s="0" t="n">
        <v>409</v>
      </c>
      <c r="D410" s="0" t="s">
        <v>1149</v>
      </c>
      <c r="E410" s="0" t="s">
        <v>113</v>
      </c>
      <c r="H410" s="0" t="s">
        <v>21</v>
      </c>
      <c r="I410" s="2" t="s">
        <v>22</v>
      </c>
      <c r="J410" s="2" t="s">
        <v>625</v>
      </c>
      <c r="K410" s="0" t="s">
        <v>626</v>
      </c>
      <c r="L410" s="0" t="s">
        <v>25</v>
      </c>
      <c r="M410" s="0" t="s">
        <v>627</v>
      </c>
      <c r="N410" s="0" t="s">
        <v>1150</v>
      </c>
      <c r="O410" s="0" t="n">
        <v>1</v>
      </c>
      <c r="P410" s="0" t="s">
        <v>33</v>
      </c>
      <c r="Q410" s="0" t="s">
        <v>1151</v>
      </c>
      <c r="R410" s="3"/>
      <c r="S410" s="2" t="s">
        <v>30</v>
      </c>
    </row>
    <row r="411" customFormat="false" ht="15" hidden="false" customHeight="false" outlineLevel="0" collapsed="false">
      <c r="A411" s="0" t="n">
        <v>410</v>
      </c>
      <c r="D411" s="0" t="s">
        <v>1152</v>
      </c>
      <c r="E411" s="0" t="s">
        <v>342</v>
      </c>
      <c r="H411" s="0" t="s">
        <v>21</v>
      </c>
      <c r="I411" s="2" t="s">
        <v>22</v>
      </c>
      <c r="J411" s="2" t="s">
        <v>625</v>
      </c>
      <c r="K411" s="0" t="s">
        <v>626</v>
      </c>
      <c r="L411" s="0" t="s">
        <v>25</v>
      </c>
      <c r="M411" s="0" t="s">
        <v>627</v>
      </c>
      <c r="N411" s="0" t="s">
        <v>167</v>
      </c>
      <c r="O411" s="0" t="n">
        <v>1</v>
      </c>
      <c r="P411" s="0" t="s">
        <v>72</v>
      </c>
      <c r="Q411" s="0" t="s">
        <v>1153</v>
      </c>
      <c r="R411" s="3"/>
      <c r="S411" s="2" t="s">
        <v>30</v>
      </c>
    </row>
    <row r="412" customFormat="false" ht="15" hidden="false" customHeight="false" outlineLevel="0" collapsed="false">
      <c r="A412" s="0" t="n">
        <v>411</v>
      </c>
      <c r="D412" s="0" t="s">
        <v>1154</v>
      </c>
      <c r="E412" s="0" t="s">
        <v>309</v>
      </c>
      <c r="H412" s="0" t="s">
        <v>21</v>
      </c>
      <c r="I412" s="2" t="s">
        <v>22</v>
      </c>
      <c r="J412" s="2" t="s">
        <v>625</v>
      </c>
      <c r="K412" s="0" t="s">
        <v>626</v>
      </c>
      <c r="L412" s="0" t="s">
        <v>25</v>
      </c>
      <c r="M412" s="0" t="s">
        <v>627</v>
      </c>
      <c r="N412" s="0" t="s">
        <v>1057</v>
      </c>
      <c r="O412" s="0" t="n">
        <v>1</v>
      </c>
      <c r="P412" s="0" t="s">
        <v>33</v>
      </c>
      <c r="Q412" s="0" t="s">
        <v>1155</v>
      </c>
      <c r="R412" s="3"/>
      <c r="S412" s="2" t="s">
        <v>30</v>
      </c>
    </row>
    <row r="413" customFormat="false" ht="15" hidden="false" customHeight="false" outlineLevel="0" collapsed="false">
      <c r="A413" s="0" t="n">
        <v>412</v>
      </c>
      <c r="D413" s="0" t="s">
        <v>1156</v>
      </c>
      <c r="E413" s="0" t="s">
        <v>1157</v>
      </c>
      <c r="H413" s="0" t="s">
        <v>21</v>
      </c>
      <c r="I413" s="2" t="s">
        <v>22</v>
      </c>
      <c r="J413" s="2" t="s">
        <v>625</v>
      </c>
      <c r="K413" s="0" t="s">
        <v>626</v>
      </c>
      <c r="L413" s="0" t="s">
        <v>1158</v>
      </c>
      <c r="M413" s="0" t="s">
        <v>627</v>
      </c>
      <c r="N413" s="0" t="s">
        <v>1159</v>
      </c>
      <c r="O413" s="0" t="n">
        <v>1</v>
      </c>
      <c r="P413" s="0" t="s">
        <v>46</v>
      </c>
      <c r="Q413" s="0" t="s">
        <v>1160</v>
      </c>
      <c r="R413" s="3"/>
      <c r="S413" s="2" t="s">
        <v>1161</v>
      </c>
    </row>
    <row r="414" customFormat="false" ht="15" hidden="false" customHeight="false" outlineLevel="0" collapsed="false">
      <c r="A414" s="0" t="n">
        <v>413</v>
      </c>
      <c r="D414" s="0" t="s">
        <v>1162</v>
      </c>
      <c r="E414" s="0" t="s">
        <v>113</v>
      </c>
      <c r="H414" s="0" t="s">
        <v>21</v>
      </c>
      <c r="I414" s="2" t="s">
        <v>22</v>
      </c>
      <c r="J414" s="2" t="s">
        <v>625</v>
      </c>
      <c r="K414" s="0" t="s">
        <v>626</v>
      </c>
      <c r="L414" s="0" t="s">
        <v>25</v>
      </c>
      <c r="M414" s="0" t="s">
        <v>627</v>
      </c>
      <c r="N414" s="0" t="s">
        <v>1163</v>
      </c>
      <c r="O414" s="0" t="n">
        <v>1</v>
      </c>
      <c r="P414" s="0" t="s">
        <v>46</v>
      </c>
      <c r="Q414" s="0" t="s">
        <v>1164</v>
      </c>
      <c r="R414" s="3"/>
      <c r="S414" s="2" t="s">
        <v>30</v>
      </c>
    </row>
    <row r="415" customFormat="false" ht="15" hidden="false" customHeight="false" outlineLevel="0" collapsed="false">
      <c r="A415" s="0" t="n">
        <v>414</v>
      </c>
      <c r="D415" s="0" t="s">
        <v>1165</v>
      </c>
      <c r="E415" s="0" t="s">
        <v>113</v>
      </c>
      <c r="H415" s="0" t="s">
        <v>21</v>
      </c>
      <c r="I415" s="2" t="s">
        <v>22</v>
      </c>
      <c r="J415" s="2" t="s">
        <v>625</v>
      </c>
      <c r="K415" s="0" t="s">
        <v>626</v>
      </c>
      <c r="L415" s="0" t="s">
        <v>25</v>
      </c>
      <c r="M415" s="0" t="s">
        <v>627</v>
      </c>
      <c r="N415" s="0" t="s">
        <v>1166</v>
      </c>
      <c r="O415" s="0" t="n">
        <v>1</v>
      </c>
      <c r="P415" s="0" t="s">
        <v>33</v>
      </c>
      <c r="Q415" s="0" t="s">
        <v>1167</v>
      </c>
      <c r="R415" s="3"/>
      <c r="S415" s="2" t="s">
        <v>30</v>
      </c>
    </row>
    <row r="416" customFormat="false" ht="15" hidden="false" customHeight="false" outlineLevel="0" collapsed="false">
      <c r="A416" s="0" t="n">
        <v>415</v>
      </c>
      <c r="D416" s="0" t="s">
        <v>1168</v>
      </c>
      <c r="E416" s="0" t="s">
        <v>521</v>
      </c>
      <c r="H416" s="0" t="s">
        <v>21</v>
      </c>
      <c r="I416" s="2" t="s">
        <v>22</v>
      </c>
      <c r="J416" s="2" t="s">
        <v>625</v>
      </c>
      <c r="K416" s="0" t="s">
        <v>626</v>
      </c>
      <c r="L416" s="0" t="s">
        <v>25</v>
      </c>
      <c r="M416" s="0" t="s">
        <v>627</v>
      </c>
      <c r="N416" s="0" t="s">
        <v>1169</v>
      </c>
      <c r="O416" s="0" t="n">
        <v>1</v>
      </c>
      <c r="P416" s="0" t="s">
        <v>46</v>
      </c>
      <c r="Q416" s="0" t="s">
        <v>1170</v>
      </c>
      <c r="R416" s="3"/>
      <c r="S416" s="2" t="s">
        <v>30</v>
      </c>
    </row>
    <row r="417" customFormat="false" ht="15" hidden="false" customHeight="false" outlineLevel="0" collapsed="false">
      <c r="A417" s="0" t="n">
        <v>416</v>
      </c>
      <c r="D417" s="0" t="s">
        <v>1171</v>
      </c>
      <c r="E417" s="0" t="s">
        <v>313</v>
      </c>
      <c r="H417" s="0" t="s">
        <v>21</v>
      </c>
      <c r="I417" s="2" t="s">
        <v>22</v>
      </c>
      <c r="J417" s="2" t="s">
        <v>625</v>
      </c>
      <c r="K417" s="0" t="s">
        <v>626</v>
      </c>
      <c r="L417" s="0" t="s">
        <v>25</v>
      </c>
      <c r="M417" s="0" t="s">
        <v>627</v>
      </c>
      <c r="N417" s="0" t="s">
        <v>417</v>
      </c>
      <c r="O417" s="0" t="n">
        <v>1</v>
      </c>
      <c r="Q417" s="0" t="s">
        <v>1172</v>
      </c>
      <c r="R417" s="3"/>
      <c r="S417" s="2" t="s">
        <v>30</v>
      </c>
    </row>
    <row r="418" customFormat="false" ht="15" hidden="false" customHeight="false" outlineLevel="0" collapsed="false">
      <c r="A418" s="0" t="n">
        <v>417</v>
      </c>
      <c r="D418" s="0" t="s">
        <v>1173</v>
      </c>
      <c r="E418" s="0" t="s">
        <v>1174</v>
      </c>
      <c r="H418" s="0" t="s">
        <v>21</v>
      </c>
      <c r="I418" s="2" t="s">
        <v>22</v>
      </c>
      <c r="J418" s="2" t="s">
        <v>625</v>
      </c>
      <c r="K418" s="0" t="s">
        <v>626</v>
      </c>
      <c r="L418" s="0" t="s">
        <v>25</v>
      </c>
      <c r="M418" s="0" t="s">
        <v>627</v>
      </c>
      <c r="N418" s="0" t="s">
        <v>1175</v>
      </c>
      <c r="O418" s="0" t="n">
        <v>1</v>
      </c>
      <c r="P418" s="0" t="s">
        <v>121</v>
      </c>
      <c r="Q418" s="0" t="s">
        <v>1176</v>
      </c>
      <c r="R418" s="3"/>
      <c r="S418" s="2" t="s">
        <v>30</v>
      </c>
    </row>
    <row r="419" customFormat="false" ht="15" hidden="false" customHeight="false" outlineLevel="0" collapsed="false">
      <c r="A419" s="0" t="n">
        <v>418</v>
      </c>
      <c r="D419" s="0" t="s">
        <v>1177</v>
      </c>
      <c r="E419" s="0" t="s">
        <v>611</v>
      </c>
      <c r="H419" s="0" t="s">
        <v>21</v>
      </c>
      <c r="I419" s="2" t="s">
        <v>22</v>
      </c>
      <c r="J419" s="2" t="s">
        <v>625</v>
      </c>
      <c r="K419" s="0" t="s">
        <v>626</v>
      </c>
      <c r="L419" s="0" t="s">
        <v>25</v>
      </c>
      <c r="M419" s="0" t="s">
        <v>627</v>
      </c>
      <c r="N419" s="0" t="s">
        <v>612</v>
      </c>
      <c r="O419" s="0" t="n">
        <v>1</v>
      </c>
      <c r="P419" s="0" t="s">
        <v>46</v>
      </c>
      <c r="Q419" s="0" t="s">
        <v>1178</v>
      </c>
      <c r="R419" s="3"/>
      <c r="S419" s="2" t="s">
        <v>30</v>
      </c>
    </row>
    <row r="420" customFormat="false" ht="15" hidden="false" customHeight="false" outlineLevel="0" collapsed="false">
      <c r="A420" s="0" t="n">
        <v>419</v>
      </c>
      <c r="D420" s="0" t="s">
        <v>1179</v>
      </c>
      <c r="E420" s="0" t="s">
        <v>615</v>
      </c>
      <c r="H420" s="0" t="s">
        <v>21</v>
      </c>
      <c r="I420" s="2" t="s">
        <v>22</v>
      </c>
      <c r="J420" s="2" t="s">
        <v>625</v>
      </c>
      <c r="K420" s="0" t="s">
        <v>626</v>
      </c>
      <c r="L420" s="0" t="s">
        <v>25</v>
      </c>
      <c r="M420" s="0" t="s">
        <v>627</v>
      </c>
      <c r="N420" s="0" t="s">
        <v>1180</v>
      </c>
      <c r="O420" s="0" t="n">
        <v>1</v>
      </c>
      <c r="P420" s="0" t="s">
        <v>46</v>
      </c>
      <c r="Q420" s="0" t="s">
        <v>1181</v>
      </c>
      <c r="R420" s="3"/>
      <c r="S420" s="2" t="s">
        <v>30</v>
      </c>
    </row>
    <row r="421" customFormat="false" ht="15" hidden="false" customHeight="false" outlineLevel="0" collapsed="false">
      <c r="A421" s="0" t="n">
        <v>420</v>
      </c>
      <c r="D421" s="0" t="s">
        <v>1182</v>
      </c>
      <c r="E421" s="0" t="s">
        <v>1183</v>
      </c>
      <c r="H421" s="0" t="s">
        <v>21</v>
      </c>
      <c r="I421" s="2" t="s">
        <v>22</v>
      </c>
      <c r="J421" s="2" t="s">
        <v>625</v>
      </c>
      <c r="K421" s="0" t="s">
        <v>626</v>
      </c>
      <c r="L421" s="0" t="s">
        <v>25</v>
      </c>
      <c r="M421" s="0" t="s">
        <v>627</v>
      </c>
      <c r="N421" s="0" t="s">
        <v>1184</v>
      </c>
      <c r="O421" s="0" t="n">
        <v>1</v>
      </c>
      <c r="P421" s="0" t="s">
        <v>46</v>
      </c>
      <c r="Q421" s="0" t="s">
        <v>1185</v>
      </c>
      <c r="R421" s="3"/>
      <c r="S421" s="2" t="s">
        <v>30</v>
      </c>
    </row>
    <row r="422" customFormat="false" ht="15" hidden="false" customHeight="false" outlineLevel="0" collapsed="false">
      <c r="A422" s="0" t="n">
        <v>421</v>
      </c>
      <c r="D422" s="0" t="s">
        <v>1186</v>
      </c>
      <c r="E422" s="0" t="s">
        <v>736</v>
      </c>
      <c r="H422" s="0" t="s">
        <v>21</v>
      </c>
      <c r="I422" s="2" t="s">
        <v>22</v>
      </c>
      <c r="J422" s="2" t="s">
        <v>625</v>
      </c>
      <c r="K422" s="0" t="s">
        <v>626</v>
      </c>
      <c r="L422" s="0" t="s">
        <v>25</v>
      </c>
      <c r="M422" s="0" t="s">
        <v>627</v>
      </c>
      <c r="N422" s="0" t="s">
        <v>779</v>
      </c>
      <c r="O422" s="0" t="n">
        <v>1</v>
      </c>
      <c r="P422" s="0" t="s">
        <v>72</v>
      </c>
      <c r="Q422" s="0" t="s">
        <v>1187</v>
      </c>
      <c r="R422" s="3"/>
      <c r="S422" s="2" t="s">
        <v>30</v>
      </c>
    </row>
    <row r="423" customFormat="false" ht="15" hidden="false" customHeight="false" outlineLevel="0" collapsed="false">
      <c r="A423" s="0" t="n">
        <v>422</v>
      </c>
      <c r="D423" s="0" t="s">
        <v>1188</v>
      </c>
      <c r="E423" s="0" t="s">
        <v>200</v>
      </c>
      <c r="H423" s="0" t="s">
        <v>21</v>
      </c>
      <c r="I423" s="2" t="s">
        <v>22</v>
      </c>
      <c r="J423" s="2" t="s">
        <v>625</v>
      </c>
      <c r="K423" s="0" t="s">
        <v>626</v>
      </c>
      <c r="L423" s="0" t="s">
        <v>25</v>
      </c>
      <c r="M423" s="0" t="s">
        <v>627</v>
      </c>
      <c r="N423" s="0" t="s">
        <v>923</v>
      </c>
      <c r="O423" s="0" t="n">
        <v>1</v>
      </c>
      <c r="P423" s="0" t="s">
        <v>33</v>
      </c>
      <c r="Q423" s="0" t="s">
        <v>1189</v>
      </c>
      <c r="R423" s="3"/>
      <c r="S423" s="2" t="s">
        <v>30</v>
      </c>
    </row>
    <row r="424" customFormat="false" ht="15" hidden="false" customHeight="false" outlineLevel="0" collapsed="false">
      <c r="A424" s="0" t="n">
        <v>423</v>
      </c>
      <c r="D424" s="0" t="s">
        <v>1190</v>
      </c>
      <c r="E424" s="0" t="s">
        <v>342</v>
      </c>
      <c r="H424" s="0" t="s">
        <v>21</v>
      </c>
      <c r="I424" s="2" t="s">
        <v>22</v>
      </c>
      <c r="J424" s="2" t="s">
        <v>625</v>
      </c>
      <c r="K424" s="0" t="s">
        <v>626</v>
      </c>
      <c r="L424" s="0" t="s">
        <v>25</v>
      </c>
      <c r="M424" s="0" t="s">
        <v>627</v>
      </c>
      <c r="N424" s="0" t="s">
        <v>167</v>
      </c>
      <c r="O424" s="0" t="n">
        <v>1</v>
      </c>
      <c r="P424" s="0" t="s">
        <v>46</v>
      </c>
      <c r="Q424" s="0" t="s">
        <v>1191</v>
      </c>
      <c r="R424" s="3"/>
      <c r="S424" s="2" t="s">
        <v>30</v>
      </c>
    </row>
    <row r="425" customFormat="false" ht="15" hidden="false" customHeight="false" outlineLevel="0" collapsed="false">
      <c r="A425" s="0" t="n">
        <v>424</v>
      </c>
      <c r="D425" s="0" t="s">
        <v>1192</v>
      </c>
      <c r="E425" s="0" t="s">
        <v>611</v>
      </c>
      <c r="H425" s="0" t="s">
        <v>21</v>
      </c>
      <c r="I425" s="2" t="s">
        <v>22</v>
      </c>
      <c r="J425" s="2" t="s">
        <v>625</v>
      </c>
      <c r="K425" s="0" t="s">
        <v>626</v>
      </c>
      <c r="L425" s="0" t="s">
        <v>25</v>
      </c>
      <c r="M425" s="0" t="s">
        <v>627</v>
      </c>
      <c r="N425" s="0" t="s">
        <v>612</v>
      </c>
      <c r="O425" s="0" t="n">
        <v>1</v>
      </c>
      <c r="P425" s="0" t="s">
        <v>46</v>
      </c>
      <c r="Q425" s="0" t="s">
        <v>1193</v>
      </c>
      <c r="R425" s="3"/>
      <c r="S425" s="2" t="s">
        <v>30</v>
      </c>
    </row>
    <row r="426" customFormat="false" ht="15" hidden="false" customHeight="false" outlineLevel="0" collapsed="false">
      <c r="A426" s="0" t="n">
        <v>425</v>
      </c>
      <c r="D426" s="0" t="s">
        <v>1194</v>
      </c>
      <c r="E426" s="0" t="s">
        <v>305</v>
      </c>
      <c r="H426" s="0" t="s">
        <v>21</v>
      </c>
      <c r="I426" s="2" t="s">
        <v>22</v>
      </c>
      <c r="J426" s="2" t="s">
        <v>625</v>
      </c>
      <c r="K426" s="0" t="s">
        <v>626</v>
      </c>
      <c r="L426" s="0" t="s">
        <v>25</v>
      </c>
      <c r="M426" s="0" t="s">
        <v>627</v>
      </c>
      <c r="N426" s="0" t="s">
        <v>306</v>
      </c>
      <c r="O426" s="0" t="n">
        <v>1</v>
      </c>
      <c r="P426" s="0" t="s">
        <v>46</v>
      </c>
      <c r="Q426" s="0" t="s">
        <v>1195</v>
      </c>
      <c r="R426" s="3"/>
      <c r="S426" s="2" t="s">
        <v>30</v>
      </c>
    </row>
    <row r="427" customFormat="false" ht="15" hidden="false" customHeight="false" outlineLevel="0" collapsed="false">
      <c r="A427" s="0" t="n">
        <v>426</v>
      </c>
      <c r="D427" s="0" t="s">
        <v>1196</v>
      </c>
      <c r="E427" s="0" t="s">
        <v>342</v>
      </c>
      <c r="H427" s="0" t="s">
        <v>21</v>
      </c>
      <c r="I427" s="2" t="s">
        <v>22</v>
      </c>
      <c r="J427" s="2" t="s">
        <v>625</v>
      </c>
      <c r="K427" s="0" t="s">
        <v>626</v>
      </c>
      <c r="L427" s="0" t="s">
        <v>25</v>
      </c>
      <c r="M427" s="0" t="s">
        <v>627</v>
      </c>
      <c r="N427" s="0" t="s">
        <v>167</v>
      </c>
      <c r="O427" s="0" t="n">
        <v>1</v>
      </c>
      <c r="P427" s="0" t="s">
        <v>72</v>
      </c>
      <c r="Q427" s="0" t="s">
        <v>1197</v>
      </c>
      <c r="R427" s="3"/>
      <c r="S427" s="2" t="s">
        <v>30</v>
      </c>
    </row>
    <row r="428" customFormat="false" ht="15" hidden="false" customHeight="false" outlineLevel="0" collapsed="false">
      <c r="A428" s="0" t="n">
        <v>427</v>
      </c>
      <c r="D428" s="0" t="s">
        <v>1198</v>
      </c>
      <c r="E428" s="0" t="s">
        <v>789</v>
      </c>
      <c r="H428" s="0" t="s">
        <v>21</v>
      </c>
      <c r="I428" s="2" t="s">
        <v>22</v>
      </c>
      <c r="J428" s="2" t="s">
        <v>625</v>
      </c>
      <c r="K428" s="0" t="s">
        <v>626</v>
      </c>
      <c r="L428" s="0" t="s">
        <v>25</v>
      </c>
      <c r="M428" s="0" t="s">
        <v>627</v>
      </c>
      <c r="N428" s="0" t="s">
        <v>1199</v>
      </c>
      <c r="O428" s="0" t="n">
        <v>1</v>
      </c>
      <c r="P428" s="0" t="s">
        <v>121</v>
      </c>
      <c r="Q428" s="0" t="s">
        <v>1200</v>
      </c>
      <c r="R428" s="3"/>
      <c r="S428" s="2" t="s">
        <v>30</v>
      </c>
    </row>
    <row r="429" customFormat="false" ht="15" hidden="false" customHeight="false" outlineLevel="0" collapsed="false">
      <c r="I429" s="2"/>
      <c r="J429" s="2"/>
    </row>
    <row r="430" customFormat="false" ht="15" hidden="false" customHeight="false" outlineLevel="0" collapsed="false">
      <c r="I430" s="2"/>
      <c r="J430" s="2"/>
    </row>
    <row r="431" customFormat="false" ht="15" hidden="false" customHeight="false" outlineLevel="0" collapsed="false">
      <c r="I431" s="2"/>
      <c r="J431" s="2"/>
    </row>
    <row r="432" customFormat="false" ht="15" hidden="false" customHeight="false" outlineLevel="0" collapsed="false">
      <c r="I432" s="2"/>
      <c r="J432" s="2"/>
    </row>
    <row r="433" customFormat="false" ht="15" hidden="false" customHeight="false" outlineLevel="0" collapsed="false">
      <c r="I433" s="2"/>
      <c r="J433" s="2"/>
    </row>
    <row r="434" customFormat="false" ht="15" hidden="false" customHeight="false" outlineLevel="0" collapsed="false">
      <c r="I434" s="2"/>
      <c r="J434" s="2"/>
    </row>
    <row r="435" customFormat="false" ht="15" hidden="false" customHeight="false" outlineLevel="0" collapsed="false">
      <c r="I435" s="2"/>
      <c r="J435" s="2"/>
    </row>
    <row r="436" customFormat="false" ht="15" hidden="false" customHeight="false" outlineLevel="0" collapsed="false">
      <c r="I436" s="2"/>
      <c r="J436" s="2"/>
    </row>
    <row r="437" customFormat="false" ht="15" hidden="false" customHeight="false" outlineLevel="0" collapsed="false">
      <c r="I437" s="2"/>
      <c r="J437" s="2"/>
    </row>
    <row r="438" customFormat="false" ht="15" hidden="false" customHeight="false" outlineLevel="0" collapsed="false">
      <c r="I438" s="2"/>
      <c r="J438" s="2"/>
    </row>
    <row r="439" customFormat="false" ht="15" hidden="false" customHeight="false" outlineLevel="0" collapsed="false">
      <c r="I439" s="2"/>
      <c r="J439" s="2"/>
    </row>
    <row r="440" customFormat="false" ht="15" hidden="false" customHeight="false" outlineLevel="0" collapsed="false">
      <c r="I440" s="2"/>
      <c r="J440" s="2"/>
    </row>
    <row r="441" customFormat="false" ht="15" hidden="false" customHeight="false" outlineLevel="0" collapsed="false">
      <c r="I441" s="2"/>
      <c r="J441" s="2"/>
    </row>
    <row r="442" customFormat="false" ht="15" hidden="false" customHeight="false" outlineLevel="0" collapsed="false">
      <c r="I442" s="2"/>
      <c r="J442" s="2"/>
    </row>
    <row r="443" customFormat="false" ht="15" hidden="false" customHeight="false" outlineLevel="0" collapsed="false">
      <c r="I443" s="2"/>
      <c r="J443" s="2"/>
    </row>
    <row r="444" customFormat="false" ht="15" hidden="false" customHeight="false" outlineLevel="0" collapsed="false">
      <c r="I444" s="2"/>
      <c r="J444" s="2"/>
    </row>
    <row r="445" customFormat="false" ht="15" hidden="false" customHeight="false" outlineLevel="0" collapsed="false">
      <c r="I445" s="2"/>
      <c r="J445" s="2"/>
    </row>
    <row r="446" customFormat="false" ht="15" hidden="false" customHeight="false" outlineLevel="0" collapsed="false">
      <c r="I446" s="2"/>
      <c r="J446" s="2"/>
    </row>
    <row r="447" customFormat="false" ht="15" hidden="false" customHeight="false" outlineLevel="0" collapsed="false">
      <c r="I447" s="2"/>
      <c r="J447" s="2"/>
    </row>
    <row r="448" customFormat="false" ht="15" hidden="false" customHeight="false" outlineLevel="0" collapsed="false">
      <c r="I448" s="2"/>
      <c r="J448" s="2"/>
    </row>
    <row r="449" customFormat="false" ht="15" hidden="false" customHeight="false" outlineLevel="0" collapsed="false">
      <c r="I449" s="2"/>
      <c r="J449" s="2"/>
    </row>
    <row r="450" customFormat="false" ht="15" hidden="false" customHeight="false" outlineLevel="0" collapsed="false">
      <c r="I450" s="2"/>
      <c r="J450" s="2"/>
    </row>
    <row r="451" customFormat="false" ht="15" hidden="false" customHeight="false" outlineLevel="0" collapsed="false">
      <c r="I451" s="2"/>
      <c r="J451" s="2"/>
    </row>
    <row r="452" customFormat="false" ht="15" hidden="false" customHeight="false" outlineLevel="0" collapsed="false">
      <c r="I452" s="2"/>
      <c r="J452" s="2"/>
    </row>
    <row r="453" customFormat="false" ht="15" hidden="false" customHeight="false" outlineLevel="0" collapsed="false">
      <c r="I453" s="2"/>
      <c r="J453" s="2"/>
    </row>
    <row r="454" customFormat="false" ht="15" hidden="false" customHeight="false" outlineLevel="0" collapsed="false">
      <c r="I454" s="2"/>
      <c r="J454" s="2"/>
    </row>
    <row r="455" customFormat="false" ht="15" hidden="false" customHeight="false" outlineLevel="0" collapsed="false">
      <c r="I455" s="2"/>
      <c r="J455" s="2"/>
    </row>
    <row r="456" customFormat="false" ht="15" hidden="false" customHeight="false" outlineLevel="0" collapsed="false">
      <c r="I456" s="2"/>
      <c r="J456" s="2"/>
    </row>
    <row r="457" customFormat="false" ht="15" hidden="false" customHeight="false" outlineLevel="0" collapsed="false">
      <c r="I457" s="2"/>
      <c r="J457" s="2"/>
    </row>
    <row r="458" customFormat="false" ht="15" hidden="false" customHeight="false" outlineLevel="0" collapsed="false">
      <c r="I458" s="2"/>
      <c r="J458" s="2"/>
    </row>
    <row r="459" customFormat="false" ht="15" hidden="false" customHeight="false" outlineLevel="0" collapsed="false">
      <c r="I459" s="2"/>
      <c r="J459" s="2"/>
    </row>
    <row r="460" customFormat="false" ht="15" hidden="false" customHeight="false" outlineLevel="0" collapsed="false">
      <c r="I460" s="2"/>
      <c r="J460" s="2"/>
    </row>
    <row r="461" customFormat="false" ht="15" hidden="false" customHeight="false" outlineLevel="0" collapsed="false">
      <c r="I461" s="2"/>
      <c r="J461" s="2"/>
    </row>
    <row r="462" customFormat="false" ht="15" hidden="false" customHeight="false" outlineLevel="0" collapsed="false">
      <c r="I462" s="2"/>
      <c r="J462" s="2"/>
    </row>
    <row r="463" customFormat="false" ht="15" hidden="false" customHeight="false" outlineLevel="0" collapsed="false">
      <c r="I463" s="2"/>
      <c r="J463" s="2"/>
    </row>
    <row r="464" customFormat="false" ht="15" hidden="false" customHeight="false" outlineLevel="0" collapsed="false">
      <c r="I464" s="2"/>
      <c r="J464" s="2"/>
    </row>
    <row r="465" customFormat="false" ht="15" hidden="false" customHeight="false" outlineLevel="0" collapsed="false">
      <c r="I465" s="2"/>
      <c r="J465" s="2"/>
    </row>
    <row r="466" customFormat="false" ht="15" hidden="false" customHeight="false" outlineLevel="0" collapsed="false">
      <c r="I466" s="2"/>
      <c r="J466" s="2"/>
    </row>
    <row r="467" customFormat="false" ht="15" hidden="false" customHeight="false" outlineLevel="0" collapsed="false">
      <c r="I467" s="2"/>
      <c r="J467" s="2"/>
    </row>
    <row r="468" customFormat="false" ht="15" hidden="false" customHeight="false" outlineLevel="0" collapsed="false">
      <c r="I468" s="2"/>
      <c r="J468" s="2"/>
    </row>
    <row r="469" customFormat="false" ht="15" hidden="false" customHeight="false" outlineLevel="0" collapsed="false">
      <c r="I469" s="2"/>
      <c r="J469" s="2"/>
    </row>
    <row r="470" customFormat="false" ht="15" hidden="false" customHeight="false" outlineLevel="0" collapsed="false">
      <c r="I470" s="2"/>
      <c r="J470" s="2"/>
    </row>
    <row r="471" customFormat="false" ht="15" hidden="false" customHeight="false" outlineLevel="0" collapsed="false">
      <c r="I471" s="2"/>
      <c r="J471" s="2"/>
    </row>
    <row r="472" customFormat="false" ht="15" hidden="false" customHeight="false" outlineLevel="0" collapsed="false">
      <c r="I472" s="2"/>
      <c r="J472" s="2"/>
    </row>
    <row r="473" customFormat="false" ht="15" hidden="false" customHeight="false" outlineLevel="0" collapsed="false">
      <c r="I473" s="2"/>
      <c r="J473" s="2"/>
    </row>
    <row r="474" customFormat="false" ht="15" hidden="false" customHeight="false" outlineLevel="0" collapsed="false">
      <c r="I474" s="2"/>
      <c r="J474" s="2"/>
    </row>
    <row r="475" customFormat="false" ht="15" hidden="false" customHeight="false" outlineLevel="0" collapsed="false">
      <c r="I475" s="2"/>
      <c r="J475" s="2"/>
    </row>
    <row r="476" customFormat="false" ht="15" hidden="false" customHeight="false" outlineLevel="0" collapsed="false">
      <c r="I476" s="2"/>
      <c r="J476" s="2"/>
    </row>
    <row r="477" customFormat="false" ht="15" hidden="false" customHeight="false" outlineLevel="0" collapsed="false">
      <c r="I477" s="2"/>
      <c r="J477" s="2"/>
    </row>
    <row r="478" customFormat="false" ht="15" hidden="false" customHeight="false" outlineLevel="0" collapsed="false">
      <c r="I478" s="2"/>
      <c r="J478" s="2"/>
    </row>
    <row r="479" customFormat="false" ht="15" hidden="false" customHeight="false" outlineLevel="0" collapsed="false">
      <c r="I479" s="2"/>
      <c r="J479" s="2"/>
    </row>
    <row r="480" customFormat="false" ht="15" hidden="false" customHeight="false" outlineLevel="0" collapsed="false">
      <c r="I480" s="2"/>
      <c r="J480" s="2"/>
    </row>
    <row r="481" customFormat="false" ht="15" hidden="false" customHeight="false" outlineLevel="0" collapsed="false">
      <c r="I481" s="2"/>
      <c r="J481" s="2"/>
    </row>
    <row r="482" customFormat="false" ht="15" hidden="false" customHeight="false" outlineLevel="0" collapsed="false">
      <c r="I482" s="2"/>
      <c r="J482" s="2"/>
    </row>
    <row r="483" customFormat="false" ht="15" hidden="false" customHeight="false" outlineLevel="0" collapsed="false">
      <c r="I483" s="2"/>
      <c r="J483" s="2"/>
    </row>
    <row r="484" customFormat="false" ht="15" hidden="false" customHeight="false" outlineLevel="0" collapsed="false">
      <c r="I484" s="2"/>
      <c r="J484" s="2"/>
    </row>
    <row r="485" customFormat="false" ht="15" hidden="false" customHeight="false" outlineLevel="0" collapsed="false">
      <c r="I485" s="2"/>
      <c r="J485" s="2"/>
    </row>
    <row r="486" customFormat="false" ht="15" hidden="false" customHeight="false" outlineLevel="0" collapsed="false">
      <c r="I486" s="2"/>
      <c r="J486" s="2"/>
    </row>
    <row r="487" customFormat="false" ht="15" hidden="false" customHeight="false" outlineLevel="0" collapsed="false">
      <c r="I487" s="2"/>
      <c r="J487" s="2"/>
    </row>
    <row r="488" customFormat="false" ht="15" hidden="false" customHeight="false" outlineLevel="0" collapsed="false">
      <c r="I488" s="2"/>
      <c r="J488" s="2"/>
    </row>
    <row r="489" customFormat="false" ht="15" hidden="false" customHeight="false" outlineLevel="0" collapsed="false">
      <c r="I489" s="2"/>
      <c r="J489" s="2"/>
    </row>
    <row r="490" customFormat="false" ht="15" hidden="false" customHeight="false" outlineLevel="0" collapsed="false">
      <c r="I490" s="2"/>
      <c r="J490" s="2"/>
    </row>
    <row r="491" customFormat="false" ht="15" hidden="false" customHeight="false" outlineLevel="0" collapsed="false">
      <c r="I491" s="2"/>
      <c r="J491" s="2"/>
    </row>
    <row r="492" customFormat="false" ht="15" hidden="false" customHeight="false" outlineLevel="0" collapsed="false">
      <c r="I492" s="2"/>
      <c r="J492" s="2"/>
    </row>
    <row r="493" customFormat="false" ht="15" hidden="false" customHeight="false" outlineLevel="0" collapsed="false">
      <c r="I493" s="2"/>
      <c r="J493" s="2"/>
    </row>
    <row r="494" customFormat="false" ht="15" hidden="false" customHeight="false" outlineLevel="0" collapsed="false">
      <c r="I494" s="2"/>
      <c r="J494" s="2"/>
    </row>
    <row r="495" customFormat="false" ht="15" hidden="false" customHeight="false" outlineLevel="0" collapsed="false">
      <c r="I495" s="2"/>
      <c r="J495" s="2"/>
    </row>
    <row r="496" customFormat="false" ht="15" hidden="false" customHeight="false" outlineLevel="0" collapsed="false">
      <c r="I496" s="2"/>
      <c r="J496" s="2"/>
    </row>
    <row r="497" customFormat="false" ht="15" hidden="false" customHeight="false" outlineLevel="0" collapsed="false">
      <c r="I497" s="2"/>
      <c r="J497" s="2"/>
    </row>
    <row r="498" customFormat="false" ht="15" hidden="false" customHeight="false" outlineLevel="0" collapsed="false">
      <c r="I498" s="2"/>
      <c r="J498" s="2"/>
    </row>
    <row r="499" customFormat="false" ht="15" hidden="false" customHeight="false" outlineLevel="0" collapsed="false">
      <c r="I499" s="2"/>
      <c r="J499" s="2"/>
    </row>
    <row r="500" customFormat="false" ht="15" hidden="false" customHeight="false" outlineLevel="0" collapsed="false">
      <c r="I500" s="2"/>
      <c r="J500" s="2"/>
    </row>
    <row r="501" customFormat="false" ht="15" hidden="false" customHeight="false" outlineLevel="0" collapsed="false">
      <c r="I501" s="2"/>
      <c r="J501" s="2"/>
    </row>
    <row r="502" customFormat="false" ht="15" hidden="false" customHeight="false" outlineLevel="0" collapsed="false">
      <c r="I502" s="2"/>
      <c r="J502" s="2"/>
    </row>
    <row r="503" customFormat="false" ht="15" hidden="false" customHeight="false" outlineLevel="0" collapsed="false">
      <c r="I503" s="2"/>
      <c r="J503" s="2"/>
    </row>
    <row r="504" customFormat="false" ht="15" hidden="false" customHeight="false" outlineLevel="0" collapsed="false">
      <c r="I504" s="2"/>
      <c r="J504" s="2"/>
    </row>
    <row r="505" customFormat="false" ht="15" hidden="false" customHeight="false" outlineLevel="0" collapsed="false">
      <c r="I505" s="2"/>
      <c r="J505" s="2"/>
    </row>
    <row r="506" customFormat="false" ht="15" hidden="false" customHeight="false" outlineLevel="0" collapsed="false">
      <c r="I506" s="2"/>
      <c r="J506" s="2"/>
    </row>
    <row r="507" customFormat="false" ht="15" hidden="false" customHeight="false" outlineLevel="0" collapsed="false">
      <c r="I507" s="2"/>
      <c r="J507" s="2"/>
    </row>
    <row r="508" customFormat="false" ht="15" hidden="false" customHeight="false" outlineLevel="0" collapsed="false">
      <c r="I508" s="2"/>
      <c r="J508" s="2"/>
    </row>
    <row r="509" customFormat="false" ht="15" hidden="false" customHeight="false" outlineLevel="0" collapsed="false">
      <c r="I509" s="2"/>
      <c r="J509" s="2"/>
    </row>
    <row r="510" customFormat="false" ht="15" hidden="false" customHeight="false" outlineLevel="0" collapsed="false">
      <c r="I510" s="2"/>
      <c r="J510" s="2"/>
    </row>
    <row r="511" customFormat="false" ht="15" hidden="false" customHeight="false" outlineLevel="0" collapsed="false">
      <c r="I511" s="2"/>
      <c r="J511" s="2"/>
    </row>
    <row r="512" customFormat="false" ht="15" hidden="false" customHeight="false" outlineLevel="0" collapsed="false">
      <c r="I512" s="2"/>
      <c r="J512" s="2"/>
    </row>
    <row r="513" customFormat="false" ht="15" hidden="false" customHeight="false" outlineLevel="0" collapsed="false">
      <c r="I513" s="2"/>
      <c r="J513" s="2"/>
    </row>
    <row r="514" customFormat="false" ht="15" hidden="false" customHeight="false" outlineLevel="0" collapsed="false">
      <c r="I514" s="2"/>
      <c r="J514" s="2"/>
    </row>
    <row r="515" customFormat="false" ht="15" hidden="false" customHeight="false" outlineLevel="0" collapsed="false">
      <c r="I515" s="2"/>
      <c r="J515" s="2"/>
    </row>
    <row r="516" customFormat="false" ht="15" hidden="false" customHeight="false" outlineLevel="0" collapsed="false">
      <c r="I516" s="2"/>
      <c r="J516" s="2"/>
    </row>
    <row r="517" customFormat="false" ht="15" hidden="false" customHeight="false" outlineLevel="0" collapsed="false">
      <c r="I517" s="2"/>
      <c r="J517" s="2"/>
    </row>
    <row r="518" customFormat="false" ht="15" hidden="false" customHeight="false" outlineLevel="0" collapsed="false">
      <c r="I518" s="2"/>
      <c r="J518" s="2"/>
    </row>
    <row r="519" customFormat="false" ht="15" hidden="false" customHeight="false" outlineLevel="0" collapsed="false">
      <c r="I519" s="2"/>
      <c r="J519" s="2"/>
    </row>
    <row r="520" customFormat="false" ht="15" hidden="false" customHeight="false" outlineLevel="0" collapsed="false">
      <c r="I520" s="2"/>
      <c r="J520" s="2"/>
    </row>
    <row r="521" customFormat="false" ht="15" hidden="false" customHeight="false" outlineLevel="0" collapsed="false">
      <c r="I521" s="2"/>
      <c r="J521" s="2"/>
    </row>
    <row r="522" customFormat="false" ht="15" hidden="false" customHeight="false" outlineLevel="0" collapsed="false">
      <c r="I522" s="2"/>
      <c r="J522" s="2"/>
    </row>
    <row r="523" customFormat="false" ht="15" hidden="false" customHeight="false" outlineLevel="0" collapsed="false">
      <c r="I523" s="2"/>
      <c r="J523" s="2"/>
    </row>
    <row r="524" customFormat="false" ht="15" hidden="false" customHeight="false" outlineLevel="0" collapsed="false">
      <c r="I524" s="2"/>
      <c r="J524" s="2"/>
    </row>
    <row r="525" customFormat="false" ht="15" hidden="false" customHeight="false" outlineLevel="0" collapsed="false">
      <c r="I525" s="2"/>
      <c r="J525" s="2"/>
    </row>
    <row r="526" customFormat="false" ht="15" hidden="false" customHeight="false" outlineLevel="0" collapsed="false">
      <c r="I526" s="2"/>
      <c r="J526" s="2"/>
    </row>
    <row r="527" customFormat="false" ht="15" hidden="false" customHeight="false" outlineLevel="0" collapsed="false">
      <c r="I527" s="2"/>
      <c r="J527" s="2"/>
    </row>
    <row r="528" customFormat="false" ht="15" hidden="false" customHeight="false" outlineLevel="0" collapsed="false">
      <c r="I528" s="2"/>
      <c r="J528" s="2"/>
    </row>
    <row r="529" customFormat="false" ht="15" hidden="false" customHeight="false" outlineLevel="0" collapsed="false">
      <c r="I529" s="2"/>
      <c r="J529" s="2"/>
    </row>
    <row r="530" customFormat="false" ht="15" hidden="false" customHeight="false" outlineLevel="0" collapsed="false">
      <c r="I530" s="2"/>
      <c r="J530" s="2"/>
    </row>
    <row r="531" customFormat="false" ht="15" hidden="false" customHeight="false" outlineLevel="0" collapsed="false">
      <c r="I531" s="2"/>
      <c r="J531" s="2"/>
    </row>
    <row r="532" customFormat="false" ht="15" hidden="false" customHeight="false" outlineLevel="0" collapsed="false">
      <c r="I532" s="2"/>
      <c r="J532" s="2"/>
    </row>
    <row r="533" customFormat="false" ht="15" hidden="false" customHeight="false" outlineLevel="0" collapsed="false">
      <c r="I533" s="2"/>
      <c r="J533" s="2"/>
    </row>
    <row r="534" customFormat="false" ht="15" hidden="false" customHeight="false" outlineLevel="0" collapsed="false">
      <c r="I534" s="2"/>
      <c r="J534" s="2"/>
    </row>
    <row r="535" customFormat="false" ht="15" hidden="false" customHeight="false" outlineLevel="0" collapsed="false">
      <c r="I535" s="2"/>
      <c r="J535" s="2"/>
    </row>
    <row r="536" customFormat="false" ht="15" hidden="false" customHeight="false" outlineLevel="0" collapsed="false">
      <c r="I536" s="2"/>
      <c r="J536" s="2"/>
    </row>
    <row r="537" customFormat="false" ht="15" hidden="false" customHeight="false" outlineLevel="0" collapsed="false">
      <c r="I537" s="2"/>
      <c r="J537" s="2"/>
    </row>
    <row r="538" customFormat="false" ht="15" hidden="false" customHeight="false" outlineLevel="0" collapsed="false">
      <c r="I538" s="2"/>
      <c r="J538" s="2"/>
    </row>
    <row r="539" customFormat="false" ht="15" hidden="false" customHeight="false" outlineLevel="0" collapsed="false">
      <c r="I539" s="2"/>
      <c r="J539" s="2"/>
    </row>
    <row r="540" customFormat="false" ht="15" hidden="false" customHeight="false" outlineLevel="0" collapsed="false">
      <c r="I540" s="2"/>
      <c r="J540" s="2"/>
    </row>
    <row r="541" customFormat="false" ht="15" hidden="false" customHeight="false" outlineLevel="0" collapsed="false">
      <c r="I541" s="2"/>
      <c r="J541" s="2"/>
    </row>
    <row r="542" customFormat="false" ht="15" hidden="false" customHeight="false" outlineLevel="0" collapsed="false">
      <c r="I542" s="2"/>
      <c r="J542" s="2"/>
    </row>
    <row r="543" customFormat="false" ht="15" hidden="false" customHeight="false" outlineLevel="0" collapsed="false">
      <c r="I543" s="2"/>
      <c r="J543" s="2"/>
    </row>
    <row r="544" customFormat="false" ht="15" hidden="false" customHeight="false" outlineLevel="0" collapsed="false">
      <c r="I544" s="2"/>
      <c r="J544" s="2"/>
    </row>
    <row r="545" customFormat="false" ht="15" hidden="false" customHeight="false" outlineLevel="0" collapsed="false">
      <c r="I545" s="2"/>
      <c r="J545" s="2"/>
    </row>
    <row r="546" customFormat="false" ht="15" hidden="false" customHeight="false" outlineLevel="0" collapsed="false">
      <c r="I546" s="2"/>
      <c r="J546" s="2"/>
    </row>
    <row r="547" customFormat="false" ht="15" hidden="false" customHeight="false" outlineLevel="0" collapsed="false">
      <c r="I547" s="2"/>
      <c r="J547" s="2"/>
    </row>
    <row r="548" customFormat="false" ht="15" hidden="false" customHeight="false" outlineLevel="0" collapsed="false">
      <c r="I548" s="2"/>
      <c r="J548" s="2"/>
    </row>
    <row r="549" customFormat="false" ht="15" hidden="false" customHeight="false" outlineLevel="0" collapsed="false">
      <c r="I549" s="2"/>
      <c r="J549" s="2"/>
    </row>
    <row r="550" customFormat="false" ht="15" hidden="false" customHeight="false" outlineLevel="0" collapsed="false">
      <c r="I550" s="2"/>
      <c r="J550" s="2"/>
    </row>
    <row r="551" customFormat="false" ht="15" hidden="false" customHeight="false" outlineLevel="0" collapsed="false">
      <c r="I551" s="2"/>
      <c r="J551" s="2"/>
    </row>
    <row r="552" customFormat="false" ht="15" hidden="false" customHeight="false" outlineLevel="0" collapsed="false">
      <c r="I552" s="2"/>
      <c r="J552" s="2"/>
    </row>
    <row r="553" customFormat="false" ht="15" hidden="false" customHeight="false" outlineLevel="0" collapsed="false">
      <c r="I553" s="2"/>
      <c r="J553" s="2"/>
    </row>
    <row r="554" customFormat="false" ht="15" hidden="false" customHeight="false" outlineLevel="0" collapsed="false">
      <c r="I554" s="2"/>
      <c r="J554" s="2"/>
    </row>
    <row r="555" customFormat="false" ht="15" hidden="false" customHeight="false" outlineLevel="0" collapsed="false">
      <c r="I555" s="2"/>
      <c r="J555" s="2"/>
    </row>
    <row r="556" customFormat="false" ht="15" hidden="false" customHeight="false" outlineLevel="0" collapsed="false">
      <c r="I556" s="2"/>
      <c r="J556" s="2"/>
    </row>
    <row r="557" customFormat="false" ht="15" hidden="false" customHeight="false" outlineLevel="0" collapsed="false">
      <c r="I557" s="2"/>
      <c r="J557" s="2"/>
    </row>
    <row r="558" customFormat="false" ht="15" hidden="false" customHeight="false" outlineLevel="0" collapsed="false">
      <c r="I558" s="2"/>
      <c r="J558" s="2"/>
    </row>
    <row r="559" customFormat="false" ht="15" hidden="false" customHeight="false" outlineLevel="0" collapsed="false">
      <c r="I559" s="2"/>
      <c r="J559" s="2"/>
    </row>
    <row r="560" customFormat="false" ht="15" hidden="false" customHeight="false" outlineLevel="0" collapsed="false">
      <c r="I560" s="2"/>
      <c r="J560" s="2"/>
    </row>
    <row r="561" customFormat="false" ht="15" hidden="false" customHeight="false" outlineLevel="0" collapsed="false">
      <c r="I561" s="2"/>
      <c r="J561" s="2"/>
    </row>
    <row r="562" customFormat="false" ht="15" hidden="false" customHeight="false" outlineLevel="0" collapsed="false">
      <c r="I562" s="2"/>
      <c r="J562" s="2"/>
    </row>
    <row r="563" customFormat="false" ht="15" hidden="false" customHeight="false" outlineLevel="0" collapsed="false">
      <c r="I563" s="2"/>
      <c r="J563" s="2"/>
    </row>
    <row r="564" customFormat="false" ht="15" hidden="false" customHeight="false" outlineLevel="0" collapsed="false">
      <c r="I564" s="2"/>
      <c r="J564" s="2"/>
    </row>
    <row r="565" customFormat="false" ht="15" hidden="false" customHeight="false" outlineLevel="0" collapsed="false">
      <c r="I565" s="2"/>
      <c r="J565" s="2"/>
    </row>
    <row r="566" customFormat="false" ht="15" hidden="false" customHeight="false" outlineLevel="0" collapsed="false">
      <c r="I566" s="2"/>
      <c r="J566" s="2"/>
    </row>
    <row r="567" customFormat="false" ht="15" hidden="false" customHeight="false" outlineLevel="0" collapsed="false">
      <c r="I567" s="2"/>
      <c r="J567" s="2"/>
    </row>
    <row r="568" customFormat="false" ht="15" hidden="false" customHeight="false" outlineLevel="0" collapsed="false">
      <c r="I568" s="2"/>
      <c r="J568" s="2"/>
    </row>
    <row r="569" customFormat="false" ht="15" hidden="false" customHeight="false" outlineLevel="0" collapsed="false">
      <c r="I569" s="2"/>
      <c r="J569" s="2"/>
    </row>
    <row r="570" customFormat="false" ht="15" hidden="false" customHeight="false" outlineLevel="0" collapsed="false">
      <c r="I570" s="2"/>
      <c r="J570" s="2"/>
    </row>
    <row r="571" customFormat="false" ht="15" hidden="false" customHeight="false" outlineLevel="0" collapsed="false">
      <c r="I571" s="2"/>
      <c r="J571" s="2"/>
    </row>
    <row r="572" customFormat="false" ht="15" hidden="false" customHeight="false" outlineLevel="0" collapsed="false">
      <c r="I572" s="2"/>
      <c r="J572" s="2"/>
    </row>
    <row r="573" customFormat="false" ht="15" hidden="false" customHeight="false" outlineLevel="0" collapsed="false">
      <c r="I573" s="2"/>
      <c r="J573" s="2"/>
    </row>
    <row r="574" customFormat="false" ht="15" hidden="false" customHeight="false" outlineLevel="0" collapsed="false">
      <c r="I574" s="2"/>
      <c r="J574" s="2"/>
    </row>
    <row r="575" customFormat="false" ht="15" hidden="false" customHeight="false" outlineLevel="0" collapsed="false">
      <c r="I575" s="2"/>
      <c r="J575" s="2"/>
    </row>
    <row r="576" customFormat="false" ht="15" hidden="false" customHeight="false" outlineLevel="0" collapsed="false">
      <c r="I576" s="2"/>
      <c r="J576" s="2"/>
    </row>
    <row r="577" customFormat="false" ht="15" hidden="false" customHeight="false" outlineLevel="0" collapsed="false">
      <c r="I577" s="2"/>
      <c r="J577" s="2"/>
    </row>
    <row r="578" customFormat="false" ht="15" hidden="false" customHeight="false" outlineLevel="0" collapsed="false">
      <c r="I578" s="2"/>
      <c r="J578" s="2"/>
    </row>
    <row r="579" customFormat="false" ht="15" hidden="false" customHeight="false" outlineLevel="0" collapsed="false">
      <c r="I579" s="2"/>
      <c r="J579" s="2"/>
    </row>
    <row r="580" customFormat="false" ht="15" hidden="false" customHeight="false" outlineLevel="0" collapsed="false">
      <c r="I580" s="2"/>
      <c r="J580" s="2"/>
    </row>
    <row r="581" customFormat="false" ht="15" hidden="false" customHeight="false" outlineLevel="0" collapsed="false">
      <c r="I581" s="2"/>
      <c r="J581" s="2"/>
    </row>
    <row r="582" customFormat="false" ht="15" hidden="false" customHeight="false" outlineLevel="0" collapsed="false">
      <c r="I582" s="2"/>
      <c r="J582" s="2"/>
    </row>
    <row r="583" customFormat="false" ht="15" hidden="false" customHeight="false" outlineLevel="0" collapsed="false">
      <c r="I583" s="2"/>
      <c r="J583" s="2"/>
    </row>
    <row r="584" customFormat="false" ht="15" hidden="false" customHeight="false" outlineLevel="0" collapsed="false">
      <c r="I584" s="2"/>
      <c r="J584" s="2"/>
    </row>
    <row r="585" customFormat="false" ht="15" hidden="false" customHeight="false" outlineLevel="0" collapsed="false">
      <c r="I585" s="2"/>
      <c r="J585" s="2"/>
    </row>
    <row r="586" customFormat="false" ht="15" hidden="false" customHeight="false" outlineLevel="0" collapsed="false">
      <c r="I586" s="2"/>
      <c r="J586" s="2"/>
    </row>
    <row r="587" customFormat="false" ht="15" hidden="false" customHeight="false" outlineLevel="0" collapsed="false">
      <c r="I587" s="2"/>
      <c r="J587" s="2"/>
    </row>
    <row r="588" customFormat="false" ht="15" hidden="false" customHeight="false" outlineLevel="0" collapsed="false">
      <c r="I588" s="2"/>
      <c r="J588" s="2"/>
    </row>
    <row r="589" customFormat="false" ht="15" hidden="false" customHeight="false" outlineLevel="0" collapsed="false">
      <c r="I589" s="2"/>
      <c r="J589" s="2"/>
    </row>
    <row r="590" customFormat="false" ht="15" hidden="false" customHeight="false" outlineLevel="0" collapsed="false">
      <c r="I590" s="2"/>
      <c r="J590" s="2"/>
    </row>
    <row r="591" customFormat="false" ht="15" hidden="false" customHeight="false" outlineLevel="0" collapsed="false">
      <c r="I591" s="2"/>
      <c r="J591" s="2"/>
    </row>
    <row r="592" customFormat="false" ht="15" hidden="false" customHeight="false" outlineLevel="0" collapsed="false">
      <c r="I592" s="2"/>
      <c r="J592" s="2"/>
    </row>
    <row r="593" customFormat="false" ht="15" hidden="false" customHeight="false" outlineLevel="0" collapsed="false">
      <c r="I593" s="2"/>
      <c r="J593" s="2"/>
    </row>
    <row r="594" customFormat="false" ht="15" hidden="false" customHeight="false" outlineLevel="0" collapsed="false">
      <c r="I594" s="2"/>
      <c r="J594" s="2"/>
    </row>
    <row r="595" customFormat="false" ht="15" hidden="false" customHeight="false" outlineLevel="0" collapsed="false">
      <c r="I595" s="2"/>
      <c r="J595" s="2"/>
    </row>
    <row r="596" customFormat="false" ht="15" hidden="false" customHeight="false" outlineLevel="0" collapsed="false">
      <c r="I596" s="2"/>
      <c r="J596" s="2"/>
    </row>
    <row r="597" customFormat="false" ht="15" hidden="false" customHeight="false" outlineLevel="0" collapsed="false">
      <c r="I597" s="2"/>
      <c r="J597" s="2"/>
    </row>
    <row r="598" customFormat="false" ht="15" hidden="false" customHeight="false" outlineLevel="0" collapsed="false">
      <c r="I598" s="2"/>
      <c r="J598" s="2"/>
    </row>
    <row r="599" customFormat="false" ht="15" hidden="false" customHeight="false" outlineLevel="0" collapsed="false">
      <c r="I599" s="2"/>
      <c r="J599" s="2"/>
    </row>
    <row r="600" customFormat="false" ht="15" hidden="false" customHeight="false" outlineLevel="0" collapsed="false">
      <c r="I600" s="2"/>
      <c r="J600" s="2"/>
    </row>
    <row r="601" customFormat="false" ht="15" hidden="false" customHeight="false" outlineLevel="0" collapsed="false">
      <c r="I601" s="2"/>
      <c r="J601" s="2"/>
    </row>
    <row r="602" customFormat="false" ht="15" hidden="false" customHeight="false" outlineLevel="0" collapsed="false">
      <c r="I602" s="2"/>
      <c r="J602" s="2"/>
    </row>
    <row r="603" customFormat="false" ht="15" hidden="false" customHeight="false" outlineLevel="0" collapsed="false">
      <c r="I603" s="2"/>
      <c r="J603" s="2"/>
    </row>
    <row r="604" customFormat="false" ht="15" hidden="false" customHeight="false" outlineLevel="0" collapsed="false">
      <c r="I604" s="2"/>
      <c r="J604" s="2"/>
    </row>
    <row r="605" customFormat="false" ht="15" hidden="false" customHeight="false" outlineLevel="0" collapsed="false">
      <c r="I605" s="2"/>
      <c r="J605" s="2"/>
    </row>
    <row r="606" customFormat="false" ht="15" hidden="false" customHeight="false" outlineLevel="0" collapsed="false">
      <c r="I606" s="2"/>
      <c r="J606" s="2"/>
    </row>
    <row r="607" customFormat="false" ht="15" hidden="false" customHeight="false" outlineLevel="0" collapsed="false">
      <c r="I607" s="2"/>
      <c r="J607" s="2"/>
    </row>
    <row r="608" customFormat="false" ht="15" hidden="false" customHeight="false" outlineLevel="0" collapsed="false">
      <c r="I608" s="2"/>
      <c r="J608" s="2"/>
    </row>
    <row r="609" customFormat="false" ht="15" hidden="false" customHeight="false" outlineLevel="0" collapsed="false">
      <c r="I609" s="2"/>
      <c r="J609" s="2"/>
    </row>
    <row r="610" customFormat="false" ht="15" hidden="false" customHeight="false" outlineLevel="0" collapsed="false">
      <c r="I610" s="2"/>
      <c r="J610" s="2"/>
    </row>
    <row r="611" customFormat="false" ht="15" hidden="false" customHeight="false" outlineLevel="0" collapsed="false">
      <c r="I611" s="2"/>
      <c r="J611" s="2"/>
    </row>
    <row r="612" customFormat="false" ht="15" hidden="false" customHeight="false" outlineLevel="0" collapsed="false">
      <c r="I612" s="2"/>
      <c r="J612" s="2"/>
    </row>
    <row r="613" customFormat="false" ht="15" hidden="false" customHeight="false" outlineLevel="0" collapsed="false">
      <c r="I613" s="2"/>
      <c r="J613" s="2"/>
    </row>
    <row r="614" customFormat="false" ht="15" hidden="false" customHeight="false" outlineLevel="0" collapsed="false">
      <c r="I614" s="2"/>
      <c r="J614" s="2"/>
    </row>
    <row r="615" customFormat="false" ht="15" hidden="false" customHeight="false" outlineLevel="0" collapsed="false">
      <c r="I615" s="2"/>
      <c r="J615" s="2"/>
    </row>
    <row r="616" customFormat="false" ht="15" hidden="false" customHeight="false" outlineLevel="0" collapsed="false">
      <c r="I616" s="2"/>
      <c r="J616" s="2"/>
    </row>
    <row r="617" customFormat="false" ht="15" hidden="false" customHeight="false" outlineLevel="0" collapsed="false">
      <c r="I617" s="2"/>
      <c r="J617" s="2"/>
    </row>
    <row r="618" customFormat="false" ht="15" hidden="false" customHeight="false" outlineLevel="0" collapsed="false">
      <c r="I618" s="2"/>
      <c r="J618" s="2"/>
    </row>
    <row r="619" customFormat="false" ht="15" hidden="false" customHeight="false" outlineLevel="0" collapsed="false">
      <c r="I619" s="2"/>
      <c r="J619" s="2"/>
    </row>
    <row r="620" customFormat="false" ht="15" hidden="false" customHeight="false" outlineLevel="0" collapsed="false">
      <c r="I620" s="2"/>
      <c r="J620" s="2"/>
    </row>
    <row r="621" customFormat="false" ht="15" hidden="false" customHeight="false" outlineLevel="0" collapsed="false">
      <c r="I621" s="2"/>
      <c r="J621" s="2"/>
    </row>
    <row r="622" customFormat="false" ht="15" hidden="false" customHeight="false" outlineLevel="0" collapsed="false">
      <c r="I622" s="2"/>
      <c r="J622" s="2"/>
    </row>
    <row r="623" customFormat="false" ht="15" hidden="false" customHeight="false" outlineLevel="0" collapsed="false">
      <c r="I623" s="2"/>
      <c r="J623" s="2"/>
    </row>
    <row r="624" customFormat="false" ht="15" hidden="false" customHeight="false" outlineLevel="0" collapsed="false">
      <c r="I624" s="2"/>
      <c r="J624" s="2"/>
    </row>
    <row r="625" customFormat="false" ht="15" hidden="false" customHeight="false" outlineLevel="0" collapsed="false">
      <c r="I625" s="2"/>
      <c r="J625" s="2"/>
    </row>
    <row r="626" customFormat="false" ht="15" hidden="false" customHeight="false" outlineLevel="0" collapsed="false">
      <c r="I626" s="2"/>
      <c r="J626" s="2"/>
    </row>
    <row r="627" customFormat="false" ht="15" hidden="false" customHeight="false" outlineLevel="0" collapsed="false">
      <c r="I627" s="2"/>
      <c r="J627" s="2"/>
    </row>
    <row r="628" customFormat="false" ht="15" hidden="false" customHeight="false" outlineLevel="0" collapsed="false">
      <c r="I628" s="2"/>
      <c r="J628" s="2"/>
    </row>
    <row r="629" customFormat="false" ht="15" hidden="false" customHeight="false" outlineLevel="0" collapsed="false">
      <c r="I629" s="2"/>
      <c r="J629" s="2"/>
    </row>
    <row r="630" customFormat="false" ht="15" hidden="false" customHeight="false" outlineLevel="0" collapsed="false">
      <c r="I630" s="2"/>
      <c r="J630" s="2"/>
    </row>
    <row r="631" customFormat="false" ht="15" hidden="false" customHeight="false" outlineLevel="0" collapsed="false">
      <c r="I631" s="2"/>
      <c r="J631" s="2"/>
    </row>
    <row r="632" customFormat="false" ht="15" hidden="false" customHeight="false" outlineLevel="0" collapsed="false">
      <c r="I632" s="2"/>
      <c r="J632" s="2"/>
    </row>
    <row r="633" customFormat="false" ht="15" hidden="false" customHeight="false" outlineLevel="0" collapsed="false">
      <c r="I633" s="2"/>
      <c r="J633" s="2"/>
    </row>
    <row r="634" customFormat="false" ht="15" hidden="false" customHeight="false" outlineLevel="0" collapsed="false">
      <c r="I634" s="2"/>
      <c r="J634" s="2"/>
    </row>
    <row r="635" customFormat="false" ht="15" hidden="false" customHeight="false" outlineLevel="0" collapsed="false">
      <c r="I635" s="2"/>
      <c r="J635" s="2"/>
    </row>
    <row r="636" customFormat="false" ht="15" hidden="false" customHeight="false" outlineLevel="0" collapsed="false">
      <c r="I636" s="2"/>
      <c r="J636" s="2"/>
    </row>
    <row r="637" customFormat="false" ht="15" hidden="false" customHeight="false" outlineLevel="0" collapsed="false">
      <c r="I637" s="2"/>
      <c r="J637" s="2"/>
    </row>
    <row r="638" customFormat="false" ht="15" hidden="false" customHeight="false" outlineLevel="0" collapsed="false">
      <c r="I638" s="2"/>
      <c r="J638" s="2"/>
    </row>
    <row r="639" customFormat="false" ht="15" hidden="false" customHeight="false" outlineLevel="0" collapsed="false">
      <c r="I639" s="2"/>
      <c r="J639" s="2"/>
    </row>
    <row r="640" customFormat="false" ht="15" hidden="false" customHeight="false" outlineLevel="0" collapsed="false">
      <c r="I640" s="2"/>
      <c r="J640" s="2"/>
    </row>
    <row r="641" customFormat="false" ht="15" hidden="false" customHeight="false" outlineLevel="0" collapsed="false">
      <c r="I641" s="2"/>
      <c r="J641" s="2"/>
    </row>
    <row r="642" customFormat="false" ht="15" hidden="false" customHeight="false" outlineLevel="0" collapsed="false">
      <c r="I642" s="2"/>
      <c r="J642" s="2"/>
    </row>
    <row r="643" customFormat="false" ht="15" hidden="false" customHeight="false" outlineLevel="0" collapsed="false">
      <c r="I643" s="2"/>
      <c r="J643" s="2"/>
    </row>
    <row r="644" customFormat="false" ht="15" hidden="false" customHeight="false" outlineLevel="0" collapsed="false">
      <c r="I644" s="2"/>
      <c r="J644" s="2"/>
    </row>
    <row r="645" customFormat="false" ht="15" hidden="false" customHeight="false" outlineLevel="0" collapsed="false">
      <c r="I645" s="2"/>
      <c r="J645" s="2"/>
    </row>
    <row r="646" customFormat="false" ht="15" hidden="false" customHeight="false" outlineLevel="0" collapsed="false">
      <c r="I646" s="2"/>
      <c r="J646" s="2"/>
    </row>
    <row r="647" customFormat="false" ht="15" hidden="false" customHeight="false" outlineLevel="0" collapsed="false">
      <c r="I647" s="2"/>
      <c r="J647" s="2"/>
    </row>
    <row r="648" customFormat="false" ht="15" hidden="false" customHeight="false" outlineLevel="0" collapsed="false">
      <c r="I648" s="2"/>
      <c r="J648" s="2"/>
    </row>
    <row r="649" customFormat="false" ht="15" hidden="false" customHeight="false" outlineLevel="0" collapsed="false">
      <c r="I649" s="2"/>
      <c r="J649" s="2"/>
    </row>
    <row r="650" customFormat="false" ht="15" hidden="false" customHeight="false" outlineLevel="0" collapsed="false">
      <c r="I650" s="2"/>
      <c r="J650" s="2"/>
    </row>
    <row r="651" customFormat="false" ht="15" hidden="false" customHeight="false" outlineLevel="0" collapsed="false">
      <c r="I651" s="2"/>
      <c r="J651" s="2"/>
    </row>
    <row r="652" customFormat="false" ht="15" hidden="false" customHeight="false" outlineLevel="0" collapsed="false">
      <c r="I652" s="2"/>
      <c r="J652" s="2"/>
    </row>
    <row r="653" customFormat="false" ht="15" hidden="false" customHeight="false" outlineLevel="0" collapsed="false">
      <c r="I653" s="2"/>
      <c r="J653" s="2"/>
    </row>
    <row r="654" customFormat="false" ht="15" hidden="false" customHeight="false" outlineLevel="0" collapsed="false">
      <c r="I654" s="2"/>
      <c r="J654" s="2"/>
    </row>
    <row r="655" customFormat="false" ht="15" hidden="false" customHeight="false" outlineLevel="0" collapsed="false">
      <c r="I655" s="2"/>
      <c r="J655" s="2"/>
    </row>
    <row r="656" customFormat="false" ht="15" hidden="false" customHeight="false" outlineLevel="0" collapsed="false">
      <c r="I656" s="2"/>
      <c r="J656" s="2"/>
    </row>
    <row r="657" customFormat="false" ht="15" hidden="false" customHeight="false" outlineLevel="0" collapsed="false">
      <c r="I657" s="2"/>
      <c r="J657" s="2"/>
    </row>
    <row r="658" customFormat="false" ht="15" hidden="false" customHeight="false" outlineLevel="0" collapsed="false">
      <c r="I658" s="2"/>
      <c r="J658" s="2"/>
    </row>
    <row r="659" customFormat="false" ht="15" hidden="false" customHeight="false" outlineLevel="0" collapsed="false">
      <c r="I659" s="2"/>
      <c r="J659" s="2"/>
    </row>
    <row r="660" customFormat="false" ht="15" hidden="false" customHeight="false" outlineLevel="0" collapsed="false">
      <c r="I660" s="2"/>
      <c r="J660" s="2"/>
    </row>
    <row r="661" customFormat="false" ht="15" hidden="false" customHeight="false" outlineLevel="0" collapsed="false">
      <c r="I661" s="2"/>
      <c r="J661" s="2"/>
    </row>
    <row r="662" customFormat="false" ht="15" hidden="false" customHeight="false" outlineLevel="0" collapsed="false">
      <c r="I662" s="2"/>
      <c r="J662" s="2"/>
    </row>
    <row r="663" customFormat="false" ht="15" hidden="false" customHeight="false" outlineLevel="0" collapsed="false">
      <c r="I663" s="2"/>
      <c r="J663" s="2"/>
    </row>
    <row r="664" customFormat="false" ht="15" hidden="false" customHeight="false" outlineLevel="0" collapsed="false">
      <c r="I664" s="2"/>
      <c r="J664" s="2"/>
    </row>
    <row r="665" customFormat="false" ht="15" hidden="false" customHeight="false" outlineLevel="0" collapsed="false">
      <c r="I665" s="2"/>
      <c r="J665" s="2"/>
    </row>
    <row r="666" customFormat="false" ht="15" hidden="false" customHeight="false" outlineLevel="0" collapsed="false">
      <c r="I666" s="2"/>
      <c r="J666" s="2"/>
    </row>
    <row r="667" customFormat="false" ht="15" hidden="false" customHeight="false" outlineLevel="0" collapsed="false">
      <c r="I667" s="2"/>
      <c r="J667" s="2"/>
    </row>
    <row r="668" customFormat="false" ht="15" hidden="false" customHeight="false" outlineLevel="0" collapsed="false">
      <c r="I668" s="2"/>
      <c r="J668" s="2"/>
    </row>
    <row r="669" customFormat="false" ht="15" hidden="false" customHeight="false" outlineLevel="0" collapsed="false">
      <c r="I669" s="2"/>
      <c r="J669" s="2"/>
    </row>
    <row r="670" customFormat="false" ht="15" hidden="false" customHeight="false" outlineLevel="0" collapsed="false">
      <c r="I670" s="2"/>
      <c r="J670" s="2"/>
    </row>
    <row r="671" customFormat="false" ht="15" hidden="false" customHeight="false" outlineLevel="0" collapsed="false">
      <c r="I671" s="2"/>
      <c r="J671" s="2"/>
    </row>
    <row r="672" customFormat="false" ht="15" hidden="false" customHeight="false" outlineLevel="0" collapsed="false">
      <c r="I672" s="2"/>
      <c r="J672" s="2"/>
    </row>
    <row r="673" customFormat="false" ht="15" hidden="false" customHeight="false" outlineLevel="0" collapsed="false">
      <c r="I673" s="2"/>
      <c r="J673" s="2"/>
    </row>
    <row r="674" customFormat="false" ht="15" hidden="false" customHeight="false" outlineLevel="0" collapsed="false">
      <c r="I674" s="2"/>
      <c r="J674" s="2"/>
    </row>
    <row r="675" customFormat="false" ht="15" hidden="false" customHeight="false" outlineLevel="0" collapsed="false">
      <c r="I675" s="2"/>
      <c r="J675" s="2"/>
    </row>
    <row r="676" customFormat="false" ht="15" hidden="false" customHeight="false" outlineLevel="0" collapsed="false">
      <c r="I676" s="2"/>
      <c r="J676" s="2"/>
    </row>
    <row r="677" customFormat="false" ht="15" hidden="false" customHeight="false" outlineLevel="0" collapsed="false">
      <c r="I677" s="2"/>
      <c r="J677" s="2"/>
    </row>
    <row r="678" customFormat="false" ht="15" hidden="false" customHeight="false" outlineLevel="0" collapsed="false">
      <c r="I678" s="2"/>
      <c r="J678" s="2"/>
    </row>
    <row r="679" customFormat="false" ht="15" hidden="false" customHeight="false" outlineLevel="0" collapsed="false">
      <c r="I679" s="2"/>
      <c r="J679" s="2"/>
    </row>
    <row r="680" customFormat="false" ht="15" hidden="false" customHeight="false" outlineLevel="0" collapsed="false">
      <c r="I680" s="2"/>
      <c r="J680" s="2"/>
    </row>
    <row r="681" customFormat="false" ht="15" hidden="false" customHeight="false" outlineLevel="0" collapsed="false">
      <c r="I681" s="2"/>
      <c r="J681" s="2"/>
    </row>
    <row r="682" customFormat="false" ht="15" hidden="false" customHeight="false" outlineLevel="0" collapsed="false">
      <c r="I682" s="2"/>
      <c r="J682" s="2"/>
    </row>
    <row r="683" customFormat="false" ht="15" hidden="false" customHeight="false" outlineLevel="0" collapsed="false">
      <c r="I683" s="2"/>
      <c r="J683" s="2"/>
    </row>
    <row r="684" customFormat="false" ht="15" hidden="false" customHeight="false" outlineLevel="0" collapsed="false">
      <c r="I684" s="2"/>
      <c r="J684" s="2"/>
    </row>
    <row r="685" customFormat="false" ht="15" hidden="false" customHeight="false" outlineLevel="0" collapsed="false">
      <c r="I685" s="2"/>
      <c r="J685" s="2"/>
    </row>
    <row r="686" customFormat="false" ht="15" hidden="false" customHeight="false" outlineLevel="0" collapsed="false">
      <c r="I686" s="2"/>
      <c r="J686" s="2"/>
    </row>
    <row r="687" customFormat="false" ht="15" hidden="false" customHeight="false" outlineLevel="0" collapsed="false">
      <c r="I687" s="2"/>
      <c r="J687" s="2"/>
    </row>
    <row r="688" customFormat="false" ht="15" hidden="false" customHeight="false" outlineLevel="0" collapsed="false">
      <c r="I688" s="2"/>
      <c r="J688" s="2"/>
    </row>
    <row r="689" customFormat="false" ht="15" hidden="false" customHeight="false" outlineLevel="0" collapsed="false">
      <c r="I689" s="2"/>
      <c r="J689" s="2"/>
    </row>
    <row r="690" customFormat="false" ht="15" hidden="false" customHeight="false" outlineLevel="0" collapsed="false">
      <c r="I690" s="2"/>
      <c r="J690" s="2"/>
    </row>
    <row r="691" customFormat="false" ht="15" hidden="false" customHeight="false" outlineLevel="0" collapsed="false">
      <c r="I691" s="2"/>
      <c r="J691" s="2"/>
    </row>
    <row r="692" customFormat="false" ht="15" hidden="false" customHeight="false" outlineLevel="0" collapsed="false">
      <c r="I692" s="2"/>
      <c r="J692" s="2"/>
    </row>
    <row r="693" customFormat="false" ht="15" hidden="false" customHeight="false" outlineLevel="0" collapsed="false">
      <c r="I693" s="2"/>
      <c r="J693" s="2"/>
    </row>
    <row r="694" customFormat="false" ht="15" hidden="false" customHeight="false" outlineLevel="0" collapsed="false">
      <c r="I694" s="2"/>
      <c r="J694" s="2"/>
    </row>
    <row r="695" customFormat="false" ht="15" hidden="false" customHeight="false" outlineLevel="0" collapsed="false">
      <c r="I695" s="2"/>
      <c r="J695" s="2"/>
    </row>
    <row r="696" customFormat="false" ht="15" hidden="false" customHeight="false" outlineLevel="0" collapsed="false">
      <c r="I696" s="2"/>
      <c r="J696" s="2"/>
    </row>
    <row r="697" customFormat="false" ht="15" hidden="false" customHeight="false" outlineLevel="0" collapsed="false">
      <c r="I697" s="2"/>
      <c r="J697" s="2"/>
    </row>
    <row r="698" customFormat="false" ht="15" hidden="false" customHeight="false" outlineLevel="0" collapsed="false">
      <c r="I698" s="2"/>
      <c r="J698" s="2"/>
    </row>
    <row r="699" customFormat="false" ht="15" hidden="false" customHeight="false" outlineLevel="0" collapsed="false">
      <c r="I699" s="2"/>
      <c r="J699" s="2"/>
    </row>
    <row r="700" customFormat="false" ht="15" hidden="false" customHeight="false" outlineLevel="0" collapsed="false">
      <c r="I700" s="2"/>
      <c r="J700" s="2"/>
    </row>
    <row r="701" customFormat="false" ht="15" hidden="false" customHeight="false" outlineLevel="0" collapsed="false">
      <c r="I701" s="2"/>
      <c r="J701" s="2"/>
    </row>
    <row r="702" customFormat="false" ht="15" hidden="false" customHeight="false" outlineLevel="0" collapsed="false">
      <c r="I702" s="2"/>
      <c r="J702" s="2"/>
    </row>
    <row r="703" customFormat="false" ht="15" hidden="false" customHeight="false" outlineLevel="0" collapsed="false">
      <c r="I703" s="2"/>
      <c r="J703" s="2"/>
    </row>
    <row r="704" customFormat="false" ht="15" hidden="false" customHeight="false" outlineLevel="0" collapsed="false">
      <c r="I704" s="2"/>
      <c r="J704" s="2"/>
    </row>
    <row r="705" customFormat="false" ht="15" hidden="false" customHeight="false" outlineLevel="0" collapsed="false">
      <c r="I705" s="2"/>
      <c r="J705" s="2"/>
    </row>
    <row r="706" customFormat="false" ht="15" hidden="false" customHeight="false" outlineLevel="0" collapsed="false">
      <c r="I706" s="2"/>
      <c r="J706" s="2"/>
    </row>
    <row r="707" customFormat="false" ht="15" hidden="false" customHeight="false" outlineLevel="0" collapsed="false">
      <c r="I707" s="2"/>
      <c r="J707" s="2"/>
    </row>
    <row r="708" customFormat="false" ht="15" hidden="false" customHeight="false" outlineLevel="0" collapsed="false">
      <c r="I708" s="2"/>
      <c r="J708" s="2"/>
    </row>
    <row r="709" customFormat="false" ht="15" hidden="false" customHeight="false" outlineLevel="0" collapsed="false">
      <c r="I709" s="2"/>
      <c r="J709" s="2"/>
    </row>
    <row r="710" customFormat="false" ht="15" hidden="false" customHeight="false" outlineLevel="0" collapsed="false">
      <c r="I710" s="2"/>
      <c r="J710" s="2"/>
    </row>
    <row r="711" customFormat="false" ht="15" hidden="false" customHeight="false" outlineLevel="0" collapsed="false">
      <c r="I711" s="2"/>
      <c r="J711" s="2"/>
    </row>
    <row r="712" customFormat="false" ht="15" hidden="false" customHeight="false" outlineLevel="0" collapsed="false">
      <c r="I712" s="2"/>
      <c r="J712" s="2"/>
    </row>
    <row r="713" customFormat="false" ht="15" hidden="false" customHeight="false" outlineLevel="0" collapsed="false">
      <c r="I713" s="2"/>
      <c r="J713" s="2"/>
    </row>
    <row r="714" customFormat="false" ht="15" hidden="false" customHeight="false" outlineLevel="0" collapsed="false">
      <c r="I714" s="2"/>
      <c r="J714" s="2"/>
    </row>
    <row r="715" customFormat="false" ht="15" hidden="false" customHeight="false" outlineLevel="0" collapsed="false">
      <c r="I715" s="2"/>
      <c r="J715" s="2"/>
    </row>
    <row r="716" customFormat="false" ht="15" hidden="false" customHeight="false" outlineLevel="0" collapsed="false">
      <c r="I716" s="2"/>
      <c r="J716" s="2"/>
    </row>
    <row r="717" customFormat="false" ht="15" hidden="false" customHeight="false" outlineLevel="0" collapsed="false">
      <c r="I717" s="2"/>
      <c r="J717" s="2"/>
    </row>
    <row r="718" customFormat="false" ht="15" hidden="false" customHeight="false" outlineLevel="0" collapsed="false">
      <c r="I718" s="2"/>
      <c r="J718" s="2"/>
    </row>
    <row r="719" customFormat="false" ht="15" hidden="false" customHeight="false" outlineLevel="0" collapsed="false">
      <c r="I719" s="2"/>
      <c r="J719" s="2"/>
    </row>
    <row r="720" customFormat="false" ht="15" hidden="false" customHeight="false" outlineLevel="0" collapsed="false">
      <c r="I720" s="2"/>
      <c r="J720" s="2"/>
    </row>
    <row r="721" customFormat="false" ht="15" hidden="false" customHeight="false" outlineLevel="0" collapsed="false">
      <c r="I721" s="2"/>
      <c r="J721" s="2"/>
    </row>
    <row r="722" customFormat="false" ht="15" hidden="false" customHeight="false" outlineLevel="0" collapsed="false">
      <c r="I722" s="2"/>
      <c r="J722" s="2"/>
    </row>
    <row r="723" customFormat="false" ht="15" hidden="false" customHeight="false" outlineLevel="0" collapsed="false">
      <c r="I723" s="2"/>
      <c r="J723" s="2"/>
    </row>
    <row r="724" customFormat="false" ht="15" hidden="false" customHeight="false" outlineLevel="0" collapsed="false">
      <c r="I724" s="2"/>
      <c r="J724" s="2"/>
    </row>
    <row r="725" customFormat="false" ht="15" hidden="false" customHeight="false" outlineLevel="0" collapsed="false">
      <c r="I725" s="2"/>
      <c r="J725" s="2"/>
    </row>
    <row r="726" customFormat="false" ht="15" hidden="false" customHeight="false" outlineLevel="0" collapsed="false">
      <c r="I726" s="2"/>
      <c r="J726" s="2"/>
    </row>
    <row r="727" customFormat="false" ht="15" hidden="false" customHeight="false" outlineLevel="0" collapsed="false">
      <c r="I727" s="2"/>
      <c r="J727" s="2"/>
    </row>
    <row r="728" customFormat="false" ht="15" hidden="false" customHeight="false" outlineLevel="0" collapsed="false">
      <c r="I728" s="2"/>
      <c r="J728" s="2"/>
    </row>
    <row r="729" customFormat="false" ht="15" hidden="false" customHeight="false" outlineLevel="0" collapsed="false">
      <c r="I729" s="2"/>
      <c r="J729" s="2"/>
    </row>
    <row r="730" customFormat="false" ht="15" hidden="false" customHeight="false" outlineLevel="0" collapsed="false">
      <c r="I730" s="2"/>
      <c r="J730" s="2"/>
    </row>
    <row r="731" customFormat="false" ht="15" hidden="false" customHeight="false" outlineLevel="0" collapsed="false">
      <c r="I731" s="2"/>
      <c r="J731" s="2"/>
    </row>
    <row r="732" customFormat="false" ht="15" hidden="false" customHeight="false" outlineLevel="0" collapsed="false">
      <c r="I732" s="2"/>
      <c r="J732" s="2"/>
    </row>
    <row r="733" customFormat="false" ht="15" hidden="false" customHeight="false" outlineLevel="0" collapsed="false">
      <c r="I733" s="2"/>
      <c r="J733" s="2"/>
    </row>
    <row r="734" customFormat="false" ht="15" hidden="false" customHeight="false" outlineLevel="0" collapsed="false">
      <c r="I734" s="2"/>
      <c r="J734" s="2"/>
    </row>
    <row r="735" customFormat="false" ht="15" hidden="false" customHeight="false" outlineLevel="0" collapsed="false">
      <c r="I735" s="2"/>
      <c r="J735" s="2"/>
    </row>
    <row r="736" customFormat="false" ht="15" hidden="false" customHeight="false" outlineLevel="0" collapsed="false">
      <c r="I736" s="2"/>
      <c r="J736" s="2"/>
    </row>
    <row r="737" customFormat="false" ht="15" hidden="false" customHeight="false" outlineLevel="0" collapsed="false">
      <c r="I737" s="2"/>
      <c r="J737" s="2"/>
    </row>
    <row r="738" customFormat="false" ht="15" hidden="false" customHeight="false" outlineLevel="0" collapsed="false">
      <c r="I738" s="2"/>
      <c r="J738" s="2"/>
    </row>
    <row r="739" customFormat="false" ht="15" hidden="false" customHeight="false" outlineLevel="0" collapsed="false">
      <c r="I739" s="2"/>
      <c r="J739" s="2"/>
    </row>
    <row r="740" customFormat="false" ht="15" hidden="false" customHeight="false" outlineLevel="0" collapsed="false">
      <c r="I740" s="2"/>
      <c r="J740" s="2"/>
    </row>
    <row r="741" customFormat="false" ht="15" hidden="false" customHeight="false" outlineLevel="0" collapsed="false">
      <c r="I741" s="2"/>
      <c r="J741" s="2"/>
    </row>
    <row r="742" customFormat="false" ht="15" hidden="false" customHeight="false" outlineLevel="0" collapsed="false">
      <c r="I742" s="2"/>
      <c r="J742" s="2"/>
    </row>
    <row r="743" customFormat="false" ht="15" hidden="false" customHeight="false" outlineLevel="0" collapsed="false">
      <c r="I743" s="2"/>
      <c r="J743" s="2"/>
    </row>
    <row r="744" customFormat="false" ht="15" hidden="false" customHeight="false" outlineLevel="0" collapsed="false">
      <c r="I744" s="2"/>
      <c r="J744" s="2"/>
    </row>
    <row r="745" customFormat="false" ht="15" hidden="false" customHeight="false" outlineLevel="0" collapsed="false">
      <c r="I745" s="2"/>
      <c r="J745" s="2"/>
    </row>
    <row r="746" customFormat="false" ht="15" hidden="false" customHeight="false" outlineLevel="0" collapsed="false">
      <c r="I746" s="2"/>
      <c r="J746" s="2"/>
    </row>
    <row r="747" customFormat="false" ht="15" hidden="false" customHeight="false" outlineLevel="0" collapsed="false">
      <c r="I747" s="2"/>
      <c r="J747" s="2"/>
    </row>
    <row r="748" customFormat="false" ht="15" hidden="false" customHeight="false" outlineLevel="0" collapsed="false">
      <c r="I748" s="2"/>
      <c r="J748" s="2"/>
    </row>
    <row r="749" customFormat="false" ht="15" hidden="false" customHeight="false" outlineLevel="0" collapsed="false">
      <c r="I749" s="2"/>
      <c r="J749" s="2"/>
    </row>
    <row r="750" customFormat="false" ht="15" hidden="false" customHeight="false" outlineLevel="0" collapsed="false">
      <c r="I750" s="2"/>
      <c r="J750" s="2"/>
    </row>
    <row r="751" customFormat="false" ht="15" hidden="false" customHeight="false" outlineLevel="0" collapsed="false">
      <c r="I751" s="2"/>
      <c r="J751" s="2"/>
    </row>
    <row r="752" customFormat="false" ht="15" hidden="false" customHeight="false" outlineLevel="0" collapsed="false">
      <c r="I752" s="2"/>
      <c r="J752" s="2"/>
    </row>
    <row r="753" customFormat="false" ht="15" hidden="false" customHeight="false" outlineLevel="0" collapsed="false">
      <c r="I753" s="2"/>
      <c r="J753" s="2"/>
    </row>
    <row r="754" customFormat="false" ht="15" hidden="false" customHeight="false" outlineLevel="0" collapsed="false">
      <c r="I754" s="2"/>
      <c r="J754" s="2"/>
    </row>
    <row r="755" customFormat="false" ht="15" hidden="false" customHeight="false" outlineLevel="0" collapsed="false">
      <c r="I755" s="2"/>
      <c r="J755" s="2"/>
    </row>
    <row r="756" customFormat="false" ht="15" hidden="false" customHeight="false" outlineLevel="0" collapsed="false">
      <c r="I756" s="2"/>
      <c r="J756" s="2"/>
    </row>
    <row r="757" customFormat="false" ht="15" hidden="false" customHeight="false" outlineLevel="0" collapsed="false">
      <c r="I757" s="2"/>
      <c r="J757" s="2"/>
    </row>
    <row r="758" customFormat="false" ht="15" hidden="false" customHeight="false" outlineLevel="0" collapsed="false">
      <c r="I758" s="2"/>
      <c r="J758" s="2"/>
    </row>
    <row r="759" customFormat="false" ht="15" hidden="false" customHeight="false" outlineLevel="0" collapsed="false">
      <c r="I759" s="2"/>
      <c r="J759" s="2"/>
    </row>
    <row r="760" customFormat="false" ht="15" hidden="false" customHeight="false" outlineLevel="0" collapsed="false">
      <c r="I760" s="2"/>
      <c r="J760" s="2"/>
    </row>
    <row r="761" customFormat="false" ht="15" hidden="false" customHeight="false" outlineLevel="0" collapsed="false">
      <c r="I761" s="2"/>
      <c r="J761" s="2"/>
    </row>
    <row r="762" customFormat="false" ht="15" hidden="false" customHeight="false" outlineLevel="0" collapsed="false">
      <c r="I762" s="2"/>
      <c r="J762" s="2"/>
    </row>
    <row r="763" customFormat="false" ht="15" hidden="false" customHeight="false" outlineLevel="0" collapsed="false">
      <c r="I763" s="2"/>
      <c r="J763" s="2"/>
    </row>
    <row r="764" customFormat="false" ht="15" hidden="false" customHeight="false" outlineLevel="0" collapsed="false">
      <c r="I764" s="2"/>
      <c r="J764" s="2"/>
    </row>
    <row r="765" customFormat="false" ht="15" hidden="false" customHeight="false" outlineLevel="0" collapsed="false">
      <c r="I765" s="2"/>
      <c r="J765" s="2"/>
    </row>
    <row r="766" customFormat="false" ht="15" hidden="false" customHeight="false" outlineLevel="0" collapsed="false">
      <c r="I766" s="2"/>
      <c r="J766" s="2"/>
    </row>
    <row r="767" customFormat="false" ht="15" hidden="false" customHeight="false" outlineLevel="0" collapsed="false">
      <c r="I767" s="2"/>
      <c r="J767" s="2"/>
    </row>
    <row r="768" customFormat="false" ht="15" hidden="false" customHeight="false" outlineLevel="0" collapsed="false">
      <c r="I768" s="2"/>
      <c r="J768" s="2"/>
    </row>
    <row r="769" customFormat="false" ht="15" hidden="false" customHeight="false" outlineLevel="0" collapsed="false">
      <c r="I769" s="2"/>
      <c r="J769" s="2"/>
    </row>
    <row r="770" customFormat="false" ht="15" hidden="false" customHeight="false" outlineLevel="0" collapsed="false">
      <c r="I770" s="2"/>
      <c r="J770" s="2"/>
    </row>
    <row r="771" customFormat="false" ht="15" hidden="false" customHeight="false" outlineLevel="0" collapsed="false">
      <c r="I771" s="2"/>
      <c r="J771" s="2"/>
    </row>
    <row r="772" customFormat="false" ht="15" hidden="false" customHeight="false" outlineLevel="0" collapsed="false">
      <c r="I772" s="2"/>
      <c r="J772" s="2"/>
    </row>
    <row r="773" customFormat="false" ht="15" hidden="false" customHeight="false" outlineLevel="0" collapsed="false">
      <c r="I773" s="2"/>
      <c r="J773" s="2"/>
    </row>
    <row r="774" customFormat="false" ht="15" hidden="false" customHeight="false" outlineLevel="0" collapsed="false">
      <c r="I774" s="2"/>
      <c r="J774" s="2"/>
    </row>
    <row r="775" customFormat="false" ht="15" hidden="false" customHeight="false" outlineLevel="0" collapsed="false">
      <c r="I775" s="2"/>
      <c r="J775" s="2"/>
    </row>
    <row r="776" customFormat="false" ht="15" hidden="false" customHeight="false" outlineLevel="0" collapsed="false">
      <c r="I776" s="2"/>
      <c r="J776" s="2"/>
    </row>
    <row r="777" customFormat="false" ht="15" hidden="false" customHeight="false" outlineLevel="0" collapsed="false">
      <c r="I777" s="2"/>
      <c r="J777" s="2"/>
    </row>
    <row r="778" customFormat="false" ht="15" hidden="false" customHeight="false" outlineLevel="0" collapsed="false">
      <c r="I778" s="2"/>
      <c r="J778" s="2"/>
    </row>
    <row r="779" customFormat="false" ht="15" hidden="false" customHeight="false" outlineLevel="0" collapsed="false">
      <c r="I779" s="2"/>
      <c r="J779" s="2"/>
    </row>
    <row r="780" customFormat="false" ht="15" hidden="false" customHeight="false" outlineLevel="0" collapsed="false">
      <c r="I780" s="2"/>
      <c r="J780" s="2"/>
    </row>
    <row r="781" customFormat="false" ht="15" hidden="false" customHeight="false" outlineLevel="0" collapsed="false">
      <c r="I781" s="2"/>
      <c r="J781" s="2"/>
    </row>
    <row r="782" customFormat="false" ht="15" hidden="false" customHeight="false" outlineLevel="0" collapsed="false">
      <c r="I782" s="2"/>
      <c r="J782" s="2"/>
    </row>
    <row r="783" customFormat="false" ht="15" hidden="false" customHeight="false" outlineLevel="0" collapsed="false">
      <c r="I783" s="2"/>
      <c r="J783" s="2"/>
    </row>
    <row r="784" customFormat="false" ht="15" hidden="false" customHeight="false" outlineLevel="0" collapsed="false">
      <c r="I784" s="2"/>
      <c r="J784" s="2"/>
    </row>
    <row r="785" customFormat="false" ht="15" hidden="false" customHeight="false" outlineLevel="0" collapsed="false">
      <c r="I785" s="2"/>
      <c r="J785" s="2"/>
    </row>
    <row r="786" customFormat="false" ht="15" hidden="false" customHeight="false" outlineLevel="0" collapsed="false">
      <c r="I786" s="2"/>
      <c r="J786" s="2"/>
    </row>
    <row r="787" customFormat="false" ht="15" hidden="false" customHeight="false" outlineLevel="0" collapsed="false">
      <c r="I787" s="2"/>
      <c r="J787" s="2"/>
    </row>
    <row r="788" customFormat="false" ht="15" hidden="false" customHeight="false" outlineLevel="0" collapsed="false">
      <c r="I788" s="2"/>
      <c r="J788" s="2"/>
    </row>
    <row r="789" customFormat="false" ht="15" hidden="false" customHeight="false" outlineLevel="0" collapsed="false">
      <c r="I789" s="2"/>
      <c r="J789" s="2"/>
    </row>
    <row r="790" customFormat="false" ht="15" hidden="false" customHeight="false" outlineLevel="0" collapsed="false">
      <c r="I790" s="2"/>
      <c r="J790" s="2"/>
    </row>
    <row r="791" customFormat="false" ht="15" hidden="false" customHeight="false" outlineLevel="0" collapsed="false">
      <c r="I791" s="2"/>
      <c r="J791" s="2"/>
    </row>
    <row r="792" customFormat="false" ht="15" hidden="false" customHeight="false" outlineLevel="0" collapsed="false">
      <c r="I792" s="2"/>
      <c r="J792" s="2"/>
    </row>
    <row r="793" customFormat="false" ht="15" hidden="false" customHeight="false" outlineLevel="0" collapsed="false">
      <c r="I793" s="2"/>
      <c r="J793" s="2"/>
    </row>
    <row r="794" customFormat="false" ht="15" hidden="false" customHeight="false" outlineLevel="0" collapsed="false">
      <c r="I794" s="2"/>
      <c r="J794" s="2"/>
    </row>
    <row r="795" customFormat="false" ht="15" hidden="false" customHeight="false" outlineLevel="0" collapsed="false">
      <c r="I795" s="2"/>
      <c r="J795" s="2"/>
    </row>
    <row r="796" customFormat="false" ht="15" hidden="false" customHeight="false" outlineLevel="0" collapsed="false">
      <c r="I796" s="2"/>
      <c r="J796" s="2"/>
    </row>
    <row r="797" customFormat="false" ht="15" hidden="false" customHeight="false" outlineLevel="0" collapsed="false">
      <c r="I797" s="2"/>
      <c r="J797" s="2"/>
    </row>
    <row r="798" customFormat="false" ht="15" hidden="false" customHeight="false" outlineLevel="0" collapsed="false">
      <c r="I798" s="2"/>
      <c r="J798" s="2"/>
    </row>
    <row r="799" customFormat="false" ht="15" hidden="false" customHeight="false" outlineLevel="0" collapsed="false">
      <c r="I799" s="2"/>
      <c r="J799" s="2"/>
    </row>
    <row r="800" customFormat="false" ht="15" hidden="false" customHeight="false" outlineLevel="0" collapsed="false">
      <c r="I800" s="2"/>
      <c r="J800" s="2"/>
    </row>
    <row r="801" customFormat="false" ht="15" hidden="false" customHeight="false" outlineLevel="0" collapsed="false">
      <c r="I801" s="2"/>
      <c r="J801" s="2"/>
    </row>
    <row r="802" customFormat="false" ht="15" hidden="false" customHeight="false" outlineLevel="0" collapsed="false">
      <c r="I802" s="2"/>
      <c r="J802" s="2"/>
    </row>
    <row r="803" customFormat="false" ht="15" hidden="false" customHeight="false" outlineLevel="0" collapsed="false">
      <c r="I803" s="2"/>
      <c r="J803" s="2"/>
    </row>
    <row r="804" customFormat="false" ht="15" hidden="false" customHeight="false" outlineLevel="0" collapsed="false">
      <c r="I804" s="2"/>
      <c r="J804" s="2"/>
    </row>
    <row r="805" customFormat="false" ht="15" hidden="false" customHeight="false" outlineLevel="0" collapsed="false">
      <c r="I805" s="2"/>
      <c r="J805" s="2"/>
    </row>
    <row r="806" customFormat="false" ht="15" hidden="false" customHeight="false" outlineLevel="0" collapsed="false">
      <c r="I806" s="2"/>
      <c r="J806" s="2"/>
    </row>
    <row r="807" customFormat="false" ht="15" hidden="false" customHeight="false" outlineLevel="0" collapsed="false">
      <c r="I807" s="2"/>
      <c r="J807" s="2"/>
    </row>
    <row r="808" customFormat="false" ht="15" hidden="false" customHeight="false" outlineLevel="0" collapsed="false">
      <c r="I808" s="2"/>
      <c r="J808" s="2"/>
    </row>
    <row r="809" customFormat="false" ht="15" hidden="false" customHeight="false" outlineLevel="0" collapsed="false">
      <c r="I809" s="2"/>
      <c r="J809" s="2"/>
    </row>
    <row r="810" customFormat="false" ht="15" hidden="false" customHeight="false" outlineLevel="0" collapsed="false">
      <c r="I810" s="2"/>
      <c r="J810" s="2"/>
    </row>
    <row r="811" customFormat="false" ht="15" hidden="false" customHeight="false" outlineLevel="0" collapsed="false">
      <c r="I811" s="2"/>
      <c r="J811" s="2"/>
    </row>
    <row r="812" customFormat="false" ht="15" hidden="false" customHeight="false" outlineLevel="0" collapsed="false">
      <c r="I812" s="2"/>
      <c r="J812" s="2"/>
    </row>
    <row r="813" customFormat="false" ht="15" hidden="false" customHeight="false" outlineLevel="0" collapsed="false">
      <c r="I813" s="2"/>
      <c r="J813" s="2"/>
    </row>
    <row r="814" customFormat="false" ht="15" hidden="false" customHeight="false" outlineLevel="0" collapsed="false">
      <c r="I814" s="2"/>
      <c r="J814" s="2"/>
    </row>
    <row r="815" customFormat="false" ht="15" hidden="false" customHeight="false" outlineLevel="0" collapsed="false">
      <c r="I815" s="2"/>
      <c r="J815" s="2"/>
    </row>
    <row r="816" customFormat="false" ht="15" hidden="false" customHeight="false" outlineLevel="0" collapsed="false">
      <c r="I816" s="2"/>
      <c r="J816" s="2"/>
    </row>
    <row r="817" customFormat="false" ht="15" hidden="false" customHeight="false" outlineLevel="0" collapsed="false">
      <c r="I817" s="2"/>
      <c r="J817" s="2"/>
    </row>
    <row r="818" customFormat="false" ht="15" hidden="false" customHeight="false" outlineLevel="0" collapsed="false">
      <c r="I818" s="2"/>
      <c r="J818" s="2"/>
    </row>
    <row r="819" customFormat="false" ht="15" hidden="false" customHeight="false" outlineLevel="0" collapsed="false">
      <c r="I819" s="2"/>
      <c r="J819" s="2"/>
    </row>
    <row r="820" customFormat="false" ht="15" hidden="false" customHeight="false" outlineLevel="0" collapsed="false">
      <c r="I820" s="2"/>
      <c r="J820" s="2"/>
    </row>
    <row r="821" customFormat="false" ht="15" hidden="false" customHeight="false" outlineLevel="0" collapsed="false">
      <c r="I821" s="2"/>
      <c r="J821" s="2"/>
    </row>
    <row r="822" customFormat="false" ht="15" hidden="false" customHeight="false" outlineLevel="0" collapsed="false">
      <c r="I822" s="2"/>
      <c r="J822" s="2"/>
    </row>
    <row r="823" customFormat="false" ht="15" hidden="false" customHeight="false" outlineLevel="0" collapsed="false">
      <c r="I823" s="2"/>
      <c r="J823" s="2"/>
    </row>
    <row r="824" customFormat="false" ht="15" hidden="false" customHeight="false" outlineLevel="0" collapsed="false">
      <c r="I824" s="2"/>
      <c r="J824" s="2"/>
    </row>
    <row r="825" customFormat="false" ht="15" hidden="false" customHeight="false" outlineLevel="0" collapsed="false">
      <c r="I825" s="2"/>
      <c r="J825" s="2"/>
    </row>
    <row r="826" customFormat="false" ht="15" hidden="false" customHeight="false" outlineLevel="0" collapsed="false">
      <c r="I826" s="2"/>
      <c r="J826" s="2"/>
    </row>
    <row r="827" customFormat="false" ht="15" hidden="false" customHeight="false" outlineLevel="0" collapsed="false">
      <c r="I827" s="2"/>
      <c r="J827" s="2"/>
    </row>
    <row r="828" customFormat="false" ht="15" hidden="false" customHeight="false" outlineLevel="0" collapsed="false">
      <c r="I828" s="2"/>
      <c r="J828" s="2"/>
    </row>
    <row r="829" customFormat="false" ht="15" hidden="false" customHeight="false" outlineLevel="0" collapsed="false">
      <c r="I829" s="2"/>
      <c r="J829" s="2"/>
    </row>
    <row r="830" customFormat="false" ht="15" hidden="false" customHeight="false" outlineLevel="0" collapsed="false">
      <c r="I830" s="2"/>
      <c r="J830" s="2"/>
    </row>
    <row r="831" customFormat="false" ht="15" hidden="false" customHeight="false" outlineLevel="0" collapsed="false">
      <c r="I831" s="2"/>
      <c r="J831" s="2"/>
    </row>
    <row r="832" customFormat="false" ht="15" hidden="false" customHeight="false" outlineLevel="0" collapsed="false">
      <c r="I832" s="2"/>
      <c r="J832" s="2"/>
    </row>
    <row r="833" customFormat="false" ht="15" hidden="false" customHeight="false" outlineLevel="0" collapsed="false">
      <c r="I833" s="2"/>
      <c r="J833" s="2"/>
    </row>
    <row r="834" customFormat="false" ht="15" hidden="false" customHeight="false" outlineLevel="0" collapsed="false">
      <c r="I834" s="2"/>
      <c r="J834" s="2"/>
    </row>
    <row r="835" customFormat="false" ht="15" hidden="false" customHeight="false" outlineLevel="0" collapsed="false">
      <c r="I835" s="2"/>
      <c r="J835" s="2"/>
    </row>
    <row r="836" customFormat="false" ht="15" hidden="false" customHeight="false" outlineLevel="0" collapsed="false">
      <c r="I836" s="2"/>
      <c r="J836" s="2"/>
    </row>
    <row r="837" customFormat="false" ht="15" hidden="false" customHeight="false" outlineLevel="0" collapsed="false">
      <c r="I837" s="2"/>
      <c r="J837" s="2"/>
    </row>
    <row r="838" customFormat="false" ht="15" hidden="false" customHeight="false" outlineLevel="0" collapsed="false">
      <c r="I838" s="2"/>
      <c r="J838" s="2"/>
    </row>
    <row r="839" customFormat="false" ht="15" hidden="false" customHeight="false" outlineLevel="0" collapsed="false">
      <c r="I839" s="2"/>
      <c r="J839" s="2"/>
    </row>
    <row r="840" customFormat="false" ht="15" hidden="false" customHeight="false" outlineLevel="0" collapsed="false">
      <c r="I840" s="2"/>
      <c r="J840" s="2"/>
    </row>
    <row r="841" customFormat="false" ht="15" hidden="false" customHeight="false" outlineLevel="0" collapsed="false">
      <c r="I841" s="2"/>
      <c r="J841" s="2"/>
    </row>
    <row r="842" customFormat="false" ht="15" hidden="false" customHeight="false" outlineLevel="0" collapsed="false">
      <c r="I842" s="2"/>
      <c r="J842" s="2"/>
    </row>
    <row r="843" customFormat="false" ht="15" hidden="false" customHeight="false" outlineLevel="0" collapsed="false">
      <c r="I843" s="2"/>
      <c r="J843" s="2"/>
    </row>
    <row r="844" customFormat="false" ht="15" hidden="false" customHeight="false" outlineLevel="0" collapsed="false">
      <c r="I844" s="2"/>
      <c r="J844" s="2"/>
    </row>
    <row r="845" customFormat="false" ht="15" hidden="false" customHeight="false" outlineLevel="0" collapsed="false">
      <c r="I845" s="2"/>
      <c r="J845" s="2"/>
    </row>
    <row r="846" customFormat="false" ht="15" hidden="false" customHeight="false" outlineLevel="0" collapsed="false">
      <c r="I846" s="2"/>
      <c r="J846" s="2"/>
    </row>
    <row r="847" customFormat="false" ht="15" hidden="false" customHeight="false" outlineLevel="0" collapsed="false">
      <c r="I847" s="2"/>
      <c r="J847" s="2"/>
    </row>
    <row r="848" customFormat="false" ht="15" hidden="false" customHeight="false" outlineLevel="0" collapsed="false">
      <c r="I848" s="2"/>
      <c r="J848" s="2"/>
    </row>
    <row r="849" customFormat="false" ht="15" hidden="false" customHeight="false" outlineLevel="0" collapsed="false">
      <c r="I849" s="2"/>
      <c r="J849" s="2"/>
    </row>
    <row r="850" customFormat="false" ht="15" hidden="false" customHeight="false" outlineLevel="0" collapsed="false">
      <c r="I850" s="2"/>
      <c r="J850" s="2"/>
    </row>
    <row r="851" customFormat="false" ht="15" hidden="false" customHeight="false" outlineLevel="0" collapsed="false">
      <c r="I851" s="2"/>
      <c r="J851" s="2"/>
    </row>
    <row r="852" customFormat="false" ht="15" hidden="false" customHeight="false" outlineLevel="0" collapsed="false">
      <c r="I852" s="2"/>
      <c r="J852" s="2"/>
    </row>
    <row r="853" customFormat="false" ht="15" hidden="false" customHeight="false" outlineLevel="0" collapsed="false">
      <c r="I853" s="2"/>
      <c r="J853" s="2"/>
    </row>
    <row r="854" customFormat="false" ht="15" hidden="false" customHeight="false" outlineLevel="0" collapsed="false">
      <c r="I854" s="2"/>
      <c r="J854" s="2"/>
    </row>
    <row r="855" customFormat="false" ht="15" hidden="false" customHeight="false" outlineLevel="0" collapsed="false">
      <c r="I855" s="2"/>
      <c r="J855" s="2"/>
    </row>
    <row r="856" customFormat="false" ht="15" hidden="false" customHeight="false" outlineLevel="0" collapsed="false">
      <c r="I856" s="2"/>
      <c r="J856" s="2"/>
    </row>
    <row r="857" customFormat="false" ht="15" hidden="false" customHeight="false" outlineLevel="0" collapsed="false">
      <c r="I857" s="2"/>
      <c r="J857" s="2"/>
    </row>
    <row r="858" customFormat="false" ht="15" hidden="false" customHeight="false" outlineLevel="0" collapsed="false">
      <c r="I858" s="2"/>
      <c r="J858" s="2"/>
    </row>
    <row r="859" customFormat="false" ht="15" hidden="false" customHeight="false" outlineLevel="0" collapsed="false">
      <c r="I859" s="2"/>
      <c r="J859" s="2"/>
    </row>
    <row r="860" customFormat="false" ht="15" hidden="false" customHeight="false" outlineLevel="0" collapsed="false">
      <c r="I860" s="2"/>
      <c r="J860" s="2"/>
    </row>
    <row r="861" customFormat="false" ht="15" hidden="false" customHeight="false" outlineLevel="0" collapsed="false">
      <c r="I861" s="2"/>
      <c r="J861" s="2"/>
    </row>
    <row r="862" customFormat="false" ht="15" hidden="false" customHeight="false" outlineLevel="0" collapsed="false">
      <c r="I862" s="2"/>
      <c r="J862" s="2"/>
    </row>
    <row r="863" customFormat="false" ht="15" hidden="false" customHeight="false" outlineLevel="0" collapsed="false">
      <c r="I863" s="2"/>
      <c r="J863" s="2"/>
    </row>
    <row r="864" customFormat="false" ht="15" hidden="false" customHeight="false" outlineLevel="0" collapsed="false">
      <c r="I864" s="2"/>
      <c r="J864" s="2"/>
    </row>
    <row r="865" customFormat="false" ht="15" hidden="false" customHeight="false" outlineLevel="0" collapsed="false">
      <c r="I865" s="2"/>
      <c r="J865" s="2"/>
    </row>
    <row r="866" customFormat="false" ht="15" hidden="false" customHeight="false" outlineLevel="0" collapsed="false">
      <c r="I866" s="2"/>
      <c r="J866" s="2"/>
    </row>
    <row r="867" customFormat="false" ht="15" hidden="false" customHeight="false" outlineLevel="0" collapsed="false">
      <c r="I867" s="2"/>
      <c r="J867" s="2"/>
    </row>
    <row r="868" customFormat="false" ht="15" hidden="false" customHeight="false" outlineLevel="0" collapsed="false">
      <c r="I868" s="2"/>
      <c r="J868" s="2"/>
    </row>
    <row r="869" customFormat="false" ht="15" hidden="false" customHeight="false" outlineLevel="0" collapsed="false">
      <c r="I869" s="2"/>
      <c r="J869" s="2"/>
    </row>
    <row r="870" customFormat="false" ht="15" hidden="false" customHeight="false" outlineLevel="0" collapsed="false">
      <c r="I870" s="2"/>
      <c r="J870" s="2"/>
    </row>
    <row r="871" customFormat="false" ht="15" hidden="false" customHeight="false" outlineLevel="0" collapsed="false">
      <c r="I871" s="2"/>
      <c r="J871" s="2"/>
    </row>
    <row r="872" customFormat="false" ht="15" hidden="false" customHeight="false" outlineLevel="0" collapsed="false">
      <c r="I872" s="2"/>
      <c r="J872" s="2"/>
    </row>
    <row r="873" customFormat="false" ht="15" hidden="false" customHeight="false" outlineLevel="0" collapsed="false">
      <c r="I873" s="2"/>
      <c r="J873" s="2"/>
    </row>
    <row r="874" customFormat="false" ht="15" hidden="false" customHeight="false" outlineLevel="0" collapsed="false">
      <c r="I874" s="2"/>
      <c r="J874" s="2"/>
    </row>
    <row r="875" customFormat="false" ht="15" hidden="false" customHeight="false" outlineLevel="0" collapsed="false">
      <c r="I875" s="2"/>
      <c r="J875" s="2"/>
    </row>
    <row r="876" customFormat="false" ht="15" hidden="false" customHeight="false" outlineLevel="0" collapsed="false">
      <c r="I876" s="2"/>
      <c r="J876" s="2"/>
    </row>
    <row r="877" customFormat="false" ht="15" hidden="false" customHeight="false" outlineLevel="0" collapsed="false">
      <c r="I877" s="2"/>
      <c r="J877" s="2"/>
    </row>
    <row r="878" customFormat="false" ht="15" hidden="false" customHeight="false" outlineLevel="0" collapsed="false">
      <c r="I878" s="2"/>
      <c r="J878" s="2"/>
    </row>
    <row r="879" customFormat="false" ht="15" hidden="false" customHeight="false" outlineLevel="0" collapsed="false">
      <c r="I879" s="2"/>
      <c r="J879" s="2"/>
    </row>
    <row r="880" customFormat="false" ht="15" hidden="false" customHeight="false" outlineLevel="0" collapsed="false">
      <c r="I880" s="2"/>
      <c r="J880" s="2"/>
    </row>
    <row r="881" customFormat="false" ht="15" hidden="false" customHeight="false" outlineLevel="0" collapsed="false">
      <c r="I881" s="2"/>
      <c r="J881" s="2"/>
    </row>
    <row r="882" customFormat="false" ht="15" hidden="false" customHeight="false" outlineLevel="0" collapsed="false">
      <c r="I882" s="2"/>
      <c r="J882" s="2"/>
    </row>
    <row r="883" customFormat="false" ht="15" hidden="false" customHeight="false" outlineLevel="0" collapsed="false">
      <c r="I883" s="2"/>
      <c r="J883" s="2"/>
    </row>
    <row r="884" customFormat="false" ht="15" hidden="false" customHeight="false" outlineLevel="0" collapsed="false">
      <c r="I884" s="2"/>
      <c r="J884" s="2"/>
    </row>
    <row r="885" customFormat="false" ht="15" hidden="false" customHeight="false" outlineLevel="0" collapsed="false">
      <c r="I885" s="2"/>
      <c r="J885" s="2"/>
    </row>
    <row r="886" customFormat="false" ht="15" hidden="false" customHeight="false" outlineLevel="0" collapsed="false">
      <c r="I886" s="2"/>
      <c r="J886" s="2"/>
    </row>
    <row r="887" customFormat="false" ht="15" hidden="false" customHeight="false" outlineLevel="0" collapsed="false">
      <c r="I887" s="2"/>
      <c r="J887" s="2"/>
    </row>
    <row r="888" customFormat="false" ht="15" hidden="false" customHeight="false" outlineLevel="0" collapsed="false">
      <c r="I888" s="2"/>
      <c r="J888" s="2"/>
    </row>
    <row r="889" customFormat="false" ht="15" hidden="false" customHeight="false" outlineLevel="0" collapsed="false">
      <c r="I889" s="2"/>
      <c r="J889" s="2"/>
    </row>
    <row r="890" customFormat="false" ht="15" hidden="false" customHeight="false" outlineLevel="0" collapsed="false">
      <c r="I890" s="2"/>
      <c r="J890" s="2"/>
    </row>
    <row r="891" customFormat="false" ht="15" hidden="false" customHeight="false" outlineLevel="0" collapsed="false">
      <c r="I891" s="2"/>
      <c r="J891" s="2"/>
    </row>
    <row r="892" customFormat="false" ht="15" hidden="false" customHeight="false" outlineLevel="0" collapsed="false">
      <c r="I892" s="2"/>
      <c r="J892" s="2"/>
    </row>
    <row r="893" customFormat="false" ht="15" hidden="false" customHeight="false" outlineLevel="0" collapsed="false">
      <c r="I893" s="2"/>
      <c r="J893" s="2"/>
    </row>
    <row r="894" customFormat="false" ht="15" hidden="false" customHeight="false" outlineLevel="0" collapsed="false">
      <c r="I894" s="2"/>
      <c r="J894" s="2"/>
    </row>
    <row r="895" customFormat="false" ht="15" hidden="false" customHeight="false" outlineLevel="0" collapsed="false">
      <c r="I895" s="2"/>
      <c r="J895" s="2"/>
    </row>
    <row r="896" customFormat="false" ht="15" hidden="false" customHeight="false" outlineLevel="0" collapsed="false">
      <c r="I896" s="2"/>
      <c r="J896" s="2"/>
    </row>
    <row r="897" customFormat="false" ht="15" hidden="false" customHeight="false" outlineLevel="0" collapsed="false">
      <c r="I897" s="2"/>
      <c r="J897" s="2"/>
    </row>
    <row r="898" customFormat="false" ht="15" hidden="false" customHeight="false" outlineLevel="0" collapsed="false">
      <c r="I898" s="2"/>
      <c r="J898" s="2"/>
    </row>
    <row r="899" customFormat="false" ht="15" hidden="false" customHeight="false" outlineLevel="0" collapsed="false">
      <c r="I899" s="2"/>
      <c r="J899" s="2"/>
    </row>
    <row r="900" customFormat="false" ht="15" hidden="false" customHeight="false" outlineLevel="0" collapsed="false">
      <c r="I900" s="2"/>
      <c r="J900" s="2"/>
    </row>
    <row r="901" customFormat="false" ht="15" hidden="false" customHeight="false" outlineLevel="0" collapsed="false">
      <c r="I901" s="2"/>
      <c r="J901" s="2"/>
    </row>
    <row r="902" customFormat="false" ht="15" hidden="false" customHeight="false" outlineLevel="0" collapsed="false">
      <c r="I902" s="2"/>
      <c r="J902" s="2"/>
    </row>
    <row r="903" customFormat="false" ht="15" hidden="false" customHeight="false" outlineLevel="0" collapsed="false">
      <c r="I903" s="2"/>
      <c r="J903" s="2"/>
    </row>
    <row r="904" customFormat="false" ht="15" hidden="false" customHeight="false" outlineLevel="0" collapsed="false">
      <c r="I904" s="2"/>
      <c r="J904" s="2"/>
    </row>
    <row r="905" customFormat="false" ht="15" hidden="false" customHeight="false" outlineLevel="0" collapsed="false">
      <c r="I905" s="2"/>
      <c r="J905" s="2"/>
    </row>
    <row r="906" customFormat="false" ht="15" hidden="false" customHeight="false" outlineLevel="0" collapsed="false">
      <c r="I906" s="2"/>
      <c r="J906" s="2"/>
    </row>
    <row r="907" customFormat="false" ht="15" hidden="false" customHeight="false" outlineLevel="0" collapsed="false">
      <c r="I907" s="2"/>
      <c r="J907" s="2"/>
    </row>
    <row r="908" customFormat="false" ht="15" hidden="false" customHeight="false" outlineLevel="0" collapsed="false">
      <c r="I908" s="2"/>
      <c r="J908" s="2"/>
    </row>
    <row r="909" customFormat="false" ht="15" hidden="false" customHeight="false" outlineLevel="0" collapsed="false">
      <c r="I909" s="2"/>
      <c r="J909" s="2"/>
    </row>
    <row r="910" customFormat="false" ht="15" hidden="false" customHeight="false" outlineLevel="0" collapsed="false">
      <c r="I910" s="2"/>
      <c r="J910" s="2"/>
    </row>
    <row r="911" customFormat="false" ht="15" hidden="false" customHeight="false" outlineLevel="0" collapsed="false">
      <c r="I911" s="2"/>
      <c r="J911" s="2"/>
    </row>
    <row r="912" customFormat="false" ht="15" hidden="false" customHeight="false" outlineLevel="0" collapsed="false">
      <c r="I912" s="2"/>
      <c r="J912" s="2"/>
    </row>
    <row r="913" customFormat="false" ht="15" hidden="false" customHeight="false" outlineLevel="0" collapsed="false">
      <c r="I913" s="2"/>
      <c r="J913" s="2"/>
    </row>
    <row r="914" customFormat="false" ht="15" hidden="false" customHeight="false" outlineLevel="0" collapsed="false">
      <c r="I914" s="2"/>
      <c r="J914" s="2"/>
    </row>
    <row r="915" customFormat="false" ht="15" hidden="false" customHeight="false" outlineLevel="0" collapsed="false">
      <c r="I915" s="2"/>
      <c r="J915" s="2"/>
    </row>
    <row r="916" customFormat="false" ht="15" hidden="false" customHeight="false" outlineLevel="0" collapsed="false">
      <c r="I916" s="2"/>
      <c r="J916" s="2"/>
    </row>
    <row r="917" customFormat="false" ht="15" hidden="false" customHeight="false" outlineLevel="0" collapsed="false">
      <c r="I917" s="2"/>
      <c r="J917" s="2"/>
    </row>
    <row r="918" customFormat="false" ht="15" hidden="false" customHeight="false" outlineLevel="0" collapsed="false">
      <c r="I918" s="2"/>
      <c r="J918" s="2"/>
    </row>
    <row r="919" customFormat="false" ht="15" hidden="false" customHeight="false" outlineLevel="0" collapsed="false">
      <c r="I919" s="2"/>
      <c r="J919" s="2"/>
    </row>
    <row r="920" customFormat="false" ht="15" hidden="false" customHeight="false" outlineLevel="0" collapsed="false">
      <c r="I920" s="2"/>
      <c r="J920" s="2"/>
    </row>
    <row r="921" customFormat="false" ht="15" hidden="false" customHeight="false" outlineLevel="0" collapsed="false">
      <c r="I921" s="2"/>
      <c r="J921" s="2"/>
    </row>
    <row r="922" customFormat="false" ht="15" hidden="false" customHeight="false" outlineLevel="0" collapsed="false">
      <c r="I922" s="2"/>
      <c r="J922" s="2"/>
    </row>
    <row r="923" customFormat="false" ht="15" hidden="false" customHeight="false" outlineLevel="0" collapsed="false">
      <c r="I923" s="2"/>
      <c r="J923" s="2"/>
    </row>
    <row r="924" customFormat="false" ht="15" hidden="false" customHeight="false" outlineLevel="0" collapsed="false">
      <c r="I924" s="2"/>
      <c r="J924" s="2"/>
    </row>
    <row r="925" customFormat="false" ht="15" hidden="false" customHeight="false" outlineLevel="0" collapsed="false">
      <c r="I925" s="2"/>
      <c r="J925" s="2"/>
    </row>
    <row r="926" customFormat="false" ht="15" hidden="false" customHeight="false" outlineLevel="0" collapsed="false">
      <c r="I926" s="2"/>
      <c r="J926" s="2"/>
    </row>
    <row r="927" customFormat="false" ht="15" hidden="false" customHeight="false" outlineLevel="0" collapsed="false">
      <c r="I927" s="2"/>
      <c r="J927" s="2"/>
    </row>
    <row r="928" customFormat="false" ht="15" hidden="false" customHeight="false" outlineLevel="0" collapsed="false">
      <c r="I928" s="2"/>
      <c r="J928" s="2"/>
    </row>
  </sheetData>
  <dataValidations count="2">
    <dataValidation allowBlank="true" errorStyle="stop" operator="between" showDropDown="false" showErrorMessage="false" showInputMessage="false" sqref="I2:I928" type="list">
      <formula1>"Prospecto,Contactado,Reunión,Propuesta,Cliente,No interesado"</formula1>
      <formula2>0</formula2>
    </dataValidation>
    <dataValidation allowBlank="true" errorStyle="stop" operator="between" showDropDown="false" showErrorMessage="false" showInputMessage="false" sqref="J2:J928" type="list">
      <formula1>"Alta,Media,Baja,Por calificar"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4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1" t="s">
        <v>1201</v>
      </c>
      <c r="B1" s="1" t="s">
        <v>1202</v>
      </c>
      <c r="C1" s="1" t="s">
        <v>3</v>
      </c>
      <c r="D1" s="1" t="s">
        <v>1203</v>
      </c>
      <c r="E1" s="1" t="s">
        <v>1204</v>
      </c>
      <c r="F1" s="1" t="s">
        <v>1205</v>
      </c>
      <c r="G1" s="1" t="s">
        <v>1206</v>
      </c>
      <c r="H1" s="1" t="s">
        <v>1207</v>
      </c>
      <c r="I1" s="1" t="s">
        <v>10</v>
      </c>
      <c r="J1" s="1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1" t="s">
        <v>1209</v>
      </c>
      <c r="B1" s="1" t="s">
        <v>4</v>
      </c>
      <c r="C1" s="1" t="s">
        <v>1210</v>
      </c>
      <c r="D1" s="1"/>
      <c r="E1" s="1"/>
    </row>
    <row r="2" customFormat="false" ht="15" hidden="false" customHeight="false" outlineLevel="0" collapsed="false">
      <c r="A2" s="0" t="s">
        <v>21</v>
      </c>
      <c r="B2" s="0" t="s">
        <v>20</v>
      </c>
      <c r="C2" s="0" t="n">
        <f aca="false">COUNTIFS(Contactos!$H:$H,$A2,Contactos!$E:$E,$B2)</f>
        <v>127</v>
      </c>
    </row>
    <row r="3" customFormat="false" ht="15" hidden="false" customHeight="false" outlineLevel="0" collapsed="false">
      <c r="A3" s="0" t="s">
        <v>21</v>
      </c>
      <c r="B3" s="0" t="s">
        <v>113</v>
      </c>
      <c r="C3" s="0" t="n">
        <f aca="false">COUNTIFS(Contactos!$H:$H,$A3,Contactos!$E:$E,$B3)</f>
        <v>74</v>
      </c>
    </row>
    <row r="4" customFormat="false" ht="15" hidden="false" customHeight="false" outlineLevel="0" collapsed="false">
      <c r="A4" s="0" t="s">
        <v>21</v>
      </c>
      <c r="B4" s="0" t="s">
        <v>342</v>
      </c>
      <c r="C4" s="0" t="n">
        <f aca="false">COUNTIFS(Contactos!$H:$H,$A4,Contactos!$E:$E,$B4)</f>
        <v>30</v>
      </c>
    </row>
    <row r="5" customFormat="false" ht="15" hidden="false" customHeight="false" outlineLevel="0" collapsed="false">
      <c r="A5" s="0" t="s">
        <v>21</v>
      </c>
      <c r="B5" s="0" t="s">
        <v>313</v>
      </c>
      <c r="C5" s="0" t="n">
        <f aca="false">COUNTIFS(Contactos!$H:$H,$A5,Contactos!$E:$E,$B5)</f>
        <v>25</v>
      </c>
    </row>
    <row r="6" customFormat="false" ht="15" hidden="false" customHeight="false" outlineLevel="0" collapsed="false">
      <c r="A6" s="0" t="s">
        <v>21</v>
      </c>
      <c r="B6" s="0" t="s">
        <v>104</v>
      </c>
      <c r="C6" s="0" t="n">
        <f aca="false">COUNTIFS(Contactos!$H:$H,$A6,Contactos!$E:$E,$B6)</f>
        <v>24</v>
      </c>
    </row>
    <row r="7" customFormat="false" ht="15" hidden="false" customHeight="false" outlineLevel="0" collapsed="false">
      <c r="A7" s="0" t="s">
        <v>21</v>
      </c>
      <c r="B7" s="0" t="s">
        <v>108</v>
      </c>
      <c r="C7" s="0" t="n">
        <f aca="false">COUNTIFS(Contactos!$H:$H,$A7,Contactos!$E:$E,$B7)</f>
        <v>22</v>
      </c>
    </row>
    <row r="8" customFormat="false" ht="15" hidden="false" customHeight="false" outlineLevel="0" collapsed="false">
      <c r="A8" s="0" t="s">
        <v>21</v>
      </c>
      <c r="B8" s="0" t="s">
        <v>309</v>
      </c>
      <c r="C8" s="0" t="n">
        <f aca="false">COUNTIFS(Contactos!$H:$H,$A8,Contactos!$E:$E,$B8)</f>
        <v>14</v>
      </c>
    </row>
    <row r="9" customFormat="false" ht="15" hidden="false" customHeight="false" outlineLevel="0" collapsed="false">
      <c r="A9" s="0" t="s">
        <v>21</v>
      </c>
      <c r="B9" s="0" t="s">
        <v>615</v>
      </c>
      <c r="C9" s="0" t="n">
        <f aca="false">COUNTIFS(Contactos!$H:$H,$A9,Contactos!$E:$E,$B9)</f>
        <v>12</v>
      </c>
    </row>
    <row r="10" customFormat="false" ht="15" hidden="false" customHeight="false" outlineLevel="0" collapsed="false">
      <c r="A10" s="0" t="s">
        <v>21</v>
      </c>
      <c r="B10" s="0" t="s">
        <v>305</v>
      </c>
      <c r="C10" s="0" t="n">
        <f aca="false">COUNTIFS(Contactos!$H:$H,$A10,Contactos!$E:$E,$B10)</f>
        <v>11</v>
      </c>
    </row>
    <row r="11" customFormat="false" ht="15" hidden="false" customHeight="false" outlineLevel="0" collapsed="false">
      <c r="A11" s="0" t="s">
        <v>21</v>
      </c>
      <c r="B11" s="0" t="s">
        <v>200</v>
      </c>
      <c r="C11" s="0" t="n">
        <f aca="false">COUNTIFS(Contactos!$H:$H,$A11,Contactos!$E:$E,$B11)</f>
        <v>10</v>
      </c>
    </row>
    <row r="12" customFormat="false" ht="15" hidden="false" customHeight="false" outlineLevel="0" collapsed="false">
      <c r="A12" s="0" t="s">
        <v>21</v>
      </c>
      <c r="B12" s="0" t="s">
        <v>611</v>
      </c>
      <c r="C12" s="0" t="n">
        <f aca="false">COUNTIFS(Contactos!$H:$H,$A12,Contactos!$E:$E,$B12)</f>
        <v>10</v>
      </c>
    </row>
    <row r="13" customFormat="false" ht="15" hidden="false" customHeight="false" outlineLevel="0" collapsed="false">
      <c r="A13" s="0" t="s">
        <v>21</v>
      </c>
      <c r="B13" s="0" t="s">
        <v>521</v>
      </c>
      <c r="C13" s="0" t="n">
        <f aca="false">COUNTIFS(Contactos!$H:$H,$A13,Contactos!$E:$E,$B13)</f>
        <v>9</v>
      </c>
    </row>
    <row r="14" customFormat="false" ht="15" hidden="false" customHeight="false" outlineLevel="0" collapsed="false">
      <c r="A14" s="0" t="s">
        <v>21</v>
      </c>
      <c r="B14" s="0" t="s">
        <v>186</v>
      </c>
      <c r="C14" s="0" t="n">
        <f aca="false">COUNTIFS(Contactos!$H:$H,$A14,Contactos!$E:$E,$B14)</f>
        <v>7</v>
      </c>
    </row>
    <row r="15" customFormat="false" ht="15" hidden="false" customHeight="false" outlineLevel="0" collapsed="false">
      <c r="A15" s="0" t="s">
        <v>21</v>
      </c>
      <c r="B15" s="0" t="s">
        <v>257</v>
      </c>
      <c r="C15" s="0" t="n">
        <f aca="false">COUNTIFS(Contactos!$H:$H,$A15,Contactos!$E:$E,$B15)</f>
        <v>6</v>
      </c>
    </row>
    <row r="16" customFormat="false" ht="15" hidden="false" customHeight="false" outlineLevel="0" collapsed="false">
      <c r="A16" s="0" t="s">
        <v>21</v>
      </c>
      <c r="B16" s="0" t="s">
        <v>736</v>
      </c>
      <c r="C16" s="0" t="n">
        <f aca="false">COUNTIFS(Contactos!$H:$H,$A16,Contactos!$E:$E,$B16)</f>
        <v>6</v>
      </c>
    </row>
    <row r="17" customFormat="false" ht="15" hidden="false" customHeight="false" outlineLevel="0" collapsed="false">
      <c r="A17" s="0" t="s">
        <v>21</v>
      </c>
      <c r="B17" s="0" t="s">
        <v>789</v>
      </c>
      <c r="C17" s="0" t="n">
        <f aca="false">COUNTIFS(Contactos!$H:$H,$A17,Contactos!$E:$E,$B17)</f>
        <v>6</v>
      </c>
    </row>
    <row r="18" customFormat="false" ht="15" hidden="false" customHeight="false" outlineLevel="0" collapsed="false">
      <c r="A18" s="0" t="s">
        <v>21</v>
      </c>
      <c r="B18" s="0" t="s">
        <v>407</v>
      </c>
      <c r="C18" s="0" t="n">
        <f aca="false">COUNTIFS(Contactos!$H:$H,$A18,Contactos!$E:$E,$B18)</f>
        <v>5</v>
      </c>
    </row>
    <row r="19" customFormat="false" ht="15" hidden="false" customHeight="false" outlineLevel="0" collapsed="false">
      <c r="A19" s="0" t="s">
        <v>21</v>
      </c>
      <c r="B19" s="0" t="s">
        <v>350</v>
      </c>
      <c r="C19" s="0" t="n">
        <f aca="false">COUNTIFS(Contactos!$H:$H,$A19,Contactos!$E:$E,$B19)</f>
        <v>4</v>
      </c>
    </row>
    <row r="20" customFormat="false" ht="15" hidden="false" customHeight="false" outlineLevel="0" collapsed="false">
      <c r="A20" s="0" t="s">
        <v>21</v>
      </c>
      <c r="B20" s="0" t="s">
        <v>216</v>
      </c>
      <c r="C20" s="0" t="n">
        <f aca="false">COUNTIFS(Contactos!$H:$H,$A20,Contactos!$E:$E,$B20)</f>
        <v>3</v>
      </c>
    </row>
    <row r="21" customFormat="false" ht="15" hidden="false" customHeight="false" outlineLevel="0" collapsed="false">
      <c r="A21" s="0" t="s">
        <v>21</v>
      </c>
      <c r="B21" s="0" t="s">
        <v>212</v>
      </c>
      <c r="C21" s="0" t="n">
        <f aca="false">COUNTIFS(Contactos!$H:$H,$A21,Contactos!$E:$E,$B21)</f>
        <v>2</v>
      </c>
    </row>
    <row r="22" customFormat="false" ht="15" hidden="false" customHeight="false" outlineLevel="0" collapsed="false">
      <c r="A22" s="0" t="s">
        <v>21</v>
      </c>
      <c r="B22" s="0" t="s">
        <v>248</v>
      </c>
      <c r="C22" s="0" t="n">
        <f aca="false">COUNTIFS(Contactos!$H:$H,$A22,Contactos!$E:$E,$B22)</f>
        <v>2</v>
      </c>
    </row>
    <row r="23" customFormat="false" ht="15" hidden="false" customHeight="false" outlineLevel="0" collapsed="false">
      <c r="A23" s="0" t="s">
        <v>21</v>
      </c>
      <c r="B23" s="0" t="s">
        <v>580</v>
      </c>
      <c r="C23" s="0" t="n">
        <f aca="false">COUNTIFS(Contactos!$H:$H,$A23,Contactos!$E:$E,$B23)</f>
        <v>2</v>
      </c>
    </row>
    <row r="24" customFormat="false" ht="15" hidden="false" customHeight="false" outlineLevel="0" collapsed="false">
      <c r="A24" s="0" t="s">
        <v>21</v>
      </c>
      <c r="B24" s="0" t="s">
        <v>842</v>
      </c>
      <c r="C24" s="0" t="n">
        <f aca="false">COUNTIFS(Contactos!$H:$H,$A24,Contactos!$E:$E,$B24)</f>
        <v>2</v>
      </c>
    </row>
    <row r="25" customFormat="false" ht="15" hidden="false" customHeight="false" outlineLevel="0" collapsed="false">
      <c r="A25" s="0" t="s">
        <v>21</v>
      </c>
      <c r="B25" s="0" t="s">
        <v>877</v>
      </c>
      <c r="C25" s="0" t="n">
        <f aca="false">COUNTIFS(Contactos!$H:$H,$A25,Contactos!$E:$E,$B25)</f>
        <v>2</v>
      </c>
    </row>
    <row r="26" customFormat="false" ht="15" hidden="false" customHeight="false" outlineLevel="0" collapsed="false">
      <c r="A26" s="0" t="s">
        <v>21</v>
      </c>
      <c r="B26" s="0" t="s">
        <v>1006</v>
      </c>
      <c r="C26" s="0" t="n">
        <f aca="false">COUNTIFS(Contactos!$H:$H,$A26,Contactos!$E:$E,$B26)</f>
        <v>2</v>
      </c>
    </row>
    <row r="27" customFormat="false" ht="15" hidden="false" customHeight="false" outlineLevel="0" collapsed="false">
      <c r="A27" s="0" t="s">
        <v>21</v>
      </c>
      <c r="B27" s="0" t="s">
        <v>196</v>
      </c>
      <c r="C27" s="0" t="n">
        <f aca="false">COUNTIFS(Contactos!$H:$H,$A27,Contactos!$E:$E,$B27)</f>
        <v>1</v>
      </c>
    </row>
    <row r="28" customFormat="false" ht="15" hidden="false" customHeight="false" outlineLevel="0" collapsed="false">
      <c r="A28" s="0" t="s">
        <v>21</v>
      </c>
      <c r="B28" s="0" t="s">
        <v>291</v>
      </c>
      <c r="C28" s="0" t="n">
        <f aca="false">COUNTIFS(Contactos!$H:$H,$A28,Contactos!$E:$E,$B28)</f>
        <v>1</v>
      </c>
    </row>
    <row r="29" customFormat="false" ht="15" hidden="false" customHeight="false" outlineLevel="0" collapsed="false">
      <c r="A29" s="0" t="s">
        <v>21</v>
      </c>
      <c r="B29" s="0" t="s">
        <v>330</v>
      </c>
      <c r="C29" s="0" t="n">
        <f aca="false">COUNTIFS(Contactos!$H:$H,$A29,Contactos!$E:$E,$B29)</f>
        <v>1</v>
      </c>
    </row>
    <row r="30" customFormat="false" ht="15" hidden="false" customHeight="false" outlineLevel="0" collapsed="false">
      <c r="A30" s="0" t="s">
        <v>21</v>
      </c>
      <c r="B30" s="0" t="s">
        <v>1018</v>
      </c>
      <c r="C30" s="0" t="n">
        <f aca="false">COUNTIFS(Contactos!$H:$H,$A30,Contactos!$E:$E,$B30)</f>
        <v>1</v>
      </c>
    </row>
    <row r="31" customFormat="false" ht="15" hidden="false" customHeight="false" outlineLevel="0" collapsed="false">
      <c r="A31" s="0" t="s">
        <v>21</v>
      </c>
      <c r="B31" s="0" t="s">
        <v>1088</v>
      </c>
      <c r="C31" s="0" t="n">
        <f aca="false">COUNTIFS(Contactos!$H:$H,$A31,Contactos!$E:$E,$B31)</f>
        <v>1</v>
      </c>
    </row>
    <row r="32" customFormat="false" ht="15" hidden="false" customHeight="false" outlineLevel="0" collapsed="false">
      <c r="A32" s="0" t="s">
        <v>21</v>
      </c>
      <c r="B32" s="0" t="s">
        <v>1104</v>
      </c>
      <c r="C32" s="0" t="n">
        <f aca="false">COUNTIFS(Contactos!$H:$H,$A32,Contactos!$E:$E,$B32)</f>
        <v>1</v>
      </c>
    </row>
    <row r="33" customFormat="false" ht="15" hidden="false" customHeight="false" outlineLevel="0" collapsed="false">
      <c r="A33" s="0" t="s">
        <v>21</v>
      </c>
      <c r="B33" s="0" t="s">
        <v>1122</v>
      </c>
      <c r="C33" s="0" t="n">
        <f aca="false">COUNTIFS(Contactos!$H:$H,$A33,Contactos!$E:$E,$B33)</f>
        <v>1</v>
      </c>
    </row>
    <row r="34" customFormat="false" ht="15" hidden="false" customHeight="false" outlineLevel="0" collapsed="false">
      <c r="A34" s="0" t="s">
        <v>21</v>
      </c>
      <c r="B34" s="0" t="s">
        <v>1157</v>
      </c>
      <c r="C34" s="0" t="n">
        <f aca="false">COUNTIFS(Contactos!$H:$H,$A34,Contactos!$E:$E,$B34)</f>
        <v>1</v>
      </c>
    </row>
    <row r="35" customFormat="false" ht="15" hidden="false" customHeight="false" outlineLevel="0" collapsed="false">
      <c r="A35" s="0" t="s">
        <v>21</v>
      </c>
      <c r="B35" s="0" t="s">
        <v>1174</v>
      </c>
      <c r="C35" s="0" t="n">
        <f aca="false">COUNTIFS(Contactos!$H:$H,$A35,Contactos!$E:$E,$B35)</f>
        <v>1</v>
      </c>
    </row>
    <row r="36" customFormat="false" ht="15" hidden="false" customHeight="false" outlineLevel="0" collapsed="false">
      <c r="A36" s="0" t="s">
        <v>21</v>
      </c>
      <c r="B36" s="0" t="s">
        <v>1183</v>
      </c>
      <c r="C36" s="0" t="n">
        <f aca="false">COUNTIFS(Contactos!$H:$H,$A36,Contactos!$E:$E,$B36)</f>
        <v>1</v>
      </c>
    </row>
    <row r="37" customFormat="false" ht="15" hidden="false" customHeight="false" outlineLevel="0" collapsed="false">
      <c r="A37" s="0" t="s">
        <v>1211</v>
      </c>
      <c r="C37" s="0" t="n">
        <f aca="false">SUM(C2:C36)</f>
        <v>427</v>
      </c>
    </row>
    <row r="39" customFormat="false" ht="15" hidden="false" customHeight="false" outlineLevel="0" collapsed="false">
      <c r="A39" s="4" t="s">
        <v>12</v>
      </c>
      <c r="B39" s="4" t="s">
        <v>23</v>
      </c>
      <c r="C39" s="4" t="s">
        <v>297</v>
      </c>
      <c r="D39" s="4" t="s">
        <v>625</v>
      </c>
      <c r="E39" s="4" t="s">
        <v>1211</v>
      </c>
    </row>
    <row r="40" customFormat="false" ht="15" hidden="false" customHeight="false" outlineLevel="0" collapsed="false">
      <c r="A40" s="0" t="s">
        <v>26</v>
      </c>
      <c r="B40" s="0" t="n">
        <f aca="false">COUNTIFS(Contactos!$M:$M,$A40,Contactos!$J:$J,B$39)</f>
        <v>26</v>
      </c>
      <c r="C40" s="0" t="n">
        <f aca="false">COUNTIFS(Contactos!$M:$M,$A40,Contactos!$J:$J,C$39)</f>
        <v>0</v>
      </c>
      <c r="D40" s="0" t="n">
        <f aca="false">COUNTIFS(Contactos!$M:$M,$A40,Contactos!$J:$J,D$39)</f>
        <v>0</v>
      </c>
      <c r="E40" s="0" t="n">
        <f aca="false">SUM(B40:D40)</f>
        <v>26</v>
      </c>
    </row>
    <row r="41" customFormat="false" ht="15" hidden="false" customHeight="false" outlineLevel="0" collapsed="false">
      <c r="A41" s="0" t="s">
        <v>119</v>
      </c>
      <c r="B41" s="0" t="n">
        <f aca="false">COUNTIFS(Contactos!$M:$M,$A41,Contactos!$J:$J,B$39)</f>
        <v>47</v>
      </c>
      <c r="C41" s="0" t="n">
        <f aca="false">COUNTIFS(Contactos!$M:$M,$A41,Contactos!$J:$J,C$39)</f>
        <v>0</v>
      </c>
      <c r="D41" s="0" t="n">
        <f aca="false">COUNTIFS(Contactos!$M:$M,$A41,Contactos!$J:$J,D$39)</f>
        <v>0</v>
      </c>
      <c r="E41" s="0" t="n">
        <f aca="false">SUM(B41:D41)</f>
        <v>47</v>
      </c>
    </row>
    <row r="42" customFormat="false" ht="15" hidden="false" customHeight="false" outlineLevel="0" collapsed="false">
      <c r="A42" s="0" t="s">
        <v>264</v>
      </c>
      <c r="B42" s="0" t="n">
        <f aca="false">COUNTIFS(Contactos!$M:$M,$A42,Contactos!$J:$J,B$39)</f>
        <v>10</v>
      </c>
      <c r="C42" s="0" t="n">
        <f aca="false">COUNTIFS(Contactos!$M:$M,$A42,Contactos!$J:$J,C$39)</f>
        <v>0</v>
      </c>
      <c r="D42" s="0" t="n">
        <f aca="false">COUNTIFS(Contactos!$M:$M,$A42,Contactos!$J:$J,D$39)</f>
        <v>0</v>
      </c>
      <c r="E42" s="0" t="n">
        <f aca="false">SUM(B42:D42)</f>
        <v>10</v>
      </c>
    </row>
    <row r="43" customFormat="false" ht="15" hidden="false" customHeight="false" outlineLevel="0" collapsed="false">
      <c r="A43" s="0" t="s">
        <v>299</v>
      </c>
      <c r="B43" s="0" t="n">
        <f aca="false">COUNTIFS(Contactos!$M:$M,$A43,Contactos!$J:$J,B$39)</f>
        <v>0</v>
      </c>
      <c r="C43" s="0" t="n">
        <f aca="false">COUNTIFS(Contactos!$M:$M,$A43,Contactos!$J:$J,C$39)</f>
        <v>27</v>
      </c>
      <c r="D43" s="0" t="n">
        <f aca="false">COUNTIFS(Contactos!$M:$M,$A43,Contactos!$J:$J,D$39)</f>
        <v>0</v>
      </c>
      <c r="E43" s="0" t="n">
        <f aca="false">SUM(B43:D43)</f>
        <v>27</v>
      </c>
    </row>
    <row r="44" customFormat="false" ht="15" hidden="false" customHeight="false" outlineLevel="0" collapsed="false">
      <c r="A44" s="0" t="s">
        <v>379</v>
      </c>
      <c r="B44" s="0" t="n">
        <f aca="false">COUNTIFS(Contactos!$M:$M,$A44,Contactos!$J:$J,B$39)</f>
        <v>0</v>
      </c>
      <c r="C44" s="0" t="n">
        <f aca="false">COUNTIFS(Contactos!$M:$M,$A44,Contactos!$J:$J,C$39)</f>
        <v>20</v>
      </c>
      <c r="D44" s="0" t="n">
        <f aca="false">COUNTIFS(Contactos!$M:$M,$A44,Contactos!$J:$J,D$39)</f>
        <v>0</v>
      </c>
      <c r="E44" s="0" t="n">
        <f aca="false">SUM(B44:D44)</f>
        <v>20</v>
      </c>
    </row>
    <row r="45" customFormat="false" ht="15" hidden="false" customHeight="false" outlineLevel="0" collapsed="false">
      <c r="A45" s="0" t="s">
        <v>438</v>
      </c>
      <c r="B45" s="0" t="n">
        <f aca="false">COUNTIFS(Contactos!$M:$M,$A45,Contactos!$J:$J,B$39)</f>
        <v>0</v>
      </c>
      <c r="C45" s="0" t="n">
        <f aca="false">COUNTIFS(Contactos!$M:$M,$A45,Contactos!$J:$J,C$39)</f>
        <v>11</v>
      </c>
      <c r="D45" s="0" t="n">
        <f aca="false">COUNTIFS(Contactos!$M:$M,$A45,Contactos!$J:$J,D$39)</f>
        <v>0</v>
      </c>
      <c r="E45" s="0" t="n">
        <f aca="false">SUM(B45:D45)</f>
        <v>11</v>
      </c>
    </row>
    <row r="46" customFormat="false" ht="15" hidden="false" customHeight="false" outlineLevel="0" collapsed="false">
      <c r="A46" s="0" t="s">
        <v>469</v>
      </c>
      <c r="B46" s="0" t="n">
        <f aca="false">COUNTIFS(Contactos!$M:$M,$A46,Contactos!$J:$J,B$39)</f>
        <v>0</v>
      </c>
      <c r="C46" s="0" t="n">
        <f aca="false">COUNTIFS(Contactos!$M:$M,$A46,Contactos!$J:$J,C$39)</f>
        <v>3</v>
      </c>
      <c r="D46" s="0" t="n">
        <f aca="false">COUNTIFS(Contactos!$M:$M,$A46,Contactos!$J:$J,D$39)</f>
        <v>0</v>
      </c>
      <c r="E46" s="0" t="n">
        <f aca="false">SUM(B46:D46)</f>
        <v>3</v>
      </c>
    </row>
    <row r="47" customFormat="false" ht="15" hidden="false" customHeight="false" outlineLevel="0" collapsed="false">
      <c r="A47" s="0" t="s">
        <v>480</v>
      </c>
      <c r="B47" s="0" t="n">
        <f aca="false">COUNTIFS(Contactos!$M:$M,$A47,Contactos!$J:$J,B$39)</f>
        <v>0</v>
      </c>
      <c r="C47" s="0" t="n">
        <f aca="false">COUNTIFS(Contactos!$M:$M,$A47,Contactos!$J:$J,C$39)</f>
        <v>17</v>
      </c>
      <c r="D47" s="0" t="n">
        <f aca="false">COUNTIFS(Contactos!$M:$M,$A47,Contactos!$J:$J,D$39)</f>
        <v>0</v>
      </c>
      <c r="E47" s="0" t="n">
        <f aca="false">SUM(B47:D47)</f>
        <v>17</v>
      </c>
    </row>
    <row r="48" customFormat="false" ht="15" hidden="false" customHeight="false" outlineLevel="0" collapsed="false">
      <c r="A48" s="0" t="s">
        <v>529</v>
      </c>
      <c r="B48" s="0" t="n">
        <f aca="false">COUNTIFS(Contactos!$M:$M,$A48,Contactos!$J:$J,B$39)</f>
        <v>0</v>
      </c>
      <c r="C48" s="0" t="n">
        <f aca="false">COUNTIFS(Contactos!$M:$M,$A48,Contactos!$J:$J,C$39)</f>
        <v>34</v>
      </c>
      <c r="D48" s="0" t="n">
        <f aca="false">COUNTIFS(Contactos!$M:$M,$A48,Contactos!$J:$J,D$39)</f>
        <v>0</v>
      </c>
      <c r="E48" s="0" t="n">
        <f aca="false">SUM(B48:D48)</f>
        <v>34</v>
      </c>
    </row>
    <row r="49" customFormat="false" ht="15" hidden="false" customHeight="false" outlineLevel="0" collapsed="false">
      <c r="A49" s="0" t="s">
        <v>627</v>
      </c>
      <c r="B49" s="0" t="n">
        <f aca="false">COUNTIFS(Contactos!$M:$M,$A49,Contactos!$J:$J,B$39)</f>
        <v>0</v>
      </c>
      <c r="C49" s="0" t="n">
        <f aca="false">COUNTIFS(Contactos!$M:$M,$A49,Contactos!$J:$J,C$39)</f>
        <v>0</v>
      </c>
      <c r="D49" s="0" t="n">
        <f aca="false">COUNTIFS(Contactos!$M:$M,$A49,Contactos!$J:$J,D$39)</f>
        <v>232</v>
      </c>
      <c r="E49" s="0" t="n">
        <f aca="false">SUM(B49:D49)</f>
        <v>232</v>
      </c>
    </row>
    <row r="50" customFormat="false" ht="15" hidden="false" customHeight="false" outlineLevel="0" collapsed="false">
      <c r="A50" s="0" t="s">
        <v>1211</v>
      </c>
      <c r="B50" s="0" t="n">
        <f aca="false">SUM(B40:B49)</f>
        <v>83</v>
      </c>
      <c r="C50" s="0" t="n">
        <f aca="false">SUM(C40:C49)</f>
        <v>112</v>
      </c>
      <c r="D50" s="0" t="n">
        <f aca="false">SUM(D40:D49)</f>
        <v>232</v>
      </c>
      <c r="E50" s="0" t="n">
        <f aca="false">SUM(E40:E49)</f>
        <v>427</v>
      </c>
    </row>
    <row r="52" customFormat="false" ht="15" hidden="false" customHeight="false" outlineLevel="0" collapsed="false">
      <c r="A52" s="4" t="s">
        <v>1212</v>
      </c>
      <c r="B52" s="4" t="s">
        <v>1210</v>
      </c>
    </row>
    <row r="53" customFormat="false" ht="15" hidden="false" customHeight="false" outlineLevel="0" collapsed="false">
      <c r="A53" s="0" t="s">
        <v>22</v>
      </c>
      <c r="B53" s="0" t="n">
        <f aca="false">COUNTIF(Contactos!$I:$I,A53)</f>
        <v>427</v>
      </c>
    </row>
    <row r="54" customFormat="false" ht="15" hidden="false" customHeight="false" outlineLevel="0" collapsed="false">
      <c r="A54" s="0" t="s">
        <v>1213</v>
      </c>
      <c r="B54" s="0" t="n">
        <f aca="false">COUNTIF(Contactos!$I:$I,A54)</f>
        <v>0</v>
      </c>
    </row>
    <row r="55" customFormat="false" ht="15" hidden="false" customHeight="false" outlineLevel="0" collapsed="false">
      <c r="A55" s="0" t="s">
        <v>1214</v>
      </c>
      <c r="B55" s="0" t="n">
        <f aca="false">COUNTIF(Contactos!$I:$I,A55)</f>
        <v>0</v>
      </c>
    </row>
    <row r="56" customFormat="false" ht="15" hidden="false" customHeight="false" outlineLevel="0" collapsed="false">
      <c r="A56" s="0" t="s">
        <v>1215</v>
      </c>
      <c r="B56" s="0" t="n">
        <f aca="false">COUNTIF(Contactos!$I:$I,A56)</f>
        <v>0</v>
      </c>
    </row>
    <row r="57" customFormat="false" ht="15" hidden="false" customHeight="false" outlineLevel="0" collapsed="false">
      <c r="A57" s="0" t="s">
        <v>1216</v>
      </c>
      <c r="B57" s="0" t="n">
        <f aca="false">COUNTIF(Contactos!$I:$I,A57)</f>
        <v>0</v>
      </c>
    </row>
    <row r="58" customFormat="false" ht="15" hidden="false" customHeight="false" outlineLevel="0" collapsed="false">
      <c r="A58" s="0" t="s">
        <v>1217</v>
      </c>
      <c r="B58" s="0" t="n">
        <f aca="false">COUNTIF(Contactos!$I:$I,A58)</f>
        <v>0</v>
      </c>
    </row>
    <row r="60" customFormat="false" ht="15" hidden="false" customHeight="false" outlineLevel="0" collapsed="false">
      <c r="A60" s="4" t="s">
        <v>1218</v>
      </c>
      <c r="B60" s="4" t="s">
        <v>1210</v>
      </c>
    </row>
    <row r="61" customFormat="false" ht="15" hidden="false" customHeight="false" outlineLevel="0" collapsed="false">
      <c r="A61" s="0" t="s">
        <v>1219</v>
      </c>
      <c r="B61" s="0" t="n">
        <v>449</v>
      </c>
    </row>
    <row r="62" customFormat="false" ht="15" hidden="false" customHeight="false" outlineLevel="0" collapsed="false">
      <c r="A62" s="0" t="s">
        <v>1220</v>
      </c>
      <c r="B62" s="0" t="n">
        <f aca="false">COUNTA(Contactos!$D$2:$D$3000)</f>
        <v>427</v>
      </c>
    </row>
    <row r="63" customFormat="false" ht="15" hidden="false" customHeight="false" outlineLevel="0" collapsed="false">
      <c r="A63" s="0" t="s">
        <v>1221</v>
      </c>
      <c r="B63" s="0" t="n">
        <f aca="false">COUNTIF(Contactos!$E$2:$E$3000,"Chile")</f>
        <v>127</v>
      </c>
    </row>
    <row r="64" customFormat="false" ht="15" hidden="false" customHeight="false" outlineLevel="0" collapsed="false">
      <c r="A64" s="0" t="s">
        <v>1222</v>
      </c>
      <c r="B64" s="0" t="n">
        <f aca="false">COUNTIF(Contactos!$Q$2:$Q$3000,"?*")</f>
        <v>402</v>
      </c>
    </row>
    <row r="65" customFormat="false" ht="15" hidden="false" customHeight="false" outlineLevel="0" collapsed="false">
      <c r="A65" s="0" t="s">
        <v>1223</v>
      </c>
      <c r="B65" s="0" t="n">
        <f aca="false">COUNTIF(Contactos!$S$2:$S$3000,"*(ID*")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1224</v>
      </c>
      <c r="B1" s="1" t="s">
        <v>4</v>
      </c>
      <c r="C1" s="1" t="s">
        <v>1225</v>
      </c>
    </row>
    <row r="2" customFormat="false" ht="15" hidden="false" customHeight="false" outlineLevel="0" collapsed="false">
      <c r="A2" s="0" t="s">
        <v>1226</v>
      </c>
      <c r="B2" s="0" t="s">
        <v>291</v>
      </c>
      <c r="C2" s="0" t="s">
        <v>1227</v>
      </c>
    </row>
    <row r="3" customFormat="false" ht="15" hidden="false" customHeight="false" outlineLevel="0" collapsed="false">
      <c r="A3" s="0" t="s">
        <v>1228</v>
      </c>
      <c r="B3" s="0" t="s">
        <v>291</v>
      </c>
      <c r="C3" s="0" t="s">
        <v>1229</v>
      </c>
    </row>
    <row r="4" customFormat="false" ht="15" hidden="false" customHeight="false" outlineLevel="0" collapsed="false">
      <c r="A4" s="0" t="s">
        <v>1230</v>
      </c>
      <c r="B4" s="0" t="s">
        <v>20</v>
      </c>
      <c r="C4" s="0" t="s">
        <v>1231</v>
      </c>
    </row>
    <row r="5" customFormat="false" ht="15" hidden="false" customHeight="false" outlineLevel="0" collapsed="false">
      <c r="A5" s="0" t="s">
        <v>1232</v>
      </c>
      <c r="B5" s="0" t="s">
        <v>20</v>
      </c>
      <c r="C5" s="0" t="s">
        <v>1233</v>
      </c>
    </row>
    <row r="6" customFormat="false" ht="15" hidden="false" customHeight="false" outlineLevel="0" collapsed="false">
      <c r="A6" s="0" t="s">
        <v>1234</v>
      </c>
      <c r="B6" s="0" t="s">
        <v>20</v>
      </c>
      <c r="C6" s="0" t="s">
        <v>1235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2026-10-07T04:00:11Z</dcterms:created>
  <dc:creator>openpyxl</dc:creator>
  <dc:description/>
  <dc:language>en-US</dc:language>
  <cp:lastModifiedBy/>
  <dcterms:modified xsi:type="dcterms:W3CDTF">2026-10-07T04:00:11Z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