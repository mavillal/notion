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ntactos" sheetId="1" state="visible" r:id="rId3"/>
    <sheet name="Oportunidades" sheetId="2" state="visible" r:id="rId4"/>
    <sheet name="Resumen" sheetId="3" state="visible" r:id="rId5"/>
    <sheet name="Log depuración" sheetId="4" state="visible" r:id="rId6"/>
    <sheet name="Evento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<sst xmlns="http://schemas.openxmlformats.org/spreadsheetml/2006/main" count="706" uniqueCount="275">
  <si>
    <t xml:space="preserve">ID</t>
  </si>
  <si>
    <t xml:space="preserve">Nombre</t>
  </si>
  <si>
    <t xml:space="preserve">Cargo</t>
  </si>
  <si>
    <t xml:space="preserve">Empresa</t>
  </si>
  <si>
    <t xml:space="preserve">País</t>
  </si>
  <si>
    <t xml:space="preserve">Email</t>
  </si>
  <si>
    <t xml:space="preserve">LinkedIn</t>
  </si>
  <si>
    <t xml:space="preserve">Origen</t>
  </si>
  <si>
    <t xml:space="preserve">Estado</t>
  </si>
  <si>
    <t xml:space="preserve">Prioridad</t>
  </si>
  <si>
    <t xml:space="preserve">Próxima acción</t>
  </si>
  <si>
    <t xml:space="preserve">Notas</t>
  </si>
  <si>
    <t xml:space="preserve">Segmento SafetyMind</t>
  </si>
  <si>
    <t xml:space="preserve">Bloque temático</t>
  </si>
  <si>
    <t xml:space="preserve">Tipo presentación</t>
  </si>
  <si>
    <t xml:space="preserve">Ponencia</t>
  </si>
  <si>
    <t xml:space="preserve">Co-presentadores</t>
  </si>
  <si>
    <t xml:space="preserve">Verificación LinkedIn</t>
  </si>
  <si>
    <t xml:space="preserve">Cruce otros CRM</t>
  </si>
  <si>
    <t xml:space="preserve">Andrea Quevedo</t>
  </si>
  <si>
    <t xml:space="preserve">Jefe de Transformación Digital y Proyectos</t>
  </si>
  <si>
    <t xml:space="preserve">Alpayana</t>
  </si>
  <si>
    <t xml:space="preserve">Perú</t>
  </si>
  <si>
    <t xml:space="preserve">https://www.linkedin.com/in/andreaquevedos/</t>
  </si>
  <si>
    <t xml:space="preserve">Minería 5.0 2026 – Encuentro de Metalurgia</t>
  </si>
  <si>
    <t xml:space="preserve">Prospecto</t>
  </si>
  <si>
    <t xml:space="preserve">Alta</t>
  </si>
  <si>
    <t xml:space="preserve">Contactar post-ponencia; mapear a Gerente SSO/Operaciones y proponer piloto SafetyMind</t>
  </si>
  <si>
    <t xml:space="preserve">Conferencista Minería 5.0 2026 (Encuentro de Metalurgia). Lidera scoop semiautónomo y automatización en planta.</t>
  </si>
  <si>
    <t xml:space="preserve">Cliente final – minera</t>
  </si>
  <si>
    <t xml:space="preserve">Minería 5.0</t>
  </si>
  <si>
    <t xml:space="preserve">Individual</t>
  </si>
  <si>
    <t xml:space="preserve">Wiraq: scoop semiautónomo / Automatización y control de la dosificación de reactivos en flotación / Creadores digitales: formando talento para liderar la transformación en la era de la Minería 5.0</t>
  </si>
  <si>
    <t xml:space="preserve">Coincide con el nombre</t>
  </si>
  <si>
    <t xml:space="preserve">No</t>
  </si>
  <si>
    <t xml:space="preserve">Iván Velásquez</t>
  </si>
  <si>
    <t xml:space="preserve">Gerente Corporativo de Control de Gestión y Excelencia Operacional</t>
  </si>
  <si>
    <t xml:space="preserve">Compañía Minera Lincuna S.A.</t>
  </si>
  <si>
    <t xml:space="preserve">Conferencista Minería 5.0 2026 (Encuentro de Metalurgia).</t>
  </si>
  <si>
    <t xml:space="preserve">Excelencia operacional</t>
  </si>
  <si>
    <t xml:space="preserve">Nuevo enfoque de gestión de costos en minería y su conexión con la excelencia operacional</t>
  </si>
  <si>
    <t xml:space="preserve">Sin LinkedIn</t>
  </si>
  <si>
    <t xml:space="preserve">Marcelo Santillana</t>
  </si>
  <si>
    <t xml:space="preserve">Director</t>
  </si>
  <si>
    <t xml:space="preserve">Compañía Minera Poderosa</t>
  </si>
  <si>
    <t xml:space="preserve">Conferencista Minería 5.0 2026 (Encuentro de Metalurgia). Nombre y organización venían invertidos en la fuente.</t>
  </si>
  <si>
    <t xml:space="preserve">Los proyectos en Poderosa</t>
  </si>
  <si>
    <t xml:space="preserve">Ruddy Morales</t>
  </si>
  <si>
    <t xml:space="preserve">Superintendente Corporativo de Excelencia</t>
  </si>
  <si>
    <t xml:space="preserve">Consorcio Minero Horizonte</t>
  </si>
  <si>
    <t xml:space="preserve">https://www.linkedin.com/in/ruddy-morales-opx/</t>
  </si>
  <si>
    <t xml:space="preserve">Conferencista Minería 5.0 2026 (Encuentro de Metalurgia). Hoja de ruta de transformación (caso CMH). Presentación conjunta.</t>
  </si>
  <si>
    <t xml:space="preserve">Conjunta</t>
  </si>
  <si>
    <t xml:space="preserve">Creando una hoja de ruta para la transformación: caso CMH</t>
  </si>
  <si>
    <t xml:space="preserve">Glasson Fonseca</t>
  </si>
  <si>
    <t xml:space="preserve">Gerente Corporativo de Transformación</t>
  </si>
  <si>
    <t xml:space="preserve">David Bayona</t>
  </si>
  <si>
    <t xml:space="preserve">Director de Proyectos</t>
  </si>
  <si>
    <t xml:space="preserve">Hot Chili Limited</t>
  </si>
  <si>
    <t xml:space="preserve">Chile</t>
  </si>
  <si>
    <t xml:space="preserve">https://www.linkedin.com/in/david-bayona-inche/</t>
  </si>
  <si>
    <t xml:space="preserve">Conferencista Minería 5.0 2026 (Encuentro de Metalurgia). Proyecto Costa Fuego (Chile).</t>
  </si>
  <si>
    <t xml:space="preserve">Inteligencia artificial en la gestión de megaproyectos mineros</t>
  </si>
  <si>
    <t xml:space="preserve">Luis Rojas</t>
  </si>
  <si>
    <t xml:space="preserve">Gerente de Tecnologías de Información</t>
  </si>
  <si>
    <t xml:space="preserve">Hudbay Perú</t>
  </si>
  <si>
    <t xml:space="preserve">https://www.linkedin.com/in/luiseduardorojas/</t>
  </si>
  <si>
    <t xml:space="preserve">Cultura digital en la minería: transformando personas, procesos y decisiones</t>
  </si>
  <si>
    <t xml:space="preserve">Jorge Infantes</t>
  </si>
  <si>
    <t xml:space="preserve">Superintendente Planta Concentradora</t>
  </si>
  <si>
    <t xml:space="preserve">Marcobre</t>
  </si>
  <si>
    <t xml:space="preserve">Conferencista Minería 5.0 2026 (Encuentro de Metalurgia). Optimus AI en planta concentradora (Grupo Minsur). Presentación conjunta.</t>
  </si>
  <si>
    <t xml:space="preserve">Optimus AI, inteligencia artificial operacional para maximizar la recuperación de cobre fino</t>
  </si>
  <si>
    <t xml:space="preserve">Luis Chacón</t>
  </si>
  <si>
    <t xml:space="preserve">Analítica Avanzada</t>
  </si>
  <si>
    <t xml:space="preserve">Andrew Hulme</t>
  </si>
  <si>
    <t xml:space="preserve">General Manager &amp; SSE</t>
  </si>
  <si>
    <t xml:space="preserve">Sibanye-Stillwater</t>
  </si>
  <si>
    <t xml:space="preserve">Sudáfrica</t>
  </si>
  <si>
    <t xml:space="preserve">https://www.linkedin.com/in/andrew-hulme-gaicd-09ba3654/</t>
  </si>
  <si>
    <t xml:space="preserve">Donde la estrategia se encuentra con la ejecución. Cómo maximizar tus activos y procesos mediante la minimización de la variabilidad</t>
  </si>
  <si>
    <t xml:space="preserve">Raúl Benavides</t>
  </si>
  <si>
    <t xml:space="preserve">Presidente del Directorio</t>
  </si>
  <si>
    <t xml:space="preserve">Sociedad Minera El Brocal S.A.A.</t>
  </si>
  <si>
    <t xml:space="preserve">https://www.linkedin.com/in/raul-benavides-93479450/</t>
  </si>
  <si>
    <t xml:space="preserve">Conferencista Minería 5.0 2026 (Encuentro de Metalurgia). PRIORIDAD: ponencia sobre IA para prevenir accidentes (encaje directo con SafetyMind). Grupo Buenaventura. Presentación conjunta.</t>
  </si>
  <si>
    <t xml:space="preserve">Aplicaciones de la inteligencia artificial para prevenir accidentes y mejorar la productividad en las operaciones mineras</t>
  </si>
  <si>
    <t xml:space="preserve">Homar Lozano</t>
  </si>
  <si>
    <t xml:space="preserve">Co-autor</t>
  </si>
  <si>
    <t xml:space="preserve">Terry Williams</t>
  </si>
  <si>
    <t xml:space="preserve">Director Ejecutivo</t>
  </si>
  <si>
    <t xml:space="preserve">New Project Perú SAC</t>
  </si>
  <si>
    <t xml:space="preserve">Inteligencia competitiva: revisar ponencia y oferta; evaluar si es competidor o integrable</t>
  </si>
  <si>
    <t xml:space="preserve">Conferencista Minería 5.0 2026 (Encuentro de Metalurgia). IoT-IA para tracking, seguridad activa y control de acceso en minería subterránea: posible competidor.</t>
  </si>
  <si>
    <t xml:space="preserve">Competidor / tecnología de seguridad</t>
  </si>
  <si>
    <t xml:space="preserve">Ecosistema IoT–IA para tracking, seguridad activa y control de acceso en minería subterránea</t>
  </si>
  <si>
    <t xml:space="preserve">Vicente Rojas</t>
  </si>
  <si>
    <t xml:space="preserve">Gerente Tecnología &amp; IA</t>
  </si>
  <si>
    <t xml:space="preserve">Empírica</t>
  </si>
  <si>
    <t xml:space="preserve">https://www.linkedin.com/in/vicente-rojas-ojeda/</t>
  </si>
  <si>
    <t xml:space="preserve">Media</t>
  </si>
  <si>
    <t xml:space="preserve">Explorar integración/alianza (datos de planta, IIoT, analítica)</t>
  </si>
  <si>
    <t xml:space="preserve">Partner tecnológico (IA, IIoT, datos)</t>
  </si>
  <si>
    <t xml:space="preserve">Integración geometalúrgica y analítica avanzada en molienda SAG</t>
  </si>
  <si>
    <t xml:space="preserve">Juan Pablo Rodriguez</t>
  </si>
  <si>
    <t xml:space="preserve">Gerente Fundición/Refinería y Balance Metalúrgico</t>
  </si>
  <si>
    <t xml:space="preserve">Conferencista Minería 5.0 2026 (Encuentro de Metalurgia). Misma empresa que Vicente Rojas (unificado "EMPIRICA"/"EMPÍRICA").</t>
  </si>
  <si>
    <t xml:space="preserve">Aspectos relevantes en el proceso de balance metalúrgico para minerales de cobre</t>
  </si>
  <si>
    <t xml:space="preserve">Leonardo Forero</t>
  </si>
  <si>
    <t xml:space="preserve">Investigador IA</t>
  </si>
  <si>
    <t xml:space="preserve">MGM Corporate Resources</t>
  </si>
  <si>
    <t xml:space="preserve">Conferencista Minería 5.0 2026 (Encuentro de Metalurgia). Caso aplicado en Compañía de Minas Buenaventura (deep learning en imágenes geo-mineras). Presentación conjunta.</t>
  </si>
  <si>
    <t xml:space="preserve">Aplicación de deep learning para la segmentación semántica de imágenes geo-mineras mediante DeepLabv3+ en Compañía de Minas Buenaventura</t>
  </si>
  <si>
    <t xml:space="preserve">Eloy Paredes, Angela Donaires</t>
  </si>
  <si>
    <t xml:space="preserve">Eloy Paredes</t>
  </si>
  <si>
    <t xml:space="preserve">Consultor Senior</t>
  </si>
  <si>
    <t xml:space="preserve">Leonardo Forero, Angela Donaires</t>
  </si>
  <si>
    <t xml:space="preserve">Angela Donaires</t>
  </si>
  <si>
    <t xml:space="preserve">Especialista en Deep Learning</t>
  </si>
  <si>
    <t xml:space="preserve">Leonardo Forero, Eloy Paredes</t>
  </si>
  <si>
    <t xml:space="preserve">Angel Navarro</t>
  </si>
  <si>
    <t xml:space="preserve">Sales &amp; Configuration Manager</t>
  </si>
  <si>
    <t xml:space="preserve">Procetradi SAC</t>
  </si>
  <si>
    <t xml:space="preserve">https://www.linkedin.com/in/angel-alfonso-navarro-la-rosa/</t>
  </si>
  <si>
    <t xml:space="preserve">Conferencista Minería 5.0 2026 (Encuentro de Metalurgia). Centros integrados de operaciones.</t>
  </si>
  <si>
    <t xml:space="preserve">Centros integrados de operaciones para una minería sin silos de información</t>
  </si>
  <si>
    <t xml:space="preserve">Lucas Torres</t>
  </si>
  <si>
    <t xml:space="preserve">Team Lead, Technical Solutions, Mining</t>
  </si>
  <si>
    <t xml:space="preserve">Seequent</t>
  </si>
  <si>
    <t xml:space="preserve">https://www.linkedin.com/in/lucas-torres-ortiz-77884494/</t>
  </si>
  <si>
    <t xml:space="preserve">Inteligencia artificial para la geociencia: driver de Seequent y la optimización minera</t>
  </si>
  <si>
    <t xml:space="preserve">Danilo Sturiza</t>
  </si>
  <si>
    <t xml:space="preserve">COO y Founder</t>
  </si>
  <si>
    <t xml:space="preserve">Smart Mining</t>
  </si>
  <si>
    <t xml:space="preserve">https://www.linkedin.com/in/danilosturiza/</t>
  </si>
  <si>
    <t xml:space="preserve">Conferencista Minería 5.0 2026 (Encuentro de Metalurgia). IIoT para mantenimiento y espesamiento. Presentación conjunta.</t>
  </si>
  <si>
    <t xml:space="preserve">De la condición al desempeño: inteligencia IIoT para mantenimiento y optimización operacional en espesamiento de concentrado</t>
  </si>
  <si>
    <t xml:space="preserve">Claudia Castillo</t>
  </si>
  <si>
    <t xml:space="preserve">Advisor</t>
  </si>
  <si>
    <t xml:space="preserve">Leonel Aguilar</t>
  </si>
  <si>
    <t xml:space="preserve">Gerente Posventa Sudamérica</t>
  </si>
  <si>
    <t xml:space="preserve">Watergenics SAC</t>
  </si>
  <si>
    <t xml:space="preserve">https://www.linkedin.com/in/leonel-aguilar-681371a7/</t>
  </si>
  <si>
    <t xml:space="preserve">Conferencista Minería 5.0 2026 (Encuentro de Metalurgia). Monitoreo de agua en tiempo real.</t>
  </si>
  <si>
    <t xml:space="preserve">Monitoreo inteligente de calidad de agua en tiempo real</t>
  </si>
  <si>
    <t xml:space="preserve">Arturo Vásquez</t>
  </si>
  <si>
    <t xml:space="preserve">Gerente Regional de Desarrollo de Negocios para Latinoamérica</t>
  </si>
  <si>
    <t xml:space="preserve">Epiroc</t>
  </si>
  <si>
    <t xml:space="preserve">https://www.linkedin.com/in/arturovasquez/</t>
  </si>
  <si>
    <t xml:space="preserve">Explorar alianza con representante local (equipos y talleres)</t>
  </si>
  <si>
    <t xml:space="preserve">Conferencista Minería 5.0 2026 (Encuentro de Metalurgia). Empresa también en: Directorio SSO (ID 51); Expo San Juan (ID 117).</t>
  </si>
  <si>
    <t xml:space="preserve">Partner OEM – equipos mineros</t>
  </si>
  <si>
    <t xml:space="preserve">Autonomía minera: de la eficiencia operacional a la ventaja competitiva</t>
  </si>
  <si>
    <t xml:space="preserve">Verificar (handle genérico)</t>
  </si>
  <si>
    <t xml:space="preserve">Directorio SSO (ID 51); Expo San Juan (ID 117)</t>
  </si>
  <si>
    <t xml:space="preserve">Hyder Mamani</t>
  </si>
  <si>
    <t xml:space="preserve">Especialista en Circuitos de Molienda</t>
  </si>
  <si>
    <t xml:space="preserve">Weir Minerals Perú</t>
  </si>
  <si>
    <t xml:space="preserve">https://www.linkedin.com/in/hyder-mamani-83769617/</t>
  </si>
  <si>
    <t xml:space="preserve">Conferencista Minería 5.0 2026 (Encuentro de Metalurgia). Empresa también en: Expo San Juan (ID 146).</t>
  </si>
  <si>
    <t xml:space="preserve">Agentes de inteligencia artificial aplicados a la validación, simulación y optimización de circuitos de molienda</t>
  </si>
  <si>
    <t xml:space="preserve">Expo San Juan (ID 146)</t>
  </si>
  <si>
    <t xml:space="preserve">Luis Reynafarge</t>
  </si>
  <si>
    <t xml:space="preserve">Experto en Excelencia Operacional</t>
  </si>
  <si>
    <t xml:space="preserve">Independiente</t>
  </si>
  <si>
    <t xml:space="preserve">https://www.linkedin.com/in/luisreynafarge/</t>
  </si>
  <si>
    <t xml:space="preserve">Explorar alianza comercial / canal de formación</t>
  </si>
  <si>
    <t xml:space="preserve">Conferencista Minería 5.0 2026 (Encuentro de Metalurgia). Consultor Lean + IA multiagente.</t>
  </si>
  <si>
    <t xml:space="preserve">Canal / aliado – consultoría y formación</t>
  </si>
  <si>
    <t xml:space="preserve">Cultura Lean e inteligencia artificial multiagente, la evolución del sistema de producción hacia la minería conectada</t>
  </si>
  <si>
    <t xml:space="preserve">Alessandra Morante</t>
  </si>
  <si>
    <t xml:space="preserve">CEO</t>
  </si>
  <si>
    <t xml:space="preserve">Innovation Academy &amp; Experience</t>
  </si>
  <si>
    <t xml:space="preserve">https://www.linkedin.com/in/alessandramorantepr/</t>
  </si>
  <si>
    <t xml:space="preserve">Conferencista Minería 5.0 2026 (Encuentro de Metalurgia). Organización corregida (la fuente ponía a Alessandra Morante como organización). Presentación conjunta.</t>
  </si>
  <si>
    <t xml:space="preserve">El nuevo mindset minero: anticipar, cuestionar, innovar</t>
  </si>
  <si>
    <t xml:space="preserve">Angela Barreda</t>
  </si>
  <si>
    <t xml:space="preserve">Co-presentadora</t>
  </si>
  <si>
    <t xml:space="preserve">Ivan Quintanilla</t>
  </si>
  <si>
    <t xml:space="preserve">Supply Talent Consulting</t>
  </si>
  <si>
    <t xml:space="preserve">Conferencista Minería 5.0 2026 (Encuentro de Metalurgia). Título de la ponencia venía truncado en la fuente; corregido desde el texto original.</t>
  </si>
  <si>
    <t xml:space="preserve">Modelo de expediting "on time" basado en aprendizaje automático para la cadena de suministro minera</t>
  </si>
  <si>
    <t xml:space="preserve">Carlos Calderón</t>
  </si>
  <si>
    <t xml:space="preserve">Director de la Academia de IA, Datos y Ciencias de la Computación</t>
  </si>
  <si>
    <t xml:space="preserve">UTEC</t>
  </si>
  <si>
    <t xml:space="preserve">https://www.linkedin.com/in/carloscalderon/</t>
  </si>
  <si>
    <t xml:space="preserve">Vincular para I+D, casos de estudio o validación académica</t>
  </si>
  <si>
    <t xml:space="preserve">Academia / investigación</t>
  </si>
  <si>
    <t xml:space="preserve">Robótica e IA física para el mundo empresarial: al borde de una invasión robótica en todos los rincones del planeta</t>
  </si>
  <si>
    <t xml:space="preserve">Thierry de Saint Pierre</t>
  </si>
  <si>
    <t xml:space="preserve">Profesor investigador</t>
  </si>
  <si>
    <t xml:space="preserve">Universidad San Sebastián</t>
  </si>
  <si>
    <t xml:space="preserve">https://www.linkedin.com/in/thierry-de-saint-pierre-04149a7/</t>
  </si>
  <si>
    <t xml:space="preserve">Conferencista Minería 5.0 2026 (Encuentro de Metalurgia). Dr.; nombre y organización venían invertidos en la fuente.</t>
  </si>
  <si>
    <t xml:space="preserve">Un framework para la inteligencia artificial en minería</t>
  </si>
  <si>
    <t xml:space="preserve">Fernando Velásquez</t>
  </si>
  <si>
    <t xml:space="preserve">Gerente General</t>
  </si>
  <si>
    <t xml:space="preserve">Feedback Economic Investments and B…</t>
  </si>
  <si>
    <t xml:space="preserve">https://www.linkedin.com/in/fernandovelasquez/</t>
  </si>
  <si>
    <t xml:space="preserve">Baja</t>
  </si>
  <si>
    <t xml:space="preserve">Mantener en red (posible champion o talento)</t>
  </si>
  <si>
    <t xml:space="preserve">Conferencista Minería 5.0 2026 (Encuentro de Metalurgia). Nombre de la organización viene truncado en la fuente. Tema blockchain/tokenización (fuera de foco).</t>
  </si>
  <si>
    <t xml:space="preserve">Profesional independiente / talento</t>
  </si>
  <si>
    <t xml:space="preserve">TMC 5.0: arquitectura híbrida de IA y blockchain para tokenización y verificación de activos mineros</t>
  </si>
  <si>
    <t xml:space="preserve">Martin Miranda</t>
  </si>
  <si>
    <t xml:space="preserve">Asistente de Supervisor General de Mantenimiento Eléctrico Mina</t>
  </si>
  <si>
    <t xml:space="preserve">Investigador independiente</t>
  </si>
  <si>
    <t xml:space="preserve">Conferencista Minería 5.0 2026 (Encuentro de Metalurgia). Trabaja en mina; desarrolló visión artificial para conteo de camiones: posible champion interno.</t>
  </si>
  <si>
    <t xml:space="preserve">Mine Vision AI: visión artificial para el conteo automático de camiones en chancado primario, sin inversión adicional en hardware ni licencias</t>
  </si>
  <si>
    <t xml:space="preserve">Diego Rey</t>
  </si>
  <si>
    <t xml:space="preserve">Conferencista Minería 5.0 2026 (Encuentro de Metalurgia). Predicción de fallas de motor de camión minero.</t>
  </si>
  <si>
    <t xml:space="preserve">Diseño de un sistema de predicción de fallas de motor de camión minero basado en algoritmos de aprendizaje</t>
  </si>
  <si>
    <t xml:space="preserve">ID oportunidad</t>
  </si>
  <si>
    <t xml:space="preserve">ID contacto</t>
  </si>
  <si>
    <t xml:space="preserve">Necesidad</t>
  </si>
  <si>
    <t xml:space="preserve">Solución propuesta</t>
  </si>
  <si>
    <t xml:space="preserve">Etapa</t>
  </si>
  <si>
    <t xml:space="preserve">Valor estimado</t>
  </si>
  <si>
    <t xml:space="preserve">Probabilidad</t>
  </si>
  <si>
    <t xml:space="preserve">Fecha</t>
  </si>
  <si>
    <t xml:space="preserve">Total</t>
  </si>
  <si>
    <t xml:space="preserve">Indicadores</t>
  </si>
  <si>
    <t xml:space="preserve">Cantidad</t>
  </si>
  <si>
    <t xml:space="preserve">Filas en archivo original</t>
  </si>
  <si>
    <t xml:space="preserve">Personas (tras separar presentaciones conjuntas)</t>
  </si>
  <si>
    <t xml:space="preserve">Organizaciones únicas</t>
  </si>
  <si>
    <t xml:space="preserve">Con LinkedIn</t>
  </si>
  <si>
    <t xml:space="preserve">LinkedIn a verificar</t>
  </si>
  <si>
    <t xml:space="preserve">Contactos de empresas ya presentes en otros CRM</t>
  </si>
  <si>
    <t xml:space="preserve">Fila origen</t>
  </si>
  <si>
    <t xml:space="preserve">Corrección</t>
  </si>
  <si>
    <t xml:space="preserve">Valor original</t>
  </si>
  <si>
    <t xml:space="preserve">Valor final</t>
  </si>
  <si>
    <t xml:space="preserve">Fila marcada para revisión (RequiereRevision=Sí)</t>
  </si>
  <si>
    <t xml:space="preserve">Dr. Thierry de Saint Pierre</t>
  </si>
  <si>
    <t xml:space="preserve">Corregida: nombre y organización estaban invertidos</t>
  </si>
  <si>
    <t xml:space="preserve">Organización normalizada</t>
  </si>
  <si>
    <t xml:space="preserve">EPIROC</t>
  </si>
  <si>
    <t xml:space="preserve">HUDBAY PERÚ</t>
  </si>
  <si>
    <t xml:space="preserve">Separada en 2 contactos: Alessandra Morante, Angela Barreda</t>
  </si>
  <si>
    <t xml:space="preserve">Danilo Sturiza | Claudia Castillo</t>
  </si>
  <si>
    <t xml:space="preserve">Separada en 2 contactos: Danilo Sturiza, Claudia Castillo</t>
  </si>
  <si>
    <t xml:space="preserve">SMART MINING</t>
  </si>
  <si>
    <t xml:space="preserve">EMPIRICA</t>
  </si>
  <si>
    <t xml:space="preserve">INVESTIGADOR INDEPENDIENTE</t>
  </si>
  <si>
    <t xml:space="preserve">NEW PROJECT PERU SAC</t>
  </si>
  <si>
    <t xml:space="preserve">PROCETRADI S.A.C.</t>
  </si>
  <si>
    <t xml:space="preserve">FEEDBACK ECONOMIC INVESTMENTS AND B</t>
  </si>
  <si>
    <t xml:space="preserve">WATERGENICS SAC</t>
  </si>
  <si>
    <t xml:space="preserve">ALPAYANA</t>
  </si>
  <si>
    <t xml:space="preserve">WEIR MINERALS PERU S.A.</t>
  </si>
  <si>
    <t xml:space="preserve">SEEQUENT</t>
  </si>
  <si>
    <t xml:space="preserve">Leonardo Forero | Eloy Paredes | Angela Donaires</t>
  </si>
  <si>
    <t xml:space="preserve">Separada en 3 contactos: Leonardo Forero, Eloy Paredes, Angela Donaires</t>
  </si>
  <si>
    <t xml:space="preserve">MGM CORPORATE RESOURCES</t>
  </si>
  <si>
    <t xml:space="preserve">SIBANYE-STILLWATER</t>
  </si>
  <si>
    <t xml:space="preserve">INDEPENDIENTE</t>
  </si>
  <si>
    <t xml:space="preserve">HOT CHILI LIMITED</t>
  </si>
  <si>
    <t xml:space="preserve">Raúl Benavides | Homar Lozano</t>
  </si>
  <si>
    <t xml:space="preserve">Separada en 2 contactos: Raúl Benavides, Homar Lozano</t>
  </si>
  <si>
    <t xml:space="preserve">SOCIEDAD MINERA EL BROCAL S.A.A.</t>
  </si>
  <si>
    <t xml:space="preserve">Ruddy Morales | Glasson Fonseca</t>
  </si>
  <si>
    <t xml:space="preserve">Separada en 2 contactos: Ruddy Morales, Glasson Fonseca</t>
  </si>
  <si>
    <t xml:space="preserve">CONSORCIO MINERO HORIZONTE</t>
  </si>
  <si>
    <t xml:space="preserve">Jorge Infantes | Luis Chacón</t>
  </si>
  <si>
    <t xml:space="preserve">Separada en 2 contactos: Jorge Infantes, Luis Chacón</t>
  </si>
  <si>
    <t xml:space="preserve">MARCOBRE</t>
  </si>
  <si>
    <t xml:space="preserve">COMPAÑÍA MINERA LINCUNA S.A</t>
  </si>
  <si>
    <t xml:space="preserve">EMPÍRICA</t>
  </si>
  <si>
    <t xml:space="preserve">Título completado desde TextoOriginal</t>
  </si>
  <si>
    <t xml:space="preserve">MODELO DE EXPEDITING</t>
  </si>
  <si>
    <t xml:space="preserve">SUPPLY TALENT CONSULTING</t>
  </si>
  <si>
    <t xml:space="preserve">Evento</t>
  </si>
  <si>
    <t xml:space="preserve">Valor para SafetyMind</t>
  </si>
  <si>
    <t xml:space="preserve">Conferencistas sobre IA, IIoT y excelencia operacional en minería: tomadores de decisión de mineras peruanas (El Brocal, Marcobre, CMH, Poderosa, Alpayana, Hudbay, Lincuna) y proveedores tecnológicos. El Brocal presenta IA para prevenir accidentes.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</si>
</sst>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ontactos" displayName="Contactos" ref="A1:S35" headerRowCount="1" totalsRowCount="0" totalsRowShown="0">
  <autoFilter ref="A1:S35"/>
  <tableColumns count="19">
    <tableColumn id="1" name="ID"/>
    <tableColumn id="2" name="Nombre"/>
    <tableColumn id="3" name="Cargo"/>
    <tableColumn id="4" name="Empresa"/>
    <tableColumn id="5" name="País"/>
    <tableColumn id="6" name="Email"/>
    <tableColumn id="7" name="LinkedIn"/>
    <tableColumn id="8" name="Origen"/>
    <tableColumn id="9" name="Estado"/>
    <tableColumn id="10" name="Prioridad"/>
    <tableColumn id="11" name="Próxima acción"/>
    <tableColumn id="12" name="Notas"/>
    <tableColumn id="13" name="Segmento SafetyMind"/>
    <tableColumn id="14" name="Bloque temático"/>
    <tableColumn id="15" name="Tipo presentación"/>
    <tableColumn id="16" name="Ponencia"/>
    <tableColumn id="17" name="Co-presentadores"/>
    <tableColumn id="18" name="Verificación LinkedIn"/>
    <tableColumn id="19" name="Cruce otros CRM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32"/>
    <col collapsed="false" customWidth="true" hidden="false" outlineLevel="0" max="5" min="5" style="0" width="12"/>
    <col collapsed="false" customWidth="true" hidden="false" outlineLevel="0" max="6" min="6" style="0" width="24"/>
    <col collapsed="false" customWidth="true" hidden="false" outlineLevel="0" max="7" min="7" style="0" width="45"/>
    <col collapsed="false" customWidth="true" hidden="false" outlineLevel="0" max="8" min="8" style="0" width="30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50"/>
    <col collapsed="false" customWidth="true" hidden="false" outlineLevel="0" max="12" min="12" style="0" width="60"/>
    <col collapsed="false" customWidth="true" hidden="false" outlineLevel="0" max="13" min="13" style="0" width="36"/>
    <col collapsed="false" customWidth="true" hidden="false" outlineLevel="0" max="14" min="14" style="0" width="20"/>
    <col collapsed="false" customWidth="true" hidden="false" outlineLevel="0" max="15" min="15" style="0" width="14"/>
    <col collapsed="false" customWidth="true" hidden="false" outlineLevel="0" max="16" min="16" style="0" width="70"/>
    <col collapsed="false" customWidth="true" hidden="false" outlineLevel="0" max="17" min="17" style="0" width="30"/>
    <col collapsed="false" customWidth="true" hidden="false" outlineLevel="0" max="18" min="18" style="0" width="24"/>
    <col collapsed="false" customWidth="true" hidden="false" outlineLevel="0" max="19" min="19" style="0" width="30"/>
  </cols>
  <sheetData>
    <row r="1" customFormat="false" ht="41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s">
        <v>20</v>
      </c>
      <c r="D2" s="0" t="s">
        <v>21</v>
      </c>
      <c r="E2" s="0" t="s">
        <v>22</v>
      </c>
      <c r="G2" s="0" t="s">
        <v>23</v>
      </c>
      <c r="H2" s="0" t="s">
        <v>24</v>
      </c>
      <c r="I2" s="2" t="s">
        <v>25</v>
      </c>
      <c r="J2" s="2" t="s">
        <v>26</v>
      </c>
      <c r="K2" s="0" t="s">
        <v>27</v>
      </c>
      <c r="L2" s="0" t="s">
        <v>28</v>
      </c>
      <c r="M2" s="0" t="s">
        <v>29</v>
      </c>
      <c r="N2" s="0" t="s">
        <v>30</v>
      </c>
      <c r="O2" s="0" t="s">
        <v>31</v>
      </c>
      <c r="P2" s="0" t="s">
        <v>32</v>
      </c>
      <c r="R2" s="0" t="s">
        <v>33</v>
      </c>
      <c r="S2" s="0" t="s">
        <v>34</v>
      </c>
    </row>
    <row r="3" customFormat="false" ht="15" hidden="false" customHeight="false" outlineLevel="0" collapsed="false">
      <c r="A3" s="0" t="n">
        <v>2</v>
      </c>
      <c r="B3" s="0" t="s">
        <v>35</v>
      </c>
      <c r="C3" s="0" t="s">
        <v>36</v>
      </c>
      <c r="D3" s="0" t="s">
        <v>37</v>
      </c>
      <c r="E3" s="0" t="s">
        <v>22</v>
      </c>
      <c r="H3" s="0" t="s">
        <v>24</v>
      </c>
      <c r="I3" s="2" t="s">
        <v>25</v>
      </c>
      <c r="J3" s="2" t="s">
        <v>26</v>
      </c>
      <c r="K3" s="0" t="s">
        <v>27</v>
      </c>
      <c r="L3" s="0" t="s">
        <v>38</v>
      </c>
      <c r="M3" s="0" t="s">
        <v>29</v>
      </c>
      <c r="N3" s="0" t="s">
        <v>39</v>
      </c>
      <c r="O3" s="0" t="s">
        <v>31</v>
      </c>
      <c r="P3" s="0" t="s">
        <v>40</v>
      </c>
      <c r="R3" s="0" t="s">
        <v>41</v>
      </c>
      <c r="S3" s="0" t="s">
        <v>34</v>
      </c>
    </row>
    <row r="4" customFormat="false" ht="15" hidden="false" customHeight="false" outlineLevel="0" collapsed="false">
      <c r="A4" s="0" t="n">
        <v>3</v>
      </c>
      <c r="B4" s="0" t="s">
        <v>42</v>
      </c>
      <c r="C4" s="0" t="s">
        <v>43</v>
      </c>
      <c r="D4" s="0" t="s">
        <v>44</v>
      </c>
      <c r="E4" s="0" t="s">
        <v>22</v>
      </c>
      <c r="H4" s="0" t="s">
        <v>24</v>
      </c>
      <c r="I4" s="2" t="s">
        <v>25</v>
      </c>
      <c r="J4" s="2" t="s">
        <v>26</v>
      </c>
      <c r="K4" s="0" t="s">
        <v>27</v>
      </c>
      <c r="L4" s="0" t="s">
        <v>45</v>
      </c>
      <c r="M4" s="0" t="s">
        <v>29</v>
      </c>
      <c r="N4" s="0" t="s">
        <v>39</v>
      </c>
      <c r="O4" s="0" t="s">
        <v>31</v>
      </c>
      <c r="P4" s="0" t="s">
        <v>46</v>
      </c>
      <c r="R4" s="0" t="s">
        <v>41</v>
      </c>
      <c r="S4" s="0" t="s">
        <v>34</v>
      </c>
    </row>
    <row r="5" customFormat="false" ht="15" hidden="false" customHeight="false" outlineLevel="0" collapsed="false">
      <c r="A5" s="0" t="n">
        <v>4</v>
      </c>
      <c r="B5" s="0" t="s">
        <v>47</v>
      </c>
      <c r="C5" s="0" t="s">
        <v>48</v>
      </c>
      <c r="D5" s="0" t="s">
        <v>49</v>
      </c>
      <c r="E5" s="0" t="s">
        <v>22</v>
      </c>
      <c r="G5" s="0" t="s">
        <v>50</v>
      </c>
      <c r="H5" s="0" t="s">
        <v>24</v>
      </c>
      <c r="I5" s="2" t="s">
        <v>25</v>
      </c>
      <c r="J5" s="2" t="s">
        <v>26</v>
      </c>
      <c r="K5" s="0" t="s">
        <v>27</v>
      </c>
      <c r="L5" s="0" t="s">
        <v>51</v>
      </c>
      <c r="M5" s="0" t="s">
        <v>29</v>
      </c>
      <c r="N5" s="0" t="s">
        <v>39</v>
      </c>
      <c r="O5" s="0" t="s">
        <v>52</v>
      </c>
      <c r="P5" s="0" t="s">
        <v>53</v>
      </c>
      <c r="Q5" s="0" t="s">
        <v>54</v>
      </c>
      <c r="R5" s="0" t="s">
        <v>33</v>
      </c>
      <c r="S5" s="0" t="s">
        <v>34</v>
      </c>
    </row>
    <row r="6" customFormat="false" ht="15" hidden="false" customHeight="false" outlineLevel="0" collapsed="false">
      <c r="A6" s="0" t="n">
        <v>5</v>
      </c>
      <c r="B6" s="0" t="s">
        <v>54</v>
      </c>
      <c r="C6" s="0" t="s">
        <v>55</v>
      </c>
      <c r="D6" s="0" t="s">
        <v>49</v>
      </c>
      <c r="E6" s="0" t="s">
        <v>22</v>
      </c>
      <c r="H6" s="0" t="s">
        <v>24</v>
      </c>
      <c r="I6" s="2" t="s">
        <v>25</v>
      </c>
      <c r="J6" s="2" t="s">
        <v>26</v>
      </c>
      <c r="K6" s="0" t="s">
        <v>27</v>
      </c>
      <c r="L6" s="0" t="s">
        <v>51</v>
      </c>
      <c r="M6" s="0" t="s">
        <v>29</v>
      </c>
      <c r="N6" s="0" t="s">
        <v>39</v>
      </c>
      <c r="O6" s="0" t="s">
        <v>52</v>
      </c>
      <c r="P6" s="0" t="s">
        <v>53</v>
      </c>
      <c r="Q6" s="0" t="s">
        <v>47</v>
      </c>
      <c r="R6" s="0" t="s">
        <v>41</v>
      </c>
      <c r="S6" s="0" t="s">
        <v>34</v>
      </c>
    </row>
    <row r="7" customFormat="false" ht="15" hidden="false" customHeight="false" outlineLevel="0" collapsed="false">
      <c r="A7" s="0" t="n">
        <v>6</v>
      </c>
      <c r="B7" s="0" t="s">
        <v>56</v>
      </c>
      <c r="C7" s="0" t="s">
        <v>57</v>
      </c>
      <c r="D7" s="0" t="s">
        <v>58</v>
      </c>
      <c r="E7" s="0" t="s">
        <v>59</v>
      </c>
      <c r="G7" s="0" t="s">
        <v>60</v>
      </c>
      <c r="H7" s="0" t="s">
        <v>24</v>
      </c>
      <c r="I7" s="2" t="s">
        <v>25</v>
      </c>
      <c r="J7" s="2" t="s">
        <v>26</v>
      </c>
      <c r="K7" s="0" t="s">
        <v>27</v>
      </c>
      <c r="L7" s="0" t="s">
        <v>61</v>
      </c>
      <c r="M7" s="0" t="s">
        <v>29</v>
      </c>
      <c r="N7" s="0" t="s">
        <v>39</v>
      </c>
      <c r="O7" s="0" t="s">
        <v>31</v>
      </c>
      <c r="P7" s="0" t="s">
        <v>62</v>
      </c>
      <c r="R7" s="0" t="s">
        <v>33</v>
      </c>
      <c r="S7" s="0" t="s">
        <v>34</v>
      </c>
    </row>
    <row r="8" customFormat="false" ht="15" hidden="false" customHeight="false" outlineLevel="0" collapsed="false">
      <c r="A8" s="0" t="n">
        <v>7</v>
      </c>
      <c r="B8" s="0" t="s">
        <v>63</v>
      </c>
      <c r="C8" s="0" t="s">
        <v>64</v>
      </c>
      <c r="D8" s="0" t="s">
        <v>65</v>
      </c>
      <c r="E8" s="0" t="s">
        <v>22</v>
      </c>
      <c r="G8" s="0" t="s">
        <v>66</v>
      </c>
      <c r="H8" s="0" t="s">
        <v>24</v>
      </c>
      <c r="I8" s="2" t="s">
        <v>25</v>
      </c>
      <c r="J8" s="2" t="s">
        <v>26</v>
      </c>
      <c r="K8" s="0" t="s">
        <v>27</v>
      </c>
      <c r="L8" s="0" t="s">
        <v>38</v>
      </c>
      <c r="M8" s="0" t="s">
        <v>29</v>
      </c>
      <c r="N8" s="0" t="s">
        <v>30</v>
      </c>
      <c r="O8" s="0" t="s">
        <v>31</v>
      </c>
      <c r="P8" s="0" t="s">
        <v>67</v>
      </c>
      <c r="R8" s="0" t="s">
        <v>33</v>
      </c>
      <c r="S8" s="0" t="s">
        <v>34</v>
      </c>
    </row>
    <row r="9" customFormat="false" ht="15" hidden="false" customHeight="false" outlineLevel="0" collapsed="false">
      <c r="A9" s="0" t="n">
        <v>8</v>
      </c>
      <c r="B9" s="0" t="s">
        <v>68</v>
      </c>
      <c r="C9" s="0" t="s">
        <v>69</v>
      </c>
      <c r="D9" s="0" t="s">
        <v>70</v>
      </c>
      <c r="E9" s="0" t="s">
        <v>22</v>
      </c>
      <c r="H9" s="0" t="s">
        <v>24</v>
      </c>
      <c r="I9" s="2" t="s">
        <v>25</v>
      </c>
      <c r="J9" s="2" t="s">
        <v>26</v>
      </c>
      <c r="K9" s="0" t="s">
        <v>27</v>
      </c>
      <c r="L9" s="0" t="s">
        <v>71</v>
      </c>
      <c r="M9" s="0" t="s">
        <v>29</v>
      </c>
      <c r="N9" s="0" t="s">
        <v>39</v>
      </c>
      <c r="O9" s="0" t="s">
        <v>52</v>
      </c>
      <c r="P9" s="0" t="s">
        <v>72</v>
      </c>
      <c r="Q9" s="0" t="s">
        <v>73</v>
      </c>
      <c r="R9" s="0" t="s">
        <v>41</v>
      </c>
      <c r="S9" s="0" t="s">
        <v>34</v>
      </c>
    </row>
    <row r="10" customFormat="false" ht="15" hidden="false" customHeight="false" outlineLevel="0" collapsed="false">
      <c r="A10" s="0" t="n">
        <v>9</v>
      </c>
      <c r="B10" s="0" t="s">
        <v>73</v>
      </c>
      <c r="C10" s="0" t="s">
        <v>74</v>
      </c>
      <c r="D10" s="0" t="s">
        <v>70</v>
      </c>
      <c r="E10" s="0" t="s">
        <v>22</v>
      </c>
      <c r="H10" s="0" t="s">
        <v>24</v>
      </c>
      <c r="I10" s="2" t="s">
        <v>25</v>
      </c>
      <c r="J10" s="2" t="s">
        <v>26</v>
      </c>
      <c r="K10" s="0" t="s">
        <v>27</v>
      </c>
      <c r="L10" s="0" t="s">
        <v>71</v>
      </c>
      <c r="M10" s="0" t="s">
        <v>29</v>
      </c>
      <c r="N10" s="0" t="s">
        <v>39</v>
      </c>
      <c r="O10" s="0" t="s">
        <v>52</v>
      </c>
      <c r="P10" s="0" t="s">
        <v>72</v>
      </c>
      <c r="Q10" s="0" t="s">
        <v>68</v>
      </c>
      <c r="R10" s="0" t="s">
        <v>41</v>
      </c>
      <c r="S10" s="0" t="s">
        <v>34</v>
      </c>
    </row>
    <row r="11" customFormat="false" ht="15" hidden="false" customHeight="false" outlineLevel="0" collapsed="false">
      <c r="A11" s="0" t="n">
        <v>10</v>
      </c>
      <c r="B11" s="0" t="s">
        <v>75</v>
      </c>
      <c r="C11" s="0" t="s">
        <v>76</v>
      </c>
      <c r="D11" s="0" t="s">
        <v>77</v>
      </c>
      <c r="E11" s="0" t="s">
        <v>78</v>
      </c>
      <c r="G11" s="0" t="s">
        <v>79</v>
      </c>
      <c r="H11" s="0" t="s">
        <v>24</v>
      </c>
      <c r="I11" s="2" t="s">
        <v>25</v>
      </c>
      <c r="J11" s="2" t="s">
        <v>26</v>
      </c>
      <c r="K11" s="0" t="s">
        <v>27</v>
      </c>
      <c r="L11" s="0" t="s">
        <v>38</v>
      </c>
      <c r="M11" s="0" t="s">
        <v>29</v>
      </c>
      <c r="N11" s="0" t="s">
        <v>39</v>
      </c>
      <c r="O11" s="0" t="s">
        <v>31</v>
      </c>
      <c r="P11" s="0" t="s">
        <v>80</v>
      </c>
      <c r="R11" s="0" t="s">
        <v>33</v>
      </c>
      <c r="S11" s="0" t="s">
        <v>34</v>
      </c>
    </row>
    <row r="12" customFormat="false" ht="15" hidden="false" customHeight="false" outlineLevel="0" collapsed="false">
      <c r="A12" s="0" t="n">
        <v>11</v>
      </c>
      <c r="B12" s="0" t="s">
        <v>81</v>
      </c>
      <c r="C12" s="0" t="s">
        <v>82</v>
      </c>
      <c r="D12" s="0" t="s">
        <v>83</v>
      </c>
      <c r="E12" s="0" t="s">
        <v>22</v>
      </c>
      <c r="G12" s="0" t="s">
        <v>84</v>
      </c>
      <c r="H12" s="0" t="s">
        <v>24</v>
      </c>
      <c r="I12" s="2" t="s">
        <v>25</v>
      </c>
      <c r="J12" s="2" t="s">
        <v>26</v>
      </c>
      <c r="K12" s="0" t="s">
        <v>27</v>
      </c>
      <c r="L12" s="0" t="s">
        <v>85</v>
      </c>
      <c r="M12" s="0" t="s">
        <v>29</v>
      </c>
      <c r="N12" s="0" t="s">
        <v>39</v>
      </c>
      <c r="O12" s="0" t="s">
        <v>52</v>
      </c>
      <c r="P12" s="0" t="s">
        <v>86</v>
      </c>
      <c r="Q12" s="0" t="s">
        <v>87</v>
      </c>
      <c r="R12" s="0" t="s">
        <v>33</v>
      </c>
      <c r="S12" s="0" t="s">
        <v>34</v>
      </c>
    </row>
    <row r="13" customFormat="false" ht="15" hidden="false" customHeight="false" outlineLevel="0" collapsed="false">
      <c r="A13" s="0" t="n">
        <v>12</v>
      </c>
      <c r="B13" s="0" t="s">
        <v>87</v>
      </c>
      <c r="C13" s="0" t="s">
        <v>88</v>
      </c>
      <c r="D13" s="0" t="s">
        <v>83</v>
      </c>
      <c r="E13" s="0" t="s">
        <v>22</v>
      </c>
      <c r="H13" s="0" t="s">
        <v>24</v>
      </c>
      <c r="I13" s="2" t="s">
        <v>25</v>
      </c>
      <c r="J13" s="2" t="s">
        <v>26</v>
      </c>
      <c r="K13" s="0" t="s">
        <v>27</v>
      </c>
      <c r="L13" s="0" t="s">
        <v>85</v>
      </c>
      <c r="M13" s="0" t="s">
        <v>29</v>
      </c>
      <c r="N13" s="0" t="s">
        <v>39</v>
      </c>
      <c r="O13" s="0" t="s">
        <v>52</v>
      </c>
      <c r="P13" s="0" t="s">
        <v>86</v>
      </c>
      <c r="Q13" s="0" t="s">
        <v>81</v>
      </c>
      <c r="R13" s="0" t="s">
        <v>41</v>
      </c>
      <c r="S13" s="0" t="s">
        <v>34</v>
      </c>
    </row>
    <row r="14" customFormat="false" ht="15" hidden="false" customHeight="false" outlineLevel="0" collapsed="false">
      <c r="A14" s="0" t="n">
        <v>13</v>
      </c>
      <c r="B14" s="0" t="s">
        <v>89</v>
      </c>
      <c r="C14" s="0" t="s">
        <v>90</v>
      </c>
      <c r="D14" s="0" t="s">
        <v>91</v>
      </c>
      <c r="E14" s="0" t="s">
        <v>22</v>
      </c>
      <c r="H14" s="0" t="s">
        <v>24</v>
      </c>
      <c r="I14" s="2" t="s">
        <v>25</v>
      </c>
      <c r="J14" s="2" t="s">
        <v>26</v>
      </c>
      <c r="K14" s="0" t="s">
        <v>92</v>
      </c>
      <c r="L14" s="0" t="s">
        <v>93</v>
      </c>
      <c r="M14" s="0" t="s">
        <v>94</v>
      </c>
      <c r="N14" s="0" t="s">
        <v>30</v>
      </c>
      <c r="O14" s="0" t="s">
        <v>31</v>
      </c>
      <c r="P14" s="0" t="s">
        <v>95</v>
      </c>
      <c r="R14" s="0" t="s">
        <v>41</v>
      </c>
      <c r="S14" s="0" t="s">
        <v>34</v>
      </c>
    </row>
    <row r="15" customFormat="false" ht="15" hidden="false" customHeight="false" outlineLevel="0" collapsed="false">
      <c r="A15" s="0" t="n">
        <v>14</v>
      </c>
      <c r="B15" s="0" t="s">
        <v>96</v>
      </c>
      <c r="C15" s="0" t="s">
        <v>97</v>
      </c>
      <c r="D15" s="0" t="s">
        <v>98</v>
      </c>
      <c r="E15" s="0" t="s">
        <v>22</v>
      </c>
      <c r="G15" s="0" t="s">
        <v>99</v>
      </c>
      <c r="H15" s="0" t="s">
        <v>24</v>
      </c>
      <c r="I15" s="2" t="s">
        <v>25</v>
      </c>
      <c r="J15" s="2" t="s">
        <v>100</v>
      </c>
      <c r="K15" s="0" t="s">
        <v>101</v>
      </c>
      <c r="L15" s="0" t="s">
        <v>38</v>
      </c>
      <c r="M15" s="0" t="s">
        <v>102</v>
      </c>
      <c r="N15" s="0" t="s">
        <v>30</v>
      </c>
      <c r="O15" s="0" t="s">
        <v>31</v>
      </c>
      <c r="P15" s="0" t="s">
        <v>103</v>
      </c>
      <c r="R15" s="0" t="s">
        <v>33</v>
      </c>
      <c r="S15" s="0" t="s">
        <v>34</v>
      </c>
    </row>
    <row r="16" customFormat="false" ht="15" hidden="false" customHeight="false" outlineLevel="0" collapsed="false">
      <c r="A16" s="0" t="n">
        <v>15</v>
      </c>
      <c r="B16" s="0" t="s">
        <v>104</v>
      </c>
      <c r="C16" s="0" t="s">
        <v>105</v>
      </c>
      <c r="D16" s="0" t="s">
        <v>98</v>
      </c>
      <c r="E16" s="0" t="s">
        <v>22</v>
      </c>
      <c r="H16" s="0" t="s">
        <v>24</v>
      </c>
      <c r="I16" s="2" t="s">
        <v>25</v>
      </c>
      <c r="J16" s="2" t="s">
        <v>100</v>
      </c>
      <c r="K16" s="0" t="s">
        <v>101</v>
      </c>
      <c r="L16" s="0" t="s">
        <v>106</v>
      </c>
      <c r="M16" s="0" t="s">
        <v>102</v>
      </c>
      <c r="N16" s="0" t="s">
        <v>39</v>
      </c>
      <c r="O16" s="0" t="s">
        <v>31</v>
      </c>
      <c r="P16" s="0" t="s">
        <v>107</v>
      </c>
      <c r="R16" s="0" t="s">
        <v>41</v>
      </c>
      <c r="S16" s="0" t="s">
        <v>34</v>
      </c>
    </row>
    <row r="17" customFormat="false" ht="15" hidden="false" customHeight="false" outlineLevel="0" collapsed="false">
      <c r="A17" s="0" t="n">
        <v>16</v>
      </c>
      <c r="B17" s="0" t="s">
        <v>108</v>
      </c>
      <c r="C17" s="0" t="s">
        <v>109</v>
      </c>
      <c r="D17" s="0" t="s">
        <v>110</v>
      </c>
      <c r="E17" s="0" t="s">
        <v>22</v>
      </c>
      <c r="H17" s="0" t="s">
        <v>24</v>
      </c>
      <c r="I17" s="2" t="s">
        <v>25</v>
      </c>
      <c r="J17" s="2" t="s">
        <v>100</v>
      </c>
      <c r="K17" s="0" t="s">
        <v>101</v>
      </c>
      <c r="L17" s="0" t="s">
        <v>111</v>
      </c>
      <c r="M17" s="0" t="s">
        <v>102</v>
      </c>
      <c r="N17" s="0" t="s">
        <v>30</v>
      </c>
      <c r="O17" s="0" t="s">
        <v>52</v>
      </c>
      <c r="P17" s="0" t="s">
        <v>112</v>
      </c>
      <c r="Q17" s="0" t="s">
        <v>113</v>
      </c>
      <c r="R17" s="0" t="s">
        <v>41</v>
      </c>
      <c r="S17" s="0" t="s">
        <v>34</v>
      </c>
    </row>
    <row r="18" customFormat="false" ht="15" hidden="false" customHeight="false" outlineLevel="0" collapsed="false">
      <c r="A18" s="0" t="n">
        <v>17</v>
      </c>
      <c r="B18" s="0" t="s">
        <v>114</v>
      </c>
      <c r="C18" s="0" t="s">
        <v>115</v>
      </c>
      <c r="D18" s="0" t="s">
        <v>110</v>
      </c>
      <c r="E18" s="0" t="s">
        <v>22</v>
      </c>
      <c r="H18" s="0" t="s">
        <v>24</v>
      </c>
      <c r="I18" s="2" t="s">
        <v>25</v>
      </c>
      <c r="J18" s="2" t="s">
        <v>100</v>
      </c>
      <c r="K18" s="0" t="s">
        <v>101</v>
      </c>
      <c r="L18" s="0" t="s">
        <v>111</v>
      </c>
      <c r="M18" s="0" t="s">
        <v>102</v>
      </c>
      <c r="N18" s="0" t="s">
        <v>30</v>
      </c>
      <c r="O18" s="0" t="s">
        <v>52</v>
      </c>
      <c r="P18" s="0" t="s">
        <v>112</v>
      </c>
      <c r="Q18" s="0" t="s">
        <v>116</v>
      </c>
      <c r="R18" s="0" t="s">
        <v>41</v>
      </c>
      <c r="S18" s="0" t="s">
        <v>34</v>
      </c>
    </row>
    <row r="19" customFormat="false" ht="15" hidden="false" customHeight="false" outlineLevel="0" collapsed="false">
      <c r="A19" s="0" t="n">
        <v>18</v>
      </c>
      <c r="B19" s="0" t="s">
        <v>117</v>
      </c>
      <c r="C19" s="0" t="s">
        <v>118</v>
      </c>
      <c r="D19" s="0" t="s">
        <v>110</v>
      </c>
      <c r="E19" s="0" t="s">
        <v>22</v>
      </c>
      <c r="H19" s="0" t="s">
        <v>24</v>
      </c>
      <c r="I19" s="2" t="s">
        <v>25</v>
      </c>
      <c r="J19" s="2" t="s">
        <v>100</v>
      </c>
      <c r="K19" s="0" t="s">
        <v>101</v>
      </c>
      <c r="L19" s="0" t="s">
        <v>111</v>
      </c>
      <c r="M19" s="0" t="s">
        <v>102</v>
      </c>
      <c r="N19" s="0" t="s">
        <v>30</v>
      </c>
      <c r="O19" s="0" t="s">
        <v>52</v>
      </c>
      <c r="P19" s="0" t="s">
        <v>112</v>
      </c>
      <c r="Q19" s="0" t="s">
        <v>119</v>
      </c>
      <c r="R19" s="0" t="s">
        <v>41</v>
      </c>
      <c r="S19" s="0" t="s">
        <v>34</v>
      </c>
    </row>
    <row r="20" customFormat="false" ht="15" hidden="false" customHeight="false" outlineLevel="0" collapsed="false">
      <c r="A20" s="0" t="n">
        <v>19</v>
      </c>
      <c r="B20" s="0" t="s">
        <v>120</v>
      </c>
      <c r="C20" s="0" t="s">
        <v>121</v>
      </c>
      <c r="D20" s="0" t="s">
        <v>122</v>
      </c>
      <c r="E20" s="0" t="s">
        <v>22</v>
      </c>
      <c r="G20" s="0" t="s">
        <v>123</v>
      </c>
      <c r="H20" s="0" t="s">
        <v>24</v>
      </c>
      <c r="I20" s="2" t="s">
        <v>25</v>
      </c>
      <c r="J20" s="2" t="s">
        <v>100</v>
      </c>
      <c r="K20" s="0" t="s">
        <v>101</v>
      </c>
      <c r="L20" s="0" t="s">
        <v>124</v>
      </c>
      <c r="M20" s="0" t="s">
        <v>102</v>
      </c>
      <c r="N20" s="0" t="s">
        <v>30</v>
      </c>
      <c r="O20" s="0" t="s">
        <v>31</v>
      </c>
      <c r="P20" s="0" t="s">
        <v>125</v>
      </c>
      <c r="R20" s="0" t="s">
        <v>33</v>
      </c>
      <c r="S20" s="0" t="s">
        <v>34</v>
      </c>
    </row>
    <row r="21" customFormat="false" ht="15" hidden="false" customHeight="false" outlineLevel="0" collapsed="false">
      <c r="A21" s="0" t="n">
        <v>20</v>
      </c>
      <c r="B21" s="0" t="s">
        <v>126</v>
      </c>
      <c r="C21" s="0" t="s">
        <v>127</v>
      </c>
      <c r="D21" s="0" t="s">
        <v>128</v>
      </c>
      <c r="E21" s="0" t="s">
        <v>22</v>
      </c>
      <c r="G21" s="0" t="s">
        <v>129</v>
      </c>
      <c r="H21" s="0" t="s">
        <v>24</v>
      </c>
      <c r="I21" s="2" t="s">
        <v>25</v>
      </c>
      <c r="J21" s="2" t="s">
        <v>100</v>
      </c>
      <c r="K21" s="0" t="s">
        <v>101</v>
      </c>
      <c r="L21" s="0" t="s">
        <v>38</v>
      </c>
      <c r="M21" s="0" t="s">
        <v>102</v>
      </c>
      <c r="N21" s="0" t="s">
        <v>30</v>
      </c>
      <c r="O21" s="0" t="s">
        <v>31</v>
      </c>
      <c r="P21" s="0" t="s">
        <v>130</v>
      </c>
      <c r="R21" s="0" t="s">
        <v>33</v>
      </c>
      <c r="S21" s="0" t="s">
        <v>34</v>
      </c>
    </row>
    <row r="22" customFormat="false" ht="15" hidden="false" customHeight="false" outlineLevel="0" collapsed="false">
      <c r="A22" s="0" t="n">
        <v>21</v>
      </c>
      <c r="B22" s="0" t="s">
        <v>131</v>
      </c>
      <c r="C22" s="0" t="s">
        <v>132</v>
      </c>
      <c r="D22" s="0" t="s">
        <v>133</v>
      </c>
      <c r="E22" s="0" t="s">
        <v>22</v>
      </c>
      <c r="G22" s="0" t="s">
        <v>134</v>
      </c>
      <c r="H22" s="0" t="s">
        <v>24</v>
      </c>
      <c r="I22" s="2" t="s">
        <v>25</v>
      </c>
      <c r="J22" s="2" t="s">
        <v>100</v>
      </c>
      <c r="K22" s="0" t="s">
        <v>101</v>
      </c>
      <c r="L22" s="0" t="s">
        <v>135</v>
      </c>
      <c r="M22" s="0" t="s">
        <v>102</v>
      </c>
      <c r="N22" s="0" t="s">
        <v>30</v>
      </c>
      <c r="O22" s="0" t="s">
        <v>52</v>
      </c>
      <c r="P22" s="0" t="s">
        <v>136</v>
      </c>
      <c r="Q22" s="0" t="s">
        <v>137</v>
      </c>
      <c r="R22" s="0" t="s">
        <v>33</v>
      </c>
      <c r="S22" s="0" t="s">
        <v>34</v>
      </c>
    </row>
    <row r="23" customFormat="false" ht="15" hidden="false" customHeight="false" outlineLevel="0" collapsed="false">
      <c r="A23" s="0" t="n">
        <v>22</v>
      </c>
      <c r="B23" s="0" t="s">
        <v>137</v>
      </c>
      <c r="C23" s="0" t="s">
        <v>138</v>
      </c>
      <c r="D23" s="0" t="s">
        <v>133</v>
      </c>
      <c r="E23" s="0" t="s">
        <v>22</v>
      </c>
      <c r="H23" s="0" t="s">
        <v>24</v>
      </c>
      <c r="I23" s="2" t="s">
        <v>25</v>
      </c>
      <c r="J23" s="2" t="s">
        <v>100</v>
      </c>
      <c r="K23" s="0" t="s">
        <v>101</v>
      </c>
      <c r="L23" s="0" t="s">
        <v>135</v>
      </c>
      <c r="M23" s="0" t="s">
        <v>102</v>
      </c>
      <c r="N23" s="0" t="s">
        <v>30</v>
      </c>
      <c r="O23" s="0" t="s">
        <v>52</v>
      </c>
      <c r="P23" s="0" t="s">
        <v>136</v>
      </c>
      <c r="Q23" s="0" t="s">
        <v>131</v>
      </c>
      <c r="R23" s="0" t="s">
        <v>41</v>
      </c>
      <c r="S23" s="0" t="s">
        <v>34</v>
      </c>
    </row>
    <row r="24" customFormat="false" ht="15" hidden="false" customHeight="false" outlineLevel="0" collapsed="false">
      <c r="A24" s="0" t="n">
        <v>23</v>
      </c>
      <c r="B24" s="0" t="s">
        <v>139</v>
      </c>
      <c r="C24" s="0" t="s">
        <v>140</v>
      </c>
      <c r="D24" s="0" t="s">
        <v>141</v>
      </c>
      <c r="E24" s="0" t="s">
        <v>22</v>
      </c>
      <c r="G24" s="0" t="s">
        <v>142</v>
      </c>
      <c r="H24" s="0" t="s">
        <v>24</v>
      </c>
      <c r="I24" s="2" t="s">
        <v>25</v>
      </c>
      <c r="J24" s="2" t="s">
        <v>100</v>
      </c>
      <c r="K24" s="0" t="s">
        <v>101</v>
      </c>
      <c r="L24" s="0" t="s">
        <v>143</v>
      </c>
      <c r="M24" s="0" t="s">
        <v>102</v>
      </c>
      <c r="N24" s="0" t="s">
        <v>30</v>
      </c>
      <c r="O24" s="0" t="s">
        <v>31</v>
      </c>
      <c r="P24" s="0" t="s">
        <v>144</v>
      </c>
      <c r="R24" s="0" t="s">
        <v>33</v>
      </c>
      <c r="S24" s="0" t="s">
        <v>34</v>
      </c>
    </row>
    <row r="25" customFormat="false" ht="15" hidden="false" customHeight="false" outlineLevel="0" collapsed="false">
      <c r="A25" s="0" t="n">
        <v>24</v>
      </c>
      <c r="B25" s="0" t="s">
        <v>145</v>
      </c>
      <c r="C25" s="0" t="s">
        <v>146</v>
      </c>
      <c r="D25" s="0" t="s">
        <v>147</v>
      </c>
      <c r="E25" s="0" t="s">
        <v>22</v>
      </c>
      <c r="G25" s="0" t="s">
        <v>148</v>
      </c>
      <c r="H25" s="0" t="s">
        <v>24</v>
      </c>
      <c r="I25" s="2" t="s">
        <v>25</v>
      </c>
      <c r="J25" s="2" t="s">
        <v>100</v>
      </c>
      <c r="K25" s="0" t="s">
        <v>149</v>
      </c>
      <c r="L25" s="0" t="s">
        <v>150</v>
      </c>
      <c r="M25" s="0" t="s">
        <v>151</v>
      </c>
      <c r="N25" s="0" t="s">
        <v>30</v>
      </c>
      <c r="O25" s="0" t="s">
        <v>31</v>
      </c>
      <c r="P25" s="0" t="s">
        <v>152</v>
      </c>
      <c r="R25" s="0" t="s">
        <v>153</v>
      </c>
      <c r="S25" s="0" t="s">
        <v>154</v>
      </c>
    </row>
    <row r="26" customFormat="false" ht="15" hidden="false" customHeight="false" outlineLevel="0" collapsed="false">
      <c r="A26" s="0" t="n">
        <v>25</v>
      </c>
      <c r="B26" s="0" t="s">
        <v>155</v>
      </c>
      <c r="C26" s="0" t="s">
        <v>156</v>
      </c>
      <c r="D26" s="0" t="s">
        <v>157</v>
      </c>
      <c r="E26" s="0" t="s">
        <v>22</v>
      </c>
      <c r="G26" s="0" t="s">
        <v>158</v>
      </c>
      <c r="H26" s="0" t="s">
        <v>24</v>
      </c>
      <c r="I26" s="2" t="s">
        <v>25</v>
      </c>
      <c r="J26" s="2" t="s">
        <v>100</v>
      </c>
      <c r="K26" s="0" t="s">
        <v>149</v>
      </c>
      <c r="L26" s="0" t="s">
        <v>159</v>
      </c>
      <c r="M26" s="0" t="s">
        <v>151</v>
      </c>
      <c r="N26" s="0" t="s">
        <v>30</v>
      </c>
      <c r="O26" s="0" t="s">
        <v>31</v>
      </c>
      <c r="P26" s="0" t="s">
        <v>160</v>
      </c>
      <c r="R26" s="0" t="s">
        <v>33</v>
      </c>
      <c r="S26" s="0" t="s">
        <v>161</v>
      </c>
    </row>
    <row r="27" customFormat="false" ht="15" hidden="false" customHeight="false" outlineLevel="0" collapsed="false">
      <c r="A27" s="0" t="n">
        <v>26</v>
      </c>
      <c r="B27" s="0" t="s">
        <v>162</v>
      </c>
      <c r="C27" s="0" t="s">
        <v>163</v>
      </c>
      <c r="D27" s="0" t="s">
        <v>164</v>
      </c>
      <c r="E27" s="0" t="s">
        <v>22</v>
      </c>
      <c r="G27" s="0" t="s">
        <v>165</v>
      </c>
      <c r="H27" s="0" t="s">
        <v>24</v>
      </c>
      <c r="I27" s="2" t="s">
        <v>25</v>
      </c>
      <c r="J27" s="2" t="s">
        <v>100</v>
      </c>
      <c r="K27" s="0" t="s">
        <v>166</v>
      </c>
      <c r="L27" s="0" t="s">
        <v>167</v>
      </c>
      <c r="M27" s="0" t="s">
        <v>168</v>
      </c>
      <c r="N27" s="0" t="s">
        <v>39</v>
      </c>
      <c r="O27" s="0" t="s">
        <v>31</v>
      </c>
      <c r="P27" s="0" t="s">
        <v>169</v>
      </c>
      <c r="R27" s="0" t="s">
        <v>33</v>
      </c>
      <c r="S27" s="0" t="s">
        <v>34</v>
      </c>
    </row>
    <row r="28" customFormat="false" ht="15" hidden="false" customHeight="false" outlineLevel="0" collapsed="false">
      <c r="A28" s="0" t="n">
        <v>27</v>
      </c>
      <c r="B28" s="0" t="s">
        <v>170</v>
      </c>
      <c r="C28" s="0" t="s">
        <v>171</v>
      </c>
      <c r="D28" s="0" t="s">
        <v>172</v>
      </c>
      <c r="E28" s="0" t="s">
        <v>22</v>
      </c>
      <c r="G28" s="0" t="s">
        <v>173</v>
      </c>
      <c r="H28" s="0" t="s">
        <v>24</v>
      </c>
      <c r="I28" s="2" t="s">
        <v>25</v>
      </c>
      <c r="J28" s="2" t="s">
        <v>100</v>
      </c>
      <c r="K28" s="0" t="s">
        <v>166</v>
      </c>
      <c r="L28" s="0" t="s">
        <v>174</v>
      </c>
      <c r="M28" s="0" t="s">
        <v>168</v>
      </c>
      <c r="N28" s="0" t="s">
        <v>30</v>
      </c>
      <c r="O28" s="0" t="s">
        <v>52</v>
      </c>
      <c r="P28" s="0" t="s">
        <v>175</v>
      </c>
      <c r="Q28" s="0" t="s">
        <v>176</v>
      </c>
      <c r="R28" s="0" t="s">
        <v>33</v>
      </c>
      <c r="S28" s="0" t="s">
        <v>34</v>
      </c>
    </row>
    <row r="29" customFormat="false" ht="15" hidden="false" customHeight="false" outlineLevel="0" collapsed="false">
      <c r="A29" s="0" t="n">
        <v>28</v>
      </c>
      <c r="B29" s="0" t="s">
        <v>176</v>
      </c>
      <c r="C29" s="0" t="s">
        <v>177</v>
      </c>
      <c r="D29" s="0" t="s">
        <v>172</v>
      </c>
      <c r="E29" s="0" t="s">
        <v>22</v>
      </c>
      <c r="H29" s="0" t="s">
        <v>24</v>
      </c>
      <c r="I29" s="2" t="s">
        <v>25</v>
      </c>
      <c r="J29" s="2" t="s">
        <v>100</v>
      </c>
      <c r="K29" s="0" t="s">
        <v>166</v>
      </c>
      <c r="L29" s="0" t="s">
        <v>174</v>
      </c>
      <c r="M29" s="0" t="s">
        <v>168</v>
      </c>
      <c r="N29" s="0" t="s">
        <v>30</v>
      </c>
      <c r="O29" s="0" t="s">
        <v>52</v>
      </c>
      <c r="P29" s="0" t="s">
        <v>175</v>
      </c>
      <c r="Q29" s="0" t="s">
        <v>170</v>
      </c>
      <c r="R29" s="0" t="s">
        <v>41</v>
      </c>
      <c r="S29" s="0" t="s">
        <v>34</v>
      </c>
    </row>
    <row r="30" customFormat="false" ht="15" hidden="false" customHeight="false" outlineLevel="0" collapsed="false">
      <c r="A30" s="0" t="n">
        <v>29</v>
      </c>
      <c r="B30" s="0" t="s">
        <v>178</v>
      </c>
      <c r="C30" s="0" t="s">
        <v>43</v>
      </c>
      <c r="D30" s="0" t="s">
        <v>179</v>
      </c>
      <c r="E30" s="0" t="s">
        <v>22</v>
      </c>
      <c r="H30" s="0" t="s">
        <v>24</v>
      </c>
      <c r="I30" s="2" t="s">
        <v>25</v>
      </c>
      <c r="J30" s="2" t="s">
        <v>100</v>
      </c>
      <c r="K30" s="0" t="s">
        <v>166</v>
      </c>
      <c r="L30" s="0" t="s">
        <v>180</v>
      </c>
      <c r="M30" s="0" t="s">
        <v>168</v>
      </c>
      <c r="N30" s="0" t="s">
        <v>39</v>
      </c>
      <c r="O30" s="0" t="s">
        <v>31</v>
      </c>
      <c r="P30" s="0" t="s">
        <v>181</v>
      </c>
      <c r="R30" s="0" t="s">
        <v>41</v>
      </c>
      <c r="S30" s="0" t="s">
        <v>34</v>
      </c>
    </row>
    <row r="31" customFormat="false" ht="15" hidden="false" customHeight="false" outlineLevel="0" collapsed="false">
      <c r="A31" s="0" t="n">
        <v>30</v>
      </c>
      <c r="B31" s="0" t="s">
        <v>182</v>
      </c>
      <c r="C31" s="0" t="s">
        <v>183</v>
      </c>
      <c r="D31" s="0" t="s">
        <v>184</v>
      </c>
      <c r="E31" s="0" t="s">
        <v>22</v>
      </c>
      <c r="G31" s="0" t="s">
        <v>185</v>
      </c>
      <c r="H31" s="0" t="s">
        <v>24</v>
      </c>
      <c r="I31" s="2" t="s">
        <v>25</v>
      </c>
      <c r="J31" s="2" t="s">
        <v>100</v>
      </c>
      <c r="K31" s="0" t="s">
        <v>186</v>
      </c>
      <c r="L31" s="0" t="s">
        <v>38</v>
      </c>
      <c r="M31" s="0" t="s">
        <v>187</v>
      </c>
      <c r="N31" s="0" t="s">
        <v>30</v>
      </c>
      <c r="O31" s="0" t="s">
        <v>31</v>
      </c>
      <c r="P31" s="0" t="s">
        <v>188</v>
      </c>
      <c r="R31" s="0" t="s">
        <v>153</v>
      </c>
      <c r="S31" s="0" t="s">
        <v>34</v>
      </c>
    </row>
    <row r="32" customFormat="false" ht="15" hidden="false" customHeight="false" outlineLevel="0" collapsed="false">
      <c r="A32" s="0" t="n">
        <v>31</v>
      </c>
      <c r="B32" s="0" t="s">
        <v>189</v>
      </c>
      <c r="C32" s="0" t="s">
        <v>190</v>
      </c>
      <c r="D32" s="0" t="s">
        <v>191</v>
      </c>
      <c r="E32" s="0" t="s">
        <v>59</v>
      </c>
      <c r="G32" s="0" t="s">
        <v>192</v>
      </c>
      <c r="H32" s="0" t="s">
        <v>24</v>
      </c>
      <c r="I32" s="2" t="s">
        <v>25</v>
      </c>
      <c r="J32" s="2" t="s">
        <v>100</v>
      </c>
      <c r="K32" s="0" t="s">
        <v>186</v>
      </c>
      <c r="L32" s="0" t="s">
        <v>193</v>
      </c>
      <c r="M32" s="0" t="s">
        <v>187</v>
      </c>
      <c r="N32" s="0" t="s">
        <v>30</v>
      </c>
      <c r="O32" s="0" t="s">
        <v>31</v>
      </c>
      <c r="P32" s="0" t="s">
        <v>194</v>
      </c>
      <c r="R32" s="0" t="s">
        <v>33</v>
      </c>
      <c r="S32" s="0" t="s">
        <v>34</v>
      </c>
    </row>
    <row r="33" customFormat="false" ht="15" hidden="false" customHeight="false" outlineLevel="0" collapsed="false">
      <c r="A33" s="0" t="n">
        <v>32</v>
      </c>
      <c r="B33" s="0" t="s">
        <v>195</v>
      </c>
      <c r="C33" s="0" t="s">
        <v>196</v>
      </c>
      <c r="D33" s="0" t="s">
        <v>197</v>
      </c>
      <c r="E33" s="0" t="s">
        <v>22</v>
      </c>
      <c r="G33" s="0" t="s">
        <v>198</v>
      </c>
      <c r="H33" s="0" t="s">
        <v>24</v>
      </c>
      <c r="I33" s="2" t="s">
        <v>25</v>
      </c>
      <c r="J33" s="2" t="s">
        <v>199</v>
      </c>
      <c r="K33" s="0" t="s">
        <v>200</v>
      </c>
      <c r="L33" s="0" t="s">
        <v>201</v>
      </c>
      <c r="M33" s="0" t="s">
        <v>202</v>
      </c>
      <c r="N33" s="0" t="s">
        <v>30</v>
      </c>
      <c r="O33" s="0" t="s">
        <v>31</v>
      </c>
      <c r="P33" s="0" t="s">
        <v>203</v>
      </c>
      <c r="R33" s="0" t="s">
        <v>153</v>
      </c>
      <c r="S33" s="0" t="s">
        <v>34</v>
      </c>
    </row>
    <row r="34" customFormat="false" ht="15" hidden="false" customHeight="false" outlineLevel="0" collapsed="false">
      <c r="A34" s="0" t="n">
        <v>33</v>
      </c>
      <c r="B34" s="0" t="s">
        <v>204</v>
      </c>
      <c r="C34" s="0" t="s">
        <v>205</v>
      </c>
      <c r="D34" s="0" t="s">
        <v>206</v>
      </c>
      <c r="E34" s="0" t="s">
        <v>22</v>
      </c>
      <c r="H34" s="0" t="s">
        <v>24</v>
      </c>
      <c r="I34" s="2" t="s">
        <v>25</v>
      </c>
      <c r="J34" s="2" t="s">
        <v>199</v>
      </c>
      <c r="K34" s="0" t="s">
        <v>200</v>
      </c>
      <c r="L34" s="0" t="s">
        <v>207</v>
      </c>
      <c r="M34" s="0" t="s">
        <v>202</v>
      </c>
      <c r="N34" s="0" t="s">
        <v>30</v>
      </c>
      <c r="O34" s="0" t="s">
        <v>31</v>
      </c>
      <c r="P34" s="0" t="s">
        <v>208</v>
      </c>
      <c r="R34" s="0" t="s">
        <v>41</v>
      </c>
      <c r="S34" s="0" t="s">
        <v>34</v>
      </c>
    </row>
    <row r="35" customFormat="false" ht="15" hidden="false" customHeight="false" outlineLevel="0" collapsed="false">
      <c r="A35" s="0" t="n">
        <v>34</v>
      </c>
      <c r="B35" s="0" t="s">
        <v>209</v>
      </c>
      <c r="C35" s="0" t="s">
        <v>206</v>
      </c>
      <c r="D35" s="0" t="s">
        <v>206</v>
      </c>
      <c r="E35" s="0" t="s">
        <v>22</v>
      </c>
      <c r="H35" s="0" t="s">
        <v>24</v>
      </c>
      <c r="I35" s="2" t="s">
        <v>25</v>
      </c>
      <c r="J35" s="2" t="s">
        <v>199</v>
      </c>
      <c r="K35" s="0" t="s">
        <v>200</v>
      </c>
      <c r="L35" s="0" t="s">
        <v>210</v>
      </c>
      <c r="M35" s="0" t="s">
        <v>202</v>
      </c>
      <c r="N35" s="0" t="s">
        <v>39</v>
      </c>
      <c r="O35" s="0" t="s">
        <v>31</v>
      </c>
      <c r="P35" s="0" t="s">
        <v>211</v>
      </c>
      <c r="R35" s="0" t="s">
        <v>41</v>
      </c>
      <c r="S35" s="0" t="s">
        <v>34</v>
      </c>
    </row>
    <row r="36" customFormat="false" ht="15" hidden="false" customHeight="false" outlineLevel="0" collapsed="false">
      <c r="I36" s="2"/>
      <c r="J36" s="2"/>
    </row>
    <row r="37" customFormat="false" ht="15" hidden="false" customHeight="false" outlineLevel="0" collapsed="false">
      <c r="I37" s="2"/>
      <c r="J37" s="2"/>
    </row>
    <row r="38" customFormat="false" ht="15" hidden="false" customHeight="false" outlineLevel="0" collapsed="false">
      <c r="I38" s="2"/>
      <c r="J38" s="2"/>
    </row>
    <row r="39" customFormat="false" ht="15" hidden="false" customHeight="false" outlineLevel="0" collapsed="false">
      <c r="I39" s="2"/>
      <c r="J39" s="2"/>
    </row>
    <row r="40" customFormat="false" ht="15" hidden="false" customHeight="false" outlineLevel="0" collapsed="false">
      <c r="I40" s="2"/>
      <c r="J40" s="2"/>
    </row>
    <row r="41" customFormat="false" ht="15" hidden="false" customHeight="false" outlineLevel="0" collapsed="false">
      <c r="I41" s="2"/>
      <c r="J41" s="2"/>
    </row>
    <row r="42" customFormat="false" ht="15" hidden="false" customHeight="false" outlineLevel="0" collapsed="false">
      <c r="I42" s="2"/>
      <c r="J42" s="2"/>
    </row>
    <row r="43" customFormat="false" ht="15" hidden="false" customHeight="false" outlineLevel="0" collapsed="false">
      <c r="I43" s="2"/>
      <c r="J43" s="2"/>
    </row>
    <row r="44" customFormat="false" ht="15" hidden="false" customHeight="false" outlineLevel="0" collapsed="false">
      <c r="I44" s="2"/>
      <c r="J44" s="2"/>
    </row>
    <row r="45" customFormat="false" ht="15" hidden="false" customHeight="false" outlineLevel="0" collapsed="false">
      <c r="I45" s="2"/>
      <c r="J45" s="2"/>
    </row>
    <row r="46" customFormat="false" ht="15" hidden="false" customHeight="false" outlineLevel="0" collapsed="false">
      <c r="I46" s="2"/>
      <c r="J46" s="2"/>
    </row>
    <row r="47" customFormat="false" ht="15" hidden="false" customHeight="false" outlineLevel="0" collapsed="false">
      <c r="I47" s="2"/>
      <c r="J47" s="2"/>
    </row>
    <row r="48" customFormat="false" ht="15" hidden="false" customHeight="false" outlineLevel="0" collapsed="false">
      <c r="I48" s="2"/>
      <c r="J48" s="2"/>
    </row>
    <row r="49" customFormat="false" ht="15" hidden="false" customHeight="false" outlineLevel="0" collapsed="false">
      <c r="I49" s="2"/>
      <c r="J49" s="2"/>
    </row>
    <row r="50" customFormat="false" ht="15" hidden="false" customHeight="false" outlineLevel="0" collapsed="false">
      <c r="I50" s="2"/>
      <c r="J50" s="2"/>
    </row>
    <row r="51" customFormat="false" ht="15" hidden="false" customHeight="false" outlineLevel="0" collapsed="false">
      <c r="I51" s="2"/>
      <c r="J51" s="2"/>
    </row>
    <row r="52" customFormat="false" ht="15" hidden="false" customHeight="false" outlineLevel="0" collapsed="false">
      <c r="I52" s="2"/>
      <c r="J52" s="2"/>
    </row>
    <row r="53" customFormat="false" ht="15" hidden="false" customHeight="false" outlineLevel="0" collapsed="false">
      <c r="I53" s="2"/>
      <c r="J53" s="2"/>
    </row>
    <row r="54" customFormat="false" ht="15" hidden="false" customHeight="false" outlineLevel="0" collapsed="false">
      <c r="I54" s="2"/>
      <c r="J54" s="2"/>
    </row>
    <row r="55" customFormat="false" ht="15" hidden="false" customHeight="false" outlineLevel="0" collapsed="false">
      <c r="I55" s="2"/>
      <c r="J55" s="2"/>
    </row>
    <row r="56" customFormat="false" ht="15" hidden="false" customHeight="false" outlineLevel="0" collapsed="false">
      <c r="I56" s="2"/>
      <c r="J56" s="2"/>
    </row>
    <row r="57" customFormat="false" ht="15" hidden="false" customHeight="false" outlineLevel="0" collapsed="false">
      <c r="I57" s="2"/>
      <c r="J57" s="2"/>
    </row>
    <row r="58" customFormat="false" ht="15" hidden="false" customHeight="false" outlineLevel="0" collapsed="false">
      <c r="I58" s="2"/>
      <c r="J58" s="2"/>
    </row>
    <row r="59" customFormat="false" ht="15" hidden="false" customHeight="false" outlineLevel="0" collapsed="false">
      <c r="I59" s="2"/>
      <c r="J59" s="2"/>
    </row>
    <row r="60" customFormat="false" ht="15" hidden="false" customHeight="false" outlineLevel="0" collapsed="false">
      <c r="I60" s="2"/>
      <c r="J60" s="2"/>
    </row>
    <row r="61" customFormat="false" ht="15" hidden="false" customHeight="false" outlineLevel="0" collapsed="false">
      <c r="I61" s="2"/>
      <c r="J61" s="2"/>
    </row>
    <row r="62" customFormat="false" ht="15" hidden="false" customHeight="false" outlineLevel="0" collapsed="false">
      <c r="I62" s="2"/>
      <c r="J62" s="2"/>
    </row>
    <row r="63" customFormat="false" ht="15" hidden="false" customHeight="false" outlineLevel="0" collapsed="false">
      <c r="I63" s="2"/>
      <c r="J63" s="2"/>
    </row>
    <row r="64" customFormat="false" ht="15" hidden="false" customHeight="false" outlineLevel="0" collapsed="false">
      <c r="I64" s="2"/>
      <c r="J64" s="2"/>
    </row>
    <row r="65" customFormat="false" ht="15" hidden="false" customHeight="false" outlineLevel="0" collapsed="false">
      <c r="I65" s="2"/>
      <c r="J65" s="2"/>
    </row>
    <row r="66" customFormat="false" ht="15" hidden="false" customHeight="false" outlineLevel="0" collapsed="false">
      <c r="I66" s="2"/>
      <c r="J66" s="2"/>
    </row>
    <row r="67" customFormat="false" ht="15" hidden="false" customHeight="false" outlineLevel="0" collapsed="false">
      <c r="I67" s="2"/>
      <c r="J67" s="2"/>
    </row>
    <row r="68" customFormat="false" ht="15" hidden="false" customHeight="false" outlineLevel="0" collapsed="false">
      <c r="I68" s="2"/>
      <c r="J68" s="2"/>
    </row>
    <row r="69" customFormat="false" ht="15" hidden="false" customHeight="false" outlineLevel="0" collapsed="false">
      <c r="I69" s="2"/>
      <c r="J69" s="2"/>
    </row>
    <row r="70" customFormat="false" ht="15" hidden="false" customHeight="false" outlineLevel="0" collapsed="false">
      <c r="I70" s="2"/>
      <c r="J70" s="2"/>
    </row>
    <row r="71" customFormat="false" ht="15" hidden="false" customHeight="false" outlineLevel="0" collapsed="false">
      <c r="I71" s="2"/>
      <c r="J71" s="2"/>
    </row>
    <row r="72" customFormat="false" ht="15" hidden="false" customHeight="false" outlineLevel="0" collapsed="false">
      <c r="I72" s="2"/>
      <c r="J72" s="2"/>
    </row>
    <row r="73" customFormat="false" ht="15" hidden="false" customHeight="false" outlineLevel="0" collapsed="false">
      <c r="I73" s="2"/>
      <c r="J73" s="2"/>
    </row>
    <row r="74" customFormat="false" ht="15" hidden="false" customHeight="false" outlineLevel="0" collapsed="false">
      <c r="I74" s="2"/>
      <c r="J74" s="2"/>
    </row>
    <row r="75" customFormat="false" ht="15" hidden="false" customHeight="false" outlineLevel="0" collapsed="false">
      <c r="I75" s="2"/>
      <c r="J75" s="2"/>
    </row>
    <row r="76" customFormat="false" ht="15" hidden="false" customHeight="false" outlineLevel="0" collapsed="false">
      <c r="I76" s="2"/>
      <c r="J76" s="2"/>
    </row>
    <row r="77" customFormat="false" ht="15" hidden="false" customHeight="false" outlineLevel="0" collapsed="false">
      <c r="I77" s="2"/>
      <c r="J77" s="2"/>
    </row>
    <row r="78" customFormat="false" ht="15" hidden="false" customHeight="false" outlineLevel="0" collapsed="false">
      <c r="I78" s="2"/>
      <c r="J78" s="2"/>
    </row>
    <row r="79" customFormat="false" ht="15" hidden="false" customHeight="false" outlineLevel="0" collapsed="false">
      <c r="I79" s="2"/>
      <c r="J79" s="2"/>
    </row>
    <row r="80" customFormat="false" ht="15" hidden="false" customHeight="false" outlineLevel="0" collapsed="false">
      <c r="I80" s="2"/>
      <c r="J80" s="2"/>
    </row>
    <row r="81" customFormat="false" ht="15" hidden="false" customHeight="false" outlineLevel="0" collapsed="false">
      <c r="I81" s="2"/>
      <c r="J81" s="2"/>
    </row>
    <row r="82" customFormat="false" ht="15" hidden="false" customHeight="false" outlineLevel="0" collapsed="false">
      <c r="I82" s="2"/>
      <c r="J82" s="2"/>
    </row>
    <row r="83" customFormat="false" ht="15" hidden="false" customHeight="false" outlineLevel="0" collapsed="false">
      <c r="I83" s="2"/>
      <c r="J83" s="2"/>
    </row>
    <row r="84" customFormat="false" ht="15" hidden="false" customHeight="false" outlineLevel="0" collapsed="false">
      <c r="I84" s="2"/>
      <c r="J84" s="2"/>
    </row>
    <row r="85" customFormat="false" ht="15" hidden="false" customHeight="false" outlineLevel="0" collapsed="false">
      <c r="I85" s="2"/>
      <c r="J85" s="2"/>
    </row>
    <row r="86" customFormat="false" ht="15" hidden="false" customHeight="false" outlineLevel="0" collapsed="false">
      <c r="I86" s="2"/>
      <c r="J86" s="2"/>
    </row>
    <row r="87" customFormat="false" ht="15" hidden="false" customHeight="false" outlineLevel="0" collapsed="false">
      <c r="I87" s="2"/>
      <c r="J87" s="2"/>
    </row>
    <row r="88" customFormat="false" ht="15" hidden="false" customHeight="false" outlineLevel="0" collapsed="false">
      <c r="I88" s="2"/>
      <c r="J88" s="2"/>
    </row>
    <row r="89" customFormat="false" ht="15" hidden="false" customHeight="false" outlineLevel="0" collapsed="false">
      <c r="I89" s="2"/>
      <c r="J89" s="2"/>
    </row>
    <row r="90" customFormat="false" ht="15" hidden="false" customHeight="false" outlineLevel="0" collapsed="false">
      <c r="I90" s="2"/>
      <c r="J90" s="2"/>
    </row>
    <row r="91" customFormat="false" ht="15" hidden="false" customHeight="false" outlineLevel="0" collapsed="false">
      <c r="I91" s="2"/>
      <c r="J91" s="2"/>
    </row>
    <row r="92" customFormat="false" ht="15" hidden="false" customHeight="false" outlineLevel="0" collapsed="false">
      <c r="I92" s="2"/>
      <c r="J92" s="2"/>
    </row>
    <row r="93" customFormat="false" ht="15" hidden="false" customHeight="false" outlineLevel="0" collapsed="false">
      <c r="I93" s="2"/>
      <c r="J93" s="2"/>
    </row>
    <row r="94" customFormat="false" ht="15" hidden="false" customHeight="false" outlineLevel="0" collapsed="false">
      <c r="I94" s="2"/>
      <c r="J94" s="2"/>
    </row>
    <row r="95" customFormat="false" ht="15" hidden="false" customHeight="false" outlineLevel="0" collapsed="false">
      <c r="I95" s="2"/>
      <c r="J95" s="2"/>
    </row>
    <row r="96" customFormat="false" ht="15" hidden="false" customHeight="false" outlineLevel="0" collapsed="false">
      <c r="I96" s="2"/>
      <c r="J96" s="2"/>
    </row>
    <row r="97" customFormat="false" ht="15" hidden="false" customHeight="false" outlineLevel="0" collapsed="false">
      <c r="I97" s="2"/>
      <c r="J97" s="2"/>
    </row>
    <row r="98" customFormat="false" ht="15" hidden="false" customHeight="false" outlineLevel="0" collapsed="false">
      <c r="I98" s="2"/>
      <c r="J98" s="2"/>
    </row>
    <row r="99" customFormat="false" ht="15" hidden="false" customHeight="false" outlineLevel="0" collapsed="false">
      <c r="I99" s="2"/>
      <c r="J99" s="2"/>
    </row>
    <row r="100" customFormat="false" ht="15" hidden="false" customHeight="false" outlineLevel="0" collapsed="false">
      <c r="I100" s="2"/>
      <c r="J100" s="2"/>
    </row>
    <row r="101" customFormat="false" ht="15" hidden="false" customHeight="false" outlineLevel="0" collapsed="false">
      <c r="I101" s="2"/>
      <c r="J101" s="2"/>
    </row>
    <row r="102" customFormat="false" ht="15" hidden="false" customHeight="false" outlineLevel="0" collapsed="false">
      <c r="I102" s="2"/>
      <c r="J102" s="2"/>
    </row>
    <row r="103" customFormat="false" ht="15" hidden="false" customHeight="false" outlineLevel="0" collapsed="false">
      <c r="I103" s="2"/>
      <c r="J103" s="2"/>
    </row>
    <row r="104" customFormat="false" ht="15" hidden="false" customHeight="false" outlineLevel="0" collapsed="false">
      <c r="I104" s="2"/>
      <c r="J104" s="2"/>
    </row>
    <row r="105" customFormat="false" ht="15" hidden="false" customHeight="false" outlineLevel="0" collapsed="false">
      <c r="I105" s="2"/>
      <c r="J105" s="2"/>
    </row>
    <row r="106" customFormat="false" ht="15" hidden="false" customHeight="false" outlineLevel="0" collapsed="false">
      <c r="I106" s="2"/>
      <c r="J106" s="2"/>
    </row>
    <row r="107" customFormat="false" ht="15" hidden="false" customHeight="false" outlineLevel="0" collapsed="false">
      <c r="I107" s="2"/>
      <c r="J107" s="2"/>
    </row>
    <row r="108" customFormat="false" ht="15" hidden="false" customHeight="false" outlineLevel="0" collapsed="false">
      <c r="I108" s="2"/>
      <c r="J108" s="2"/>
    </row>
    <row r="109" customFormat="false" ht="15" hidden="false" customHeight="false" outlineLevel="0" collapsed="false">
      <c r="I109" s="2"/>
      <c r="J109" s="2"/>
    </row>
    <row r="110" customFormat="false" ht="15" hidden="false" customHeight="false" outlineLevel="0" collapsed="false">
      <c r="I110" s="2"/>
      <c r="J110" s="2"/>
    </row>
    <row r="111" customFormat="false" ht="15" hidden="false" customHeight="false" outlineLevel="0" collapsed="false">
      <c r="I111" s="2"/>
      <c r="J111" s="2"/>
    </row>
    <row r="112" customFormat="false" ht="15" hidden="false" customHeight="false" outlineLevel="0" collapsed="false">
      <c r="I112" s="2"/>
      <c r="J112" s="2"/>
    </row>
    <row r="113" customFormat="false" ht="15" hidden="false" customHeight="false" outlineLevel="0" collapsed="false">
      <c r="I113" s="2"/>
      <c r="J113" s="2"/>
    </row>
    <row r="114" customFormat="false" ht="15" hidden="false" customHeight="false" outlineLevel="0" collapsed="false">
      <c r="I114" s="2"/>
      <c r="J114" s="2"/>
    </row>
    <row r="115" customFormat="false" ht="15" hidden="false" customHeight="false" outlineLevel="0" collapsed="false">
      <c r="I115" s="2"/>
      <c r="J115" s="2"/>
    </row>
    <row r="116" customFormat="false" ht="15" hidden="false" customHeight="false" outlineLevel="0" collapsed="false">
      <c r="I116" s="2"/>
      <c r="J116" s="2"/>
    </row>
    <row r="117" customFormat="false" ht="15" hidden="false" customHeight="false" outlineLevel="0" collapsed="false">
      <c r="I117" s="2"/>
      <c r="J117" s="2"/>
    </row>
    <row r="118" customFormat="false" ht="15" hidden="false" customHeight="false" outlineLevel="0" collapsed="false">
      <c r="I118" s="2"/>
      <c r="J118" s="2"/>
    </row>
    <row r="119" customFormat="false" ht="15" hidden="false" customHeight="false" outlineLevel="0" collapsed="false">
      <c r="I119" s="2"/>
      <c r="J119" s="2"/>
    </row>
    <row r="120" customFormat="false" ht="15" hidden="false" customHeight="false" outlineLevel="0" collapsed="false">
      <c r="I120" s="2"/>
      <c r="J120" s="2"/>
    </row>
    <row r="121" customFormat="false" ht="15" hidden="false" customHeight="false" outlineLevel="0" collapsed="false">
      <c r="I121" s="2"/>
      <c r="J121" s="2"/>
    </row>
    <row r="122" customFormat="false" ht="15" hidden="false" customHeight="false" outlineLevel="0" collapsed="false">
      <c r="I122" s="2"/>
      <c r="J122" s="2"/>
    </row>
    <row r="123" customFormat="false" ht="15" hidden="false" customHeight="false" outlineLevel="0" collapsed="false">
      <c r="I123" s="2"/>
      <c r="J123" s="2"/>
    </row>
    <row r="124" customFormat="false" ht="15" hidden="false" customHeight="false" outlineLevel="0" collapsed="false">
      <c r="I124" s="2"/>
      <c r="J124" s="2"/>
    </row>
    <row r="125" customFormat="false" ht="15" hidden="false" customHeight="false" outlineLevel="0" collapsed="false">
      <c r="I125" s="2"/>
      <c r="J125" s="2"/>
    </row>
    <row r="126" customFormat="false" ht="15" hidden="false" customHeight="false" outlineLevel="0" collapsed="false">
      <c r="I126" s="2"/>
      <c r="J126" s="2"/>
    </row>
    <row r="127" customFormat="false" ht="15" hidden="false" customHeight="false" outlineLevel="0" collapsed="false">
      <c r="I127" s="2"/>
      <c r="J127" s="2"/>
    </row>
    <row r="128" customFormat="false" ht="15" hidden="false" customHeight="false" outlineLevel="0" collapsed="false">
      <c r="I128" s="2"/>
      <c r="J128" s="2"/>
    </row>
    <row r="129" customFormat="false" ht="15" hidden="false" customHeight="false" outlineLevel="0" collapsed="false">
      <c r="I129" s="2"/>
      <c r="J129" s="2"/>
    </row>
    <row r="130" customFormat="false" ht="15" hidden="false" customHeight="false" outlineLevel="0" collapsed="false">
      <c r="I130" s="2"/>
      <c r="J130" s="2"/>
    </row>
    <row r="131" customFormat="false" ht="15" hidden="false" customHeight="false" outlineLevel="0" collapsed="false">
      <c r="I131" s="2"/>
      <c r="J131" s="2"/>
    </row>
    <row r="132" customFormat="false" ht="15" hidden="false" customHeight="false" outlineLevel="0" collapsed="false">
      <c r="I132" s="2"/>
      <c r="J132" s="2"/>
    </row>
    <row r="133" customFormat="false" ht="15" hidden="false" customHeight="false" outlineLevel="0" collapsed="false">
      <c r="I133" s="2"/>
      <c r="J133" s="2"/>
    </row>
    <row r="134" customFormat="false" ht="15" hidden="false" customHeight="false" outlineLevel="0" collapsed="false">
      <c r="I134" s="2"/>
      <c r="J134" s="2"/>
    </row>
    <row r="135" customFormat="false" ht="15" hidden="false" customHeight="false" outlineLevel="0" collapsed="false">
      <c r="I135" s="2"/>
      <c r="J135" s="2"/>
    </row>
    <row r="136" customFormat="false" ht="15" hidden="false" customHeight="false" outlineLevel="0" collapsed="false">
      <c r="I136" s="2"/>
      <c r="J136" s="2"/>
    </row>
    <row r="137" customFormat="false" ht="15" hidden="false" customHeight="false" outlineLevel="0" collapsed="false">
      <c r="I137" s="2"/>
      <c r="J137" s="2"/>
    </row>
    <row r="138" customFormat="false" ht="15" hidden="false" customHeight="false" outlineLevel="0" collapsed="false">
      <c r="I138" s="2"/>
      <c r="J138" s="2"/>
    </row>
    <row r="139" customFormat="false" ht="15" hidden="false" customHeight="false" outlineLevel="0" collapsed="false">
      <c r="I139" s="2"/>
      <c r="J139" s="2"/>
    </row>
    <row r="140" customFormat="false" ht="15" hidden="false" customHeight="false" outlineLevel="0" collapsed="false">
      <c r="I140" s="2"/>
      <c r="J140" s="2"/>
    </row>
    <row r="141" customFormat="false" ht="15" hidden="false" customHeight="false" outlineLevel="0" collapsed="false">
      <c r="I141" s="2"/>
      <c r="J141" s="2"/>
    </row>
    <row r="142" customFormat="false" ht="15" hidden="false" customHeight="false" outlineLevel="0" collapsed="false">
      <c r="I142" s="2"/>
      <c r="J142" s="2"/>
    </row>
    <row r="143" customFormat="false" ht="15" hidden="false" customHeight="false" outlineLevel="0" collapsed="false">
      <c r="I143" s="2"/>
      <c r="J143" s="2"/>
    </row>
    <row r="144" customFormat="false" ht="15" hidden="false" customHeight="false" outlineLevel="0" collapsed="false">
      <c r="I144" s="2"/>
      <c r="J144" s="2"/>
    </row>
    <row r="145" customFormat="false" ht="15" hidden="false" customHeight="false" outlineLevel="0" collapsed="false">
      <c r="I145" s="2"/>
      <c r="J145" s="2"/>
    </row>
    <row r="146" customFormat="false" ht="15" hidden="false" customHeight="false" outlineLevel="0" collapsed="false">
      <c r="I146" s="2"/>
      <c r="J146" s="2"/>
    </row>
    <row r="147" customFormat="false" ht="15" hidden="false" customHeight="false" outlineLevel="0" collapsed="false">
      <c r="I147" s="2"/>
      <c r="J147" s="2"/>
    </row>
    <row r="148" customFormat="false" ht="15" hidden="false" customHeight="false" outlineLevel="0" collapsed="false">
      <c r="I148" s="2"/>
      <c r="J148" s="2"/>
    </row>
    <row r="149" customFormat="false" ht="15" hidden="false" customHeight="false" outlineLevel="0" collapsed="false">
      <c r="I149" s="2"/>
      <c r="J149" s="2"/>
    </row>
    <row r="150" customFormat="false" ht="15" hidden="false" customHeight="false" outlineLevel="0" collapsed="false">
      <c r="I150" s="2"/>
      <c r="J150" s="2"/>
    </row>
    <row r="151" customFormat="false" ht="15" hidden="false" customHeight="false" outlineLevel="0" collapsed="false">
      <c r="I151" s="2"/>
      <c r="J151" s="2"/>
    </row>
    <row r="152" customFormat="false" ht="15" hidden="false" customHeight="false" outlineLevel="0" collapsed="false">
      <c r="I152" s="2"/>
      <c r="J152" s="2"/>
    </row>
    <row r="153" customFormat="false" ht="15" hidden="false" customHeight="false" outlineLevel="0" collapsed="false">
      <c r="I153" s="2"/>
      <c r="J153" s="2"/>
    </row>
    <row r="154" customFormat="false" ht="15" hidden="false" customHeight="false" outlineLevel="0" collapsed="false">
      <c r="I154" s="2"/>
      <c r="J154" s="2"/>
    </row>
    <row r="155" customFormat="false" ht="15" hidden="false" customHeight="false" outlineLevel="0" collapsed="false">
      <c r="I155" s="2"/>
      <c r="J155" s="2"/>
    </row>
    <row r="156" customFormat="false" ht="15" hidden="false" customHeight="false" outlineLevel="0" collapsed="false">
      <c r="I156" s="2"/>
      <c r="J156" s="2"/>
    </row>
    <row r="157" customFormat="false" ht="15" hidden="false" customHeight="false" outlineLevel="0" collapsed="false">
      <c r="I157" s="2"/>
      <c r="J157" s="2"/>
    </row>
    <row r="158" customFormat="false" ht="15" hidden="false" customHeight="false" outlineLevel="0" collapsed="false">
      <c r="I158" s="2"/>
      <c r="J158" s="2"/>
    </row>
    <row r="159" customFormat="false" ht="15" hidden="false" customHeight="false" outlineLevel="0" collapsed="false">
      <c r="I159" s="2"/>
      <c r="J159" s="2"/>
    </row>
    <row r="160" customFormat="false" ht="15" hidden="false" customHeight="false" outlineLevel="0" collapsed="false">
      <c r="I160" s="2"/>
      <c r="J160" s="2"/>
    </row>
    <row r="161" customFormat="false" ht="15" hidden="false" customHeight="false" outlineLevel="0" collapsed="false">
      <c r="I161" s="2"/>
      <c r="J161" s="2"/>
    </row>
    <row r="162" customFormat="false" ht="15" hidden="false" customHeight="false" outlineLevel="0" collapsed="false">
      <c r="I162" s="2"/>
      <c r="J162" s="2"/>
    </row>
    <row r="163" customFormat="false" ht="15" hidden="false" customHeight="false" outlineLevel="0" collapsed="false">
      <c r="I163" s="2"/>
      <c r="J163" s="2"/>
    </row>
    <row r="164" customFormat="false" ht="15" hidden="false" customHeight="false" outlineLevel="0" collapsed="false">
      <c r="I164" s="2"/>
      <c r="J164" s="2"/>
    </row>
    <row r="165" customFormat="false" ht="15" hidden="false" customHeight="false" outlineLevel="0" collapsed="false">
      <c r="I165" s="2"/>
      <c r="J165" s="2"/>
    </row>
    <row r="166" customFormat="false" ht="15" hidden="false" customHeight="false" outlineLevel="0" collapsed="false">
      <c r="I166" s="2"/>
      <c r="J166" s="2"/>
    </row>
    <row r="167" customFormat="false" ht="15" hidden="false" customHeight="false" outlineLevel="0" collapsed="false">
      <c r="I167" s="2"/>
      <c r="J167" s="2"/>
    </row>
    <row r="168" customFormat="false" ht="15" hidden="false" customHeight="false" outlineLevel="0" collapsed="false">
      <c r="I168" s="2"/>
      <c r="J168" s="2"/>
    </row>
    <row r="169" customFormat="false" ht="15" hidden="false" customHeight="false" outlineLevel="0" collapsed="false">
      <c r="I169" s="2"/>
      <c r="J169" s="2"/>
    </row>
    <row r="170" customFormat="false" ht="15" hidden="false" customHeight="false" outlineLevel="0" collapsed="false">
      <c r="I170" s="2"/>
      <c r="J170" s="2"/>
    </row>
    <row r="171" customFormat="false" ht="15" hidden="false" customHeight="false" outlineLevel="0" collapsed="false">
      <c r="I171" s="2"/>
      <c r="J171" s="2"/>
    </row>
    <row r="172" customFormat="false" ht="15" hidden="false" customHeight="false" outlineLevel="0" collapsed="false">
      <c r="I172" s="2"/>
      <c r="J172" s="2"/>
    </row>
    <row r="173" customFormat="false" ht="15" hidden="false" customHeight="false" outlineLevel="0" collapsed="false">
      <c r="I173" s="2"/>
      <c r="J173" s="2"/>
    </row>
    <row r="174" customFormat="false" ht="15" hidden="false" customHeight="false" outlineLevel="0" collapsed="false">
      <c r="I174" s="2"/>
      <c r="J174" s="2"/>
    </row>
    <row r="175" customFormat="false" ht="15" hidden="false" customHeight="false" outlineLevel="0" collapsed="false">
      <c r="I175" s="2"/>
      <c r="J175" s="2"/>
    </row>
    <row r="176" customFormat="false" ht="15" hidden="false" customHeight="false" outlineLevel="0" collapsed="false">
      <c r="I176" s="2"/>
      <c r="J176" s="2"/>
    </row>
    <row r="177" customFormat="false" ht="15" hidden="false" customHeight="false" outlineLevel="0" collapsed="false">
      <c r="I177" s="2"/>
      <c r="J177" s="2"/>
    </row>
    <row r="178" customFormat="false" ht="15" hidden="false" customHeight="false" outlineLevel="0" collapsed="false">
      <c r="I178" s="2"/>
      <c r="J178" s="2"/>
    </row>
    <row r="179" customFormat="false" ht="15" hidden="false" customHeight="false" outlineLevel="0" collapsed="false">
      <c r="I179" s="2"/>
      <c r="J179" s="2"/>
    </row>
    <row r="180" customFormat="false" ht="15" hidden="false" customHeight="false" outlineLevel="0" collapsed="false">
      <c r="I180" s="2"/>
      <c r="J180" s="2"/>
    </row>
    <row r="181" customFormat="false" ht="15" hidden="false" customHeight="false" outlineLevel="0" collapsed="false">
      <c r="I181" s="2"/>
      <c r="J181" s="2"/>
    </row>
    <row r="182" customFormat="false" ht="15" hidden="false" customHeight="false" outlineLevel="0" collapsed="false">
      <c r="I182" s="2"/>
      <c r="J182" s="2"/>
    </row>
    <row r="183" customFormat="false" ht="15" hidden="false" customHeight="false" outlineLevel="0" collapsed="false">
      <c r="I183" s="2"/>
      <c r="J183" s="2"/>
    </row>
    <row r="184" customFormat="false" ht="15" hidden="false" customHeight="false" outlineLevel="0" collapsed="false">
      <c r="I184" s="2"/>
      <c r="J184" s="2"/>
    </row>
    <row r="185" customFormat="false" ht="15" hidden="false" customHeight="false" outlineLevel="0" collapsed="false">
      <c r="I185" s="2"/>
      <c r="J185" s="2"/>
    </row>
    <row r="186" customFormat="false" ht="15" hidden="false" customHeight="false" outlineLevel="0" collapsed="false">
      <c r="I186" s="2"/>
      <c r="J186" s="2"/>
    </row>
    <row r="187" customFormat="false" ht="15" hidden="false" customHeight="false" outlineLevel="0" collapsed="false">
      <c r="I187" s="2"/>
      <c r="J187" s="2"/>
    </row>
    <row r="188" customFormat="false" ht="15" hidden="false" customHeight="false" outlineLevel="0" collapsed="false">
      <c r="I188" s="2"/>
      <c r="J188" s="2"/>
    </row>
    <row r="189" customFormat="false" ht="15" hidden="false" customHeight="false" outlineLevel="0" collapsed="false">
      <c r="I189" s="2"/>
      <c r="J189" s="2"/>
    </row>
    <row r="190" customFormat="false" ht="15" hidden="false" customHeight="false" outlineLevel="0" collapsed="false">
      <c r="I190" s="2"/>
      <c r="J190" s="2"/>
    </row>
    <row r="191" customFormat="false" ht="15" hidden="false" customHeight="false" outlineLevel="0" collapsed="false">
      <c r="I191" s="2"/>
      <c r="J191" s="2"/>
    </row>
    <row r="192" customFormat="false" ht="15" hidden="false" customHeight="false" outlineLevel="0" collapsed="false">
      <c r="I192" s="2"/>
      <c r="J192" s="2"/>
    </row>
    <row r="193" customFormat="false" ht="15" hidden="false" customHeight="false" outlineLevel="0" collapsed="false">
      <c r="I193" s="2"/>
      <c r="J193" s="2"/>
    </row>
    <row r="194" customFormat="false" ht="15" hidden="false" customHeight="false" outlineLevel="0" collapsed="false">
      <c r="I194" s="2"/>
      <c r="J194" s="2"/>
    </row>
    <row r="195" customFormat="false" ht="15" hidden="false" customHeight="false" outlineLevel="0" collapsed="false">
      <c r="I195" s="2"/>
      <c r="J195" s="2"/>
    </row>
    <row r="196" customFormat="false" ht="15" hidden="false" customHeight="false" outlineLevel="0" collapsed="false">
      <c r="I196" s="2"/>
      <c r="J196" s="2"/>
    </row>
    <row r="197" customFormat="false" ht="15" hidden="false" customHeight="false" outlineLevel="0" collapsed="false">
      <c r="I197" s="2"/>
      <c r="J197" s="2"/>
    </row>
    <row r="198" customFormat="false" ht="15" hidden="false" customHeight="false" outlineLevel="0" collapsed="false">
      <c r="I198" s="2"/>
      <c r="J198" s="2"/>
    </row>
    <row r="199" customFormat="false" ht="15" hidden="false" customHeight="false" outlineLevel="0" collapsed="false">
      <c r="I199" s="2"/>
      <c r="J199" s="2"/>
    </row>
    <row r="200" customFormat="false" ht="15" hidden="false" customHeight="false" outlineLevel="0" collapsed="false">
      <c r="I200" s="2"/>
      <c r="J200" s="2"/>
    </row>
    <row r="201" customFormat="false" ht="15" hidden="false" customHeight="false" outlineLevel="0" collapsed="false">
      <c r="I201" s="2"/>
      <c r="J201" s="2"/>
    </row>
    <row r="202" customFormat="false" ht="15" hidden="false" customHeight="false" outlineLevel="0" collapsed="false">
      <c r="I202" s="2"/>
      <c r="J202" s="2"/>
    </row>
    <row r="203" customFormat="false" ht="15" hidden="false" customHeight="false" outlineLevel="0" collapsed="false">
      <c r="I203" s="2"/>
      <c r="J203" s="2"/>
    </row>
    <row r="204" customFormat="false" ht="15" hidden="false" customHeight="false" outlineLevel="0" collapsed="false">
      <c r="I204" s="2"/>
      <c r="J204" s="2"/>
    </row>
    <row r="205" customFormat="false" ht="15" hidden="false" customHeight="false" outlineLevel="0" collapsed="false">
      <c r="I205" s="2"/>
      <c r="J205" s="2"/>
    </row>
    <row r="206" customFormat="false" ht="15" hidden="false" customHeight="false" outlineLevel="0" collapsed="false">
      <c r="I206" s="2"/>
      <c r="J206" s="2"/>
    </row>
    <row r="207" customFormat="false" ht="15" hidden="false" customHeight="false" outlineLevel="0" collapsed="false">
      <c r="I207" s="2"/>
      <c r="J207" s="2"/>
    </row>
    <row r="208" customFormat="false" ht="15" hidden="false" customHeight="false" outlineLevel="0" collapsed="false">
      <c r="I208" s="2"/>
      <c r="J208" s="2"/>
    </row>
    <row r="209" customFormat="false" ht="15" hidden="false" customHeight="false" outlineLevel="0" collapsed="false">
      <c r="I209" s="2"/>
      <c r="J209" s="2"/>
    </row>
    <row r="210" customFormat="false" ht="15" hidden="false" customHeight="false" outlineLevel="0" collapsed="false">
      <c r="I210" s="2"/>
      <c r="J210" s="2"/>
    </row>
    <row r="211" customFormat="false" ht="15" hidden="false" customHeight="false" outlineLevel="0" collapsed="false">
      <c r="I211" s="2"/>
      <c r="J211" s="2"/>
    </row>
    <row r="212" customFormat="false" ht="15" hidden="false" customHeight="false" outlineLevel="0" collapsed="false">
      <c r="I212" s="2"/>
      <c r="J212" s="2"/>
    </row>
    <row r="213" customFormat="false" ht="15" hidden="false" customHeight="false" outlineLevel="0" collapsed="false">
      <c r="I213" s="2"/>
      <c r="J213" s="2"/>
    </row>
    <row r="214" customFormat="false" ht="15" hidden="false" customHeight="false" outlineLevel="0" collapsed="false">
      <c r="I214" s="2"/>
      <c r="J214" s="2"/>
    </row>
    <row r="215" customFormat="false" ht="15" hidden="false" customHeight="false" outlineLevel="0" collapsed="false">
      <c r="I215" s="2"/>
      <c r="J215" s="2"/>
    </row>
    <row r="216" customFormat="false" ht="15" hidden="false" customHeight="false" outlineLevel="0" collapsed="false">
      <c r="I216" s="2"/>
      <c r="J216" s="2"/>
    </row>
    <row r="217" customFormat="false" ht="15" hidden="false" customHeight="false" outlineLevel="0" collapsed="false">
      <c r="I217" s="2"/>
      <c r="J217" s="2"/>
    </row>
    <row r="218" customFormat="false" ht="15" hidden="false" customHeight="false" outlineLevel="0" collapsed="false">
      <c r="I218" s="2"/>
      <c r="J218" s="2"/>
    </row>
    <row r="219" customFormat="false" ht="15" hidden="false" customHeight="false" outlineLevel="0" collapsed="false">
      <c r="I219" s="2"/>
      <c r="J219" s="2"/>
    </row>
    <row r="220" customFormat="false" ht="15" hidden="false" customHeight="false" outlineLevel="0" collapsed="false">
      <c r="I220" s="2"/>
      <c r="J220" s="2"/>
    </row>
    <row r="221" customFormat="false" ht="15" hidden="false" customHeight="false" outlineLevel="0" collapsed="false">
      <c r="I221" s="2"/>
      <c r="J221" s="2"/>
    </row>
    <row r="222" customFormat="false" ht="15" hidden="false" customHeight="false" outlineLevel="0" collapsed="false">
      <c r="I222" s="2"/>
      <c r="J222" s="2"/>
    </row>
    <row r="223" customFormat="false" ht="15" hidden="false" customHeight="false" outlineLevel="0" collapsed="false">
      <c r="I223" s="2"/>
      <c r="J223" s="2"/>
    </row>
    <row r="224" customFormat="false" ht="15" hidden="false" customHeight="false" outlineLevel="0" collapsed="false">
      <c r="I224" s="2"/>
      <c r="J224" s="2"/>
    </row>
    <row r="225" customFormat="false" ht="15" hidden="false" customHeight="false" outlineLevel="0" collapsed="false">
      <c r="I225" s="2"/>
      <c r="J225" s="2"/>
    </row>
    <row r="226" customFormat="false" ht="15" hidden="false" customHeight="false" outlineLevel="0" collapsed="false">
      <c r="I226" s="2"/>
      <c r="J226" s="2"/>
    </row>
    <row r="227" customFormat="false" ht="15" hidden="false" customHeight="false" outlineLevel="0" collapsed="false">
      <c r="I227" s="2"/>
      <c r="J227" s="2"/>
    </row>
    <row r="228" customFormat="false" ht="15" hidden="false" customHeight="false" outlineLevel="0" collapsed="false">
      <c r="I228" s="2"/>
      <c r="J228" s="2"/>
    </row>
    <row r="229" customFormat="false" ht="15" hidden="false" customHeight="false" outlineLevel="0" collapsed="false">
      <c r="I229" s="2"/>
      <c r="J229" s="2"/>
    </row>
    <row r="230" customFormat="false" ht="15" hidden="false" customHeight="false" outlineLevel="0" collapsed="false">
      <c r="I230" s="2"/>
      <c r="J230" s="2"/>
    </row>
    <row r="231" customFormat="false" ht="15" hidden="false" customHeight="false" outlineLevel="0" collapsed="false">
      <c r="I231" s="2"/>
      <c r="J231" s="2"/>
    </row>
    <row r="232" customFormat="false" ht="15" hidden="false" customHeight="false" outlineLevel="0" collapsed="false">
      <c r="I232" s="2"/>
      <c r="J232" s="2"/>
    </row>
    <row r="233" customFormat="false" ht="15" hidden="false" customHeight="false" outlineLevel="0" collapsed="false">
      <c r="I233" s="2"/>
      <c r="J233" s="2"/>
    </row>
    <row r="234" customFormat="false" ht="15" hidden="false" customHeight="false" outlineLevel="0" collapsed="false">
      <c r="I234" s="2"/>
      <c r="J234" s="2"/>
    </row>
    <row r="235" customFormat="false" ht="15" hidden="false" customHeight="false" outlineLevel="0" collapsed="false">
      <c r="I235" s="2"/>
      <c r="J235" s="2"/>
    </row>
    <row r="236" customFormat="false" ht="15" hidden="false" customHeight="false" outlineLevel="0" collapsed="false">
      <c r="I236" s="2"/>
      <c r="J236" s="2"/>
    </row>
    <row r="237" customFormat="false" ht="15" hidden="false" customHeight="false" outlineLevel="0" collapsed="false">
      <c r="I237" s="2"/>
      <c r="J237" s="2"/>
    </row>
    <row r="238" customFormat="false" ht="15" hidden="false" customHeight="false" outlineLevel="0" collapsed="false">
      <c r="I238" s="2"/>
      <c r="J238" s="2"/>
    </row>
    <row r="239" customFormat="false" ht="15" hidden="false" customHeight="false" outlineLevel="0" collapsed="false">
      <c r="I239" s="2"/>
      <c r="J239" s="2"/>
    </row>
    <row r="240" customFormat="false" ht="15" hidden="false" customHeight="false" outlineLevel="0" collapsed="false">
      <c r="I240" s="2"/>
      <c r="J240" s="2"/>
    </row>
    <row r="241" customFormat="false" ht="15" hidden="false" customHeight="false" outlineLevel="0" collapsed="false">
      <c r="I241" s="2"/>
      <c r="J241" s="2"/>
    </row>
    <row r="242" customFormat="false" ht="15" hidden="false" customHeight="false" outlineLevel="0" collapsed="false">
      <c r="I242" s="2"/>
      <c r="J242" s="2"/>
    </row>
    <row r="243" customFormat="false" ht="15" hidden="false" customHeight="false" outlineLevel="0" collapsed="false">
      <c r="I243" s="2"/>
      <c r="J243" s="2"/>
    </row>
    <row r="244" customFormat="false" ht="15" hidden="false" customHeight="false" outlineLevel="0" collapsed="false">
      <c r="I244" s="2"/>
      <c r="J244" s="2"/>
    </row>
    <row r="245" customFormat="false" ht="15" hidden="false" customHeight="false" outlineLevel="0" collapsed="false">
      <c r="I245" s="2"/>
      <c r="J245" s="2"/>
    </row>
    <row r="246" customFormat="false" ht="15" hidden="false" customHeight="false" outlineLevel="0" collapsed="false">
      <c r="I246" s="2"/>
      <c r="J246" s="2"/>
    </row>
    <row r="247" customFormat="false" ht="15" hidden="false" customHeight="false" outlineLevel="0" collapsed="false">
      <c r="I247" s="2"/>
      <c r="J247" s="2"/>
    </row>
    <row r="248" customFormat="false" ht="15" hidden="false" customHeight="false" outlineLevel="0" collapsed="false">
      <c r="I248" s="2"/>
      <c r="J248" s="2"/>
    </row>
    <row r="249" customFormat="false" ht="15" hidden="false" customHeight="false" outlineLevel="0" collapsed="false">
      <c r="I249" s="2"/>
      <c r="J249" s="2"/>
    </row>
    <row r="250" customFormat="false" ht="15" hidden="false" customHeight="false" outlineLevel="0" collapsed="false">
      <c r="I250" s="2"/>
      <c r="J250" s="2"/>
    </row>
    <row r="251" customFormat="false" ht="15" hidden="false" customHeight="false" outlineLevel="0" collapsed="false">
      <c r="I251" s="2"/>
      <c r="J251" s="2"/>
    </row>
    <row r="252" customFormat="false" ht="15" hidden="false" customHeight="false" outlineLevel="0" collapsed="false">
      <c r="I252" s="2"/>
      <c r="J252" s="2"/>
    </row>
    <row r="253" customFormat="false" ht="15" hidden="false" customHeight="false" outlineLevel="0" collapsed="false">
      <c r="I253" s="2"/>
      <c r="J253" s="2"/>
    </row>
    <row r="254" customFormat="false" ht="15" hidden="false" customHeight="false" outlineLevel="0" collapsed="false">
      <c r="I254" s="2"/>
      <c r="J254" s="2"/>
    </row>
    <row r="255" customFormat="false" ht="15" hidden="false" customHeight="false" outlineLevel="0" collapsed="false">
      <c r="I255" s="2"/>
      <c r="J255" s="2"/>
    </row>
    <row r="256" customFormat="false" ht="15" hidden="false" customHeight="false" outlineLevel="0" collapsed="false">
      <c r="I256" s="2"/>
      <c r="J256" s="2"/>
    </row>
    <row r="257" customFormat="false" ht="15" hidden="false" customHeight="false" outlineLevel="0" collapsed="false">
      <c r="I257" s="2"/>
      <c r="J257" s="2"/>
    </row>
    <row r="258" customFormat="false" ht="15" hidden="false" customHeight="false" outlineLevel="0" collapsed="false">
      <c r="I258" s="2"/>
      <c r="J258" s="2"/>
    </row>
    <row r="259" customFormat="false" ht="15" hidden="false" customHeight="false" outlineLevel="0" collapsed="false">
      <c r="I259" s="2"/>
      <c r="J259" s="2"/>
    </row>
    <row r="260" customFormat="false" ht="15" hidden="false" customHeight="false" outlineLevel="0" collapsed="false">
      <c r="I260" s="2"/>
      <c r="J260" s="2"/>
    </row>
    <row r="261" customFormat="false" ht="15" hidden="false" customHeight="false" outlineLevel="0" collapsed="false">
      <c r="I261" s="2"/>
      <c r="J261" s="2"/>
    </row>
    <row r="262" customFormat="false" ht="15" hidden="false" customHeight="false" outlineLevel="0" collapsed="false">
      <c r="I262" s="2"/>
      <c r="J262" s="2"/>
    </row>
    <row r="263" customFormat="false" ht="15" hidden="false" customHeight="false" outlineLevel="0" collapsed="false">
      <c r="I263" s="2"/>
      <c r="J263" s="2"/>
    </row>
    <row r="264" customFormat="false" ht="15" hidden="false" customHeight="false" outlineLevel="0" collapsed="false">
      <c r="I264" s="2"/>
      <c r="J264" s="2"/>
    </row>
    <row r="265" customFormat="false" ht="15" hidden="false" customHeight="false" outlineLevel="0" collapsed="false">
      <c r="I265" s="2"/>
      <c r="J265" s="2"/>
    </row>
    <row r="266" customFormat="false" ht="15" hidden="false" customHeight="false" outlineLevel="0" collapsed="false">
      <c r="I266" s="2"/>
      <c r="J266" s="2"/>
    </row>
    <row r="267" customFormat="false" ht="15" hidden="false" customHeight="false" outlineLevel="0" collapsed="false">
      <c r="I267" s="2"/>
      <c r="J267" s="2"/>
    </row>
    <row r="268" customFormat="false" ht="15" hidden="false" customHeight="false" outlineLevel="0" collapsed="false">
      <c r="I268" s="2"/>
      <c r="J268" s="2"/>
    </row>
    <row r="269" customFormat="false" ht="15" hidden="false" customHeight="false" outlineLevel="0" collapsed="false">
      <c r="I269" s="2"/>
      <c r="J269" s="2"/>
    </row>
    <row r="270" customFormat="false" ht="15" hidden="false" customHeight="false" outlineLevel="0" collapsed="false">
      <c r="I270" s="2"/>
      <c r="J270" s="2"/>
    </row>
    <row r="271" customFormat="false" ht="15" hidden="false" customHeight="false" outlineLevel="0" collapsed="false">
      <c r="I271" s="2"/>
      <c r="J271" s="2"/>
    </row>
    <row r="272" customFormat="false" ht="15" hidden="false" customHeight="false" outlineLevel="0" collapsed="false">
      <c r="I272" s="2"/>
      <c r="J272" s="2"/>
    </row>
    <row r="273" customFormat="false" ht="15" hidden="false" customHeight="false" outlineLevel="0" collapsed="false">
      <c r="I273" s="2"/>
      <c r="J273" s="2"/>
    </row>
    <row r="274" customFormat="false" ht="15" hidden="false" customHeight="false" outlineLevel="0" collapsed="false">
      <c r="I274" s="2"/>
      <c r="J274" s="2"/>
    </row>
    <row r="275" customFormat="false" ht="15" hidden="false" customHeight="false" outlineLevel="0" collapsed="false">
      <c r="I275" s="2"/>
      <c r="J275" s="2"/>
    </row>
    <row r="276" customFormat="false" ht="15" hidden="false" customHeight="false" outlineLevel="0" collapsed="false">
      <c r="I276" s="2"/>
      <c r="J276" s="2"/>
    </row>
    <row r="277" customFormat="false" ht="15" hidden="false" customHeight="false" outlineLevel="0" collapsed="false">
      <c r="I277" s="2"/>
      <c r="J277" s="2"/>
    </row>
    <row r="278" customFormat="false" ht="15" hidden="false" customHeight="false" outlineLevel="0" collapsed="false">
      <c r="I278" s="2"/>
      <c r="J278" s="2"/>
    </row>
    <row r="279" customFormat="false" ht="15" hidden="false" customHeight="false" outlineLevel="0" collapsed="false">
      <c r="I279" s="2"/>
      <c r="J279" s="2"/>
    </row>
    <row r="280" customFormat="false" ht="15" hidden="false" customHeight="false" outlineLevel="0" collapsed="false">
      <c r="I280" s="2"/>
      <c r="J280" s="2"/>
    </row>
    <row r="281" customFormat="false" ht="15" hidden="false" customHeight="false" outlineLevel="0" collapsed="false">
      <c r="I281" s="2"/>
      <c r="J281" s="2"/>
    </row>
    <row r="282" customFormat="false" ht="15" hidden="false" customHeight="false" outlineLevel="0" collapsed="false">
      <c r="I282" s="2"/>
      <c r="J282" s="2"/>
    </row>
    <row r="283" customFormat="false" ht="15" hidden="false" customHeight="false" outlineLevel="0" collapsed="false">
      <c r="I283" s="2"/>
      <c r="J283" s="2"/>
    </row>
    <row r="284" customFormat="false" ht="15" hidden="false" customHeight="false" outlineLevel="0" collapsed="false">
      <c r="I284" s="2"/>
      <c r="J284" s="2"/>
    </row>
    <row r="285" customFormat="false" ht="15" hidden="false" customHeight="false" outlineLevel="0" collapsed="false">
      <c r="I285" s="2"/>
      <c r="J285" s="2"/>
    </row>
    <row r="286" customFormat="false" ht="15" hidden="false" customHeight="false" outlineLevel="0" collapsed="false">
      <c r="I286" s="2"/>
      <c r="J286" s="2"/>
    </row>
    <row r="287" customFormat="false" ht="15" hidden="false" customHeight="false" outlineLevel="0" collapsed="false">
      <c r="I287" s="2"/>
      <c r="J287" s="2"/>
    </row>
    <row r="288" customFormat="false" ht="15" hidden="false" customHeight="false" outlineLevel="0" collapsed="false">
      <c r="I288" s="2"/>
      <c r="J288" s="2"/>
    </row>
    <row r="289" customFormat="false" ht="15" hidden="false" customHeight="false" outlineLevel="0" collapsed="false">
      <c r="I289" s="2"/>
      <c r="J289" s="2"/>
    </row>
    <row r="290" customFormat="false" ht="15" hidden="false" customHeight="false" outlineLevel="0" collapsed="false">
      <c r="I290" s="2"/>
      <c r="J290" s="2"/>
    </row>
    <row r="291" customFormat="false" ht="15" hidden="false" customHeight="false" outlineLevel="0" collapsed="false">
      <c r="I291" s="2"/>
      <c r="J291" s="2"/>
    </row>
    <row r="292" customFormat="false" ht="15" hidden="false" customHeight="false" outlineLevel="0" collapsed="false">
      <c r="I292" s="2"/>
      <c r="J292" s="2"/>
    </row>
    <row r="293" customFormat="false" ht="15" hidden="false" customHeight="false" outlineLevel="0" collapsed="false">
      <c r="I293" s="2"/>
      <c r="J293" s="2"/>
    </row>
    <row r="294" customFormat="false" ht="15" hidden="false" customHeight="false" outlineLevel="0" collapsed="false">
      <c r="I294" s="2"/>
      <c r="J294" s="2"/>
    </row>
    <row r="295" customFormat="false" ht="15" hidden="false" customHeight="false" outlineLevel="0" collapsed="false">
      <c r="I295" s="2"/>
      <c r="J295" s="2"/>
    </row>
    <row r="296" customFormat="false" ht="15" hidden="false" customHeight="false" outlineLevel="0" collapsed="false">
      <c r="I296" s="2"/>
      <c r="J296" s="2"/>
    </row>
    <row r="297" customFormat="false" ht="15" hidden="false" customHeight="false" outlineLevel="0" collapsed="false">
      <c r="I297" s="2"/>
      <c r="J297" s="2"/>
    </row>
    <row r="298" customFormat="false" ht="15" hidden="false" customHeight="false" outlineLevel="0" collapsed="false">
      <c r="I298" s="2"/>
      <c r="J298" s="2"/>
    </row>
    <row r="299" customFormat="false" ht="15" hidden="false" customHeight="false" outlineLevel="0" collapsed="false">
      <c r="I299" s="2"/>
      <c r="J299" s="2"/>
    </row>
    <row r="300" customFormat="false" ht="15" hidden="false" customHeight="false" outlineLevel="0" collapsed="false">
      <c r="I300" s="2"/>
      <c r="J300" s="2"/>
    </row>
    <row r="301" customFormat="false" ht="15" hidden="false" customHeight="false" outlineLevel="0" collapsed="false">
      <c r="I301" s="2"/>
      <c r="J301" s="2"/>
    </row>
    <row r="302" customFormat="false" ht="15" hidden="false" customHeight="false" outlineLevel="0" collapsed="false">
      <c r="I302" s="2"/>
      <c r="J302" s="2"/>
    </row>
    <row r="303" customFormat="false" ht="15" hidden="false" customHeight="false" outlineLevel="0" collapsed="false">
      <c r="I303" s="2"/>
      <c r="J303" s="2"/>
    </row>
    <row r="304" customFormat="false" ht="15" hidden="false" customHeight="false" outlineLevel="0" collapsed="false">
      <c r="I304" s="2"/>
      <c r="J304" s="2"/>
    </row>
    <row r="305" customFormat="false" ht="15" hidden="false" customHeight="false" outlineLevel="0" collapsed="false">
      <c r="I305" s="2"/>
      <c r="J305" s="2"/>
    </row>
    <row r="306" customFormat="false" ht="15" hidden="false" customHeight="false" outlineLevel="0" collapsed="false">
      <c r="I306" s="2"/>
      <c r="J306" s="2"/>
    </row>
    <row r="307" customFormat="false" ht="15" hidden="false" customHeight="false" outlineLevel="0" collapsed="false">
      <c r="I307" s="2"/>
      <c r="J307" s="2"/>
    </row>
    <row r="308" customFormat="false" ht="15" hidden="false" customHeight="false" outlineLevel="0" collapsed="false">
      <c r="I308" s="2"/>
      <c r="J308" s="2"/>
    </row>
    <row r="309" customFormat="false" ht="15" hidden="false" customHeight="false" outlineLevel="0" collapsed="false">
      <c r="I309" s="2"/>
      <c r="J309" s="2"/>
    </row>
    <row r="310" customFormat="false" ht="15" hidden="false" customHeight="false" outlineLevel="0" collapsed="false">
      <c r="I310" s="2"/>
      <c r="J310" s="2"/>
    </row>
    <row r="311" customFormat="false" ht="15" hidden="false" customHeight="false" outlineLevel="0" collapsed="false">
      <c r="I311" s="2"/>
      <c r="J311" s="2"/>
    </row>
    <row r="312" customFormat="false" ht="15" hidden="false" customHeight="false" outlineLevel="0" collapsed="false">
      <c r="I312" s="2"/>
      <c r="J312" s="2"/>
    </row>
    <row r="313" customFormat="false" ht="15" hidden="false" customHeight="false" outlineLevel="0" collapsed="false">
      <c r="I313" s="2"/>
      <c r="J313" s="2"/>
    </row>
    <row r="314" customFormat="false" ht="15" hidden="false" customHeight="false" outlineLevel="0" collapsed="false">
      <c r="I314" s="2"/>
      <c r="J314" s="2"/>
    </row>
    <row r="315" customFormat="false" ht="15" hidden="false" customHeight="false" outlineLevel="0" collapsed="false">
      <c r="I315" s="2"/>
      <c r="J315" s="2"/>
    </row>
    <row r="316" customFormat="false" ht="15" hidden="false" customHeight="false" outlineLevel="0" collapsed="false">
      <c r="I316" s="2"/>
      <c r="J316" s="2"/>
    </row>
    <row r="317" customFormat="false" ht="15" hidden="false" customHeight="false" outlineLevel="0" collapsed="false">
      <c r="I317" s="2"/>
      <c r="J317" s="2"/>
    </row>
    <row r="318" customFormat="false" ht="15" hidden="false" customHeight="false" outlineLevel="0" collapsed="false">
      <c r="I318" s="2"/>
      <c r="J318" s="2"/>
    </row>
    <row r="319" customFormat="false" ht="15" hidden="false" customHeight="false" outlineLevel="0" collapsed="false">
      <c r="I319" s="2"/>
      <c r="J319" s="2"/>
    </row>
    <row r="320" customFormat="false" ht="15" hidden="false" customHeight="false" outlineLevel="0" collapsed="false">
      <c r="I320" s="2"/>
      <c r="J320" s="2"/>
    </row>
    <row r="321" customFormat="false" ht="15" hidden="false" customHeight="false" outlineLevel="0" collapsed="false">
      <c r="I321" s="2"/>
      <c r="J321" s="2"/>
    </row>
    <row r="322" customFormat="false" ht="15" hidden="false" customHeight="false" outlineLevel="0" collapsed="false">
      <c r="I322" s="2"/>
      <c r="J322" s="2"/>
    </row>
    <row r="323" customFormat="false" ht="15" hidden="false" customHeight="false" outlineLevel="0" collapsed="false">
      <c r="I323" s="2"/>
      <c r="J323" s="2"/>
    </row>
    <row r="324" customFormat="false" ht="15" hidden="false" customHeight="false" outlineLevel="0" collapsed="false">
      <c r="I324" s="2"/>
      <c r="J324" s="2"/>
    </row>
    <row r="325" customFormat="false" ht="15" hidden="false" customHeight="false" outlineLevel="0" collapsed="false">
      <c r="I325" s="2"/>
      <c r="J325" s="2"/>
    </row>
    <row r="326" customFormat="false" ht="15" hidden="false" customHeight="false" outlineLevel="0" collapsed="false">
      <c r="I326" s="2"/>
      <c r="J326" s="2"/>
    </row>
    <row r="327" customFormat="false" ht="15" hidden="false" customHeight="false" outlineLevel="0" collapsed="false">
      <c r="I327" s="2"/>
      <c r="J327" s="2"/>
    </row>
    <row r="328" customFormat="false" ht="15" hidden="false" customHeight="false" outlineLevel="0" collapsed="false">
      <c r="I328" s="2"/>
      <c r="J328" s="2"/>
    </row>
    <row r="329" customFormat="false" ht="15" hidden="false" customHeight="false" outlineLevel="0" collapsed="false">
      <c r="I329" s="2"/>
      <c r="J329" s="2"/>
    </row>
    <row r="330" customFormat="false" ht="15" hidden="false" customHeight="false" outlineLevel="0" collapsed="false">
      <c r="I330" s="2"/>
      <c r="J330" s="2"/>
    </row>
    <row r="331" customFormat="false" ht="15" hidden="false" customHeight="false" outlineLevel="0" collapsed="false">
      <c r="I331" s="2"/>
      <c r="J331" s="2"/>
    </row>
    <row r="332" customFormat="false" ht="15" hidden="false" customHeight="false" outlineLevel="0" collapsed="false">
      <c r="I332" s="2"/>
      <c r="J332" s="2"/>
    </row>
    <row r="333" customFormat="false" ht="15" hidden="false" customHeight="false" outlineLevel="0" collapsed="false">
      <c r="I333" s="2"/>
      <c r="J333" s="2"/>
    </row>
    <row r="334" customFormat="false" ht="15" hidden="false" customHeight="false" outlineLevel="0" collapsed="false">
      <c r="I334" s="2"/>
      <c r="J334" s="2"/>
    </row>
    <row r="335" customFormat="false" ht="15" hidden="false" customHeight="false" outlineLevel="0" collapsed="false">
      <c r="I335" s="2"/>
      <c r="J335" s="2"/>
    </row>
  </sheetData>
  <dataValidations count="2">
    <dataValidation allowBlank="true" errorStyle="stop" operator="between" showDropDown="false" showErrorMessage="false" showInputMessage="false" sqref="I2:I335" type="list">
      <formula1>"Prospecto,Contactado,Reunión,Propuesta,Cliente,No interesado"</formula1>
      <formula2>0</formula2>
    </dataValidation>
    <dataValidation allowBlank="true" errorStyle="stop" operator="between" showDropDown="false" showErrorMessage="false" showInputMessage="false" sqref="J2:J335" type="list">
      <formula1>"Alta,Media,Baja,Por calificar"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5" min="3" style="0" width="40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9" min="9" style="0" width="40"/>
    <col collapsed="false" customWidth="true" hidden="false" outlineLevel="0" max="10" min="10" style="0" width="12"/>
  </cols>
  <sheetData>
    <row r="1" customFormat="false" ht="28.35" hidden="false" customHeight="false" outlineLevel="0" collapsed="false">
      <c r="A1" s="1" t="s">
        <v>212</v>
      </c>
      <c r="B1" s="1" t="s">
        <v>213</v>
      </c>
      <c r="C1" s="1" t="s">
        <v>3</v>
      </c>
      <c r="D1" s="1" t="s">
        <v>214</v>
      </c>
      <c r="E1" s="1" t="s">
        <v>215</v>
      </c>
      <c r="F1" s="1" t="s">
        <v>216</v>
      </c>
      <c r="G1" s="1" t="s">
        <v>217</v>
      </c>
      <c r="H1" s="1" t="s">
        <v>218</v>
      </c>
      <c r="I1" s="1" t="s">
        <v>10</v>
      </c>
      <c r="J1" s="1" t="s">
        <v>219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5" min="2" style="0" width="10"/>
  </cols>
  <sheetData>
    <row r="1" customFormat="false" ht="15" hidden="false" customHeight="false" outlineLevel="0" collapsed="false">
      <c r="A1" s="1" t="s">
        <v>12</v>
      </c>
      <c r="B1" s="1" t="s">
        <v>26</v>
      </c>
      <c r="C1" s="1" t="s">
        <v>100</v>
      </c>
      <c r="D1" s="1" t="s">
        <v>199</v>
      </c>
      <c r="E1" s="1" t="s">
        <v>220</v>
      </c>
    </row>
    <row r="2" customFormat="false" ht="15" hidden="false" customHeight="false" outlineLevel="0" collapsed="false">
      <c r="A2" s="0" t="s">
        <v>29</v>
      </c>
      <c r="B2" s="0" t="n">
        <f aca="false">COUNTIFS(Contactos!$M:$M,$A2,Contactos!$J:$J,B$1)</f>
        <v>12</v>
      </c>
      <c r="C2" s="0" t="n">
        <f aca="false">COUNTIFS(Contactos!$M:$M,$A2,Contactos!$J:$J,C$1)</f>
        <v>0</v>
      </c>
      <c r="D2" s="0" t="n">
        <f aca="false">COUNTIFS(Contactos!$M:$M,$A2,Contactos!$J:$J,D$1)</f>
        <v>0</v>
      </c>
      <c r="E2" s="0" t="n">
        <f aca="false">SUM(B2:D2)</f>
        <v>12</v>
      </c>
    </row>
    <row r="3" customFormat="false" ht="15" hidden="false" customHeight="false" outlineLevel="0" collapsed="false">
      <c r="A3" s="0" t="s">
        <v>94</v>
      </c>
      <c r="B3" s="0" t="n">
        <f aca="false">COUNTIFS(Contactos!$M:$M,$A3,Contactos!$J:$J,B$1)</f>
        <v>1</v>
      </c>
      <c r="C3" s="0" t="n">
        <f aca="false">COUNTIFS(Contactos!$M:$M,$A3,Contactos!$J:$J,C$1)</f>
        <v>0</v>
      </c>
      <c r="D3" s="0" t="n">
        <f aca="false">COUNTIFS(Contactos!$M:$M,$A3,Contactos!$J:$J,D$1)</f>
        <v>0</v>
      </c>
      <c r="E3" s="0" t="n">
        <f aca="false">SUM(B3:D3)</f>
        <v>1</v>
      </c>
    </row>
    <row r="4" customFormat="false" ht="15" hidden="false" customHeight="false" outlineLevel="0" collapsed="false">
      <c r="A4" s="0" t="s">
        <v>102</v>
      </c>
      <c r="B4" s="0" t="n">
        <f aca="false">COUNTIFS(Contactos!$M:$M,$A4,Contactos!$J:$J,B$1)</f>
        <v>0</v>
      </c>
      <c r="C4" s="0" t="n">
        <f aca="false">COUNTIFS(Contactos!$M:$M,$A4,Contactos!$J:$J,C$1)</f>
        <v>10</v>
      </c>
      <c r="D4" s="0" t="n">
        <f aca="false">COUNTIFS(Contactos!$M:$M,$A4,Contactos!$J:$J,D$1)</f>
        <v>0</v>
      </c>
      <c r="E4" s="0" t="n">
        <f aca="false">SUM(B4:D4)</f>
        <v>10</v>
      </c>
    </row>
    <row r="5" customFormat="false" ht="15" hidden="false" customHeight="false" outlineLevel="0" collapsed="false">
      <c r="A5" s="0" t="s">
        <v>151</v>
      </c>
      <c r="B5" s="0" t="n">
        <f aca="false">COUNTIFS(Contactos!$M:$M,$A5,Contactos!$J:$J,B$1)</f>
        <v>0</v>
      </c>
      <c r="C5" s="0" t="n">
        <f aca="false">COUNTIFS(Contactos!$M:$M,$A5,Contactos!$J:$J,C$1)</f>
        <v>2</v>
      </c>
      <c r="D5" s="0" t="n">
        <f aca="false">COUNTIFS(Contactos!$M:$M,$A5,Contactos!$J:$J,D$1)</f>
        <v>0</v>
      </c>
      <c r="E5" s="0" t="n">
        <f aca="false">SUM(B5:D5)</f>
        <v>2</v>
      </c>
    </row>
    <row r="6" customFormat="false" ht="15" hidden="false" customHeight="false" outlineLevel="0" collapsed="false">
      <c r="A6" s="0" t="s">
        <v>168</v>
      </c>
      <c r="B6" s="0" t="n">
        <f aca="false">COUNTIFS(Contactos!$M:$M,$A6,Contactos!$J:$J,B$1)</f>
        <v>0</v>
      </c>
      <c r="C6" s="0" t="n">
        <f aca="false">COUNTIFS(Contactos!$M:$M,$A6,Contactos!$J:$J,C$1)</f>
        <v>4</v>
      </c>
      <c r="D6" s="0" t="n">
        <f aca="false">COUNTIFS(Contactos!$M:$M,$A6,Contactos!$J:$J,D$1)</f>
        <v>0</v>
      </c>
      <c r="E6" s="0" t="n">
        <f aca="false">SUM(B6:D6)</f>
        <v>4</v>
      </c>
    </row>
    <row r="7" customFormat="false" ht="15" hidden="false" customHeight="false" outlineLevel="0" collapsed="false">
      <c r="A7" s="0" t="s">
        <v>187</v>
      </c>
      <c r="B7" s="0" t="n">
        <f aca="false">COUNTIFS(Contactos!$M:$M,$A7,Contactos!$J:$J,B$1)</f>
        <v>0</v>
      </c>
      <c r="C7" s="0" t="n">
        <f aca="false">COUNTIFS(Contactos!$M:$M,$A7,Contactos!$J:$J,C$1)</f>
        <v>2</v>
      </c>
      <c r="D7" s="0" t="n">
        <f aca="false">COUNTIFS(Contactos!$M:$M,$A7,Contactos!$J:$J,D$1)</f>
        <v>0</v>
      </c>
      <c r="E7" s="0" t="n">
        <f aca="false">SUM(B7:D7)</f>
        <v>2</v>
      </c>
    </row>
    <row r="8" customFormat="false" ht="15" hidden="false" customHeight="false" outlineLevel="0" collapsed="false">
      <c r="A8" s="0" t="s">
        <v>202</v>
      </c>
      <c r="B8" s="0" t="n">
        <f aca="false">COUNTIFS(Contactos!$M:$M,$A8,Contactos!$J:$J,B$1)</f>
        <v>0</v>
      </c>
      <c r="C8" s="0" t="n">
        <f aca="false">COUNTIFS(Contactos!$M:$M,$A8,Contactos!$J:$J,C$1)</f>
        <v>0</v>
      </c>
      <c r="D8" s="0" t="n">
        <f aca="false">COUNTIFS(Contactos!$M:$M,$A8,Contactos!$J:$J,D$1)</f>
        <v>3</v>
      </c>
      <c r="E8" s="0" t="n">
        <f aca="false">SUM(B8:D8)</f>
        <v>3</v>
      </c>
    </row>
    <row r="9" customFormat="false" ht="15" hidden="false" customHeight="false" outlineLevel="0" collapsed="false">
      <c r="A9" s="0" t="s">
        <v>220</v>
      </c>
      <c r="B9" s="0" t="n">
        <f aca="false">SUM(B2:B8)</f>
        <v>13</v>
      </c>
      <c r="C9" s="0" t="n">
        <f aca="false">SUM(C2:C8)</f>
        <v>18</v>
      </c>
      <c r="D9" s="0" t="n">
        <f aca="false">SUM(D2:D8)</f>
        <v>3</v>
      </c>
      <c r="E9" s="0" t="n">
        <f aca="false">SUM(E2:E8)</f>
        <v>34</v>
      </c>
    </row>
    <row r="11" customFormat="false" ht="15" hidden="false" customHeight="false" outlineLevel="0" collapsed="false">
      <c r="A11" s="0" t="s">
        <v>221</v>
      </c>
      <c r="B11" s="0" t="s">
        <v>222</v>
      </c>
    </row>
    <row r="12" customFormat="false" ht="15" hidden="false" customHeight="false" outlineLevel="0" collapsed="false">
      <c r="A12" s="0" t="s">
        <v>223</v>
      </c>
      <c r="B12" s="0" t="n">
        <v>27</v>
      </c>
    </row>
    <row r="13" customFormat="false" ht="15" hidden="false" customHeight="false" outlineLevel="0" collapsed="false">
      <c r="A13" s="0" t="s">
        <v>224</v>
      </c>
      <c r="B13" s="0" t="n">
        <f aca="false">COUNTA(Contactos!$B$2:$B$500)</f>
        <v>34</v>
      </c>
    </row>
    <row r="14" customFormat="false" ht="15" hidden="false" customHeight="false" outlineLevel="0" collapsed="false">
      <c r="A14" s="0" t="s">
        <v>225</v>
      </c>
      <c r="B14" s="0" t="n">
        <f aca="false">SUMPRODUCT(1/COUNTIF(Contactos!$D$2:$D$35,Contactos!$D$2:$D$35))</f>
        <v>25</v>
      </c>
    </row>
    <row r="15" customFormat="false" ht="15" hidden="false" customHeight="false" outlineLevel="0" collapsed="false">
      <c r="A15" s="0" t="s">
        <v>226</v>
      </c>
      <c r="B15" s="0" t="n">
        <f aca="false">COUNTIF(Contactos!$G$2:$G$500,"?*")</f>
        <v>18</v>
      </c>
    </row>
    <row r="16" customFormat="false" ht="15" hidden="false" customHeight="false" outlineLevel="0" collapsed="false">
      <c r="A16" s="0" t="s">
        <v>227</v>
      </c>
      <c r="B16" s="0" t="n">
        <f aca="false">COUNTIF(Contactos!$R$2:$R$500,"Verificar*")</f>
        <v>3</v>
      </c>
    </row>
    <row r="17" customFormat="false" ht="15" hidden="false" customHeight="false" outlineLevel="0" collapsed="false">
      <c r="A17" s="0" t="s">
        <v>228</v>
      </c>
      <c r="B17" s="0" t="n">
        <f aca="false">COUNTIF(Contactos!$S$2:$S$500,"*(ID*")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3" min="3" style="0" width="50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1" t="s">
        <v>229</v>
      </c>
      <c r="B1" s="1" t="s">
        <v>230</v>
      </c>
      <c r="C1" s="1" t="s">
        <v>231</v>
      </c>
      <c r="D1" s="1" t="s">
        <v>232</v>
      </c>
    </row>
    <row r="2" customFormat="false" ht="15" hidden="false" customHeight="false" outlineLevel="0" collapsed="false">
      <c r="A2" s="0" t="n">
        <v>2</v>
      </c>
      <c r="B2" s="0" t="s">
        <v>233</v>
      </c>
      <c r="C2" s="0" t="s">
        <v>234</v>
      </c>
      <c r="D2" s="0" t="s">
        <v>235</v>
      </c>
    </row>
    <row r="3" customFormat="false" ht="15" hidden="false" customHeight="false" outlineLevel="0" collapsed="false">
      <c r="A3" s="0" t="n">
        <v>2</v>
      </c>
      <c r="B3" s="0" t="s">
        <v>236</v>
      </c>
      <c r="C3" s="0" t="s">
        <v>234</v>
      </c>
      <c r="D3" s="0" t="s">
        <v>191</v>
      </c>
    </row>
    <row r="4" customFormat="false" ht="15" hidden="false" customHeight="false" outlineLevel="0" collapsed="false">
      <c r="A4" s="0" t="n">
        <v>4</v>
      </c>
      <c r="B4" s="0" t="s">
        <v>236</v>
      </c>
      <c r="C4" s="0" t="s">
        <v>237</v>
      </c>
      <c r="D4" s="0" t="s">
        <v>147</v>
      </c>
    </row>
    <row r="5" customFormat="false" ht="15" hidden="false" customHeight="false" outlineLevel="0" collapsed="false">
      <c r="A5" s="0" t="n">
        <v>5</v>
      </c>
      <c r="B5" s="0" t="s">
        <v>236</v>
      </c>
      <c r="C5" s="0" t="s">
        <v>238</v>
      </c>
      <c r="D5" s="0" t="s">
        <v>65</v>
      </c>
    </row>
    <row r="6" customFormat="false" ht="15" hidden="false" customHeight="false" outlineLevel="0" collapsed="false">
      <c r="A6" s="0" t="n">
        <v>6</v>
      </c>
      <c r="B6" s="0" t="s">
        <v>233</v>
      </c>
      <c r="C6" s="0" t="s">
        <v>176</v>
      </c>
      <c r="D6" s="0" t="s">
        <v>239</v>
      </c>
    </row>
    <row r="7" customFormat="false" ht="15" hidden="false" customHeight="false" outlineLevel="0" collapsed="false">
      <c r="A7" s="0" t="n">
        <v>6</v>
      </c>
      <c r="B7" s="0" t="s">
        <v>236</v>
      </c>
      <c r="C7" s="0" t="s">
        <v>170</v>
      </c>
      <c r="D7" s="0" t="s">
        <v>172</v>
      </c>
    </row>
    <row r="8" customFormat="false" ht="15" hidden="false" customHeight="false" outlineLevel="0" collapsed="false">
      <c r="A8" s="0" t="n">
        <v>7</v>
      </c>
      <c r="B8" s="0" t="s">
        <v>233</v>
      </c>
      <c r="C8" s="0" t="s">
        <v>240</v>
      </c>
      <c r="D8" s="0" t="s">
        <v>241</v>
      </c>
    </row>
    <row r="9" customFormat="false" ht="15" hidden="false" customHeight="false" outlineLevel="0" collapsed="false">
      <c r="A9" s="0" t="n">
        <v>7</v>
      </c>
      <c r="B9" s="0" t="s">
        <v>236</v>
      </c>
      <c r="C9" s="0" t="s">
        <v>242</v>
      </c>
      <c r="D9" s="0" t="s">
        <v>133</v>
      </c>
    </row>
    <row r="10" customFormat="false" ht="15" hidden="false" customHeight="false" outlineLevel="0" collapsed="false">
      <c r="A10" s="0" t="n">
        <v>8</v>
      </c>
      <c r="B10" s="0" t="s">
        <v>236</v>
      </c>
      <c r="C10" s="0" t="s">
        <v>243</v>
      </c>
      <c r="D10" s="0" t="s">
        <v>98</v>
      </c>
    </row>
    <row r="11" customFormat="false" ht="15" hidden="false" customHeight="false" outlineLevel="0" collapsed="false">
      <c r="A11" s="0" t="n">
        <v>9</v>
      </c>
      <c r="B11" s="0" t="s">
        <v>236</v>
      </c>
      <c r="C11" s="0" t="s">
        <v>244</v>
      </c>
      <c r="D11" s="0" t="s">
        <v>206</v>
      </c>
    </row>
    <row r="12" customFormat="false" ht="15" hidden="false" customHeight="false" outlineLevel="0" collapsed="false">
      <c r="A12" s="0" t="n">
        <v>10</v>
      </c>
      <c r="B12" s="0" t="s">
        <v>236</v>
      </c>
      <c r="C12" s="0" t="s">
        <v>245</v>
      </c>
      <c r="D12" s="0" t="s">
        <v>91</v>
      </c>
    </row>
    <row r="13" customFormat="false" ht="15" hidden="false" customHeight="false" outlineLevel="0" collapsed="false">
      <c r="A13" s="0" t="n">
        <v>11</v>
      </c>
      <c r="B13" s="0" t="s">
        <v>236</v>
      </c>
      <c r="C13" s="0" t="s">
        <v>246</v>
      </c>
      <c r="D13" s="0" t="s">
        <v>122</v>
      </c>
    </row>
    <row r="14" customFormat="false" ht="15" hidden="false" customHeight="false" outlineLevel="0" collapsed="false">
      <c r="A14" s="0" t="n">
        <v>12</v>
      </c>
      <c r="B14" s="0" t="s">
        <v>236</v>
      </c>
      <c r="C14" s="0" t="s">
        <v>247</v>
      </c>
      <c r="D14" s="0" t="s">
        <v>197</v>
      </c>
    </row>
    <row r="15" customFormat="false" ht="15" hidden="false" customHeight="false" outlineLevel="0" collapsed="false">
      <c r="A15" s="0" t="n">
        <v>13</v>
      </c>
      <c r="B15" s="0" t="s">
        <v>236</v>
      </c>
      <c r="C15" s="0" t="s">
        <v>248</v>
      </c>
      <c r="D15" s="0" t="s">
        <v>141</v>
      </c>
    </row>
    <row r="16" customFormat="false" ht="15" hidden="false" customHeight="false" outlineLevel="0" collapsed="false">
      <c r="A16" s="0" t="n">
        <v>14</v>
      </c>
      <c r="B16" s="0" t="s">
        <v>236</v>
      </c>
      <c r="C16" s="0" t="s">
        <v>249</v>
      </c>
      <c r="D16" s="0" t="s">
        <v>21</v>
      </c>
    </row>
    <row r="17" customFormat="false" ht="15" hidden="false" customHeight="false" outlineLevel="0" collapsed="false">
      <c r="A17" s="0" t="n">
        <v>15</v>
      </c>
      <c r="B17" s="0" t="s">
        <v>236</v>
      </c>
      <c r="C17" s="0" t="s">
        <v>250</v>
      </c>
      <c r="D17" s="0" t="s">
        <v>157</v>
      </c>
    </row>
    <row r="18" customFormat="false" ht="15" hidden="false" customHeight="false" outlineLevel="0" collapsed="false">
      <c r="A18" s="0" t="n">
        <v>16</v>
      </c>
      <c r="B18" s="0" t="s">
        <v>236</v>
      </c>
      <c r="C18" s="0" t="s">
        <v>251</v>
      </c>
      <c r="D18" s="0" t="s">
        <v>128</v>
      </c>
    </row>
    <row r="19" customFormat="false" ht="15" hidden="false" customHeight="false" outlineLevel="0" collapsed="false">
      <c r="A19" s="0" t="n">
        <v>17</v>
      </c>
      <c r="B19" s="0" t="s">
        <v>233</v>
      </c>
      <c r="C19" s="0" t="s">
        <v>252</v>
      </c>
      <c r="D19" s="0" t="s">
        <v>253</v>
      </c>
    </row>
    <row r="20" customFormat="false" ht="15" hidden="false" customHeight="false" outlineLevel="0" collapsed="false">
      <c r="A20" s="0" t="n">
        <v>17</v>
      </c>
      <c r="B20" s="0" t="s">
        <v>236</v>
      </c>
      <c r="C20" s="0" t="s">
        <v>254</v>
      </c>
      <c r="D20" s="0" t="s">
        <v>110</v>
      </c>
    </row>
    <row r="21" customFormat="false" ht="15" hidden="false" customHeight="false" outlineLevel="0" collapsed="false">
      <c r="A21" s="0" t="n">
        <v>18</v>
      </c>
      <c r="B21" s="0" t="s">
        <v>236</v>
      </c>
      <c r="C21" s="0" t="s">
        <v>255</v>
      </c>
      <c r="D21" s="0" t="s">
        <v>77</v>
      </c>
    </row>
    <row r="22" customFormat="false" ht="15" hidden="false" customHeight="false" outlineLevel="0" collapsed="false">
      <c r="A22" s="0" t="n">
        <v>19</v>
      </c>
      <c r="B22" s="0" t="s">
        <v>236</v>
      </c>
      <c r="C22" s="0" t="s">
        <v>256</v>
      </c>
      <c r="D22" s="0" t="s">
        <v>164</v>
      </c>
    </row>
    <row r="23" customFormat="false" ht="15" hidden="false" customHeight="false" outlineLevel="0" collapsed="false">
      <c r="A23" s="0" t="n">
        <v>20</v>
      </c>
      <c r="B23" s="0" t="s">
        <v>236</v>
      </c>
      <c r="C23" s="0" t="s">
        <v>257</v>
      </c>
      <c r="D23" s="0" t="s">
        <v>58</v>
      </c>
    </row>
    <row r="24" customFormat="false" ht="15" hidden="false" customHeight="false" outlineLevel="0" collapsed="false">
      <c r="A24" s="0" t="n">
        <v>21</v>
      </c>
      <c r="B24" s="0" t="s">
        <v>233</v>
      </c>
      <c r="C24" s="0" t="s">
        <v>42</v>
      </c>
      <c r="D24" s="0" t="s">
        <v>235</v>
      </c>
    </row>
    <row r="25" customFormat="false" ht="15" hidden="false" customHeight="false" outlineLevel="0" collapsed="false">
      <c r="A25" s="0" t="n">
        <v>21</v>
      </c>
      <c r="B25" s="0" t="s">
        <v>236</v>
      </c>
      <c r="C25" s="0" t="s">
        <v>42</v>
      </c>
      <c r="D25" s="0" t="s">
        <v>44</v>
      </c>
    </row>
    <row r="26" customFormat="false" ht="15" hidden="false" customHeight="false" outlineLevel="0" collapsed="false">
      <c r="A26" s="0" t="n">
        <v>22</v>
      </c>
      <c r="B26" s="0" t="s">
        <v>233</v>
      </c>
      <c r="C26" s="0" t="s">
        <v>258</v>
      </c>
      <c r="D26" s="0" t="s">
        <v>259</v>
      </c>
    </row>
    <row r="27" customFormat="false" ht="15" hidden="false" customHeight="false" outlineLevel="0" collapsed="false">
      <c r="A27" s="0" t="n">
        <v>22</v>
      </c>
      <c r="B27" s="0" t="s">
        <v>236</v>
      </c>
      <c r="C27" s="0" t="s">
        <v>260</v>
      </c>
      <c r="D27" s="0" t="s">
        <v>83</v>
      </c>
    </row>
    <row r="28" customFormat="false" ht="15" hidden="false" customHeight="false" outlineLevel="0" collapsed="false">
      <c r="A28" s="0" t="n">
        <v>23</v>
      </c>
      <c r="B28" s="0" t="s">
        <v>233</v>
      </c>
      <c r="C28" s="0" t="s">
        <v>261</v>
      </c>
      <c r="D28" s="0" t="s">
        <v>262</v>
      </c>
    </row>
    <row r="29" customFormat="false" ht="15" hidden="false" customHeight="false" outlineLevel="0" collapsed="false">
      <c r="A29" s="0" t="n">
        <v>23</v>
      </c>
      <c r="B29" s="0" t="s">
        <v>236</v>
      </c>
      <c r="C29" s="0" t="s">
        <v>263</v>
      </c>
      <c r="D29" s="0" t="s">
        <v>49</v>
      </c>
    </row>
    <row r="30" customFormat="false" ht="15" hidden="false" customHeight="false" outlineLevel="0" collapsed="false">
      <c r="A30" s="0" t="n">
        <v>24</v>
      </c>
      <c r="B30" s="0" t="s">
        <v>233</v>
      </c>
      <c r="C30" s="0" t="s">
        <v>264</v>
      </c>
      <c r="D30" s="0" t="s">
        <v>265</v>
      </c>
    </row>
    <row r="31" customFormat="false" ht="15" hidden="false" customHeight="false" outlineLevel="0" collapsed="false">
      <c r="A31" s="0" t="n">
        <v>24</v>
      </c>
      <c r="B31" s="0" t="s">
        <v>236</v>
      </c>
      <c r="C31" s="0" t="s">
        <v>266</v>
      </c>
      <c r="D31" s="0" t="s">
        <v>70</v>
      </c>
    </row>
    <row r="32" customFormat="false" ht="15" hidden="false" customHeight="false" outlineLevel="0" collapsed="false">
      <c r="A32" s="0" t="n">
        <v>25</v>
      </c>
      <c r="B32" s="0" t="s">
        <v>236</v>
      </c>
      <c r="C32" s="0" t="s">
        <v>267</v>
      </c>
      <c r="D32" s="0" t="s">
        <v>37</v>
      </c>
    </row>
    <row r="33" customFormat="false" ht="15" hidden="false" customHeight="false" outlineLevel="0" collapsed="false">
      <c r="A33" s="0" t="n">
        <v>26</v>
      </c>
      <c r="B33" s="0" t="s">
        <v>236</v>
      </c>
      <c r="C33" s="0" t="s">
        <v>244</v>
      </c>
      <c r="D33" s="0" t="s">
        <v>206</v>
      </c>
    </row>
    <row r="34" customFormat="false" ht="15" hidden="false" customHeight="false" outlineLevel="0" collapsed="false">
      <c r="A34" s="0" t="n">
        <v>27</v>
      </c>
      <c r="B34" s="0" t="s">
        <v>236</v>
      </c>
      <c r="C34" s="0" t="s">
        <v>268</v>
      </c>
      <c r="D34" s="0" t="s">
        <v>98</v>
      </c>
    </row>
    <row r="35" customFormat="false" ht="15" hidden="false" customHeight="false" outlineLevel="0" collapsed="false">
      <c r="A35" s="0" t="n">
        <v>28</v>
      </c>
      <c r="B35" s="0" t="s">
        <v>269</v>
      </c>
      <c r="C35" s="0" t="s">
        <v>270</v>
      </c>
      <c r="D35" s="0" t="s">
        <v>181</v>
      </c>
    </row>
    <row r="36" customFormat="false" ht="15" hidden="false" customHeight="false" outlineLevel="0" collapsed="false">
      <c r="A36" s="0" t="n">
        <v>28</v>
      </c>
      <c r="B36" s="0" t="s">
        <v>236</v>
      </c>
      <c r="C36" s="0" t="s">
        <v>271</v>
      </c>
      <c r="D36" s="0" t="s">
        <v>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2"/>
    <col collapsed="false" customWidth="true" hidden="false" outlineLevel="0" max="3" min="3" style="0" width="100"/>
  </cols>
  <sheetData>
    <row r="1" customFormat="false" ht="15" hidden="false" customHeight="false" outlineLevel="0" collapsed="false">
      <c r="A1" s="1" t="s">
        <v>272</v>
      </c>
      <c r="B1" s="1" t="s">
        <v>4</v>
      </c>
      <c r="C1" s="1" t="s">
        <v>273</v>
      </c>
    </row>
    <row r="2" customFormat="false" ht="15" hidden="false" customHeight="false" outlineLevel="0" collapsed="false">
      <c r="A2" s="0" t="s">
        <v>24</v>
      </c>
      <c r="B2" s="0" t="s">
        <v>22</v>
      </c>
      <c r="C2" s="0" t="s">
        <v>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2026-10-07T23:27:06Z</dcterms:created>
  <dc:creator>openpyxl</dc:creator>
  <dc:description/>
  <dc:language>en-US</dc:language>
  <cp:lastModifiedBy/>
  <dcterms:modified xsi:type="dcterms:W3CDTF">2026-10-07T23:27:06Z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